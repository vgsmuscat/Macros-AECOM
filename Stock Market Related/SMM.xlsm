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5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AR51" i="7" l="1"/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<sst xmlns="http://schemas.openxmlformats.org/spreadsheetml/2006/main" count="10344" uniqueCount="4879">
  <si>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</si>
  <si>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</si>
  <si>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</si>
  <si>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</si>
  <si>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</si>
  <si>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</si>
  <si>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</si>
  <si>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</si>
  <si>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</si>
  <si>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</si>
  <si>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</si>
  <si>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</si>
  <si>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</si>
  <si>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</si>
  <si>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</si>
  <si>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</si>
  <si>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</si>
  <si>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</si>
  <si>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</si>
  <si>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</si>
  <si>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</si>
  <si>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</si>
  <si>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</si>
  <si>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</si>
  <si>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</si>
  <si>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</si>
  <si>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</si>
  <si>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</si>
  <si>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</si>
  <si>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</si>
  <si>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</si>
  <si>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</si>
  <si>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</si>
  <si>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</si>
  <si>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</si>
  <si>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</si>
  <si>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</si>
  <si>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</si>
  <si>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</si>
  <si>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</si>
  <si>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</si>
  <si>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</si>
  <si>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</si>
  <si>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</si>
  <si>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</si>
  <si>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</si>
  <si>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</si>
  <si>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</si>
  <si>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</si>
  <si>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</si>
  <si>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</si>
  <si>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</si>
  <si>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</si>
  <si>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</si>
  <si>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</si>
  <si>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</si>
  <si>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</si>
  <si>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</si>
  <si>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</si>
  <si>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</si>
  <si>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</si>
  <si>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</si>
  <si>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</si>
  <si>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</si>
  <si>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</si>
  <si>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</si>
  <si>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</si>
  <si>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</si>
  <si>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</si>
  <si>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</si>
  <si>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</si>
  <si>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</si>
  <si>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</si>
  <si>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</si>
  <si>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</si>
  <si>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</si>
  <si>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</si>
  <si>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</si>
  <si>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</si>
  <si>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</si>
  <si>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</si>
  <si>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</si>
  <si>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</si>
  <si>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</si>
  <si>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</si>
  <si>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</si>
  <si>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</si>
  <si>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</si>
  <si>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</si>
  <si>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</si>
  <si>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</si>
  <si>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</si>
  <si>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</si>
  <si>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</si>
  <si>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</si>
  <si>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</si>
  <si>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</si>
  <si>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</si>
  <si>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</si>
  <si>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</si>
  <si>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</si>
  <si>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</si>
  <si>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</si>
  <si>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</si>
  <si>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</si>
  <si>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</si>
  <si>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</si>
  <si>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</si>
  <si>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</si>
  <si>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</si>
  <si>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</si>
  <si>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</si>
  <si>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</si>
  <si>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</si>
  <si>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</si>
  <si>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</si>
  <si>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</si>
  <si>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</si>
  <si>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</si>
  <si>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</si>
  <si>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</si>
  <si>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</si>
  <si>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</si>
  <si>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</si>
  <si>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</si>
  <si>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</si>
  <si>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</si>
  <si>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</si>
  <si>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</si>
  <si>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</si>
  <si>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</si>
  <si>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</si>
  <si>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</si>
  <si>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</si>
  <si>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</si>
  <si>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</si>
  <si>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</si>
  <si>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</si>
  <si>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</si>
  <si>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</si>
  <si>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</si>
  <si>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</si>
  <si>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</si>
  <si>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</si>
  <si>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</si>
  <si>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</si>
  <si>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</si>
  <si>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</si>
  <si>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</si>
  <si>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</si>
  <si>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</si>
  <si>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</si>
  <si>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</si>
  <si>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</si>
  <si>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</si>
  <si>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</si>
  <si>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</si>
  <si>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</si>
  <si>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</si>
  <si>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</si>
  <si>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</si>
  <si>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</si>
  <si>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</si>
  <si>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</si>
  <si>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</si>
  <si>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</si>
  <si>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</si>
  <si>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</si>
  <si>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</si>
  <si>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</si>
  <si>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</si>
  <si>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</si>
  <si>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</si>
  <si>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</si>
  <si>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</si>
  <si>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</si>
  <si>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</si>
  <si>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</si>
  <si>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</si>
  <si>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</si>
  <si>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</si>
  <si>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</si>
  <si>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</si>
  <si>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</si>
  <si>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</si>
  <si>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</si>
  <si>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</si>
  <si>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</si>
  <si>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</si>
  <si>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</si>
  <si>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</si>
  <si>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</si>
  <si>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</si>
  <si>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</si>
  <si>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</si>
  <si>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</si>
  <si>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</si>
  <si>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</si>
  <si>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</si>
  <si>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</si>
  <si>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</si>
  <si>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</si>
  <si>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</si>
  <si>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</si>
  <si>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</si>
  <si>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</si>
  <si>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</si>
  <si>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</si>
  <si>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</si>
  <si>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</si>
  <si>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</si>
  <si>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</si>
  <si>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</si>
  <si>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</si>
  <si>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</si>
  <si>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</si>
  <si>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</si>
  <si>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</si>
  <si>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</si>
  <si>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</si>
  <si>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</si>
  <si>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</si>
  <si>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</si>
  <si>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</si>
  <si>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</si>
  <si>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</si>
  <si>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</si>
  <si>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</si>
  <si>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</si>
  <si>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</si>
  <si>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</si>
  <si>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</si>
  <si>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</si>
  <si>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</si>
  <si>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</si>
  <si>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</si>
  <si>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</si>
  <si>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</si>
  <si>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</si>
  <si>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</si>
  <si>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</si>
  <si>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</si>
  <si>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</si>
  <si>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</si>
  <si>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</si>
  <si>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</si>
  <si>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</si>
  <si>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</si>
  <si>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</si>
  <si>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</si>
  <si>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</si>
  <si>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</si>
  <si>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</si>
  <si>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</si>
  <si>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</si>
  <si>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</si>
  <si>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</si>
  <si>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</si>
  <si>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</si>
  <si>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</si>
  <si>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</si>
  <si>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</si>
  <si>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</si>
  <si>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</si>
  <si>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</si>
  <si>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</si>
  <si>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</si>
  <si>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</si>
  <si>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</si>
  <si>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</si>
  <si>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</si>
  <si>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</si>
  <si>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</si>
  <si>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</si>
  <si>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</si>
  <si>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</si>
  <si>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</si>
  <si>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</si>
  <si>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</si>
  <si>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</si>
  <si>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</si>
  <si>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</si>
  <si>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</si>
  <si>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</si>
  <si>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</si>
  <si>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</si>
  <si>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</si>
  <si>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</si>
  <si>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</si>
  <si>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</si>
  <si>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</si>
  <si>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</si>
  <si>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</si>
  <si>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</si>
  <si>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</si>
  <si>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</si>
  <si>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</si>
  <si>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</si>
  <si>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</si>
  <si>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</si>
  <si>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</si>
  <si>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</si>
  <si>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</si>
  <si>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</si>
  <si>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</si>
  <si>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</si>
  <si>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</si>
  <si>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</si>
  <si>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</si>
  <si>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</si>
  <si>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</si>
  <si>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</si>
  <si>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</si>
  <si>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</si>
  <si>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</si>
  <si>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</si>
  <si>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</si>
  <si>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</si>
  <si>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</si>
  <si>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</si>
  <si>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</si>
  <si>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</si>
  <si>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</si>
  <si>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</si>
  <si>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</si>
  <si>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</si>
  <si>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</si>
  <si>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</si>
  <si>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</si>
  <si>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</si>
  <si>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</si>
  <si>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</si>
  <si>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</si>
  <si>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</si>
  <si>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</si>
  <si>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</si>
  <si>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</si>
  <si>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</si>
  <si>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</si>
  <si>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</si>
  <si>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</si>
  <si>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</si>
  <si>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</si>
  <si>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</si>
  <si>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</si>
  <si>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</si>
  <si>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</si>
  <si>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</si>
  <si>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</si>
  <si>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</si>
  <si>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</si>
  <si>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</si>
  <si>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</si>
  <si>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</si>
  <si>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</si>
  <si>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</si>
  <si>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</si>
  <si>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</si>
  <si>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</si>
  <si>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</si>
  <si>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</si>
  <si>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</si>
  <si>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</si>
  <si>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</si>
  <si>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</si>
  <si>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</si>
  <si>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</si>
  <si>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</si>
  <si>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</si>
  <si>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</si>
  <si>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</si>
  <si>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</si>
  <si>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</si>
  <si>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</si>
  <si>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</si>
  <si>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</si>
  <si>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</si>
  <si>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</si>
  <si>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</si>
  <si>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</si>
  <si>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</si>
  <si>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</si>
  <si>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</si>
  <si>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</si>
  <si>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</si>
  <si>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</si>
  <si>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</si>
  <si>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</si>
  <si>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</si>
  <si>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</si>
  <si>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</si>
  <si>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</si>
  <si>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</si>
  <si>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</si>
  <si>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</si>
  <si>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</si>
  <si>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</si>
  <si>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</si>
  <si>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</si>
  <si>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</si>
  <si>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</si>
  <si>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</si>
  <si>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</si>
  <si>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</si>
  <si>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</si>
  <si>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</si>
  <si>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</si>
  <si>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</si>
  <si>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</si>
  <si>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</si>
  <si>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</si>
  <si>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</si>
  <si>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</si>
  <si>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</si>
  <si>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</si>
  <si>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</si>
  <si>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</si>
  <si>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</si>
  <si>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</si>
  <si>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</si>
  <si>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</si>
  <si>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</si>
  <si>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</si>
  <si>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</si>
  <si>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</si>
  <si>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</si>
  <si>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</si>
  <si>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</si>
  <si>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</si>
  <si>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</si>
  <si>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</si>
  <si>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</si>
  <si>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</si>
  <si>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</si>
  <si>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</si>
  <si>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</si>
  <si>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</si>
  <si>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</si>
  <si>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</si>
  <si>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</si>
  <si>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</si>
  <si>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</si>
  <si>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</si>
  <si>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</si>
  <si>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</si>
  <si>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</si>
  <si>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</si>
  <si>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</si>
  <si>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</si>
  <si>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</si>
  <si>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</si>
  <si>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</si>
  <si>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</si>
  <si>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</si>
  <si>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</si>
  <si>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</si>
  <si>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</si>
  <si>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</si>
  <si>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</si>
  <si>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</si>
  <si>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</si>
  <si>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</si>
  <si>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</si>
  <si>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</si>
  <si>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</si>
  <si>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</si>
  <si>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</si>
  <si>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</si>
  <si>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</si>
  <si>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</si>
  <si>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</si>
  <si>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</si>
  <si>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</si>
  <si>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</si>
  <si>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</si>
  <si>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</si>
  <si>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</si>
  <si>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</si>
  <si>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</si>
  <si>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</si>
  <si>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</si>
  <si>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</si>
  <si>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</si>
  <si>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</si>
  <si>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</si>
  <si>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</si>
  <si>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</si>
  <si>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</si>
  <si>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</si>
  <si>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</si>
  <si>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</si>
  <si>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</si>
  <si>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</si>
  <si>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</si>
  <si>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</si>
  <si>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</si>
  <si>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</si>
  <si>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</si>
  <si>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</si>
  <si>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</si>
  <si>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</si>
  <si>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</si>
  <si>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</si>
  <si>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</si>
  <si>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</si>
  <si>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</si>
  <si>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</si>
  <si>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</si>
  <si>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</si>
  <si>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</si>
  <si>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</si>
  <si>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</si>
  <si>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</si>
  <si>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</si>
  <si>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</si>
  <si>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</si>
  <si>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</si>
  <si>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</si>
  <si>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</si>
  <si>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</si>
  <si>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</si>
  <si>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</si>
  <si>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</si>
  <si>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</si>
  <si>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</si>
  <si>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</si>
  <si>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</si>
  <si>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</si>
  <si>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</si>
  <si>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</si>
  <si>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</si>
  <si>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</si>
  <si>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</si>
  <si>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</si>
  <si>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</si>
  <si>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</si>
  <si>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</si>
  <si>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</si>
  <si>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</si>
  <si>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</si>
  <si>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</si>
  <si>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</si>
  <si>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</si>
  <si>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</si>
  <si>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</si>
  <si>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</si>
  <si>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</si>
  <si>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</si>
  <si>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</si>
  <si>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</si>
  <si>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</si>
  <si>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</si>
  <si>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</si>
  <si>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</si>
  <si>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</si>
  <si>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</si>
  <si>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</si>
  <si>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</si>
  <si>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</si>
  <si>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</si>
  <si>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</si>
  <si>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</si>
  <si>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</si>
  <si>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</si>
  <si>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</si>
  <si>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</si>
  <si>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</si>
  <si>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</si>
  <si>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</si>
  <si>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</si>
  <si>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</si>
  <si>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</si>
  <si>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</si>
  <si>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</si>
  <si>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</si>
  <si>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</si>
  <si>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</si>
  <si>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</si>
  <si>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</si>
  <si>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</si>
  <si>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</si>
  <si>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</si>
  <si>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</si>
  <si>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</si>
  <si>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</si>
  <si>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</si>
  <si>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</si>
  <si>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</si>
  <si>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</si>
  <si>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</si>
  <si>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</si>
  <si>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</si>
  <si>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</si>
  <si>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</si>
  <si>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</si>
  <si>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</si>
  <si>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</si>
  <si>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</si>
  <si>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</si>
  <si>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</si>
  <si>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</si>
  <si>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</si>
  <si>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</si>
  <si>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</si>
  <si>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</si>
  <si>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</si>
  <si>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</si>
  <si>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</si>
  <si>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</si>
  <si>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</si>
  <si>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</si>
  <si>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</si>
  <si>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</si>
  <si>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</si>
  <si>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</si>
  <si>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</si>
  <si>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</si>
  <si>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</si>
  <si>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</si>
  <si>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</si>
  <si>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</si>
  <si>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</si>
  <si>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</si>
  <si>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</si>
  <si>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</si>
  <si>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</si>
  <si>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</si>
  <si>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</si>
  <si>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</si>
  <si>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</si>
  <si>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</si>
  <si>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</si>
  <si>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</si>
  <si>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</si>
  <si>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</si>
  <si>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</si>
  <si>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</si>
  <si>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</si>
  <si>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</si>
  <si>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</si>
  <si>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</si>
  <si>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</si>
  <si>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</si>
  <si>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</si>
  <si>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</si>
  <si>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</si>
  <si>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</si>
  <si>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</si>
  <si>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</si>
  <si>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</si>
  <si>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</si>
  <si>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</si>
  <si>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</si>
  <si>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</si>
  <si>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</si>
  <si>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</si>
  <si>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</si>
  <si>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</si>
  <si>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</si>
  <si>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</si>
  <si>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</si>
  <si>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</si>
  <si>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</si>
  <si>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</si>
  <si>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</si>
  <si>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</si>
  <si>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</si>
  <si>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</si>
  <si>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</si>
  <si>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</si>
  <si>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</si>
  <si>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</si>
  <si>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</si>
  <si>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</si>
  <si>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</si>
  <si>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</si>
  <si>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</si>
  <si>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</si>
  <si>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</si>
  <si>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</si>
  <si>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</si>
  <si>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</si>
  <si>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</si>
  <si>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</si>
  <si>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</si>
  <si>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</si>
  <si>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</si>
  <si>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</si>
  <si>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</si>
  <si>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</si>
  <si>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</si>
  <si>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</si>
  <si>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</si>
  <si>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</si>
  <si>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</si>
  <si>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</si>
  <si>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</si>
  <si>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</si>
  <si>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</si>
  <si>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</si>
  <si>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</si>
  <si>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</si>
  <si>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</si>
  <si>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</si>
  <si>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</si>
  <si>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</si>
  <si>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</si>
  <si>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</si>
  <si>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</si>
  <si>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</si>
  <si>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</si>
  <si>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</si>
  <si>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</si>
  <si>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</si>
  <si>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</si>
  <si>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</si>
  <si>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</si>
  <si>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</si>
  <si>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</si>
  <si>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</si>
  <si>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</si>
  <si>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</si>
  <si>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</si>
  <si>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</si>
  <si>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</si>
  <si>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</si>
  <si>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</si>
  <si>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</si>
  <si>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</si>
  <si>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</si>
  <si>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</si>
  <si>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</si>
  <si>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</si>
  <si>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</si>
  <si>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</si>
  <si>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</si>
  <si>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</si>
  <si>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</si>
  <si>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</si>
  <si>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</si>
  <si>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</si>
  <si>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</si>
  <si>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</si>
  <si>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</si>
  <si>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</si>
  <si>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</si>
  <si>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</si>
  <si>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</si>
  <si>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</si>
  <si>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</si>
  <si>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</si>
  <si>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</si>
  <si>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</si>
  <si>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</si>
  <si>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</si>
  <si>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</si>
  <si>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</si>
  <si>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</si>
  <si>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</si>
  <si>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</si>
  <si>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</si>
  <si>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</si>
  <si>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</si>
  <si>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</si>
  <si>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</si>
  <si>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</si>
  <si>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</si>
  <si>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</si>
  <si>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</si>
  <si>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</si>
  <si>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</si>
  <si>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</si>
  <si>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</si>
  <si>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</si>
  <si>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</si>
  <si>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</si>
  <si>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</si>
  <si>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</si>
  <si>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</si>
  <si>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</si>
  <si>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</si>
  <si>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</si>
  <si>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</si>
  <si>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</si>
  <si>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</si>
  <si>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</si>
  <si>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</si>
  <si>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</si>
  <si>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</si>
  <si>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</si>
  <si>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</si>
  <si>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</si>
  <si>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</si>
  <si>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</si>
  <si>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</si>
  <si>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</si>
  <si>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</si>
  <si>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</si>
  <si>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</si>
  <si>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</si>
  <si>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</si>
  <si>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</si>
  <si>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</si>
  <si>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</si>
  <si>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</si>
  <si>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</si>
  <si>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</si>
  <si>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</si>
  <si>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</si>
  <si>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</si>
  <si>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</si>
  <si>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</si>
  <si>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</si>
  <si>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</si>
  <si>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</si>
  <si>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</si>
  <si>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</si>
  <si>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</si>
  <si>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</si>
  <si>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</si>
  <si>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</si>
  <si>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</si>
  <si>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</si>
  <si>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</si>
  <si>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</si>
  <si>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</si>
  <si>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</si>
  <si>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</si>
  <si>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</si>
  <si>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</si>
  <si>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</si>
  <si>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</si>
  <si>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</si>
  <si>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</si>
  <si>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</si>
  <si>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</si>
  <si>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</si>
  <si>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</si>
  <si>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</si>
  <si>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</si>
  <si>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</si>
  <si>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</si>
  <si>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</si>
  <si>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</si>
  <si>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</si>
  <si>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</si>
  <si>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</si>
  <si>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</si>
  <si>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</si>
  <si>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</si>
  <si>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</si>
  <si>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</si>
  <si>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</si>
  <si>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</si>
  <si>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</si>
  <si>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</si>
  <si>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</si>
  <si>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</si>
  <si>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</si>
  <si>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</si>
  <si>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</si>
  <si>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</si>
  <si>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</si>
  <si>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</si>
  <si>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</si>
  <si>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</si>
  <si>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</si>
  <si>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</si>
  <si>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</si>
  <si>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</si>
  <si>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</si>
  <si>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</si>
  <si>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</si>
  <si>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</si>
  <si>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</si>
  <si>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</si>
  <si>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</si>
  <si>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</si>
  <si>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</si>
  <si>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</si>
  <si>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</si>
  <si>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</si>
  <si>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</si>
  <si>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</si>
  <si>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</si>
  <si>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</si>
  <si>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</si>
  <si>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</si>
  <si>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</si>
  <si>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</si>
  <si>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</si>
  <si>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</si>
  <si>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</si>
  <si>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</si>
  <si>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</si>
  <si>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</si>
  <si>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</si>
  <si>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</si>
  <si>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</si>
  <si>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</si>
  <si>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</si>
  <si>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</si>
  <si>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</si>
  <si>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</si>
  <si>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</si>
  <si>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</si>
  <si>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</si>
  <si>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</si>
  <si>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</si>
  <si>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</si>
  <si>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</si>
  <si>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</si>
  <si>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</si>
  <si>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</si>
  <si>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</si>
  <si>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</si>
  <si>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</si>
  <si>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</si>
  <si>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</si>
  <si>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</si>
  <si>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</si>
  <si>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</si>
  <si>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</si>
  <si>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</si>
  <si>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</si>
  <si>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</si>
  <si>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</si>
  <si>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</si>
  <si>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</si>
  <si>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</si>
  <si>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</si>
  <si>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</si>
  <si>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</si>
  <si>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</si>
  <si>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</si>
  <si>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</si>
  <si>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</si>
  <si>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</si>
  <si>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</si>
  <si>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</si>
  <si>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</si>
  <si>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</si>
  <si>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</si>
  <si>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</si>
  <si>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</si>
  <si>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</si>
  <si>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</si>
  <si>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</si>
  <si>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</si>
  <si>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</si>
  <si>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</si>
  <si>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</si>
  <si>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</si>
  <si>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</si>
  <si>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</si>
  <si>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</si>
  <si>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</si>
  <si>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</si>
  <si>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</si>
  <si>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</si>
  <si>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</si>
  <si>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</si>
  <si>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</si>
  <si>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</si>
  <si>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</si>
  <si>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</si>
  <si>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</si>
  <si>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</si>
  <si>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</si>
  <si>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</si>
  <si>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</si>
  <si>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</si>
  <si>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</si>
  <si>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</si>
  <si>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</si>
  <si>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</si>
  <si>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</si>
  <si>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</si>
  <si>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</si>
  <si>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</si>
  <si>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</si>
  <si>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</si>
  <si>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</si>
  <si>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</si>
  <si>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</si>
  <si>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</si>
  <si>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</si>
  <si>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</si>
  <si>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</si>
  <si>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</si>
  <si>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</si>
  <si>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</si>
  <si>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</si>
  <si>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</si>
  <si>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</si>
  <si>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</si>
  <si>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</si>
  <si>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</si>
  <si>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</si>
  <si>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</si>
  <si>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</si>
  <si>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</si>
  <si>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</si>
  <si>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</si>
  <si>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</si>
  <si>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</si>
  <si>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</si>
  <si>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</si>
  <si>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</si>
  <si>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</si>
  <si>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</si>
  <si>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</si>
  <si>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</si>
  <si>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</si>
  <si>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</si>
  <si>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</si>
  <si>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</si>
  <si>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</si>
  <si>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</si>
  <si>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</si>
  <si>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</si>
  <si>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</si>
  <si>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</si>
  <si>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</si>
  <si>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</si>
  <si>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</si>
  <si>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</si>
  <si>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</si>
  <si>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</si>
  <si>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</si>
  <si>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</si>
  <si>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</si>
  <si>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</si>
  <si>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</si>
  <si>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</si>
  <si>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</si>
  <si>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</si>
  <si>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</si>
  <si>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</si>
  <si>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</si>
  <si>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</si>
  <si>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</si>
  <si>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</si>
  <si>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</si>
  <si>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</si>
  <si>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</si>
  <si>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</si>
  <si>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</si>
  <si>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</si>
  <si>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</si>
  <si>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</si>
  <si>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</si>
  <si>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</si>
  <si>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</si>
  <si>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</si>
  <si>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</si>
  <si>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</si>
  <si>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</si>
  <si>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</si>
  <si>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</si>
  <si>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</si>
  <si>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</si>
  <si>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</si>
  <si>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</si>
  <si>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</si>
  <si>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</si>
  <si>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</si>
  <si>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</si>
  <si>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</si>
  <si>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</si>
  <si>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</si>
  <si>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</si>
  <si>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</si>
  <si>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</si>
  <si>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</si>
  <si>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</si>
  <si>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</si>
  <si>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</si>
  <si>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</si>
  <si>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</si>
  <si>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</si>
  <si>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</si>
  <si>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</si>
  <si>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</si>
  <si>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</si>
  <si>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</si>
  <si>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</si>
  <si>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</si>
  <si>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</si>
  <si>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</si>
  <si>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</si>
  <si>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</si>
  <si>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</si>
  <si>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</si>
  <si>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</si>
  <si>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</si>
  <si>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</si>
  <si>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</si>
  <si>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</si>
  <si>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</si>
  <si>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</si>
  <si>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</si>
  <si>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</si>
  <si>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</si>
  <si>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</si>
  <si>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</si>
  <si>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</si>
  <si>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</si>
  <si>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</si>
  <si>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</si>
  <si>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</si>
  <si>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</si>
  <si>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</si>
  <si>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</si>
  <si>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</si>
  <si>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</si>
  <si>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</si>
  <si>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</si>
  <si>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</si>
  <si>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</si>
  <si>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</si>
  <si>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</si>
  <si>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</si>
  <si>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</si>
  <si>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</si>
  <si>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</si>
  <si>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</si>
  <si>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</si>
  <si>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</si>
  <si>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</si>
  <si>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</si>
  <si>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</si>
  <si>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</si>
  <si>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</si>
  <si>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</si>
  <si>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</si>
  <si>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</si>
  <si>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</si>
  <si>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</si>
  <si>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</si>
  <si>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</si>
  <si>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</si>
  <si>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</si>
  <si>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</si>
  <si>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</si>
  <si>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</si>
  <si>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</si>
  <si>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</si>
  <si>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</si>
  <si>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</si>
  <si>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</si>
  <si>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</si>
  <si>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</si>
  <si>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</si>
  <si>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</si>
  <si>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</si>
  <si>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</si>
  <si>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</si>
  <si>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</si>
  <si>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</si>
  <si>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</si>
  <si>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</si>
  <si>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</si>
  <si>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</si>
  <si>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</si>
  <si>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</si>
  <si>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</si>
  <si>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</si>
  <si>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</si>
  <si>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</si>
  <si>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</si>
  <si>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</si>
  <si>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</si>
  <si>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</si>
  <si>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</si>
  <si>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</si>
  <si>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</si>
  <si>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</si>
  <si>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</si>
  <si>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</si>
  <si>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</si>
  <si>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</si>
  <si>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</si>
  <si>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</si>
  <si>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</si>
  <si>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</si>
  <si>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</si>
  <si>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</si>
  <si>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</si>
  <si>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</si>
  <si>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</si>
  <si>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</si>
  <si>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</si>
  <si>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</si>
  <si>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</si>
  <si>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</si>
  <si>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</si>
  <si>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</si>
  <si>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</si>
  <si>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</si>
  <si>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</si>
  <si>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</si>
  <si>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</si>
  <si>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</si>
  <si>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</si>
  <si>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</si>
  <si>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</si>
  <si>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</si>
  <si>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</si>
  <si>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</si>
  <si>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</si>
  <si>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</si>
  <si>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</si>
  <si>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</si>
  <si>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</si>
  <si>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</si>
  <si>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</si>
  <si>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</si>
  <si>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</si>
  <si>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</si>
  <si>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</si>
  <si>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</si>
  <si>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</si>
  <si>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</si>
  <si>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</si>
  <si>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</si>
  <si>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</si>
  <si>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</si>
  <si>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</si>
  <si>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</si>
  <si>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</si>
  <si>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</si>
  <si>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</si>
  <si>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</si>
  <si>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</si>
  <si>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</si>
  <si>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</si>
  <si>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</si>
  <si>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</si>
  <si>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</si>
  <si>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</si>
  <si>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</si>
  <si>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</si>
  <si>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</si>
  <si>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</si>
  <si>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</si>
  <si>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</si>
  <si>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</si>
  <si>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</si>
  <si>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</si>
  <si>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</si>
  <si>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</si>
  <si>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</si>
  <si>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</si>
  <si>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</si>
  <si>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</si>
  <si>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</si>
  <si>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</si>
  <si>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</si>
  <si>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</si>
  <si>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</si>
  <si>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</si>
  <si>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</si>
  <si>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</si>
  <si>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</si>
  <si>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</si>
  <si>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</si>
  <si>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</si>
  <si>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</si>
  <si>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</si>
  <si>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</si>
  <si>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</si>
  <si>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</si>
  <si>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</si>
  <si>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</si>
  <si>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</si>
  <si>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</si>
  <si>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</si>
  <si>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</si>
  <si>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</si>
  <si>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</si>
  <si>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</si>
  <si>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</si>
  <si>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</si>
  <si>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</si>
  <si>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</si>
  <si>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</si>
  <si>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</si>
  <si>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</si>
  <si>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</si>
  <si>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</si>
  <si>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</si>
  <si>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</si>
  <si>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</si>
  <si>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</si>
  <si>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</si>
  <si>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</si>
  <si>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</si>
  <si>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</si>
  <si>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</si>
  <si>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</si>
  <si>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</si>
  <si>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</si>
  <si>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</si>
  <si>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</si>
  <si>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</si>
  <si>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</si>
  <si>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</si>
  <si>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</si>
  <si>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</si>
  <si>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</si>
  <si>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</si>
  <si>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</si>
  <si>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</si>
  <si>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</si>
  <si>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</si>
  <si>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</si>
  <si>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</si>
  <si>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</si>
  <si>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</si>
  <si>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</si>
  <si>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</si>
  <si>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</si>
  <si>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</si>
  <si>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</si>
  <si>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</si>
  <si>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</si>
  <si>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</si>
  <si>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</si>
  <si>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</si>
  <si>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</si>
  <si>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</si>
  <si>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</si>
  <si>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</si>
  <si>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</si>
  <si>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</si>
  <si>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</si>
  <si>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</si>
  <si>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</si>
  <si>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</si>
  <si>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</si>
  <si>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</si>
  <si>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</si>
  <si>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</si>
  <si>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</si>
  <si>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</si>
  <si>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</si>
  <si>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</si>
  <si>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</si>
  <si>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</si>
  <si>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</si>
  <si>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</si>
  <si>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</si>
  <si>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</si>
  <si>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</si>
  <si>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</si>
  <si>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</si>
  <si>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</si>
  <si>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</si>
  <si>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</si>
  <si>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</si>
  <si>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</si>
  <si>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</si>
  <si>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</si>
  <si>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</si>
  <si>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</si>
  <si>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</si>
  <si>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</si>
  <si>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</si>
  <si>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</si>
  <si>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</si>
  <si>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</si>
  <si>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</si>
  <si>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</si>
  <si>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</si>
  <si>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</si>
  <si>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</si>
  <si>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</si>
  <si>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</si>
  <si>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</si>
  <si>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</si>
  <si>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</si>
  <si>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</si>
  <si>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</si>
  <si>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</si>
  <si>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</si>
  <si>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</si>
  <si>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</si>
  <si>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</si>
  <si>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</si>
  <si>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</si>
  <si>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</si>
  <si>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</si>
  <si>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</si>
  <si>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</si>
  <si>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</si>
  <si>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</si>
  <si>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</si>
  <si>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</si>
  <si>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</si>
  <si>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</si>
  <si>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</si>
  <si>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</si>
  <si>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</si>
  <si>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</si>
  <si>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</si>
  <si>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</si>
  <si>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</si>
  <si>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</si>
  <si>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</si>
  <si>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</si>
  <si>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</si>
  <si>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</si>
  <si>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</si>
  <si>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</si>
  <si>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</si>
  <si>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</si>
  <si>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</si>
  <si>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</si>
  <si>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</si>
  <si>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</si>
  <si>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</si>
  <si>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</si>
  <si>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</si>
  <si>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</si>
  <si>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</si>
  <si>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</si>
  <si>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</si>
  <si>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</si>
  <si>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</si>
  <si>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</si>
  <si>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</si>
  <si>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</si>
  <si>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</si>
  <si>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</si>
  <si>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</si>
  <si>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</si>
  <si>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</si>
  <si>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</si>
  <si>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</si>
  <si>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</si>
  <si>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</si>
  <si>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</si>
  <si>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</si>
  <si>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</si>
  <si>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</si>
  <si>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</si>
  <si>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</si>
  <si>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</si>
  <si>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</si>
  <si>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</si>
  <si>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</si>
  <si>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</si>
  <si>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</si>
  <si>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</si>
  <si>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</si>
  <si>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</si>
  <si>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</si>
  <si>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</si>
  <si>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</si>
  <si>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</si>
  <si>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</si>
  <si>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</si>
  <si>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</si>
  <si>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</si>
  <si>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</si>
  <si>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</si>
  <si>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</si>
  <si>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</si>
  <si>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</si>
  <si>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</si>
  <si>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</si>
  <si>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</si>
  <si>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</si>
  <si>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</si>
  <si>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</si>
  <si>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</si>
  <si>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</si>
  <si>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</si>
  <si>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</si>
  <si>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</si>
  <si>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</si>
  <si>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</si>
  <si>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</si>
  <si>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</si>
  <si>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</si>
  <si>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</si>
  <si>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</si>
  <si>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</si>
  <si>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</si>
  <si>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</si>
  <si>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</si>
  <si>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</si>
  <si>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</si>
  <si>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</si>
  <si>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</si>
  <si>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</si>
  <si>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</si>
  <si>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</si>
  <si>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</si>
  <si>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</si>
  <si>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</si>
  <si>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</si>
  <si>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</si>
  <si>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</si>
  <si>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</si>
  <si>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</si>
  <si>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</si>
  <si>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</si>
  <si>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</si>
  <si>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</si>
  <si>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</si>
  <si>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</si>
  <si>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</si>
  <si>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</si>
  <si>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</si>
  <si>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</si>
  <si>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</si>
  <si>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</si>
  <si>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</si>
  <si>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</si>
  <si>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</si>
  <si>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</si>
  <si>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</si>
  <si>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</si>
  <si>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</si>
  <si>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</si>
  <si>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</si>
  <si>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</si>
  <si>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</si>
  <si>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</si>
  <si>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</si>
  <si>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</si>
  <si>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</si>
  <si>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</si>
  <si>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</si>
  <si>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</si>
  <si>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</si>
  <si>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</si>
  <si>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</si>
  <si>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</si>
  <si>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</si>
  <si>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</si>
  <si>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</si>
  <si>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</si>
  <si>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</si>
  <si>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</si>
  <si>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</si>
  <si>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</si>
  <si>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</si>
  <si>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</si>
  <si>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</si>
  <si>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</si>
  <si>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</si>
  <si>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</si>
  <si>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</si>
  <si>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</si>
  <si>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</si>
  <si>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</si>
  <si>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</si>
  <si>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</si>
  <si>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</si>
  <si>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</si>
  <si>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</si>
  <si>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</si>
  <si>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</si>
  <si>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</si>
  <si>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</si>
  <si>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</si>
  <si>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</si>
  <si>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</si>
  <si>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</si>
  <si>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</si>
  <si>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</si>
  <si>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</si>
  <si>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</si>
  <si>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</si>
  <si>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</si>
  <si>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</si>
  <si>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</si>
  <si>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</si>
  <si>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</si>
  <si>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</si>
  <si>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</si>
  <si>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</si>
  <si>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</si>
  <si>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</si>
  <si>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</si>
  <si>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</si>
  <si>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</si>
  <si>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</si>
  <si>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</si>
  <si>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</si>
  <si>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</si>
  <si>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</si>
  <si>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</si>
  <si>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</si>
  <si>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</si>
  <si>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</si>
  <si>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</si>
  <si>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</si>
  <si>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</si>
  <si>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</si>
  <si>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</si>
  <si>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</si>
  <si>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</si>
  <si>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</si>
  <si>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</si>
  <si>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</si>
  <si>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</si>
  <si>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</si>
  <si>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</si>
  <si>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</si>
  <si>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</si>
  <si>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</si>
  <si>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</si>
  <si>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</si>
  <si>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</si>
  <si>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</si>
  <si>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</si>
  <si>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</si>
  <si>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</si>
  <si>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</si>
  <si>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</si>
  <si>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</si>
  <si>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</si>
  <si>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</si>
  <si>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</si>
  <si>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</si>
  <si>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</si>
  <si>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</si>
  <si>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</si>
  <si>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</si>
  <si>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</si>
  <si>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</si>
  <si>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</si>
  <si>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</si>
  <si>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</si>
  <si>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</si>
  <si>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</si>
  <si>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</si>
  <si>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</si>
  <si>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</si>
  <si>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</si>
  <si>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</si>
  <si>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</si>
  <si>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</si>
  <si>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</si>
  <si>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</si>
  <si>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</si>
  <si>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</si>
  <si>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</si>
  <si>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</si>
  <si>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</si>
  <si>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</si>
  <si>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</si>
  <si>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</si>
  <si>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</si>
  <si>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</si>
  <si>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</si>
  <si>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</si>
  <si>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</si>
  <si>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</si>
  <si>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</si>
  <si>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</si>
  <si>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</si>
  <si>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</si>
  <si>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</si>
  <si>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</si>
  <si>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</si>
  <si>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</si>
  <si>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</si>
  <si>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</si>
  <si>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</si>
  <si>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</si>
  <si>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</si>
  <si>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</si>
  <si>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</si>
  <si>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</si>
  <si>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</si>
  <si>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</si>
  <si>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</si>
  <si>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</si>
  <si>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</si>
  <si>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</si>
  <si>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</si>
  <si>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</si>
  <si>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</si>
  <si>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</si>
  <si>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</si>
  <si>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</si>
  <si>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</si>
  <si>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</si>
  <si>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</si>
  <si>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</si>
  <si>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</si>
  <si>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</si>
  <si>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</si>
  <si>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</si>
  <si>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</si>
  <si>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</si>
  <si>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</si>
  <si>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</si>
  <si>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</si>
  <si>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</si>
  <si>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</si>
  <si>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</si>
  <si>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</si>
  <si>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</si>
  <si>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</si>
  <si>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</si>
  <si>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</si>
  <si>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</si>
  <si>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</si>
  <si>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</si>
  <si>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</si>
  <si>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</si>
  <si>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</si>
  <si>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</si>
  <si>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</si>
  <si>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</si>
  <si>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</si>
  <si>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</si>
  <si>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</si>
  <si>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</si>
  <si>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</si>
  <si>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</si>
  <si>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</si>
  <si>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</si>
  <si>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</si>
  <si>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</si>
  <si>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</si>
  <si>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</si>
  <si>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</si>
  <si>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</si>
  <si>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</si>
  <si>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</si>
  <si>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</si>
  <si>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</si>
  <si>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</si>
  <si>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</si>
  <si>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</si>
  <si>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</si>
  <si>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</si>
  <si>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</si>
  <si>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</si>
  <si>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</si>
  <si>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</si>
  <si>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</si>
  <si>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</si>
  <si>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</si>
  <si>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</si>
  <si>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</si>
  <si>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</si>
  <si>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</si>
  <si>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</si>
  <si>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</si>
  <si>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</si>
  <si>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</si>
  <si>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</si>
  <si>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</si>
  <si>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</si>
  <si>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</si>
  <si>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</si>
  <si>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</si>
  <si>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</si>
  <si>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</si>
  <si>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</si>
  <si>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</si>
  <si>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</si>
  <si>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</si>
  <si>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</si>
  <si>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</si>
  <si>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</si>
  <si>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</si>
  <si>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</si>
  <si>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</si>
  <si>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</si>
  <si>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</si>
  <si>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</si>
  <si>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</si>
  <si>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</si>
  <si>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</si>
  <si>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</si>
  <si>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</si>
  <si>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</si>
  <si>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</si>
  <si>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</si>
  <si>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</si>
  <si>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</si>
  <si>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</si>
  <si>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</si>
  <si>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</si>
  <si>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</si>
  <si>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</si>
  <si>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</si>
  <si>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</si>
  <si>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</si>
  <si>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</si>
  <si>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</si>
  <si>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</si>
  <si>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</si>
  <si>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</si>
  <si>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</si>
  <si>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</si>
  <si>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</si>
  <si>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</si>
  <si>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</si>
  <si>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</si>
  <si>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</si>
  <si>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</si>
  <si>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</si>
  <si>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</si>
  <si>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</si>
  <si>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</si>
  <si>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</si>
  <si>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</si>
  <si>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</si>
  <si>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</si>
  <si>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</si>
  <si>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</si>
  <si>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</si>
  <si>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</si>
  <si>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</si>
  <si>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</si>
  <si>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</si>
  <si>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</si>
  <si>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</si>
  <si>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</si>
  <si>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</si>
  <si>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</si>
  <si>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</si>
  <si>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</si>
  <si>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</si>
  <si>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</si>
  <si>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</si>
  <si>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</si>
  <si>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</si>
  <si>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</si>
  <si>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</si>
  <si>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</si>
  <si>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</si>
  <si>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</si>
  <si>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</si>
  <si>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</si>
  <si>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</si>
  <si>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</si>
  <si>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</si>
  <si>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</si>
  <si>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</si>
  <si>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</si>
  <si>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</si>
  <si>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</si>
  <si>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</si>
  <si>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</si>
  <si>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</si>
  <si>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</si>
  <si>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</si>
  <si>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</si>
  <si>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</si>
  <si>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</si>
  <si>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</si>
  <si>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</si>
  <si>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</si>
  <si>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</si>
  <si>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</si>
  <si>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</si>
  <si>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</si>
  <si>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</si>
  <si>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</si>
  <si>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</si>
  <si>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</si>
  <si>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</si>
  <si>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</si>
  <si>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</si>
  <si>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</si>
  <si>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</si>
  <si>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</si>
  <si>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</si>
  <si>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</si>
  <si>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</si>
  <si>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</si>
  <si>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</si>
  <si>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</si>
  <si>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</si>
  <si>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</si>
  <si>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</si>
  <si>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</si>
  <si>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</si>
  <si>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</si>
  <si>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</si>
  <si>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</si>
  <si>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</si>
  <si>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</si>
  <si>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</si>
  <si>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</si>
  <si>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</si>
  <si>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</si>
  <si>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</si>
  <si>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</si>
  <si>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</si>
  <si>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</si>
  <si>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</si>
  <si>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</si>
  <si>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</si>
  <si>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</si>
  <si>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</si>
  <si>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</si>
  <si>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</si>
  <si>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</si>
  <si>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</si>
  <si>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</si>
  <si>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</si>
  <si>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</si>
  <si>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</si>
  <si>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</si>
  <si>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</si>
  <si>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</si>
  <si>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</si>
  <si>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</si>
  <si>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</si>
  <si>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</si>
  <si>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</si>
  <si>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</si>
  <si>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</si>
  <si>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</si>
  <si>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</si>
  <si>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</si>
  <si>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</si>
  <si>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</si>
  <si>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</si>
  <si>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</si>
  <si>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</si>
  <si>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</si>
  <si>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</si>
  <si>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</si>
  <si>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</si>
  <si>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</si>
  <si>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</si>
  <si>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</si>
  <si>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</si>
  <si>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</si>
  <si>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</si>
  <si>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</si>
  <si>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</si>
  <si>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</si>
  <si>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</si>
  <si>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</si>
  <si>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</si>
  <si>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</si>
  <si>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</si>
  <si>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</si>
  <si>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</si>
  <si>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</si>
  <si>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</si>
  <si>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</si>
  <si>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</si>
  <si>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</si>
  <si>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</si>
  <si>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</si>
  <si>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</si>
  <si>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</si>
  <si>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</si>
  <si>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</si>
  <si>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</si>
  <si>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</si>
  <si>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</si>
  <si>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</si>
  <si>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</si>
  <si>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</si>
  <si>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</si>
  <si>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</si>
  <si>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</si>
  <si>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</si>
  <si>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</si>
  <si>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</si>
  <si>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</si>
  <si>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</si>
  <si>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</si>
  <si>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</si>
  <si>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</si>
  <si>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</si>
  <si>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</si>
  <si>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</si>
  <si>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</si>
  <si>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</si>
  <si>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</si>
  <si>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</si>
  <si>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</si>
  <si>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</si>
  <si>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</si>
  <si>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</si>
  <si>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</si>
  <si>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</si>
  <si>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</si>
  <si>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</si>
  <si>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</si>
  <si>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</si>
  <si>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</si>
  <si>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</si>
  <si>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</si>
  <si>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</si>
  <si>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</si>
  <si>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</si>
  <si>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</si>
  <si>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</si>
  <si>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</si>
  <si>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</si>
  <si>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</si>
  <si>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</si>
  <si>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</si>
  <si>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</si>
  <si>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</si>
  <si>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</si>
  <si>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</si>
  <si>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</si>
  <si>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</si>
  <si>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</si>
  <si>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</si>
  <si>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</si>
  <si>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</si>
  <si>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</si>
  <si>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</si>
  <si>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</si>
  <si>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</si>
  <si>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</si>
  <si>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</si>
  <si>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</si>
  <si>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</si>
  <si>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</si>
  <si>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</si>
  <si>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</si>
  <si>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</si>
  <si>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</si>
  <si>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</si>
  <si>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</si>
  <si>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</si>
  <si>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</si>
  <si>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</si>
  <si>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</si>
  <si>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</si>
  <si>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</si>
  <si>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</si>
  <si>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</si>
  <si>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</si>
  <si>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</si>
  <si>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</si>
  <si>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</si>
  <si>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</si>
  <si>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</si>
  <si>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</si>
  <si>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</si>
  <si>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</si>
  <si>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</si>
  <si>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</si>
  <si>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</si>
  <si>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</si>
  <si>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</si>
  <si>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</si>
  <si>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</si>
  <si>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</si>
  <si>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</si>
  <si>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</si>
  <si>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</si>
  <si>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</si>
  <si>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</si>
  <si>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</si>
  <si>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</si>
  <si>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</si>
  <si>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</si>
  <si>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</si>
  <si>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</si>
  <si>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</si>
  <si>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</si>
  <si>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</si>
  <si>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</si>
  <si>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</si>
  <si>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</si>
  <si>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</si>
  <si>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</si>
  <si>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</si>
  <si>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</si>
  <si>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</si>
  <si>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</si>
  <si>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</si>
  <si>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</si>
  <si>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</si>
  <si>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</si>
  <si>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</si>
  <si>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</si>
  <si>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</si>
  <si>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</si>
  <si>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</si>
  <si>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</si>
  <si>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</si>
  <si>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</si>
  <si>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</si>
  <si>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</si>
  <si>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</si>
  <si>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</si>
  <si>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</si>
  <si>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</si>
  <si>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</si>
  <si>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</si>
  <si>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</si>
  <si>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</si>
  <si>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</si>
  <si>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</si>
  <si>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</si>
  <si>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</si>
  <si>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</si>
  <si>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</si>
  <si>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</si>
  <si>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</si>
  <si>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</si>
  <si>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</si>
  <si>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</si>
  <si>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</si>
  <si>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</si>
  <si>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</si>
  <si>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</si>
  <si>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</si>
  <si>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</si>
  <si>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</si>
  <si>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</si>
  <si>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</si>
  <si>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</si>
  <si>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</si>
  <si>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</si>
  <si>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</si>
  <si>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</si>
  <si>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</si>
  <si>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</si>
  <si>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</si>
  <si>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</si>
  <si>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</si>
  <si>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</si>
  <si>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</si>
  <si>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</si>
  <si>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</si>
  <si>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</si>
  <si>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</si>
  <si>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</si>
  <si>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</si>
  <si>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</si>
  <si>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</si>
  <si>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</si>
  <si>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</si>
  <si>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</si>
  <si>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</si>
  <si>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</si>
  <si>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</si>
  <si>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</si>
  <si>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</si>
  <si>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</si>
  <si>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</si>
  <si>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</si>
  <si>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</si>
  <si>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</si>
  <si>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</si>
  <si>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</si>
  <si>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</si>
  <si>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</si>
  <si>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</si>
  <si>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</si>
  <si>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</si>
  <si>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</si>
  <si>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</si>
  <si>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</si>
  <si>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</si>
  <si>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</si>
  <si>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</si>
  <si>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</si>
  <si>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</si>
  <si>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</si>
  <si>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</si>
  <si>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</si>
  <si>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</si>
  <si>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</si>
  <si>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</si>
  <si>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</si>
  <si>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</si>
  <si>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</si>
  <si>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</si>
  <si>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</si>
  <si>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</si>
  <si>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</si>
  <si>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</si>
  <si>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</si>
  <si>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</si>
  <si>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</si>
  <si>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</si>
  <si>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</si>
  <si>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</si>
  <si>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</si>
  <si>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</si>
  <si>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</si>
  <si>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</si>
  <si>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</si>
  <si>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</si>
  <si>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</si>
  <si>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</si>
  <si>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</si>
  <si>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</si>
  <si>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</si>
  <si>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</si>
  <si>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</si>
  <si>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</si>
  <si>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</si>
  <si>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</si>
  <si>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</si>
  <si>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</si>
  <si>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</si>
  <si>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</si>
  <si>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</si>
  <si>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</si>
  <si>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</si>
  <si>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</si>
  <si>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</si>
  <si>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</si>
  <si>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</si>
  <si>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</si>
  <si>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</si>
  <si>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</si>
  <si>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</si>
  <si>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</si>
  <si>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</si>
  <si>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</si>
  <si>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</si>
  <si>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</si>
  <si>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</si>
  <si>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</si>
  <si>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</si>
  <si>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</si>
  <si>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</si>
  <si>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</si>
  <si>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</si>
  <si>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</si>
  <si>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</si>
  <si>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</si>
  <si>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</si>
  <si>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</si>
  <si>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</si>
  <si>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</si>
  <si>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</si>
  <si>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</si>
  <si>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</si>
  <si>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</si>
  <si>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</si>
  <si>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</si>
  <si>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</si>
  <si>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</si>
  <si>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</si>
  <si>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</si>
  <si>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</si>
  <si>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</si>
  <si>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</si>
  <si>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</si>
  <si>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</si>
  <si>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</si>
  <si>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</si>
  <si>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</si>
  <si>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</si>
  <si>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</si>
  <si>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</si>
  <si>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</si>
  <si>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</si>
  <si>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</si>
  <si>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</si>
  <si>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</si>
  <si>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</si>
  <si>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</si>
  <si>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</si>
  <si>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</si>
  <si>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</si>
  <si>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</si>
  <si>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</si>
  <si>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</si>
  <si>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</si>
  <si>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</si>
  <si>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</si>
  <si>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</si>
  <si>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</si>
  <si>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</si>
  <si>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</si>
  <si>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</si>
  <si>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</si>
  <si>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</si>
  <si>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</si>
  <si>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</si>
  <si>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</si>
  <si>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</si>
  <si>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</si>
  <si>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</si>
  <si>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</si>
  <si>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</si>
  <si>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</si>
  <si>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</si>
  <si>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</si>
  <si>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</si>
  <si>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</si>
  <si>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</si>
  <si>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</si>
  <si>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</si>
  <si>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</si>
  <si>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</si>
  <si>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</si>
  <si>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</si>
  <si>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</si>
  <si>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</si>
  <si>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</si>
  <si>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</si>
  <si>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</si>
  <si>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</si>
  <si>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</si>
  <si>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</si>
  <si>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</si>
  <si>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</si>
  <si>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</si>
  <si>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</si>
  <si>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</si>
  <si>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</si>
  <si>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</si>
  <si>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</si>
  <si>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</si>
  <si>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</si>
  <si>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</si>
  <si>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</si>
  <si>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</si>
  <si>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</si>
  <si>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</si>
  <si>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</si>
  <si>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</si>
  <si>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</si>
  <si>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</si>
  <si>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</si>
  <si>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</si>
  <si>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</si>
  <si>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</si>
  <si>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</si>
  <si>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</si>
  <si>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</si>
  <si>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</si>
  <si>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</si>
  <si>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</si>
  <si>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</si>
  <si>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</si>
  <si>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</si>
  <si>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</si>
  <si>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</si>
  <si>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</si>
  <si>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</si>
  <si>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</si>
  <si>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</si>
  <si>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</si>
  <si>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</si>
  <si>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</si>
  <si>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</si>
  <si>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</si>
  <si>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</si>
  <si>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</si>
  <si>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</si>
  <si>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</si>
  <si>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</si>
  <si>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</si>
  <si>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</si>
  <si>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</si>
  <si>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</si>
  <si>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</si>
  <si>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</si>
  <si>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</si>
  <si>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</si>
  <si>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</si>
  <si>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</si>
  <si>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</si>
  <si>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</si>
  <si>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</si>
  <si>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</si>
  <si>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</si>
  <si>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</si>
  <si>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</si>
  <si>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</si>
  <si>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</si>
  <si>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</si>
  <si>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</si>
  <si>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</si>
  <si>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</si>
  <si>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</si>
  <si>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</si>
  <si>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</si>
  <si>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</si>
  <si>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</si>
  <si>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</si>
  <si>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</si>
  <si>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</si>
  <si>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</si>
  <si>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</si>
  <si>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</si>
  <si>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</si>
  <si>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</si>
  <si>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</si>
  <si>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</si>
  <si>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</si>
  <si>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</si>
  <si>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</si>
  <si>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</si>
  <si>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</si>
  <si>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</si>
  <si>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</si>
  <si>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</si>
  <si>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</si>
  <si>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</si>
  <si>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</si>
  <si>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</si>
  <si>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</si>
  <si>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</si>
  <si>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</si>
  <si>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</si>
  <si>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</si>
  <si>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</si>
  <si>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</si>
  <si>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</si>
  <si>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</si>
  <si>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</si>
  <si>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</si>
  <si>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</si>
  <si>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</si>
  <si>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</si>
  <si>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</si>
  <si>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</si>
  <si>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</si>
  <si>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</si>
  <si>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</si>
  <si>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</si>
  <si>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</si>
  <si>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</si>
  <si>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</si>
  <si>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</si>
  <si>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</si>
  <si>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</si>
  <si>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</si>
  <si>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</si>
  <si>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</si>
  <si>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</si>
  <si>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</si>
  <si>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</si>
  <si>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</si>
  <si>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</si>
  <si>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</si>
  <si>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</si>
  <si>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</si>
  <si>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</si>
  <si>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</si>
  <si>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</si>
  <si>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</si>
  <si>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</si>
  <si>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</si>
  <si>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</si>
  <si>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</si>
  <si>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</si>
  <si>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</si>
  <si>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</si>
  <si>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</si>
  <si>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</si>
  <si>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</si>
  <si>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</si>
  <si>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</si>
  <si>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</si>
  <si>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</si>
  <si>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</si>
  <si>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</si>
  <si>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</si>
  <si>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</si>
  <si>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</si>
  <si>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</si>
  <si>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</si>
  <si>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</si>
  <si>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</si>
  <si>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</si>
  <si>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</si>
  <si>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</si>
  <si>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</si>
  <si>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</si>
  <si>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</si>
  <si>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</si>
  <si>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</si>
  <si>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</si>
  <si>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</si>
  <si>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</si>
  <si>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</si>
  <si>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</si>
  <si>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</si>
  <si>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</si>
  <si>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</si>
  <si>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</si>
  <si>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</si>
  <si>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</si>
  <si>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</si>
  <si>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</si>
  <si>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</si>
  <si>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</si>
  <si>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</si>
  <si>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</si>
  <si>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</si>
  <si>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</si>
  <si>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</si>
  <si>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</si>
  <si>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</si>
  <si>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</si>
  <si>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</si>
  <si>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</si>
  <si>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</si>
  <si>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</si>
  <si>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</si>
  <si>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</si>
  <si>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</si>
  <si>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</si>
  <si>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</si>
  <si>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</si>
  <si>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</si>
  <si>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</si>
  <si>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</si>
  <si>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</si>
  <si>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</si>
  <si>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</si>
  <si>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</si>
  <si>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</si>
  <si>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</si>
  <si>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</si>
  <si>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</si>
  <si>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</si>
  <si>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</si>
  <si>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</si>
  <si>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</si>
  <si>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</si>
  <si>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</si>
  <si>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</si>
  <si>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</si>
  <si>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</si>
  <si>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</si>
  <si>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</si>
  <si>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</si>
  <si>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</si>
  <si>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</si>
  <si>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</si>
  <si>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</si>
  <si>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</si>
  <si>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</si>
  <si>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</si>
  <si>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</si>
  <si>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</si>
  <si>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</si>
  <si>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</si>
  <si>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</si>
  <si>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</si>
  <si>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</si>
  <si>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</si>
  <si>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</si>
  <si>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</si>
  <si>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</si>
  <si>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</si>
  <si>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</si>
  <si>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</si>
  <si>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</si>
  <si>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</si>
  <si>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</si>
  <si>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</si>
  <si>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</si>
  <si>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</si>
  <si>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</si>
  <si>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</si>
  <si>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</si>
  <si>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</si>
  <si>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</si>
  <si>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</si>
  <si>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</si>
  <si>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</si>
  <si>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</si>
  <si>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</si>
  <si>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</si>
  <si>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</si>
  <si>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</si>
  <si>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</si>
  <si>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</si>
  <si>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</si>
  <si>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</si>
  <si>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</si>
  <si>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</si>
  <si>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</si>
  <si>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</si>
  <si>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</si>
  <si>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</si>
  <si>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</si>
  <si>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</si>
  <si>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</si>
  <si>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</si>
  <si>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</si>
  <si>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</si>
  <si>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</si>
  <si>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</si>
  <si>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</si>
  <si>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</si>
  <si>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</si>
  <si>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</si>
  <si>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</si>
  <si>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</si>
  <si>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</si>
  <si>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</si>
  <si>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</si>
  <si>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</si>
  <si>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</si>
  <si>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</si>
  <si>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</si>
  <si>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</si>
  <si>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</si>
  <si>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</si>
  <si>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</si>
  <si>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</si>
  <si>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</si>
  <si>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</si>
  <si>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</si>
  <si>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</si>
  <si>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</si>
  <si>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</si>
  <si>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</si>
  <si>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</si>
  <si>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</si>
  <si>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</si>
  <si>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</si>
  <si>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</si>
  <si>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</si>
  <si>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</si>
  <si>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</si>
  <si>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</si>
  <si>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</si>
  <si>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</si>
  <si>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</si>
  <si>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</si>
  <si>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</si>
  <si>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</si>
  <si>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</si>
  <si>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</si>
  <si>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</si>
  <si>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</si>
  <si>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</si>
  <si>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</si>
  <si>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</si>
  <si>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</si>
  <si>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</si>
  <si>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</si>
  <si>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</si>
  <si>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</si>
  <si>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</si>
  <si>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</si>
  <si>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</si>
  <si>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</si>
  <si>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</si>
  <si>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</si>
  <si>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</si>
  <si>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</si>
  <si>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</si>
  <si>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</si>
  <si>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</si>
  <si>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</si>
  <si>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</si>
  <si>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</si>
  <si>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</si>
  <si>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</si>
  <si>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</si>
  <si>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</si>
  <si>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</si>
  <si>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</si>
  <si>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</si>
  <si>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</si>
  <si>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</si>
  <si>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</si>
  <si>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</si>
  <si>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</si>
  <si>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</si>
  <si>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</si>
  <si>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</si>
  <si>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</si>
  <si>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</si>
  <si>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</si>
  <si>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</si>
  <si>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</si>
  <si>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</si>
  <si>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</si>
  <si>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</si>
  <si>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</si>
  <si>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</si>
  <si>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</si>
  <si>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</si>
  <si>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</si>
  <si>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</si>
  <si>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</si>
  <si>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</si>
  <si>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</si>
  <si>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</si>
  <si>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</si>
  <si>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</si>
  <si>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</si>
  <si>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</si>
  <si>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</si>
  <si>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</si>
  <si>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</si>
  <si>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</si>
  <si>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</si>
  <si>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</si>
  <si>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</si>
  <si>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</si>
  <si>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</si>
  <si>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</si>
  <si>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</si>
  <si>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</si>
  <si>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</si>
  <si>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</si>
  <si>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</si>
  <si>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</si>
  <si>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</si>
  <si>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</si>
  <si>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</si>
  <si>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</si>
  <si>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</si>
  <si>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</si>
  <si>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</si>
  <si>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</si>
  <si>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</si>
  <si>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</si>
  <si>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</si>
  <si>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</si>
  <si>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</si>
  <si>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</si>
  <si>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</si>
  <si>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</si>
  <si>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</si>
  <si>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</si>
  <si>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</si>
  <si>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</si>
  <si>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</si>
  <si>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</si>
  <si>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</si>
  <si>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</si>
  <si>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</si>
  <si>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</si>
  <si>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</si>
  <si>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</si>
  <si>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</si>
  <si>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</si>
  <si>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</si>
  <si>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</si>
  <si>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</si>
  <si>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</si>
  <si>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</si>
  <si>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</si>
  <si>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</si>
  <si>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</si>
  <si>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</si>
  <si>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</si>
  <si>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</si>
  <si>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</si>
  <si>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</si>
  <si>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</si>
  <si>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</si>
  <si>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</si>
  <si>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</si>
  <si>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</si>
  <si>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</si>
  <si>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</si>
  <si>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</si>
  <si>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</si>
  <si>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</si>
  <si>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</si>
  <si>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</si>
  <si>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</si>
  <si>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</si>
  <si>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</si>
  <si>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</si>
  <si>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</si>
  <si>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</si>
  <si>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</si>
  <si>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</si>
  <si>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</si>
  <si>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</si>
  <si>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</si>
  <si>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</si>
  <si>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</si>
  <si>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</si>
  <si>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</si>
  <si>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</si>
  <si>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</si>
  <si>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</si>
  <si>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</si>
  <si>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</si>
  <si>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</si>
  <si>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</si>
  <si>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</si>
  <si>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</si>
  <si>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</si>
  <si>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</si>
  <si>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</si>
  <si>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</si>
  <si>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</si>
  <si>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</si>
  <si>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</si>
  <si>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</si>
  <si>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</si>
  <si>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</si>
  <si>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</si>
  <si>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</si>
  <si>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</si>
  <si>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</si>
  <si>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</si>
  <si>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</si>
  <si>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</si>
  <si>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</si>
  <si>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</si>
  <si>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</si>
  <si>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</si>
  <si>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</si>
  <si>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</si>
  <si>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</si>
  <si>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</si>
  <si>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</si>
  <si>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</si>
  <si>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</si>
  <si>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</si>
  <si>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</si>
  <si>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</si>
  <si>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</si>
  <si>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</si>
  <si>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</si>
  <si>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</si>
  <si>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</si>
  <si>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</si>
  <si>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</si>
  <si>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</si>
  <si>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</si>
  <si>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</si>
  <si>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</si>
  <si>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</si>
  <si>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</si>
  <si>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</si>
  <si>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</si>
  <si>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</si>
  <si>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</si>
  <si>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</si>
  <si>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</si>
  <si>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</si>
  <si>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</si>
  <si>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</si>
  <si>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</si>
  <si>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</si>
  <si>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</si>
  <si>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</si>
  <si>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</si>
  <si>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</si>
  <si>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</si>
  <si>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</si>
  <si>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</si>
  <si>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</si>
  <si>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</si>
  <si>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</si>
  <si>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</si>
  <si>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</si>
  <si>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</si>
  <si>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</si>
  <si>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</si>
  <si>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</si>
  <si>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</si>
  <si>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</si>
  <si>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</si>
  <si>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</si>
  <si>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</si>
  <si>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</si>
  <si>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</si>
  <si>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</si>
  <si>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</si>
  <si>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</si>
  <si>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</si>
  <si>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</si>
  <si>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</si>
  <si>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</si>
  <si>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</si>
  <si>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</si>
  <si>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</si>
  <si>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</si>
  <si>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</si>
  <si>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</si>
  <si>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</si>
  <si>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</si>
  <si>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</si>
  <si>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</si>
  <si>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</si>
  <si>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</si>
  <si>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</si>
  <si>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</si>
  <si>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</si>
  <si>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</si>
  <si>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</si>
  <si>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</si>
  <si>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</si>
  <si>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</si>
  <si>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</si>
  <si>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</si>
  <si>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</si>
  <si>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</si>
  <si>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</si>
  <si>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</si>
  <si>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</si>
  <si>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</si>
  <si>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</si>
  <si>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</si>
  <si>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</si>
  <si>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</si>
  <si>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</si>
  <si>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</si>
  <si>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</si>
  <si>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</si>
  <si>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</si>
  <si>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</si>
  <si>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</si>
  <si>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</si>
  <si>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</si>
  <si>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</si>
  <si>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</si>
  <si>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</si>
  <si>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</si>
  <si>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</si>
  <si>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</si>
  <si>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</si>
  <si>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</si>
  <si>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</si>
  <si>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</si>
  <si>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</si>
  <si>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</si>
  <si>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</si>
  <si>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</si>
  <si>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</si>
  <si>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</si>
  <si>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</si>
  <si>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</si>
  <si>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</si>
  <si>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</si>
  <si>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</si>
  <si>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</si>
  <si>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</si>
  <si>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</si>
  <si>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</si>
  <si>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</si>
  <si>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</si>
  <si>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</si>
  <si>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</si>
  <si>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</si>
  <si>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</si>
  <si>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</si>
  <si>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</si>
  <si>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</si>
  <si>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</si>
  <si>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</si>
  <si>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</si>
  <si>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</si>
  <si>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</si>
  <si>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</si>
  <si>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</si>
  <si>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</si>
  <si>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</si>
  <si>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</si>
  <si>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</si>
  <si>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</si>
  <si>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</si>
  <si>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</si>
  <si>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</si>
  <si>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</si>
  <si>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</si>
  <si>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</si>
  <si>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</si>
  <si>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</si>
  <si>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</si>
  <si>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</si>
  <si>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</si>
  <si>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</si>
  <si>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</si>
  <si>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</si>
  <si>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</si>
  <si>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</si>
  <si>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</si>
  <si>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</si>
  <si>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</si>
  <si>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</si>
  <si>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</si>
  <si>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</si>
  <si>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</si>
  <si>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</si>
  <si>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</si>
  <si>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</si>
  <si>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</si>
  <si>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</si>
  <si>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</si>
  <si>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</si>
  <si>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</si>
  <si>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</si>
  <si>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</si>
  <si>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</si>
  <si>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</si>
  <si>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</si>
  <si>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</si>
  <si>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</si>
  <si>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</si>
  <si>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</si>
  <si>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</si>
  <si>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</si>
  <si>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</si>
  <si>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</si>
  <si>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</si>
  <si>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</si>
  <si>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</si>
  <si>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</si>
  <si>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</si>
  <si>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</si>
  <si>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</si>
  <si>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</si>
  <si>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</si>
  <si>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</si>
  <si>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</si>
  <si>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</si>
  <si>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</si>
  <si>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</si>
  <si>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</si>
  <si>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</si>
  <si>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</si>
  <si>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</si>
  <si>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</si>
  <si>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</si>
  <si>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</si>
  <si>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</si>
  <si>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</si>
  <si>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</si>
  <si>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</si>
  <si>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</si>
  <si>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</si>
  <si>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</si>
  <si>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</si>
  <si>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</si>
  <si>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</si>
  <si>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</si>
  <si>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</si>
  <si>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</si>
  <si>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</si>
  <si>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</si>
  <si>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</si>
  <si>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</si>
  <si>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</si>
  <si>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</si>
  <si>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</si>
  <si>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</si>
  <si>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</si>
  <si>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</si>
  <si>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</si>
  <si>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</si>
  <si>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</si>
  <si>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</si>
  <si>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</si>
  <si>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</si>
  <si>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</si>
  <si>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</si>
  <si>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</si>
  <si>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</si>
  <si>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</si>
  <si>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</si>
  <si>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</si>
  <si>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</si>
  <si>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</si>
  <si>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</si>
  <si>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</si>
  <si>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</si>
  <si>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</si>
  <si>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</si>
  <si>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</si>
  <si>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</si>
  <si>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</si>
  <si>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</si>
  <si>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</si>
  <si>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</si>
  <si>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</si>
  <si>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</si>
  <si>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</si>
  <si>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</si>
  <si>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</si>
  <si>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</si>
  <si>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</si>
  <si>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</si>
  <si>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</si>
  <si>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</si>
  <si>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</si>
  <si>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</si>
  <si>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</si>
  <si>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</si>
  <si>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</si>
  <si>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</si>
  <si>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</si>
  <si>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</si>
  <si>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</si>
  <si>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</si>
  <si>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</si>
  <si>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</si>
  <si>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</si>
  <si>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</si>
  <si>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</si>
  <si>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</si>
  <si>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</si>
  <si>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</si>
  <si>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</si>
  <si>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</si>
  <si>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</si>
  <si>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</si>
  <si>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</si>
  <si>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</si>
  <si>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</si>
  <si>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</si>
  <si>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</si>
  <si>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</si>
  <si>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</si>
  <si>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</si>
  <si>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</si>
  <si>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</si>
  <si>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</si>
  <si>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</si>
  <si>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</si>
  <si>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</si>
  <si>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</si>
  <si>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</si>
  <si>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</si>
  <si>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</si>
  <si>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</si>
  <si>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</si>
  <si>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</si>
  <si>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</si>
  <si>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</si>
  <si>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</si>
  <si>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</si>
  <si>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</si>
  <si>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</si>
  <si>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</si>
  <si>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</si>
  <si>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</si>
  <si>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</si>
  <si>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</si>
  <si>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</si>
  <si>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</si>
  <si>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</si>
  <si>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</si>
  <si>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</si>
  <si>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</si>
  <si>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</si>
  <si>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</si>
  <si>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</si>
  <si>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</si>
  <si>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</si>
  <si>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</si>
  <si>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</si>
  <si>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</si>
  <si>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</si>
  <si>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</si>
  <si>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</si>
  <si>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</si>
  <si>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</si>
  <si>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</si>
  <si>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</si>
  <si>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</si>
  <si>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</si>
  <si>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</si>
  <si>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</si>
  <si>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</si>
  <si>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</si>
  <si>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</si>
  <si>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</si>
  <si>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</si>
  <si>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</si>
  <si>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</si>
  <si>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</si>
  <si>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</si>
  <si>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</si>
  <si>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</si>
  <si>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</si>
  <si>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</si>
  <si>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</si>
  <si>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</si>
  <si>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</si>
  <si>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</si>
  <si>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</si>
  <si>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</si>
  <si>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</si>
  <si>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</si>
  <si>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</si>
  <si>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</si>
  <si>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</si>
  <si>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</si>
  <si>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</si>
  <si>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</si>
  <si>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</si>
  <si>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</si>
  <si>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</si>
  <si>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</si>
  <si>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</si>
  <si>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</si>
  <si>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</si>
  <si>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</si>
  <si>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</si>
  <si>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</si>
  <si>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</si>
  <si>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</si>
  <si>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</si>
  <si>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</si>
  <si>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</si>
  <si>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</si>
  <si>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</si>
  <si>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</si>
  <si>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</si>
  <si>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</si>
  <si>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</si>
  <si>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</si>
  <si>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</si>
  <si>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</si>
  <si>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</si>
  <si>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</si>
  <si>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</si>
  <si>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</si>
  <si>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</si>
  <si>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</si>
  <si>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</si>
  <si>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</si>
  <si>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</si>
  <si>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</si>
  <si>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</si>
  <si>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</si>
  <si>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</si>
  <si>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</si>
  <si>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</si>
  <si>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</si>
  <si>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</si>
  <si>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</si>
  <si>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</si>
  <si>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</si>
  <si>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</si>
  <si>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</si>
  <si>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</si>
  <si>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</si>
  <si>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</si>
  <si>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</si>
  <si>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</si>
  <si>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</si>
  <si>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</si>
  <si>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</si>
  <si>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</si>
  <si>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</si>
  <si>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</si>
  <si>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</si>
  <si>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</si>
  <si>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</si>
  <si>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</si>
  <si>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</si>
  <si>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</si>
  <si>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</si>
  <si>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</si>
  <si>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</si>
  <si>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</si>
  <si>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</si>
  <si>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</si>
  <si>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</si>
  <si>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</si>
  <si>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</si>
  <si>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</si>
  <si>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</si>
  <si>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</si>
  <si>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</si>
  <si>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</si>
  <si>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</si>
  <si>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</si>
  <si>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</si>
  <si>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</si>
  <si>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</si>
  <si>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</si>
  <si>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</si>
  <si>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</si>
  <si>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</si>
  <si>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</si>
  <si>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</si>
  <si>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</si>
  <si>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</si>
  <si>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</si>
  <si>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</si>
  <si>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</si>
  <si>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</si>
  <si>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</si>
  <si>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</si>
  <si>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</si>
  <si>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</si>
  <si>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</si>
  <si>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</si>
  <si>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</si>
  <si>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</si>
  <si>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</si>
  <si>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</si>
  <si>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</si>
  <si>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</si>
  <si>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</si>
  <si>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</si>
  <si>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</si>
  <si>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</si>
  <si>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</si>
  <si>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</si>
  <si>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</si>
  <si>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</si>
  <si>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</si>
  <si>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</si>
  <si>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</si>
  <si>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</si>
  <si>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</si>
  <si>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</si>
  <si>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</si>
  <si>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</si>
  <si>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</si>
  <si>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</si>
  <si>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</si>
  <si>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</si>
  <si>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</si>
  <si>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</si>
  <si>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</si>
  <si>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</si>
  <si>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</si>
  <si>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</si>
  <si>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</si>
  <si>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</si>
  <si>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</si>
  <si>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</si>
  <si>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</si>
  <si>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</si>
  <si>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</si>
  <si>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</si>
  <si>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</si>
  <si>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</si>
  <si>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</si>
  <si>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</si>
  <si>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</si>
  <si>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</si>
  <si>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</si>
  <si>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</si>
  <si>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</si>
  <si>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</si>
  <si>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</si>
  <si>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</si>
  <si>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</si>
  <si>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</si>
  <si>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</si>
  <si>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</si>
  <si>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</si>
  <si>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</si>
  <si>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</si>
  <si>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</si>
  <si>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</si>
  <si>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</si>
  <si>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</si>
  <si>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</si>
  <si>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</si>
  <si>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</si>
  <si>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</si>
  <si>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</si>
  <si>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</si>
  <si>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</si>
  <si>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</si>
  <si>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</si>
  <si>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</si>
  <si>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</si>
  <si>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</si>
  <si>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</si>
  <si>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</si>
  <si>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</si>
  <si>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</si>
  <si>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</si>
  <si>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</si>
  <si>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</si>
  <si>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</si>
  <si>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</si>
  <si>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</si>
  <si>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</si>
  <si>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</si>
  <si>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</si>
  <si>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</si>
  <si>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</si>
  <si>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</si>
  <si>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</si>
  <si>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</si>
  <si>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</si>
  <si>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</si>
  <si>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</si>
  <si>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</si>
  <si>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</si>
  <si>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</si>
  <si>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</si>
  <si>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</si>
  <si>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</si>
  <si>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</si>
  <si>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</si>
  <si>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</si>
  <si>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</si>
  <si>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</si>
  <si>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</si>
  <si>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</si>
  <si>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</si>
  <si>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</si>
  <si>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</si>
  <si>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</si>
  <si>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</si>
  <si>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</si>
  <si>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</si>
  <si>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</si>
  <si>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</si>
  <si>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</si>
  <si>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</si>
  <si>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</si>
  <si>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</si>
  <si>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</si>
  <si>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</si>
  <si>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</si>
  <si>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</si>
  <si>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</si>
  <si>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</si>
  <si>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</si>
  <si>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</si>
  <si>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</si>
  <si>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</si>
  <si>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</si>
  <si>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</si>
  <si>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</si>
  <si>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</si>
  <si>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</si>
  <si>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</si>
  <si>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</si>
  <si>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</si>
  <si>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</si>
  <si>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</si>
  <si>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</si>
  <si>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</si>
  <si>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</si>
  <si>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</si>
  <si>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</si>
  <si>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</si>
  <si>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</si>
  <si>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</si>
  <si>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</si>
  <si>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</si>
  <si>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</si>
  <si>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</si>
  <si>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</si>
  <si>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</si>
  <si>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</si>
  <si>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</si>
  <si>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</si>
  <si>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</si>
  <si>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</si>
  <si>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</si>
  <si>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</si>
  <si>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</si>
  <si>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</si>
  <si>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</si>
  <si>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</si>
  <si>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</si>
  <si>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</si>
  <si>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</si>
  <si>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</si>
  <si>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</si>
  <si>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</si>
  <si>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</si>
  <si>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</si>
  <si>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</si>
  <si>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</si>
  <si>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</si>
  <si>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</si>
  <si>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</si>
  <si>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</si>
  <si>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</si>
  <si>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</si>
  <si>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</si>
  <si>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</si>
  <si>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</si>
  <si>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</si>
  <si>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</si>
  <si>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</si>
  <si>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</si>
  <si>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</si>
  <si>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</si>
  <si>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</si>
  <si>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</si>
  <si>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</si>
  <si>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</si>
  <si>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</si>
  <si>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</si>
  <si>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</si>
  <si>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</si>
  <si>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</si>
  <si>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</si>
  <si>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</si>
  <si>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</si>
  <si>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</si>
  <si>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</si>
  <si>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</si>
  <si>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</si>
  <si>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</si>
  <si>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</si>
  <si>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</si>
  <si>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</si>
  <si>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</si>
  <si>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</si>
  <si>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</si>
  <si>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</si>
  <si>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</si>
  <si>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</si>
  <si>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</si>
  <si>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</si>
  <si>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</si>
  <si>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</si>
  <si>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</si>
  <si>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</si>
  <si>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</si>
  <si>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</si>
  <si>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</si>
  <si>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</si>
  <si>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</si>
  <si>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</si>
  <si>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</si>
  <si>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</si>
  <si>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</si>
  <si>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</si>
  <si>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</si>
  <si>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</si>
  <si>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</si>
  <si>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</si>
  <si>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</si>
  <si>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</si>
  <si>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</si>
  <si>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</si>
  <si>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</si>
  <si>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</si>
  <si>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</si>
  <si>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</si>
  <si>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</si>
  <si>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</si>
  <si>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</si>
  <si>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</si>
  <si>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</si>
  <si>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</si>
  <si>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</si>
  <si>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</si>
  <si>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</si>
  <si>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</si>
  <si>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</si>
  <si>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</si>
  <si>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</si>
  <si>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</si>
  <si>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</si>
  <si>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</si>
  <si>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</si>
  <si>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</si>
  <si>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</si>
  <si>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</si>
  <si>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</si>
  <si>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</si>
  <si>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</si>
  <si>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</si>
  <si>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</si>
  <si>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</si>
  <si>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</si>
  <si>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</si>
  <si>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</si>
  <si>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</si>
  <si>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</si>
  <si>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</si>
  <si>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</si>
  <si>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</si>
  <si>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</si>
  <si>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</si>
  <si>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</si>
  <si>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</si>
  <si>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</si>
  <si>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</si>
  <si>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</si>
  <si>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</si>
  <si>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</si>
  <si>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</si>
  <si>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</si>
  <si>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</si>
  <si>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</si>
  <si>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</si>
  <si>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</si>
  <si>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</si>
  <si>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</si>
  <si>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</si>
  <si>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</si>
  <si>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</si>
  <si>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</si>
  <si>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</si>
  <si>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</si>
  <si>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</si>
  <si>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</si>
  <si>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</si>
  <si>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</si>
  <si>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</si>
  <si>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</si>
  <si>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</si>
  <si>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</si>
  <si>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</si>
  <si>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</si>
  <si>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</si>
  <si>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</si>
  <si>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</si>
  <si>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</si>
  <si>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</si>
  <si>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</si>
  <si>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</si>
  <si>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</si>
  <si>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</si>
  <si>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</si>
  <si>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</si>
  <si>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</si>
  <si>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</si>
  <si>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</si>
  <si>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</si>
  <si>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</si>
  <si>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</si>
  <si>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</si>
  <si>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</si>
  <si>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</si>
  <si>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</si>
  <si>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</si>
  <si>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</si>
  <si>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</si>
  <si>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</si>
  <si>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</si>
  <si>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</si>
  <si>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</si>
  <si>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</si>
  <si>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</si>
  <si>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</si>
  <si>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</si>
  <si>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</si>
  <si>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</si>
  <si>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</si>
  <si>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</si>
  <si>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</si>
  <si>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</si>
  <si>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</si>
  <si>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</si>
  <si>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</si>
  <si>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</si>
  <si>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</si>
  <si>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</si>
  <si>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</si>
  <si>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</si>
  <si>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</si>
  <si>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</si>
  <si>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</si>
  <si>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</si>
  <si>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</si>
  <si>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</si>
  <si>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</si>
  <si>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</si>
  <si>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</si>
  <si>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</si>
  <si>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</si>
  <si>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</si>
  <si>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</si>
  <si>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</si>
  <si>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</si>
  <si>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</si>
  <si>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</si>
  <si>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</si>
  <si>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</si>
  <si>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</si>
  <si>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</si>
  <si>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</si>
  <si>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</si>
  <si>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</si>
  <si>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</si>
  <si>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</si>
  <si>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</si>
  <si>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</si>
  <si>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</si>
  <si>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</si>
  <si>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</si>
  <si>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</si>
  <si>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</si>
  <si>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</si>
  <si>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</si>
  <si>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</si>
  <si>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</si>
  <si>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</si>
  <si>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</si>
  <si>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</si>
  <si>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</si>
  <si>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</si>
  <si>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</si>
  <si>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</si>
  <si>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</si>
  <si>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</si>
  <si>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</si>
  <si>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</si>
  <si>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</si>
  <si>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</si>
  <si>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</si>
  <si>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</si>
  <si>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</si>
  <si>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</si>
  <si>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</si>
  <si>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</si>
  <si>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</si>
  <si>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</si>
  <si>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</si>
  <si>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</si>
  <si>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</si>
  <si>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</si>
  <si>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</si>
  <si>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</si>
  <si>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</si>
  <si>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</si>
  <si>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</si>
  <si>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</si>
  <si>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</si>
  <si>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</si>
  <si>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</si>
  <si>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</si>
  <si>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</si>
  <si>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</si>
  <si>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</si>
  <si>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</si>
  <si>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</si>
  <si>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</si>
  <si>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</si>
  <si>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</si>
  <si>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</si>
  <si>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</si>
  <si>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</si>
  <si>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</si>
  <si>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</si>
  <si>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</si>
  <si>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</si>
  <si>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</si>
  <si>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</si>
  <si>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</si>
  <si>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</si>
  <si>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</si>
  <si>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</si>
  <si>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</si>
  <si>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</si>
  <si>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</si>
  <si>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</si>
  <si>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</si>
  <si>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</si>
  <si>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</si>
  <si>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</si>
  <si>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</si>
  <si>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</si>
  <si>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</si>
  <si>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</si>
  <si>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</si>
  <si>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</si>
  <si>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</si>
  <si>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</si>
  <si>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</si>
  <si>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</si>
  <si>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</si>
  <si>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</si>
  <si>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</si>
  <si>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</si>
  <si>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</si>
  <si>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</si>
  <si>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</si>
  <si>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</si>
  <si>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</si>
  <si>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</si>
  <si>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</si>
  <si>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</si>
  <si>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</si>
  <si>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</si>
  <si>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</si>
  <si>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</si>
  <si>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</si>
  <si>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</si>
  <si>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</si>
  <si>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</si>
  <si>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</si>
  <si>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</si>
  <si>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</si>
  <si>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</si>
  <si>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</si>
  <si>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</si>
  <si>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</si>
  <si>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</si>
  <si>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</si>
  <si>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</si>
  <si>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</si>
  <si>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</si>
  <si>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</si>
  <si>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</si>
  <si>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</si>
  <si>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</si>
  <si>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</si>
  <si>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</si>
  <si>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</si>
  <si>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</si>
  <si>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</si>
  <si>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</si>
  <si>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</si>
  <si>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</si>
  <si>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</si>
  <si>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</si>
  <si>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</si>
  <si>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</si>
  <si>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</si>
  <si>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</si>
  <si>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</si>
  <si>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</si>
  <si>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</si>
  <si>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</si>
  <si>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</si>
  <si>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</si>
  <si>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</si>
  <si>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</si>
  <si>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</si>
  <si>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</si>
  <si>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</si>
  <si>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</si>
  <si>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</si>
  <si>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</si>
  <si>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</si>
  <si>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</si>
  <si>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</si>
  <si>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</si>
  <si>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</si>
  <si>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</si>
  <si>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</si>
  <si>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</si>
  <si>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</si>
  <si>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</si>
  <si>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</si>
  <si>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</si>
  <si>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</si>
  <si>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</si>
  <si>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</si>
  <si>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</si>
  <si>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</si>
  <si>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</si>
  <si>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</si>
  <si>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</si>
  <si>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</si>
  <si>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</si>
  <si>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</si>
  <si>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</si>
  <si>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</si>
  <si>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</si>
  <si>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</si>
  <si>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</si>
  <si>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</si>
  <si>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</si>
  <si>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</si>
  <si>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</si>
  <si>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</si>
  <si>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</si>
  <si>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</si>
  <si>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</si>
  <si>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</si>
  <si>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</si>
  <si>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</si>
  <si>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</si>
  <si>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</si>
  <si>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</si>
  <si>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</si>
  <si>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</si>
  <si>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</si>
  <si>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</si>
  <si>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</si>
  <si>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</si>
  <si>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</si>
  <si>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</si>
  <si>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</si>
  <si>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</si>
  <si>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</si>
  <si>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</si>
  <si>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</si>
  <si>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</si>
  <si>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</si>
  <si>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</si>
  <si>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</si>
  <si>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</si>
  <si>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</si>
  <si>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</si>
  <si>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</si>
  <si>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</si>
  <si>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</si>
  <si>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</si>
  <si>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</si>
  <si>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</si>
  <si>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</si>
  <si>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</si>
  <si>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</si>
  <si>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</si>
  <si>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</si>
  <si>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</si>
  <si>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</si>
  <si>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</si>
  <si>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</si>
  <si>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</si>
  <si>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</si>
  <si>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</si>
  <si>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</si>
  <si>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</si>
  <si>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</si>
  <si>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</si>
  <si>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</si>
  <si>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</si>
  <si>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</si>
  <si>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</si>
  <si>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</si>
  <si>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</si>
  <si>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</si>
  <si>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</si>
  <si>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</si>
  <si>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</si>
  <si>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</si>
  <si>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</si>
  <si>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</si>
  <si>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</si>
  <si>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</si>
  <si>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</si>
  <si>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</si>
  <si>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</si>
  <si>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</si>
  <si>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</si>
  <si>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</si>
  <si>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</si>
  <si>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</si>
  <si>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</si>
  <si>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</si>
  <si>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</si>
  <si>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</si>
  <si>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</si>
  <si>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</si>
  <si>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</si>
  <si>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</si>
  <si>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</si>
  <si>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</si>
  <si>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</si>
  <si>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</si>
  <si>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</si>
  <si>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</si>
  <si>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</si>
  <si>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</si>
  <si>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</si>
  <si>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</si>
  <si>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</si>
  <si>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</si>
  <si>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</si>
  <si>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</si>
  <si>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</si>
  <si>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</si>
  <si>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</si>
  <si>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</si>
  <si>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</si>
  <si>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</si>
  <si>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</si>
  <si>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</si>
  <si>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</si>
  <si>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</si>
  <si>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</si>
  <si>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</si>
  <si>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</si>
  <si>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</si>
  <si>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</si>
  <si>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</si>
  <si>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</si>
  <si>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</si>
  <si>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</si>
  <si>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</si>
  <si>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</si>
  <si>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</si>
  <si>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</si>
  <si>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</si>
  <si>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</si>
  <si>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</si>
  <si>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</si>
  <si>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</si>
  <si>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</si>
  <si>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</si>
  <si>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</si>
  <si>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</si>
  <si>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</si>
  <si>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</si>
  <si>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</si>
  <si>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</si>
  <si>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</si>
  <si>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</si>
  <si>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</si>
  <si>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</si>
  <si>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</si>
  <si>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</si>
  <si>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</si>
  <si>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</si>
  <si>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</si>
  <si>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</si>
  <si>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</si>
  <si>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</si>
  <si>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</si>
  <si>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</si>
  <si>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</si>
  <si>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</si>
  <si>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</si>
  <si>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</si>
  <si>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</si>
  <si>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</si>
  <si>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</si>
  <si>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</si>
  <si>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</si>
  <si>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</si>
  <si>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</si>
  <si>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</si>
  <si>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</si>
  <si>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</si>
  <si>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</si>
  <si>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</si>
  <si>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</si>
  <si>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</si>
  <si>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</si>
  <si>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</si>
  <si>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</si>
  <si>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</si>
  <si>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</si>
  <si>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</si>
  <si>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</si>
  <si>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</si>
  <si>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</si>
  <si>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</si>
  <si>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</si>
  <si>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</si>
  <si>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</si>
  <si>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</si>
  <si>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</si>
  <si>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</si>
  <si>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</si>
  <si>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</si>
  <si>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</si>
  <si>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</si>
  <si>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</si>
  <si>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</si>
  <si>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</si>
  <si>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</si>
  <si>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</si>
  <si>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</si>
  <si>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</si>
  <si>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</si>
  <si>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</si>
  <si>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</si>
  <si>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</si>
  <si>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</si>
  <si>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</si>
  <si>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</si>
  <si>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</si>
  <si>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</si>
  <si>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</si>
  <si>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</si>
  <si>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</si>
  <si>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</si>
  <si>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</si>
  <si>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</si>
  <si>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</si>
  <si>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</si>
  <si>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</si>
  <si>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</si>
  <si>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</si>
  <si>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</si>
  <si>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</si>
  <si>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</si>
  <si>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</si>
  <si>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</si>
  <si>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</si>
  <si>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</si>
  <si>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</si>
  <si>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</si>
  <si>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</si>
  <si>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</si>
  <si>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</si>
  <si>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</si>
  <si>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</si>
  <si>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</si>
  <si>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</si>
  <si>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</si>
  <si>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</si>
  <si>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</si>
  <si>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</si>
  <si>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</si>
  <si>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</si>
  <si>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</si>
  <si>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</si>
  <si>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</si>
  <si>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</si>
  <si>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</si>
  <si>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</si>
  <si>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</si>
  <si>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</si>
  <si>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</si>
  <si>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</si>
  <si>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</si>
  <si>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</si>
  <si>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</si>
  <si>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</si>
  <si>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</si>
  <si>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</si>
  <si>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</si>
  <si>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</si>
  <si>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</si>
  <si>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</si>
  <si>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</si>
  <si>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</si>
  <si>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</si>
  <si>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</si>
  <si>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</si>
  <si>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</si>
  <si>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</si>
  <si>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</si>
  <si>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</si>
  <si>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</si>
  <si>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</si>
  <si>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</si>
  <si>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</si>
  <si>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</si>
  <si>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</si>
  <si>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</si>
  <si>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</si>
  <si>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</si>
  <si>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</si>
  <si>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</si>
  <si>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</si>
  <si>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</si>
  <si>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</si>
  <si>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</si>
  <si>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</si>
  <si>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</si>
  <si>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</si>
  <si>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</si>
  <si>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</si>
  <si>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</si>
  <si>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</si>
  <si>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</si>
  <si>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</si>
  <si>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</si>
  <si>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</si>
  <si>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</si>
  <si>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</si>
  <si>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</si>
  <si>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</si>
  <si>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</si>
  <si>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</si>
  <si>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</si>
  <si>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</si>
  <si>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</si>
  <si>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</si>
  <si>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</si>
  <si>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</si>
  <si>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</si>
  <si>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</si>
  <si>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</si>
  <si>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</si>
  <si>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</si>
  <si>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</si>
  <si>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</si>
  <si>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</si>
  <si>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</si>
  <si>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</si>
  <si>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</si>
  <si>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</si>
  <si>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</si>
  <si>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</si>
  <si>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</si>
  <si>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</si>
  <si>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</si>
  <si>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</si>
  <si>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</si>
  <si>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</si>
  <si>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</si>
  <si>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</si>
  <si>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</si>
  <si>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</si>
  <si>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</si>
  <si>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</si>
  <si>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</si>
  <si>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</si>
  <si>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</si>
  <si>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</si>
  <si>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</si>
  <si>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</si>
  <si>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</si>
  <si>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</si>
  <si>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</si>
  <si>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</si>
  <si>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</si>
  <si>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</si>
  <si>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</si>
  <si>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</si>
  <si>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</si>
  <si>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</si>
  <si>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</si>
  <si>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</si>
  <si>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</si>
  <si>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</si>
  <si>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</si>
  <si>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</si>
  <si>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</si>
  <si>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</si>
  <si>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</si>
  <si>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</si>
  <si>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</si>
  <si>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</si>
  <si>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</si>
  <si>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</si>
  <si>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</si>
  <si>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</si>
  <si>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</si>
  <si>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</si>
  <si>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</si>
  <si>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</si>
  <si>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</si>
  <si>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</si>
  <si>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</si>
  <si>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</si>
  <si>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</si>
  <si>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</si>
  <si>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</si>
  <si>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</si>
  <si>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</si>
  <si>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</si>
  <si>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</si>
  <si>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</si>
  <si>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</si>
  <si>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</si>
  <si>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</si>
  <si>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</si>
  <si>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</si>
  <si>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</si>
  <si>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</si>
  <si>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</si>
  <si>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</si>
  <si>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</si>
  <si>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</si>
  <si>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</si>
  <si>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</si>
  <si>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</si>
  <si>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</si>
  <si>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</si>
  <si>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</si>
  <si>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</si>
  <si>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</si>
  <si>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</si>
  <si>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</si>
  <si>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</si>
  <si>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</si>
  <si>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</si>
  <si>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</si>
  <si>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</si>
  <si>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</si>
  <si>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</si>
  <si>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</si>
  <si>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</si>
  <si>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</si>
  <si>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</si>
  <si>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</si>
  <si>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</si>
  <si>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</si>
  <si>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</si>
  <si>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</si>
  <si>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</si>
  <si>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</si>
  <si>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</si>
  <si>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</si>
  <si>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</si>
  <si>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</si>
  <si>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</si>
  <si>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</si>
  <si>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</si>
  <si>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</si>
  <si>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</si>
  <si>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</si>
  <si>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</si>
  <si>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</si>
  <si>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</si>
  <si>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</si>
  <si>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</si>
  <si>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</si>
  <si>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</si>
  <si>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</si>
  <si>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</si>
  <si>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</si>
  <si>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</si>
  <si>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</si>
  <si>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</si>
  <si>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</si>
  <si>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</si>
  <si>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</si>
  <si>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</si>
  <si>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</si>
  <si>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</si>
  <si>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</si>
  <si>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</si>
  <si>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</si>
  <si>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</si>
  <si>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</si>
  <si>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</si>
  <si>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</si>
  <si>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</si>
  <si>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</si>
  <si>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</si>
  <si>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</si>
  <si>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</si>
  <si>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</si>
  <si>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</si>
  <si>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</si>
  <si>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</si>
  <si>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</si>
  <si>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</si>
  <si>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</si>
  <si>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</si>
  <si>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</si>
  <si>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</si>
  <si>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</si>
  <si>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</si>
  <si>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</si>
  <si>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</si>
  <si>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</si>
  <si>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</si>
  <si>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</si>
  <si>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</si>
  <si>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</si>
  <si>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</si>
  <si>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</si>
  <si>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</si>
  <si>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</si>
  <si>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</si>
  <si>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</si>
  <si>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</si>
  <si>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</si>
  <si>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</si>
  <si>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</si>
  <si>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</si>
  <si>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</si>
  <si>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</si>
  <si>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</si>
  <si>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</si>
  <si>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</si>
  <si>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</si>
  <si>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</si>
  <si>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</si>
  <si>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</si>
  <si>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</si>
  <si>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</si>
  <si>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</si>
  <si>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</si>
  <si>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</si>
  <si>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</si>
  <si>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</si>
  <si>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</si>
  <si>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</si>
  <si>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</si>
  <si>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</si>
  <si>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</si>
  <si>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</si>
  <si>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</si>
  <si>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</si>
  <si>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</si>
  <si>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</si>
  <si>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</si>
  <si>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</si>
  <si>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</si>
  <si>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</si>
  <si>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</si>
  <si>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</si>
  <si>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</si>
  <si>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</si>
  <si>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</si>
  <si>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</si>
  <si>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</si>
  <si>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</si>
  <si>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</si>
  <si>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</si>
  <si>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</si>
  <si>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</si>
  <si>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</si>
  <si>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</si>
  <si>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</si>
  <si>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</si>
  <si>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</si>
  <si>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</si>
  <si>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</si>
  <si>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</si>
  <si>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</si>
  <si>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</si>
  <si>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</si>
  <si>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</si>
  <si>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</si>
  <si>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</si>
  <si>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</si>
  <si>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</si>
  <si>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</si>
  <si>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</si>
  <si>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</si>
  <si>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</si>
  <si>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</si>
  <si>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</si>
  <si>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</si>
  <si>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</si>
  <si>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</si>
  <si>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</si>
  <si>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</si>
  <si>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</si>
  <si>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</si>
  <si>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</si>
  <si>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</si>
  <si>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</si>
  <si>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</si>
  <si>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</si>
  <si>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</si>
  <si>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</si>
  <si>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</si>
  <si>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</si>
  <si>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</si>
  <si>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</si>
  <si>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</si>
  <si>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</si>
  <si>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</si>
  <si>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</si>
  <si>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</si>
  <si>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</si>
  <si>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</si>
  <si>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</si>
  <si>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</si>
  <si>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</si>
  <si>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</si>
  <si>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</si>
  <si>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</si>
  <si>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</si>
  <si>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</si>
  <si>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</si>
  <si>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</si>
  <si>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</si>
  <si>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</si>
  <si>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</si>
  <si>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</si>
  <si>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</si>
  <si>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</si>
  <si>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</si>
  <si>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</si>
  <si>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</si>
  <si>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</si>
  <si>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</si>
  <si>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</si>
  <si>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</si>
  <si>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</si>
  <si>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</si>
  <si>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</si>
  <si>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</si>
  <si>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</si>
  <si>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</si>
  <si>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</si>
  <si>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</si>
  <si>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</si>
  <si>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</si>
  <si>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</si>
  <si>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</si>
  <si>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</si>
  <si>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</si>
  <si>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</si>
  <si>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</si>
  <si>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</si>
  <si>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</si>
  <si>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</si>
  <si>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</si>
  <si>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</si>
  <si>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</si>
  <si>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</si>
  <si>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</si>
  <si>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</si>
  <si>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</si>
  <si>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</si>
  <si>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</si>
  <si>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</si>
  <si>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</si>
  <si>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</si>
  <si>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</si>
  <si>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</si>
  <si>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</si>
  <si>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</si>
  <si>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</si>
  <si>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</si>
  <si>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</si>
  <si>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</si>
  <si>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</si>
  <si>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</si>
  <si>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</si>
  <si>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</si>
  <si>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</si>
  <si>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</si>
  <si>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</si>
  <si>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</si>
  <si>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</si>
  <si>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</si>
  <si>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</si>
  <si>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</si>
  <si>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</si>
  <si>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</si>
  <si>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</si>
  <si>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</si>
  <si>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</si>
  <si>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</si>
  <si>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</si>
  <si>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</si>
  <si>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</si>
  <si>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</si>
  <si>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</si>
  <si>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</si>
  <si>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</si>
  <si>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</si>
  <si>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</si>
  <si>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</si>
  <si>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</si>
  <si>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</si>
  <si>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</si>
  <si>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</si>
  <si>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</si>
  <si>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</si>
  <si>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</si>
  <si>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</si>
  <si>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</si>
  <si>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</si>
  <si>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</si>
  <si>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</si>
  <si>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</si>
  <si>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</si>
  <si>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</si>
  <si>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</si>
  <si>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</si>
  <si>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</si>
  <si>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</si>
  <si>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</si>
  <si>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</si>
  <si>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</si>
  <si>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</si>
  <si>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</si>
  <si>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</si>
  <si>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</si>
  <si>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</si>
  <si>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</si>
  <si>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</si>
  <si>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</si>
  <si>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</si>
  <si>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</si>
  <si>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</si>
  <si>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</si>
  <si>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</si>
  <si>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</si>
  <si>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</si>
  <si>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</si>
  <si>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</si>
  <si>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</si>
  <si>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</si>
  <si>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</si>
  <si>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</si>
  <si>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</si>
  <si>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</si>
  <si>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</si>
  <si>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</si>
  <si>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</si>
  <si>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</si>
  <si>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</si>
  <si>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</si>
  <si>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</si>
  <si>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</si>
  <si>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</si>
  <si>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</si>
  <si>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</si>
  <si>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</si>
  <si>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</si>
  <si>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</si>
  <si>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</si>
  <si>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</si>
  <si>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</si>
  <si>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</si>
  <si>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</si>
  <si>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</si>
  <si>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</si>
  <si>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</si>
  <si>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</si>
  <si>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</si>
  <si>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</si>
  <si>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</si>
  <si>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</si>
  <si>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</si>
  <si>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</si>
  <si>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</si>
  <si>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</si>
  <si>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</si>
  <si>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</si>
  <si>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</si>
  <si>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</si>
  <si>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</si>
  <si>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</si>
  <si>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</si>
  <si>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</si>
  <si>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</si>
  <si>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</si>
  <si>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</si>
  <si>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</si>
  <si>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</si>
  <si>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</si>
  <si>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</si>
  <si>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</si>
  <si>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</si>
  <si>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</si>
  <si>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</si>
  <si>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</si>
  <si>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</si>
  <si>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</si>
  <si>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</si>
  <si>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</si>
  <si>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</si>
  <si>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</si>
  <si>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</si>
  <si>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</si>
  <si>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</si>
  <si>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</si>
  <si>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</si>
  <si>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</si>
  <si>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</si>
  <si>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</si>
  <si>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</si>
  <si>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</si>
  <si>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</si>
  <si>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</si>
  <si>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</si>
  <si>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</si>
  <si>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</si>
  <si>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</si>
  <si>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</si>
  <si>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</si>
  <si>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</si>
  <si>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</si>
  <si>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</si>
  <si>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</si>
  <si>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</si>
  <si>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</si>
  <si>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</si>
  <si>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</si>
  <si>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</si>
  <si>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</si>
  <si>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</si>
  <si>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</si>
  <si>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</si>
  <si>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</si>
  <si>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</si>
  <si>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</si>
  <si>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</si>
  <si>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</si>
  <si>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</si>
  <si>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</si>
  <si>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</si>
  <si>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</si>
  <si>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</si>
  <si>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</si>
  <si>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</si>
  <si>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</si>
  <si>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</si>
  <si>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</si>
  <si>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</si>
  <si>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</si>
  <si>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</si>
  <si>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</si>
  <si>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</si>
  <si>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</si>
  <si>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</si>
  <si>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</si>
  <si>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</si>
  <si>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</si>
  <si>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</si>
  <si>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</si>
  <si>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</si>
  <si>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</si>
  <si>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</si>
  <si>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</si>
  <si>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</si>
  <si>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</si>
  <si>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</si>
  <si>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</si>
  <si>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</si>
  <si>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</si>
  <si>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</si>
  <si>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</si>
  <si>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</si>
  <si>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</si>
  <si>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</si>
  <si>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</si>
  <si>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</si>
  <si>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</si>
  <si>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</si>
  <si>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</si>
  <si>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</si>
  <si>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</si>
  <si>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</si>
  <si>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</si>
  <si>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</si>
  <si>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</si>
  <si>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</si>
  <si>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</si>
  <si>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</si>
  <si>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</si>
  <si>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</si>
  <si>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</si>
  <si>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</si>
  <si>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</si>
  <si>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</si>
  <si>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</si>
  <si>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</si>
  <si>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</si>
  <si>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</si>
  <si>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</si>
  <si>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</si>
  <si>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</si>
  <si>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</si>
  <si>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</si>
  <si>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</si>
  <si>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</si>
  <si>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</si>
  <si>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</si>
  <si>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</si>
  <si>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</si>
  <si>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</si>
  <si>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</si>
  <si>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</si>
  <si>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</si>
  <si>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</si>
  <si>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</si>
  <si>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</si>
  <si>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</si>
  <si>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</si>
  <si>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</si>
  <si>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</si>
  <si>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</si>
  <si>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</si>
  <si>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</si>
  <si>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</si>
  <si>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</si>
  <si>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</si>
  <si>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</si>
  <si>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</si>
  <si>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</si>
  <si>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</si>
  <si>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</si>
  <si>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</si>
  <si>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</si>
  <si>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</si>
  <si>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</si>
  <si>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</si>
  <si>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</si>
  <si>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</si>
  <si>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</si>
  <si>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</si>
  <si>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</si>
  <si>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</si>
  <si>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</si>
  <si>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</si>
  <si>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</si>
  <si>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</si>
  <si>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</si>
  <si>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</si>
  <si>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</si>
  <si>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</si>
  <si>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</si>
  <si>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</si>
  <si>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</si>
  <si>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</si>
  <si>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</si>
  <si>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</si>
  <si>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</si>
  <si>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</si>
  <si>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</si>
  <si>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</si>
  <si>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</si>
  <si>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</si>
  <si>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</si>
  <si>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</si>
  <si>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</si>
  <si>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</si>
  <si>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</si>
  <si>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</si>
  <si>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</si>
  <si>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</si>
  <si>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</si>
  <si>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</si>
  <si>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</si>
  <si>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</si>
  <si>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</si>
  <si>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</si>
  <si>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</si>
  <si>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</si>
  <si>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</si>
  <si>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</si>
  <si>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</si>
  <si>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</si>
  <si>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</si>
  <si>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</si>
  <si>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 xml:space="preserve">
SUCCESS-;-UNITECH</t>
  </si>
  <si>
    <t>Bounds</t>
  </si>
  <si>
    <t>Minimum</t>
  </si>
  <si>
    <t>Maximum</t>
  </si>
  <si>
    <t>Units</t>
  </si>
  <si>
    <t>Major</t>
  </si>
  <si>
    <t>Minor</t>
  </si>
  <si>
    <t>24-JUL-2018 10;50;16</t>
  </si>
  <si>
    <t>Formatted Date &amp; Time</t>
  </si>
  <si>
    <t>24-JUL-2018 11;37;48</t>
  </si>
  <si>
    <t>24-JUL-2018 11;43;18</t>
  </si>
  <si>
    <t>24-JUL-2018 11;44;48</t>
  </si>
  <si>
    <t>24-JUL-2018 11;47;48</t>
  </si>
  <si>
    <t>24-JUL-2018 11;49;48</t>
  </si>
  <si>
    <t>24-JUL-2018 11;52;48</t>
  </si>
  <si>
    <t>24-JUL-2018 11;54;18</t>
  </si>
  <si>
    <t>Start Export Row</t>
  </si>
  <si>
    <t>Miscelleneous</t>
  </si>
  <si>
    <t>No Data Found.</t>
  </si>
  <si>
    <t>24-JUL-2018 11;57;48</t>
  </si>
  <si>
    <t>24-JUL-2018 11;59;49</t>
  </si>
  <si>
    <t>24-JUL-2018 12;01;49</t>
  </si>
  <si>
    <t>24-JUL-2018 12;03;49</t>
  </si>
  <si>
    <t>24-JUL-2018 12;06;49</t>
  </si>
  <si>
    <t>Open</t>
  </si>
  <si>
    <t>Increase</t>
  </si>
  <si>
    <t>Percentage Increase</t>
  </si>
  <si>
    <t>24-JUL-2018 12;11;49</t>
  </si>
  <si>
    <t>24-JUL-2018 12;14;19</t>
  </si>
  <si>
    <t>24-JUL-2018 12;17;49</t>
  </si>
  <si>
    <t>24-JUL-2018 12;20;49</t>
  </si>
  <si>
    <t>24-JUL-2018 12;23;49</t>
  </si>
  <si>
    <t>24-JUL-2018 12;38;20</t>
  </si>
  <si>
    <t>24-JUL-2018 12;44;20</t>
  </si>
  <si>
    <t>24-JUL-2018 12;47;50</t>
  </si>
  <si>
    <t>24-JUL-2018 12;53;50</t>
  </si>
  <si>
    <t>24-JUL-2018 12;57;20</t>
  </si>
  <si>
    <t>24-JUL-2018 14;12;23</t>
  </si>
  <si>
    <t>24-JUL-2018 14;15;23</t>
  </si>
  <si>
    <t>24-JUL-2018 14;16;53</t>
  </si>
  <si>
    <t>24-JUL-2018 14;20;53</t>
  </si>
  <si>
    <t>24-JUL-2018 14;24;23</t>
  </si>
  <si>
    <t>24-JUL-2018 14;26;23</t>
  </si>
  <si>
    <t>24-JUL-2018 14;29;53</t>
  </si>
  <si>
    <t>24-JUL-2018 14;35;23</t>
  </si>
  <si>
    <t>24-JUL-2018 14;39;23</t>
  </si>
  <si>
    <t>24-JUL-2018 14;41;23</t>
  </si>
  <si>
    <t>24-JUL-2018 14;45;24</t>
  </si>
  <si>
    <t>24-JUL-2018 14;48;54</t>
  </si>
  <si>
    <t>24-JUL-2018 14;52;54</t>
  </si>
  <si>
    <t>24-JUL-2018 14;55;54</t>
  </si>
  <si>
    <t>24-JUL-2018 14;57;54</t>
  </si>
  <si>
    <t>24-JUL-2018 15;00;54</t>
  </si>
  <si>
    <t>24-JUL-2018 15;02;54</t>
  </si>
  <si>
    <t>24-JUL-2018 15;07;24</t>
  </si>
  <si>
    <t>24-JUL-2018 15;08;24</t>
  </si>
  <si>
    <t>24-JUL-2018 15;12;24</t>
  </si>
  <si>
    <t>24-JUL-2018 15;15;54</t>
  </si>
  <si>
    <t>24-JUL-2018 15;18;55</t>
  </si>
  <si>
    <t>24-JUL-2018 15;21;55</t>
  </si>
  <si>
    <t>24-JUL-2018 15;25;55</t>
  </si>
  <si>
    <t>24-JUL-2018 15;29;55</t>
  </si>
  <si>
    <t>24-JUL-2018 15;30;01</t>
  </si>
  <si>
    <t>24-JUL-2018 15;59;26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</si>
</sst>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10" fillId="0" borderId="4" xfId="0" applyFont="1" applyBorder="1"/>
    <xf numFmtId="174" fontId="0" fillId="0" borderId="4" xfId="0" applyNumberFormat="1" applyBorder="1"/>
    <xf numFmtId="0" fontId="10" fillId="7" borderId="19" xfId="0" applyFont="1" applyFill="1" applyBorder="1" applyAlignment="1">
      <alignment horizontal="center"/>
    </xf>
    <xf numFmtId="0" fontId="10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6228183</c:v>
                </c:pt>
                <c:pt idx="1">
                  <c:v>6518275</c:v>
                </c:pt>
                <c:pt idx="3">
                  <c:v>6518275</c:v>
                </c:pt>
                <c:pt idx="4">
                  <c:v>6518275</c:v>
                </c:pt>
                <c:pt idx="5">
                  <c:v>6518275</c:v>
                </c:pt>
                <c:pt idx="6">
                  <c:v>7592345</c:v>
                </c:pt>
                <c:pt idx="7">
                  <c:v>7592345</c:v>
                </c:pt>
                <c:pt idx="8">
                  <c:v>5710057</c:v>
                </c:pt>
                <c:pt idx="9">
                  <c:v>5710057</c:v>
                </c:pt>
                <c:pt idx="10">
                  <c:v>6223522</c:v>
                </c:pt>
                <c:pt idx="11">
                  <c:v>6223522</c:v>
                </c:pt>
                <c:pt idx="12">
                  <c:v>6354958</c:v>
                </c:pt>
                <c:pt idx="13">
                  <c:v>6354958</c:v>
                </c:pt>
                <c:pt idx="14">
                  <c:v>6354958</c:v>
                </c:pt>
                <c:pt idx="15">
                  <c:v>5716804</c:v>
                </c:pt>
                <c:pt idx="16">
                  <c:v>5716804</c:v>
                </c:pt>
                <c:pt idx="17">
                  <c:v>5719410</c:v>
                </c:pt>
                <c:pt idx="20">
                  <c:v>5628897</c:v>
                </c:pt>
                <c:pt idx="21">
                  <c:v>5628897</c:v>
                </c:pt>
                <c:pt idx="22">
                  <c:v>5572600</c:v>
                </c:pt>
                <c:pt idx="23">
                  <c:v>5572600</c:v>
                </c:pt>
                <c:pt idx="24">
                  <c:v>5639959</c:v>
                </c:pt>
                <c:pt idx="25">
                  <c:v>5661427</c:v>
                </c:pt>
                <c:pt idx="26">
                  <c:v>5661427</c:v>
                </c:pt>
                <c:pt idx="27">
                  <c:v>5661299</c:v>
                </c:pt>
                <c:pt idx="28">
                  <c:v>5661299</c:v>
                </c:pt>
                <c:pt idx="29">
                  <c:v>5661299</c:v>
                </c:pt>
                <c:pt idx="30">
                  <c:v>5519760</c:v>
                </c:pt>
                <c:pt idx="31">
                  <c:v>5519760</c:v>
                </c:pt>
                <c:pt idx="32">
                  <c:v>5465688</c:v>
                </c:pt>
                <c:pt idx="33">
                  <c:v>5465688</c:v>
                </c:pt>
                <c:pt idx="34">
                  <c:v>6040515</c:v>
                </c:pt>
                <c:pt idx="35">
                  <c:v>6040515</c:v>
                </c:pt>
                <c:pt idx="36">
                  <c:v>6066470</c:v>
                </c:pt>
                <c:pt idx="37">
                  <c:v>6066470</c:v>
                </c:pt>
                <c:pt idx="38">
                  <c:v>5590097</c:v>
                </c:pt>
                <c:pt idx="41">
                  <c:v>6212796</c:v>
                </c:pt>
                <c:pt idx="42">
                  <c:v>6212796</c:v>
                </c:pt>
                <c:pt idx="45">
                  <c:v>5874012</c:v>
                </c:pt>
                <c:pt idx="46">
                  <c:v>5874012</c:v>
                </c:pt>
                <c:pt idx="47">
                  <c:v>6370663</c:v>
                </c:pt>
                <c:pt idx="48">
                  <c:v>5661427</c:v>
                </c:pt>
                <c:pt idx="50">
                  <c:v>6379254</c:v>
                </c:pt>
                <c:pt idx="51">
                  <c:v>6379254</c:v>
                </c:pt>
                <c:pt idx="52">
                  <c:v>6514750</c:v>
                </c:pt>
                <c:pt idx="53">
                  <c:v>6601021</c:v>
                </c:pt>
                <c:pt idx="54">
                  <c:v>6601021</c:v>
                </c:pt>
                <c:pt idx="55">
                  <c:v>6601021</c:v>
                </c:pt>
                <c:pt idx="56">
                  <c:v>6594921</c:v>
                </c:pt>
                <c:pt idx="57">
                  <c:v>6594921</c:v>
                </c:pt>
                <c:pt idx="58">
                  <c:v>6638076</c:v>
                </c:pt>
                <c:pt idx="59">
                  <c:v>6653860</c:v>
                </c:pt>
                <c:pt idx="60">
                  <c:v>6653860</c:v>
                </c:pt>
                <c:pt idx="61">
                  <c:v>6753684</c:v>
                </c:pt>
                <c:pt idx="62">
                  <c:v>6744524</c:v>
                </c:pt>
                <c:pt idx="63">
                  <c:v>6744524</c:v>
                </c:pt>
                <c:pt idx="64">
                  <c:v>6741307</c:v>
                </c:pt>
                <c:pt idx="65">
                  <c:v>6753684</c:v>
                </c:pt>
                <c:pt idx="66">
                  <c:v>6715907</c:v>
                </c:pt>
                <c:pt idx="67">
                  <c:v>6744524</c:v>
                </c:pt>
                <c:pt idx="68">
                  <c:v>6741307</c:v>
                </c:pt>
                <c:pt idx="69">
                  <c:v>6597821</c:v>
                </c:pt>
                <c:pt idx="70">
                  <c:v>6597821</c:v>
                </c:pt>
                <c:pt idx="71">
                  <c:v>6600413</c:v>
                </c:pt>
                <c:pt idx="72">
                  <c:v>6600413</c:v>
                </c:pt>
                <c:pt idx="73">
                  <c:v>6511725</c:v>
                </c:pt>
                <c:pt idx="74">
                  <c:v>6511725</c:v>
                </c:pt>
                <c:pt idx="75">
                  <c:v>6586693</c:v>
                </c:pt>
                <c:pt idx="76">
                  <c:v>6586693</c:v>
                </c:pt>
                <c:pt idx="77">
                  <c:v>6486306</c:v>
                </c:pt>
                <c:pt idx="78">
                  <c:v>6486306</c:v>
                </c:pt>
                <c:pt idx="79">
                  <c:v>5978413</c:v>
                </c:pt>
                <c:pt idx="80">
                  <c:v>5978413</c:v>
                </c:pt>
                <c:pt idx="81">
                  <c:v>5891503</c:v>
                </c:pt>
                <c:pt idx="82">
                  <c:v>5865086</c:v>
                </c:pt>
                <c:pt idx="83">
                  <c:v>5934815</c:v>
                </c:pt>
                <c:pt idx="84">
                  <c:v>5934815</c:v>
                </c:pt>
                <c:pt idx="85">
                  <c:v>5675246</c:v>
                </c:pt>
                <c:pt idx="86">
                  <c:v>5675246</c:v>
                </c:pt>
                <c:pt idx="87">
                  <c:v>5666486</c:v>
                </c:pt>
                <c:pt idx="88">
                  <c:v>5653463</c:v>
                </c:pt>
                <c:pt idx="89">
                  <c:v>5653463</c:v>
                </c:pt>
                <c:pt idx="90">
                  <c:v>5725583</c:v>
                </c:pt>
                <c:pt idx="91">
                  <c:v>5725583</c:v>
                </c:pt>
                <c:pt idx="92">
                  <c:v>6219342</c:v>
                </c:pt>
                <c:pt idx="93">
                  <c:v>6219342</c:v>
                </c:pt>
                <c:pt idx="94">
                  <c:v>6420675</c:v>
                </c:pt>
                <c:pt idx="95">
                  <c:v>6420675</c:v>
                </c:pt>
                <c:pt idx="96">
                  <c:v>6276366</c:v>
                </c:pt>
                <c:pt idx="97">
                  <c:v>6276366</c:v>
                </c:pt>
                <c:pt idx="98">
                  <c:v>6057748</c:v>
                </c:pt>
                <c:pt idx="99">
                  <c:v>6057748</c:v>
                </c:pt>
                <c:pt idx="100">
                  <c:v>6108065</c:v>
                </c:pt>
                <c:pt idx="101">
                  <c:v>223716</c:v>
                </c:pt>
                <c:pt idx="102">
                  <c:v>223716</c:v>
                </c:pt>
                <c:pt idx="103">
                  <c:v>223716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2301280</c:v>
                </c:pt>
                <c:pt idx="1">
                  <c:v>2114432</c:v>
                </c:pt>
                <c:pt idx="3">
                  <c:v>2114432</c:v>
                </c:pt>
                <c:pt idx="4">
                  <c:v>2114432</c:v>
                </c:pt>
                <c:pt idx="5">
                  <c:v>2114432</c:v>
                </c:pt>
                <c:pt idx="6">
                  <c:v>2410483</c:v>
                </c:pt>
                <c:pt idx="7">
                  <c:v>2410483</c:v>
                </c:pt>
                <c:pt idx="8">
                  <c:v>2752698</c:v>
                </c:pt>
                <c:pt idx="9">
                  <c:v>2752698</c:v>
                </c:pt>
                <c:pt idx="10">
                  <c:v>2778903</c:v>
                </c:pt>
                <c:pt idx="11">
                  <c:v>2778903</c:v>
                </c:pt>
                <c:pt idx="12">
                  <c:v>2869606</c:v>
                </c:pt>
                <c:pt idx="13">
                  <c:v>2869606</c:v>
                </c:pt>
                <c:pt idx="14">
                  <c:v>2869606</c:v>
                </c:pt>
                <c:pt idx="15">
                  <c:v>4014305</c:v>
                </c:pt>
                <c:pt idx="16">
                  <c:v>4014305</c:v>
                </c:pt>
                <c:pt idx="17">
                  <c:v>4090679</c:v>
                </c:pt>
                <c:pt idx="20">
                  <c:v>4302799</c:v>
                </c:pt>
                <c:pt idx="21">
                  <c:v>4302799</c:v>
                </c:pt>
                <c:pt idx="22">
                  <c:v>4448151</c:v>
                </c:pt>
                <c:pt idx="23">
                  <c:v>4448151</c:v>
                </c:pt>
                <c:pt idx="24">
                  <c:v>4510035</c:v>
                </c:pt>
                <c:pt idx="25">
                  <c:v>4609196</c:v>
                </c:pt>
                <c:pt idx="26">
                  <c:v>4609196</c:v>
                </c:pt>
                <c:pt idx="27">
                  <c:v>4681876</c:v>
                </c:pt>
                <c:pt idx="28">
                  <c:v>4681876</c:v>
                </c:pt>
                <c:pt idx="29">
                  <c:v>4681876</c:v>
                </c:pt>
                <c:pt idx="30">
                  <c:v>4707747</c:v>
                </c:pt>
                <c:pt idx="31">
                  <c:v>4707747</c:v>
                </c:pt>
                <c:pt idx="32">
                  <c:v>4718459</c:v>
                </c:pt>
                <c:pt idx="33">
                  <c:v>4718459</c:v>
                </c:pt>
                <c:pt idx="34">
                  <c:v>3922622</c:v>
                </c:pt>
                <c:pt idx="35">
                  <c:v>3922622</c:v>
                </c:pt>
                <c:pt idx="36">
                  <c:v>4083200</c:v>
                </c:pt>
                <c:pt idx="37">
                  <c:v>4083200</c:v>
                </c:pt>
                <c:pt idx="38">
                  <c:v>3900640</c:v>
                </c:pt>
                <c:pt idx="41">
                  <c:v>3698297</c:v>
                </c:pt>
                <c:pt idx="42">
                  <c:v>3698297</c:v>
                </c:pt>
                <c:pt idx="45">
                  <c:v>3894902</c:v>
                </c:pt>
                <c:pt idx="46">
                  <c:v>3894902</c:v>
                </c:pt>
                <c:pt idx="47">
                  <c:v>3898389</c:v>
                </c:pt>
                <c:pt idx="48">
                  <c:v>4609196</c:v>
                </c:pt>
                <c:pt idx="50">
                  <c:v>3921768</c:v>
                </c:pt>
                <c:pt idx="51">
                  <c:v>3921768</c:v>
                </c:pt>
                <c:pt idx="52">
                  <c:v>3953006</c:v>
                </c:pt>
                <c:pt idx="53">
                  <c:v>4089240</c:v>
                </c:pt>
                <c:pt idx="54">
                  <c:v>4089240</c:v>
                </c:pt>
                <c:pt idx="55">
                  <c:v>4089240</c:v>
                </c:pt>
                <c:pt idx="56">
                  <c:v>4099161</c:v>
                </c:pt>
                <c:pt idx="57">
                  <c:v>4099161</c:v>
                </c:pt>
                <c:pt idx="58">
                  <c:v>4100664</c:v>
                </c:pt>
                <c:pt idx="59">
                  <c:v>4114046</c:v>
                </c:pt>
                <c:pt idx="60">
                  <c:v>4114046</c:v>
                </c:pt>
                <c:pt idx="61">
                  <c:v>4093159</c:v>
                </c:pt>
                <c:pt idx="62">
                  <c:v>4080282</c:v>
                </c:pt>
                <c:pt idx="63">
                  <c:v>4080282</c:v>
                </c:pt>
                <c:pt idx="64">
                  <c:v>4253863</c:v>
                </c:pt>
                <c:pt idx="65">
                  <c:v>4093159</c:v>
                </c:pt>
                <c:pt idx="66">
                  <c:v>4100376</c:v>
                </c:pt>
                <c:pt idx="67">
                  <c:v>4080282</c:v>
                </c:pt>
                <c:pt idx="68">
                  <c:v>4253863</c:v>
                </c:pt>
                <c:pt idx="69">
                  <c:v>4165415</c:v>
                </c:pt>
                <c:pt idx="70">
                  <c:v>4165415</c:v>
                </c:pt>
                <c:pt idx="71">
                  <c:v>4249995</c:v>
                </c:pt>
                <c:pt idx="72">
                  <c:v>4249995</c:v>
                </c:pt>
                <c:pt idx="73">
                  <c:v>4168657</c:v>
                </c:pt>
                <c:pt idx="74">
                  <c:v>4168657</c:v>
                </c:pt>
                <c:pt idx="75">
                  <c:v>4191576</c:v>
                </c:pt>
                <c:pt idx="76">
                  <c:v>4191576</c:v>
                </c:pt>
                <c:pt idx="77">
                  <c:v>4185964</c:v>
                </c:pt>
                <c:pt idx="78">
                  <c:v>4185964</c:v>
                </c:pt>
                <c:pt idx="79">
                  <c:v>4297088</c:v>
                </c:pt>
                <c:pt idx="80">
                  <c:v>4297088</c:v>
                </c:pt>
                <c:pt idx="81">
                  <c:v>4259168</c:v>
                </c:pt>
                <c:pt idx="82">
                  <c:v>4235364</c:v>
                </c:pt>
                <c:pt idx="83">
                  <c:v>4232571</c:v>
                </c:pt>
                <c:pt idx="84">
                  <c:v>4232571</c:v>
                </c:pt>
                <c:pt idx="85">
                  <c:v>4227780</c:v>
                </c:pt>
                <c:pt idx="86">
                  <c:v>4227780</c:v>
                </c:pt>
                <c:pt idx="87">
                  <c:v>4199065</c:v>
                </c:pt>
                <c:pt idx="88">
                  <c:v>4231585</c:v>
                </c:pt>
                <c:pt idx="89">
                  <c:v>4231585</c:v>
                </c:pt>
                <c:pt idx="90">
                  <c:v>4106802</c:v>
                </c:pt>
                <c:pt idx="91">
                  <c:v>4106802</c:v>
                </c:pt>
                <c:pt idx="92">
                  <c:v>4109262</c:v>
                </c:pt>
                <c:pt idx="93">
                  <c:v>4109262</c:v>
                </c:pt>
                <c:pt idx="94">
                  <c:v>4059779</c:v>
                </c:pt>
                <c:pt idx="95">
                  <c:v>4059779</c:v>
                </c:pt>
                <c:pt idx="96">
                  <c:v>4169473</c:v>
                </c:pt>
                <c:pt idx="97">
                  <c:v>4169473</c:v>
                </c:pt>
                <c:pt idx="98">
                  <c:v>3959251</c:v>
                </c:pt>
                <c:pt idx="99">
                  <c:v>3959251</c:v>
                </c:pt>
                <c:pt idx="100">
                  <c:v>3786063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  <c:pt idx="0">
                  <c:v>2397895</c:v>
                </c:pt>
                <c:pt idx="1">
                  <c:v>4693315</c:v>
                </c:pt>
                <c:pt idx="3">
                  <c:v>4693315</c:v>
                </c:pt>
                <c:pt idx="4">
                  <c:v>4693315</c:v>
                </c:pt>
                <c:pt idx="5">
                  <c:v>4693315</c:v>
                </c:pt>
                <c:pt idx="6">
                  <c:v>6878210</c:v>
                </c:pt>
                <c:pt idx="7">
                  <c:v>6878210</c:v>
                </c:pt>
                <c:pt idx="8">
                  <c:v>7127617</c:v>
                </c:pt>
                <c:pt idx="9">
                  <c:v>7127617</c:v>
                </c:pt>
                <c:pt idx="10">
                  <c:v>7392675</c:v>
                </c:pt>
                <c:pt idx="11">
                  <c:v>7392675</c:v>
                </c:pt>
                <c:pt idx="12">
                  <c:v>7407199</c:v>
                </c:pt>
                <c:pt idx="13">
                  <c:v>7407199</c:v>
                </c:pt>
                <c:pt idx="14">
                  <c:v>7407199</c:v>
                </c:pt>
                <c:pt idx="15">
                  <c:v>7770373</c:v>
                </c:pt>
                <c:pt idx="16">
                  <c:v>7770373</c:v>
                </c:pt>
                <c:pt idx="17">
                  <c:v>7782784</c:v>
                </c:pt>
                <c:pt idx="20">
                  <c:v>7909868</c:v>
                </c:pt>
                <c:pt idx="21">
                  <c:v>7909868</c:v>
                </c:pt>
                <c:pt idx="22">
                  <c:v>8001738</c:v>
                </c:pt>
                <c:pt idx="23">
                  <c:v>8001738</c:v>
                </c:pt>
                <c:pt idx="24">
                  <c:v>8200652</c:v>
                </c:pt>
                <c:pt idx="25">
                  <c:v>8243929</c:v>
                </c:pt>
                <c:pt idx="26">
                  <c:v>8243929</c:v>
                </c:pt>
                <c:pt idx="27">
                  <c:v>8272897</c:v>
                </c:pt>
                <c:pt idx="28">
                  <c:v>8272897</c:v>
                </c:pt>
                <c:pt idx="29">
                  <c:v>8272897</c:v>
                </c:pt>
                <c:pt idx="30">
                  <c:v>8311174</c:v>
                </c:pt>
                <c:pt idx="31">
                  <c:v>8311174</c:v>
                </c:pt>
                <c:pt idx="32">
                  <c:v>8384196</c:v>
                </c:pt>
                <c:pt idx="33">
                  <c:v>8384196</c:v>
                </c:pt>
                <c:pt idx="34">
                  <c:v>9133736</c:v>
                </c:pt>
                <c:pt idx="35">
                  <c:v>9133736</c:v>
                </c:pt>
                <c:pt idx="36">
                  <c:v>9265874</c:v>
                </c:pt>
                <c:pt idx="37">
                  <c:v>9265874</c:v>
                </c:pt>
                <c:pt idx="38">
                  <c:v>9647383</c:v>
                </c:pt>
                <c:pt idx="41">
                  <c:v>9943302</c:v>
                </c:pt>
                <c:pt idx="42">
                  <c:v>9943302</c:v>
                </c:pt>
                <c:pt idx="45">
                  <c:v>10479820</c:v>
                </c:pt>
                <c:pt idx="46">
                  <c:v>10479820</c:v>
                </c:pt>
                <c:pt idx="47">
                  <c:v>10538185</c:v>
                </c:pt>
                <c:pt idx="48">
                  <c:v>8243929</c:v>
                </c:pt>
                <c:pt idx="50">
                  <c:v>10644871</c:v>
                </c:pt>
                <c:pt idx="51">
                  <c:v>10644871</c:v>
                </c:pt>
                <c:pt idx="52">
                  <c:v>10656658</c:v>
                </c:pt>
                <c:pt idx="53">
                  <c:v>11389200</c:v>
                </c:pt>
                <c:pt idx="54">
                  <c:v>11389200</c:v>
                </c:pt>
                <c:pt idx="55">
                  <c:v>11389200</c:v>
                </c:pt>
                <c:pt idx="56">
                  <c:v>11424010</c:v>
                </c:pt>
                <c:pt idx="57">
                  <c:v>11424010</c:v>
                </c:pt>
                <c:pt idx="58">
                  <c:v>11437697</c:v>
                </c:pt>
                <c:pt idx="59">
                  <c:v>11490613</c:v>
                </c:pt>
                <c:pt idx="60">
                  <c:v>11490613</c:v>
                </c:pt>
                <c:pt idx="61">
                  <c:v>11512001</c:v>
                </c:pt>
                <c:pt idx="62">
                  <c:v>11525463</c:v>
                </c:pt>
                <c:pt idx="63">
                  <c:v>11525463</c:v>
                </c:pt>
                <c:pt idx="64">
                  <c:v>11544927</c:v>
                </c:pt>
                <c:pt idx="65">
                  <c:v>11512001</c:v>
                </c:pt>
                <c:pt idx="66">
                  <c:v>11612418</c:v>
                </c:pt>
                <c:pt idx="67">
                  <c:v>11525463</c:v>
                </c:pt>
                <c:pt idx="68">
                  <c:v>11544927</c:v>
                </c:pt>
                <c:pt idx="69">
                  <c:v>11671662</c:v>
                </c:pt>
                <c:pt idx="70">
                  <c:v>11671662</c:v>
                </c:pt>
                <c:pt idx="71">
                  <c:v>11675414</c:v>
                </c:pt>
                <c:pt idx="72">
                  <c:v>11675414</c:v>
                </c:pt>
                <c:pt idx="73">
                  <c:v>11708841</c:v>
                </c:pt>
                <c:pt idx="74">
                  <c:v>11708841</c:v>
                </c:pt>
                <c:pt idx="75">
                  <c:v>11731213</c:v>
                </c:pt>
                <c:pt idx="76">
                  <c:v>11731213</c:v>
                </c:pt>
                <c:pt idx="77">
                  <c:v>11744435</c:v>
                </c:pt>
                <c:pt idx="78">
                  <c:v>11744435</c:v>
                </c:pt>
                <c:pt idx="79">
                  <c:v>11821939</c:v>
                </c:pt>
                <c:pt idx="80">
                  <c:v>11821939</c:v>
                </c:pt>
                <c:pt idx="81">
                  <c:v>11842716</c:v>
                </c:pt>
                <c:pt idx="82">
                  <c:v>11901538</c:v>
                </c:pt>
                <c:pt idx="83">
                  <c:v>11910782</c:v>
                </c:pt>
                <c:pt idx="84">
                  <c:v>11910782</c:v>
                </c:pt>
                <c:pt idx="85">
                  <c:v>11956663</c:v>
                </c:pt>
                <c:pt idx="86">
                  <c:v>11956663</c:v>
                </c:pt>
                <c:pt idx="87">
                  <c:v>11960864</c:v>
                </c:pt>
                <c:pt idx="88">
                  <c:v>11999657</c:v>
                </c:pt>
                <c:pt idx="89">
                  <c:v>11999657</c:v>
                </c:pt>
                <c:pt idx="90">
                  <c:v>12034322</c:v>
                </c:pt>
                <c:pt idx="91">
                  <c:v>12034322</c:v>
                </c:pt>
                <c:pt idx="92">
                  <c:v>12107740</c:v>
                </c:pt>
                <c:pt idx="93">
                  <c:v>12107740</c:v>
                </c:pt>
                <c:pt idx="94">
                  <c:v>12222989</c:v>
                </c:pt>
                <c:pt idx="95">
                  <c:v>12222989</c:v>
                </c:pt>
                <c:pt idx="96">
                  <c:v>12491265</c:v>
                </c:pt>
                <c:pt idx="97">
                  <c:v>12491265</c:v>
                </c:pt>
                <c:pt idx="98">
                  <c:v>12668996</c:v>
                </c:pt>
                <c:pt idx="99">
                  <c:v>12668996</c:v>
                </c:pt>
                <c:pt idx="100">
                  <c:v>12755684</c:v>
                </c:pt>
                <c:pt idx="101">
                  <c:v>12757354</c:v>
                </c:pt>
                <c:pt idx="102">
                  <c:v>12757354</c:v>
                </c:pt>
                <c:pt idx="103">
                  <c:v>12757354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782000"/>
        <c:axId val="9167719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43305.451574074075</c:v>
                      </c:pt>
                      <c:pt idx="1">
                        <c:v>43305.484583333331</c:v>
                      </c:pt>
                      <c:pt idx="2">
                        <c:v>0</c:v>
                      </c:pt>
                      <c:pt idx="3">
                        <c:v>43305.484583333331</c:v>
                      </c:pt>
                      <c:pt idx="4">
                        <c:v>43305.484583333331</c:v>
                      </c:pt>
                      <c:pt idx="5">
                        <c:v>43305.484583333331</c:v>
                      </c:pt>
                      <c:pt idx="6">
                        <c:v>43305.488402777781</c:v>
                      </c:pt>
                      <c:pt idx="7">
                        <c:v>43305.488402777781</c:v>
                      </c:pt>
                      <c:pt idx="8">
                        <c:v>43305.489444444444</c:v>
                      </c:pt>
                      <c:pt idx="9">
                        <c:v>43305.489444444444</c:v>
                      </c:pt>
                      <c:pt idx="10">
                        <c:v>43305.491527777776</c:v>
                      </c:pt>
                      <c:pt idx="11">
                        <c:v>43305.491527777776</c:v>
                      </c:pt>
                      <c:pt idx="12">
                        <c:v>43305.49291666667</c:v>
                      </c:pt>
                      <c:pt idx="13">
                        <c:v>43305.49291666667</c:v>
                      </c:pt>
                      <c:pt idx="14">
                        <c:v>43305.49291666667</c:v>
                      </c:pt>
                      <c:pt idx="15">
                        <c:v>43305.495000000003</c:v>
                      </c:pt>
                      <c:pt idx="16">
                        <c:v>43305.495000000003</c:v>
                      </c:pt>
                      <c:pt idx="17">
                        <c:v>43305.496041666665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43305.498472222222</c:v>
                      </c:pt>
                      <c:pt idx="21">
                        <c:v>43305.498472222222</c:v>
                      </c:pt>
                      <c:pt idx="22">
                        <c:v>43305.499872685185</c:v>
                      </c:pt>
                      <c:pt idx="23">
                        <c:v>43305.499872685185</c:v>
                      </c:pt>
                      <c:pt idx="24">
                        <c:v>43305.501261574071</c:v>
                      </c:pt>
                      <c:pt idx="25">
                        <c:v>43305.502650462964</c:v>
                      </c:pt>
                      <c:pt idx="26">
                        <c:v>43305.502650462964</c:v>
                      </c:pt>
                      <c:pt idx="27">
                        <c:v>43305.504733796297</c:v>
                      </c:pt>
                      <c:pt idx="28">
                        <c:v>43305.504733796297</c:v>
                      </c:pt>
                      <c:pt idx="29">
                        <c:v>43305.504733796297</c:v>
                      </c:pt>
                      <c:pt idx="30">
                        <c:v>43305.508206018516</c:v>
                      </c:pt>
                      <c:pt idx="31">
                        <c:v>43305.508206018516</c:v>
                      </c:pt>
                      <c:pt idx="32">
                        <c:v>43305.509942129633</c:v>
                      </c:pt>
                      <c:pt idx="33">
                        <c:v>43305.509942129633</c:v>
                      </c:pt>
                      <c:pt idx="34">
                        <c:v>43305.512372685182</c:v>
                      </c:pt>
                      <c:pt idx="35">
                        <c:v>43305.512372685182</c:v>
                      </c:pt>
                      <c:pt idx="36">
                        <c:v>43305.514456018522</c:v>
                      </c:pt>
                      <c:pt idx="37">
                        <c:v>43305.514456018522</c:v>
                      </c:pt>
                      <c:pt idx="38">
                        <c:v>43305.516539351855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43305.526620370372</c:v>
                      </c:pt>
                      <c:pt idx="42">
                        <c:v>43305.526620370372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43305.530787037038</c:v>
                      </c:pt>
                      <c:pt idx="46">
                        <c:v>43305.530787037038</c:v>
                      </c:pt>
                      <c:pt idx="47">
                        <c:v>43305.533217592594</c:v>
                      </c:pt>
                      <c:pt idx="48">
                        <c:v>43305.502650462964</c:v>
                      </c:pt>
                      <c:pt idx="49">
                        <c:v>0</c:v>
                      </c:pt>
                      <c:pt idx="50">
                        <c:v>43305.53738425926</c:v>
                      </c:pt>
                      <c:pt idx="51">
                        <c:v>43305.53738425926</c:v>
                      </c:pt>
                      <c:pt idx="52">
                        <c:v>43305.539814814816</c:v>
                      </c:pt>
                      <c:pt idx="53">
                        <c:v>43305.591932870368</c:v>
                      </c:pt>
                      <c:pt idx="54">
                        <c:v>43305.591932870368</c:v>
                      </c:pt>
                      <c:pt idx="55">
                        <c:v>43305.591932870368</c:v>
                      </c:pt>
                      <c:pt idx="56">
                        <c:v>43305.5940162037</c:v>
                      </c:pt>
                      <c:pt idx="57">
                        <c:v>43305.5940162037</c:v>
                      </c:pt>
                      <c:pt idx="58">
                        <c:v>43305.595057870371</c:v>
                      </c:pt>
                      <c:pt idx="59">
                        <c:v>43305.59783564815</c:v>
                      </c:pt>
                      <c:pt idx="60">
                        <c:v>43305.59783564815</c:v>
                      </c:pt>
                      <c:pt idx="61">
                        <c:v>43305.600266203706</c:v>
                      </c:pt>
                      <c:pt idx="62">
                        <c:v>43305.601655092592</c:v>
                      </c:pt>
                      <c:pt idx="63">
                        <c:v>43305.601655092592</c:v>
                      </c:pt>
                      <c:pt idx="64">
                        <c:v>43305.604085648149</c:v>
                      </c:pt>
                      <c:pt idx="65">
                        <c:v>43305.600266203706</c:v>
                      </c:pt>
                      <c:pt idx="66">
                        <c:v>43305.607905092591</c:v>
                      </c:pt>
                      <c:pt idx="67">
                        <c:v>43305.601655092592</c:v>
                      </c:pt>
                      <c:pt idx="68">
                        <c:v>43305.604085648149</c:v>
                      </c:pt>
                      <c:pt idx="69">
                        <c:v>43305.610682870371</c:v>
                      </c:pt>
                      <c:pt idx="70">
                        <c:v>43305.610682870371</c:v>
                      </c:pt>
                      <c:pt idx="71">
                        <c:v>43305.612071759257</c:v>
                      </c:pt>
                      <c:pt idx="72">
                        <c:v>43305.612071759257</c:v>
                      </c:pt>
                      <c:pt idx="73">
                        <c:v>43305.614861111113</c:v>
                      </c:pt>
                      <c:pt idx="74">
                        <c:v>43305.614861111113</c:v>
                      </c:pt>
                      <c:pt idx="75">
                        <c:v>43305.617291666669</c:v>
                      </c:pt>
                      <c:pt idx="76">
                        <c:v>43305.617291666669</c:v>
                      </c:pt>
                      <c:pt idx="77">
                        <c:v>43305.620069444441</c:v>
                      </c:pt>
                      <c:pt idx="78">
                        <c:v>43305.620069444441</c:v>
                      </c:pt>
                      <c:pt idx="79">
                        <c:v>43305.622152777774</c:v>
                      </c:pt>
                      <c:pt idx="80">
                        <c:v>43305.622152777774</c:v>
                      </c:pt>
                      <c:pt idx="81">
                        <c:v>43305.623541666668</c:v>
                      </c:pt>
                      <c:pt idx="82">
                        <c:v>43305.625625000001</c:v>
                      </c:pt>
                      <c:pt idx="83">
                        <c:v>43305.627013888887</c:v>
                      </c:pt>
                      <c:pt idx="84">
                        <c:v>43305.627013888887</c:v>
                      </c:pt>
                      <c:pt idx="85">
                        <c:v>43305.63013888889</c:v>
                      </c:pt>
                      <c:pt idx="86">
                        <c:v>43305.63013888889</c:v>
                      </c:pt>
                      <c:pt idx="87">
                        <c:v>43305.630833333336</c:v>
                      </c:pt>
                      <c:pt idx="88">
                        <c:v>43305.633611111109</c:v>
                      </c:pt>
                      <c:pt idx="89">
                        <c:v>43305.633611111109</c:v>
                      </c:pt>
                      <c:pt idx="90">
                        <c:v>43305.636041666665</c:v>
                      </c:pt>
                      <c:pt idx="91">
                        <c:v>43305.636041666665</c:v>
                      </c:pt>
                      <c:pt idx="92">
                        <c:v>43305.638136574074</c:v>
                      </c:pt>
                      <c:pt idx="93">
                        <c:v>43305.638136574074</c:v>
                      </c:pt>
                      <c:pt idx="94">
                        <c:v>43305.640219907407</c:v>
                      </c:pt>
                      <c:pt idx="95">
                        <c:v>43305.640219907407</c:v>
                      </c:pt>
                      <c:pt idx="96">
                        <c:v>43305.642997685187</c:v>
                      </c:pt>
                      <c:pt idx="97">
                        <c:v>43305.642997685187</c:v>
                      </c:pt>
                      <c:pt idx="98">
                        <c:v>43305.645775462966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0</c:v>
                      </c:pt>
                      <c:pt idx="1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  <c:pt idx="78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1" formatCode="General">
                        <c:v>0</c:v>
                      </c:pt>
                      <c:pt idx="82" formatCode="General">
                        <c:v>0</c:v>
                      </c:pt>
                      <c:pt idx="83" formatCode="General">
                        <c:v>0</c:v>
                      </c:pt>
                      <c:pt idx="84" formatCode="General">
                        <c:v>0</c:v>
                      </c:pt>
                      <c:pt idx="85" formatCode="General">
                        <c:v>0</c:v>
                      </c:pt>
                      <c:pt idx="86" formatCode="General">
                        <c:v>0</c:v>
                      </c:pt>
                      <c:pt idx="87" formatCode="General">
                        <c:v>0</c:v>
                      </c:pt>
                      <c:pt idx="88" formatCode="General">
                        <c:v>0</c:v>
                      </c:pt>
                      <c:pt idx="89" formatCode="General">
                        <c:v>0</c:v>
                      </c:pt>
                      <c:pt idx="90" formatCode="General">
                        <c:v>0</c:v>
                      </c:pt>
                      <c:pt idx="91" formatCode="General">
                        <c:v>0</c:v>
                      </c:pt>
                      <c:pt idx="92" formatCode="General">
                        <c:v>0</c:v>
                      </c:pt>
                      <c:pt idx="93" formatCode="General">
                        <c:v>0</c:v>
                      </c:pt>
                      <c:pt idx="94" formatCode="General">
                        <c:v>0</c:v>
                      </c:pt>
                      <c:pt idx="95" formatCode="General">
                        <c:v>0</c:v>
                      </c:pt>
                      <c:pt idx="96" formatCode="General">
                        <c:v>0</c:v>
                      </c:pt>
                      <c:pt idx="97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0" formatCode="General">
                        <c:v>0</c:v>
                      </c:pt>
                      <c:pt idx="101" formatCode="General">
                        <c:v>0</c:v>
                      </c:pt>
                      <c:pt idx="102" formatCode="General">
                        <c:v>0</c:v>
                      </c:pt>
                      <c:pt idx="103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43305.53738425926</c:v>
                </c:pt>
                <c:pt idx="52">
                  <c:v>43305.539814814816</c:v>
                </c:pt>
                <c:pt idx="53">
                  <c:v>43305.591932870368</c:v>
                </c:pt>
                <c:pt idx="54">
                  <c:v>43305.591932870368</c:v>
                </c:pt>
                <c:pt idx="55">
                  <c:v>43305.591932870368</c:v>
                </c:pt>
                <c:pt idx="56">
                  <c:v>43305.5940162037</c:v>
                </c:pt>
                <c:pt idx="57">
                  <c:v>43305.5940162037</c:v>
                </c:pt>
                <c:pt idx="58">
                  <c:v>43305.595057870371</c:v>
                </c:pt>
                <c:pt idx="59">
                  <c:v>43305.59783564815</c:v>
                </c:pt>
                <c:pt idx="60">
                  <c:v>43305.59783564815</c:v>
                </c:pt>
                <c:pt idx="61">
                  <c:v>43305.600266203706</c:v>
                </c:pt>
                <c:pt idx="62">
                  <c:v>43305.601655092592</c:v>
                </c:pt>
                <c:pt idx="63">
                  <c:v>43305.601655092592</c:v>
                </c:pt>
                <c:pt idx="64">
                  <c:v>43305.604085648149</c:v>
                </c:pt>
                <c:pt idx="65">
                  <c:v>43305.600266203706</c:v>
                </c:pt>
                <c:pt idx="66">
                  <c:v>43305.607905092591</c:v>
                </c:pt>
                <c:pt idx="67">
                  <c:v>43305.601655092592</c:v>
                </c:pt>
                <c:pt idx="68">
                  <c:v>43305.604085648149</c:v>
                </c:pt>
                <c:pt idx="69">
                  <c:v>43305.610682870371</c:v>
                </c:pt>
                <c:pt idx="70">
                  <c:v>43305.610682870371</c:v>
                </c:pt>
                <c:pt idx="71">
                  <c:v>43305.612071759257</c:v>
                </c:pt>
                <c:pt idx="72">
                  <c:v>43305.612071759257</c:v>
                </c:pt>
                <c:pt idx="73">
                  <c:v>43305.614861111113</c:v>
                </c:pt>
                <c:pt idx="74">
                  <c:v>43305.614861111113</c:v>
                </c:pt>
                <c:pt idx="75">
                  <c:v>43305.617291666669</c:v>
                </c:pt>
                <c:pt idx="76">
                  <c:v>43305.617291666669</c:v>
                </c:pt>
                <c:pt idx="77">
                  <c:v>43305.620069444441</c:v>
                </c:pt>
                <c:pt idx="78">
                  <c:v>43305.620069444441</c:v>
                </c:pt>
                <c:pt idx="79">
                  <c:v>43305.622152777774</c:v>
                </c:pt>
                <c:pt idx="80">
                  <c:v>43305.622152777774</c:v>
                </c:pt>
                <c:pt idx="81">
                  <c:v>43305.623541666668</c:v>
                </c:pt>
                <c:pt idx="82">
                  <c:v>43305.625625000001</c:v>
                </c:pt>
                <c:pt idx="83">
                  <c:v>43305.627013888887</c:v>
                </c:pt>
                <c:pt idx="84">
                  <c:v>43305.627013888887</c:v>
                </c:pt>
                <c:pt idx="85">
                  <c:v>43305.63013888889</c:v>
                </c:pt>
                <c:pt idx="86">
                  <c:v>43305.63013888889</c:v>
                </c:pt>
                <c:pt idx="87">
                  <c:v>43305.630833333336</c:v>
                </c:pt>
                <c:pt idx="88">
                  <c:v>43305.633611111109</c:v>
                </c:pt>
                <c:pt idx="89">
                  <c:v>43305.633611111109</c:v>
                </c:pt>
                <c:pt idx="90">
                  <c:v>43305.636041666665</c:v>
                </c:pt>
                <c:pt idx="91">
                  <c:v>43305.636041666665</c:v>
                </c:pt>
                <c:pt idx="92">
                  <c:v>43305.638136574074</c:v>
                </c:pt>
                <c:pt idx="93">
                  <c:v>43305.638136574074</c:v>
                </c:pt>
                <c:pt idx="94">
                  <c:v>43305.640219907407</c:v>
                </c:pt>
                <c:pt idx="95">
                  <c:v>43305.640219907407</c:v>
                </c:pt>
                <c:pt idx="96">
                  <c:v>43305.642997685187</c:v>
                </c:pt>
                <c:pt idx="97">
                  <c:v>43305.642997685187</c:v>
                </c:pt>
                <c:pt idx="98">
                  <c:v>43305.645775462966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  <c:pt idx="0">
                  <c:v>4.1500000000000004</c:v>
                </c:pt>
                <c:pt idx="1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4.3499999999999996</c:v>
                </c:pt>
                <c:pt idx="7">
                  <c:v>4.3499999999999996</c:v>
                </c:pt>
                <c:pt idx="8">
                  <c:v>4.3499999999999996</c:v>
                </c:pt>
                <c:pt idx="9">
                  <c:v>4.3499999999999996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4.3499999999999996</c:v>
                </c:pt>
                <c:pt idx="23">
                  <c:v>4.3499999999999996</c:v>
                </c:pt>
                <c:pt idx="24">
                  <c:v>4.3499999999999996</c:v>
                </c:pt>
                <c:pt idx="25">
                  <c:v>4.3</c:v>
                </c:pt>
                <c:pt idx="26">
                  <c:v>4.3</c:v>
                </c:pt>
                <c:pt idx="27">
                  <c:v>4.3499999999999996</c:v>
                </c:pt>
                <c:pt idx="28">
                  <c:v>4.3499999999999996</c:v>
                </c:pt>
                <c:pt idx="29">
                  <c:v>4.3499999999999996</c:v>
                </c:pt>
                <c:pt idx="30">
                  <c:v>4.3499999999999996</c:v>
                </c:pt>
                <c:pt idx="31">
                  <c:v>4.3499999999999996</c:v>
                </c:pt>
                <c:pt idx="32">
                  <c:v>4.3</c:v>
                </c:pt>
                <c:pt idx="33">
                  <c:v>4.3</c:v>
                </c:pt>
                <c:pt idx="34">
                  <c:v>4.3499999999999996</c:v>
                </c:pt>
                <c:pt idx="35">
                  <c:v>4.3499999999999996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4.3</c:v>
                </c:pt>
                <c:pt idx="41">
                  <c:v>4.3499999999999996</c:v>
                </c:pt>
                <c:pt idx="42">
                  <c:v>4.3499999999999996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4.3499999999999996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4.3499999999999996</c:v>
                </c:pt>
                <c:pt idx="57">
                  <c:v>4.3499999999999996</c:v>
                </c:pt>
                <c:pt idx="58">
                  <c:v>4.3499999999999996</c:v>
                </c:pt>
                <c:pt idx="59">
                  <c:v>4.3</c:v>
                </c:pt>
                <c:pt idx="60">
                  <c:v>4.3</c:v>
                </c:pt>
                <c:pt idx="61">
                  <c:v>4.3499999999999996</c:v>
                </c:pt>
                <c:pt idx="62">
                  <c:v>4.3</c:v>
                </c:pt>
                <c:pt idx="63">
                  <c:v>4.3</c:v>
                </c:pt>
                <c:pt idx="64">
                  <c:v>4.3499999999999996</c:v>
                </c:pt>
                <c:pt idx="65">
                  <c:v>4.3499999999999996</c:v>
                </c:pt>
                <c:pt idx="66">
                  <c:v>4.3499999999999996</c:v>
                </c:pt>
                <c:pt idx="67">
                  <c:v>4.3</c:v>
                </c:pt>
                <c:pt idx="68">
                  <c:v>4.3499999999999996</c:v>
                </c:pt>
                <c:pt idx="69">
                  <c:v>4.3499999999999996</c:v>
                </c:pt>
                <c:pt idx="70">
                  <c:v>4.3499999999999996</c:v>
                </c:pt>
                <c:pt idx="71">
                  <c:v>4.3499999999999996</c:v>
                </c:pt>
                <c:pt idx="72">
                  <c:v>4.3499999999999996</c:v>
                </c:pt>
                <c:pt idx="73">
                  <c:v>4.3499999999999996</c:v>
                </c:pt>
                <c:pt idx="74">
                  <c:v>4.3499999999999996</c:v>
                </c:pt>
                <c:pt idx="75">
                  <c:v>4.3499999999999996</c:v>
                </c:pt>
                <c:pt idx="76">
                  <c:v>4.3499999999999996</c:v>
                </c:pt>
                <c:pt idx="77">
                  <c:v>4.3</c:v>
                </c:pt>
                <c:pt idx="78">
                  <c:v>4.3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4.3</c:v>
                </c:pt>
                <c:pt idx="85">
                  <c:v>4.3</c:v>
                </c:pt>
                <c:pt idx="86">
                  <c:v>4.3</c:v>
                </c:pt>
                <c:pt idx="87">
                  <c:v>4.3</c:v>
                </c:pt>
                <c:pt idx="88">
                  <c:v>4.3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4.3499999999999996</c:v>
                </c:pt>
                <c:pt idx="92">
                  <c:v>4.3499999999999996</c:v>
                </c:pt>
                <c:pt idx="93">
                  <c:v>4.3499999999999996</c:v>
                </c:pt>
                <c:pt idx="94">
                  <c:v>4.3499999999999996</c:v>
                </c:pt>
                <c:pt idx="95">
                  <c:v>4.3499999999999996</c:v>
                </c:pt>
                <c:pt idx="96">
                  <c:v>4.3499999999999996</c:v>
                </c:pt>
                <c:pt idx="97">
                  <c:v>4.3499999999999996</c:v>
                </c:pt>
                <c:pt idx="98">
                  <c:v>4.3499999999999996</c:v>
                </c:pt>
                <c:pt idx="99">
                  <c:v>4.3499999999999996</c:v>
                </c:pt>
                <c:pt idx="100">
                  <c:v>4.3499999999999996</c:v>
                </c:pt>
                <c:pt idx="101">
                  <c:v>4.3499999999999996</c:v>
                </c:pt>
                <c:pt idx="102">
                  <c:v>4.3499999999999996</c:v>
                </c:pt>
                <c:pt idx="103">
                  <c:v>4.3499999999999996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780320"/>
        <c:axId val="916782560"/>
      </c:scatterChart>
      <c:valAx>
        <c:axId val="916782000"/>
        <c:scaling>
          <c:orientation val="minMax"/>
          <c:max val="43305.666666666701"/>
          <c:min val="43305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71920"/>
        <c:crosses val="autoZero"/>
        <c:crossBetween val="midCat"/>
        <c:majorUnit val="1.0416666666666701E-2"/>
      </c:valAx>
      <c:valAx>
        <c:axId val="9167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82000"/>
        <c:crosses val="autoZero"/>
        <c:crossBetween val="midCat"/>
      </c:valAx>
      <c:valAx>
        <c:axId val="916782560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780320"/>
        <c:crosses val="max"/>
        <c:crossBetween val="midCat"/>
      </c:valAx>
      <c:valAx>
        <c:axId val="91678032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91678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08912"/>
        <c:axId val="230410592"/>
      </c:scatterChart>
      <c:valAx>
        <c:axId val="230408912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10592"/>
        <c:crosses val="autoZero"/>
        <c:crossBetween val="midCat"/>
        <c:majorUnit val="2.0900000000000005E-2"/>
      </c:valAx>
      <c:valAx>
        <c:axId val="2304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0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tabSelected="1" zoomScale="85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286"/>
  <sheetViews>
    <sheetView zoomScale="70" zoomScaleNormal="70" workbookViewId="0">
      <pane xSplit="4" ySplit="1" topLeftCell="E113" activePane="bottomRight" state="frozen"/>
      <selection activeCell="J36" sqref="J36"/>
      <selection pane="topRight" activeCell="J36" sqref="J36"/>
      <selection pane="bottomLeft" activeCell="J36" sqref="J36"/>
      <selection pane="bottomRight" activeCell="N113" sqref="N113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78" t="s">
        <v>4770</v>
      </c>
      <c r="B1" s="78" t="s">
        <v>4771</v>
      </c>
      <c r="C1" s="79">
        <v>105</v>
      </c>
      <c r="D1" s="80">
        <f>C1/86400</f>
        <v>1.2152777777777778E-3</v>
      </c>
      <c r="E1" s="52">
        <v>2</v>
      </c>
      <c r="F1" s="52"/>
      <c r="G1" s="53" t="s">
        <v>4772</v>
      </c>
      <c r="H1" s="53" t="s">
        <v>4773</v>
      </c>
      <c r="I1" s="52" t="s">
        <v>4776</v>
      </c>
      <c r="J1" s="52" t="s">
        <v>4839</v>
      </c>
      <c r="K1" s="52" t="s">
        <v>4777</v>
      </c>
      <c r="L1" s="52" t="s">
        <v>4778</v>
      </c>
      <c r="M1" s="52" t="s">
        <v>4779</v>
      </c>
      <c r="N1" s="52" t="s">
        <v>4775</v>
      </c>
      <c r="O1" s="52" t="s">
        <v>4840</v>
      </c>
      <c r="P1" s="52" t="s">
        <v>4841</v>
      </c>
      <c r="Q1" s="52" t="s">
        <v>4802</v>
      </c>
      <c r="R1" s="52" t="s">
        <v>4803</v>
      </c>
      <c r="S1" s="52" t="s">
        <v>4799</v>
      </c>
      <c r="T1" s="52" t="s">
        <v>4774</v>
      </c>
      <c r="U1" s="52" t="s">
        <v>4800</v>
      </c>
      <c r="V1" s="52" t="s">
        <v>4801</v>
      </c>
      <c r="W1" s="52" t="s">
        <v>4795</v>
      </c>
      <c r="X1" s="52" t="s">
        <v>4796</v>
      </c>
      <c r="Y1" s="52" t="s">
        <v>4797</v>
      </c>
      <c r="Z1" s="52" t="s">
        <v>4798</v>
      </c>
      <c r="AA1" s="52" t="s">
        <v>4791</v>
      </c>
      <c r="AB1" s="52" t="s">
        <v>4792</v>
      </c>
      <c r="AC1" s="52" t="s">
        <v>4793</v>
      </c>
      <c r="AD1" s="52" t="s">
        <v>4794</v>
      </c>
      <c r="AE1" s="52" t="s">
        <v>4787</v>
      </c>
      <c r="AF1" s="52" t="s">
        <v>4788</v>
      </c>
      <c r="AG1" s="52" t="s">
        <v>4789</v>
      </c>
      <c r="AH1" s="52" t="s">
        <v>4790</v>
      </c>
      <c r="AI1" s="52" t="s">
        <v>4786</v>
      </c>
      <c r="AJ1" s="52" t="s">
        <v>4785</v>
      </c>
      <c r="AK1" s="52" t="s">
        <v>4784</v>
      </c>
      <c r="AL1" s="52" t="s">
        <v>4783</v>
      </c>
      <c r="AM1" s="52" t="s">
        <v>4780</v>
      </c>
      <c r="AN1" s="52" t="s">
        <v>4781</v>
      </c>
      <c r="AO1" s="52"/>
      <c r="AP1" s="52" t="s">
        <v>4782</v>
      </c>
      <c r="AQ1" s="52"/>
      <c r="AR1" s="52" t="s">
        <v>4823</v>
      </c>
    </row>
    <row r="2" spans="1:54" ht="40.799999999999997" x14ac:dyDescent="0.3">
      <c r="A2" s="56" t="s">
        <v>4815</v>
      </c>
      <c r="B2" s="57" t="s">
        <v>2658</v>
      </c>
      <c r="C2" s="57" t="s">
        <v>4767</v>
      </c>
      <c r="D2" s="57">
        <v>1</v>
      </c>
      <c r="E2" s="57" t="s">
        <v>4768</v>
      </c>
      <c r="F2" s="57" t="s">
        <v>4768</v>
      </c>
      <c r="G2" s="57">
        <v>12.25</v>
      </c>
      <c r="H2" s="57">
        <v>3.95</v>
      </c>
      <c r="I2" s="57">
        <v>4.05</v>
      </c>
      <c r="J2" s="57">
        <v>4.05</v>
      </c>
      <c r="K2" s="57">
        <v>4.2</v>
      </c>
      <c r="L2" s="57">
        <v>4.05</v>
      </c>
      <c r="M2" s="57">
        <v>4.1100000000000003</v>
      </c>
      <c r="N2" s="57">
        <v>4.1500000000000004</v>
      </c>
      <c r="O2" s="57">
        <v>0.1</v>
      </c>
      <c r="P2" s="57">
        <v>2.4700000000000002</v>
      </c>
      <c r="Q2" s="58">
        <v>2397895</v>
      </c>
      <c r="R2" s="57">
        <v>98.55</v>
      </c>
      <c r="S2" s="59">
        <v>507375</v>
      </c>
      <c r="T2" s="57">
        <v>4.1500000000000004</v>
      </c>
      <c r="U2" s="57">
        <v>4.2</v>
      </c>
      <c r="V2" s="59">
        <v>342774</v>
      </c>
      <c r="W2" s="59">
        <v>1072110</v>
      </c>
      <c r="X2" s="57">
        <v>4.0999999999999996</v>
      </c>
      <c r="Y2" s="57">
        <v>4.25</v>
      </c>
      <c r="Z2" s="59">
        <v>246337</v>
      </c>
      <c r="AA2" s="59">
        <v>1356769</v>
      </c>
      <c r="AB2" s="57">
        <v>4.05</v>
      </c>
      <c r="AC2" s="57">
        <v>4.3</v>
      </c>
      <c r="AD2" s="59">
        <v>270585</v>
      </c>
      <c r="AE2" s="59">
        <v>2186413</v>
      </c>
      <c r="AF2" s="57">
        <v>4</v>
      </c>
      <c r="AG2" s="57">
        <v>4.3499999999999996</v>
      </c>
      <c r="AH2" s="59">
        <v>188580</v>
      </c>
      <c r="AI2" s="59">
        <v>225841</v>
      </c>
      <c r="AJ2" s="57">
        <v>3.95</v>
      </c>
      <c r="AK2" s="57">
        <v>4.4000000000000004</v>
      </c>
      <c r="AL2" s="59">
        <v>391870</v>
      </c>
      <c r="AM2" s="59">
        <v>6228183</v>
      </c>
      <c r="AN2" s="59">
        <v>2301280</v>
      </c>
      <c r="AO2" s="60">
        <v>43304</v>
      </c>
      <c r="AP2" s="61" t="s">
        <v>4822</v>
      </c>
      <c r="AQ2" s="76"/>
      <c r="AR2" s="76">
        <f>43305+TIMEVALUE(SUBSTITUTE(AP2,";",":"))</f>
        <v>43305.451574074075</v>
      </c>
      <c r="AY2" s="63" t="str">
        <f>AP2</f>
        <v>24-JUL-2018 10;50;16</v>
      </c>
      <c r="AZ2" s="63">
        <f>BA2</f>
        <v>43301</v>
      </c>
      <c r="BA2" s="51">
        <v>43301</v>
      </c>
      <c r="BB2">
        <f>DATEVALUE("20-07-18")</f>
        <v>43301</v>
      </c>
    </row>
    <row r="3" spans="1:54" ht="28.2" customHeight="1" x14ac:dyDescent="0.3">
      <c r="A3" s="56" t="s">
        <v>4815</v>
      </c>
      <c r="B3" s="57" t="s">
        <v>2658</v>
      </c>
      <c r="C3" s="57" t="s">
        <v>4767</v>
      </c>
      <c r="D3" s="57">
        <v>1</v>
      </c>
      <c r="E3" s="57" t="s">
        <v>4768</v>
      </c>
      <c r="F3" s="57" t="s">
        <v>4768</v>
      </c>
      <c r="G3" s="57">
        <v>12.25</v>
      </c>
      <c r="H3" s="57">
        <v>3.95</v>
      </c>
      <c r="I3" s="57">
        <v>4.05</v>
      </c>
      <c r="J3" s="57">
        <v>4.05</v>
      </c>
      <c r="K3" s="57">
        <v>4.4000000000000004</v>
      </c>
      <c r="L3" s="57">
        <v>4.05</v>
      </c>
      <c r="M3" s="57">
        <v>4.18</v>
      </c>
      <c r="N3" s="57">
        <v>4.4000000000000004</v>
      </c>
      <c r="O3" s="57">
        <v>0.35</v>
      </c>
      <c r="P3" s="57">
        <v>8.64</v>
      </c>
      <c r="Q3" s="58">
        <v>4693315</v>
      </c>
      <c r="R3" s="57">
        <v>196.18</v>
      </c>
      <c r="S3" s="59">
        <v>74528</v>
      </c>
      <c r="T3" s="57">
        <v>4.3499999999999996</v>
      </c>
      <c r="U3" s="57">
        <v>4.4000000000000004</v>
      </c>
      <c r="V3" s="59">
        <v>394157</v>
      </c>
      <c r="W3" s="59">
        <v>527556</v>
      </c>
      <c r="X3" s="57">
        <v>4.3</v>
      </c>
      <c r="Y3" s="57">
        <v>4.45</v>
      </c>
      <c r="Z3" s="59">
        <v>345770</v>
      </c>
      <c r="AA3" s="59">
        <v>726800</v>
      </c>
      <c r="AB3" s="57">
        <v>4.25</v>
      </c>
      <c r="AC3" s="57">
        <v>4.5</v>
      </c>
      <c r="AD3" s="59">
        <v>251707</v>
      </c>
      <c r="AE3" s="59">
        <v>660513</v>
      </c>
      <c r="AF3" s="57">
        <v>4.2</v>
      </c>
      <c r="AG3" s="57">
        <v>4.55</v>
      </c>
      <c r="AH3" s="59">
        <v>35409</v>
      </c>
      <c r="AI3" s="59">
        <v>488432</v>
      </c>
      <c r="AJ3" s="57">
        <v>4.1500000000000004</v>
      </c>
      <c r="AK3" s="57">
        <v>4.5999999999999996</v>
      </c>
      <c r="AL3" s="59">
        <v>166505</v>
      </c>
      <c r="AM3" s="59">
        <v>6518275</v>
      </c>
      <c r="AN3" s="59">
        <v>2114432</v>
      </c>
      <c r="AO3" s="60">
        <v>43304</v>
      </c>
      <c r="AP3" s="61" t="s">
        <v>4824</v>
      </c>
      <c r="AQ3" s="76" t="s">
        <v>4769</v>
      </c>
      <c r="AR3" s="76">
        <f t="shared" ref="AR3:AR66" si="0">43305+TIMEVALUE(SUBSTITUTE(AP3,";",":"))</f>
        <v>43305.484583333331</v>
      </c>
      <c r="AY3" s="63" t="str">
        <f t="shared" ref="AY3" si="1">AP3</f>
        <v>24-JUL-2018 11;37;48</v>
      </c>
      <c r="AZ3" s="63">
        <f>BA3</f>
        <v>43301.000347222223</v>
      </c>
      <c r="BA3" s="64">
        <v>43301.000347222223</v>
      </c>
      <c r="BB3">
        <f>1/12</f>
        <v>8.3333333333333329E-2</v>
      </c>
    </row>
    <row r="4" spans="1:54" x14ac:dyDescent="0.3">
      <c r="A4" s="62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  <c r="R4" s="57"/>
      <c r="S4" s="59"/>
      <c r="T4" s="57"/>
      <c r="U4" s="57"/>
      <c r="V4" s="59"/>
      <c r="W4" s="59"/>
      <c r="X4" s="57"/>
      <c r="Y4" s="57"/>
      <c r="Z4" s="59"/>
      <c r="AA4" s="59"/>
      <c r="AB4" s="57"/>
      <c r="AC4" s="57"/>
      <c r="AD4" s="59"/>
      <c r="AE4" s="59"/>
      <c r="AF4" s="57"/>
      <c r="AG4" s="57"/>
      <c r="AH4" s="59"/>
      <c r="AI4" s="59"/>
      <c r="AJ4" s="57"/>
      <c r="AK4" s="57"/>
      <c r="AL4" s="59"/>
      <c r="AM4" s="59"/>
      <c r="AN4" s="59"/>
      <c r="AO4" s="60"/>
      <c r="AP4" s="61"/>
      <c r="AQ4" s="76"/>
      <c r="AR4" s="76" t="e">
        <f t="shared" si="0"/>
        <v>#VALUE!</v>
      </c>
      <c r="AY4" s="63"/>
      <c r="AZ4" s="63"/>
      <c r="BA4" s="64"/>
    </row>
    <row r="5" spans="1:54" ht="40.799999999999997" x14ac:dyDescent="0.3">
      <c r="A5" s="56" t="s">
        <v>4815</v>
      </c>
      <c r="B5" s="57" t="s">
        <v>2658</v>
      </c>
      <c r="C5" s="57" t="s">
        <v>4767</v>
      </c>
      <c r="D5" s="57">
        <v>1</v>
      </c>
      <c r="E5" s="57" t="s">
        <v>4768</v>
      </c>
      <c r="F5" s="57" t="s">
        <v>4768</v>
      </c>
      <c r="G5" s="57">
        <v>12.25</v>
      </c>
      <c r="H5" s="57">
        <v>3.95</v>
      </c>
      <c r="I5" s="57">
        <v>4.05</v>
      </c>
      <c r="J5" s="57">
        <v>4.05</v>
      </c>
      <c r="K5" s="57">
        <v>4.4000000000000004</v>
      </c>
      <c r="L5" s="57">
        <v>4.05</v>
      </c>
      <c r="M5" s="57">
        <v>4.18</v>
      </c>
      <c r="N5" s="57">
        <v>4.4000000000000004</v>
      </c>
      <c r="O5" s="57">
        <v>0.35</v>
      </c>
      <c r="P5" s="57">
        <v>8.64</v>
      </c>
      <c r="Q5" s="58">
        <v>4693315</v>
      </c>
      <c r="R5" s="57">
        <v>196.18</v>
      </c>
      <c r="S5" s="59">
        <v>74528</v>
      </c>
      <c r="T5" s="57">
        <v>4.3499999999999996</v>
      </c>
      <c r="U5" s="57">
        <v>4.4000000000000004</v>
      </c>
      <c r="V5" s="59">
        <v>394157</v>
      </c>
      <c r="W5" s="59">
        <v>527556</v>
      </c>
      <c r="X5" s="57">
        <v>4.3</v>
      </c>
      <c r="Y5" s="57">
        <v>4.45</v>
      </c>
      <c r="Z5" s="59">
        <v>345770</v>
      </c>
      <c r="AA5" s="59">
        <v>726800</v>
      </c>
      <c r="AB5" s="57">
        <v>4.25</v>
      </c>
      <c r="AC5" s="57">
        <v>4.5</v>
      </c>
      <c r="AD5" s="59">
        <v>251707</v>
      </c>
      <c r="AE5" s="59">
        <v>660513</v>
      </c>
      <c r="AF5" s="57">
        <v>4.2</v>
      </c>
      <c r="AG5" s="57">
        <v>4.55</v>
      </c>
      <c r="AH5" s="59">
        <v>35409</v>
      </c>
      <c r="AI5" s="59">
        <v>488432</v>
      </c>
      <c r="AJ5" s="57">
        <v>4.1500000000000004</v>
      </c>
      <c r="AK5" s="57">
        <v>4.5999999999999996</v>
      </c>
      <c r="AL5" s="59">
        <v>166505</v>
      </c>
      <c r="AM5" s="59">
        <v>6518275</v>
      </c>
      <c r="AN5" s="59">
        <v>2114432</v>
      </c>
      <c r="AO5" s="60">
        <v>43304</v>
      </c>
      <c r="AP5" s="61" t="s">
        <v>4824</v>
      </c>
      <c r="AQ5" s="76" t="s">
        <v>4769</v>
      </c>
      <c r="AR5" s="76">
        <f t="shared" si="0"/>
        <v>43305.484583333331</v>
      </c>
      <c r="AY5" s="63"/>
      <c r="BA5" s="64"/>
    </row>
    <row r="6" spans="1:54" ht="40.799999999999997" x14ac:dyDescent="0.3">
      <c r="A6" s="56" t="s">
        <v>4815</v>
      </c>
      <c r="B6" s="57" t="s">
        <v>2658</v>
      </c>
      <c r="C6" s="57" t="s">
        <v>4767</v>
      </c>
      <c r="D6" s="57">
        <v>1</v>
      </c>
      <c r="E6" s="57" t="s">
        <v>4768</v>
      </c>
      <c r="F6" s="57" t="s">
        <v>4768</v>
      </c>
      <c r="G6" s="57">
        <v>12.25</v>
      </c>
      <c r="H6" s="57">
        <v>3.95</v>
      </c>
      <c r="I6" s="57">
        <v>4.05</v>
      </c>
      <c r="J6" s="57">
        <v>4.05</v>
      </c>
      <c r="K6" s="57">
        <v>4.4000000000000004</v>
      </c>
      <c r="L6" s="57">
        <v>4.05</v>
      </c>
      <c r="M6" s="57">
        <v>4.18</v>
      </c>
      <c r="N6" s="57">
        <v>4.4000000000000004</v>
      </c>
      <c r="O6" s="57">
        <v>0.35</v>
      </c>
      <c r="P6" s="57">
        <v>8.64</v>
      </c>
      <c r="Q6" s="58">
        <v>4693315</v>
      </c>
      <c r="R6" s="57">
        <v>196.18</v>
      </c>
      <c r="S6" s="59">
        <v>74528</v>
      </c>
      <c r="T6" s="57">
        <v>4.3499999999999996</v>
      </c>
      <c r="U6" s="57">
        <v>4.4000000000000004</v>
      </c>
      <c r="V6" s="59">
        <v>394157</v>
      </c>
      <c r="W6" s="59">
        <v>527556</v>
      </c>
      <c r="X6" s="57">
        <v>4.3</v>
      </c>
      <c r="Y6" s="57">
        <v>4.45</v>
      </c>
      <c r="Z6" s="59">
        <v>345770</v>
      </c>
      <c r="AA6" s="59">
        <v>726800</v>
      </c>
      <c r="AB6" s="57">
        <v>4.25</v>
      </c>
      <c r="AC6" s="57">
        <v>4.5</v>
      </c>
      <c r="AD6" s="59">
        <v>251707</v>
      </c>
      <c r="AE6" s="59">
        <v>660513</v>
      </c>
      <c r="AF6" s="57">
        <v>4.2</v>
      </c>
      <c r="AG6" s="57">
        <v>4.55</v>
      </c>
      <c r="AH6" s="59">
        <v>35409</v>
      </c>
      <c r="AI6" s="59">
        <v>488432</v>
      </c>
      <c r="AJ6" s="57">
        <v>4.1500000000000004</v>
      </c>
      <c r="AK6" s="57">
        <v>4.5999999999999996</v>
      </c>
      <c r="AL6" s="59">
        <v>166505</v>
      </c>
      <c r="AM6" s="59">
        <v>6518275</v>
      </c>
      <c r="AN6" s="59">
        <v>2114432</v>
      </c>
      <c r="AO6" s="60">
        <v>43304</v>
      </c>
      <c r="AP6" s="61" t="s">
        <v>4824</v>
      </c>
      <c r="AQ6" s="76" t="s">
        <v>4769</v>
      </c>
      <c r="AR6" s="76">
        <f t="shared" si="0"/>
        <v>43305.484583333331</v>
      </c>
      <c r="AY6" s="63"/>
      <c r="BA6" s="64"/>
    </row>
    <row r="7" spans="1:54" ht="40.799999999999997" x14ac:dyDescent="0.3">
      <c r="A7" s="62" t="s">
        <v>4815</v>
      </c>
      <c r="B7" s="57" t="s">
        <v>2658</v>
      </c>
      <c r="C7" s="57" t="s">
        <v>4767</v>
      </c>
      <c r="D7" s="57">
        <v>1</v>
      </c>
      <c r="E7" s="57" t="s">
        <v>4768</v>
      </c>
      <c r="F7" s="57" t="s">
        <v>4768</v>
      </c>
      <c r="G7" s="57">
        <v>12.25</v>
      </c>
      <c r="H7" s="57">
        <v>3.95</v>
      </c>
      <c r="I7" s="57">
        <v>4.05</v>
      </c>
      <c r="J7" s="57">
        <v>4.05</v>
      </c>
      <c r="K7" s="57">
        <v>4.4000000000000004</v>
      </c>
      <c r="L7" s="57">
        <v>4.05</v>
      </c>
      <c r="M7" s="57">
        <v>4.18</v>
      </c>
      <c r="N7" s="57">
        <v>4.4000000000000004</v>
      </c>
      <c r="O7" s="57">
        <v>0.35</v>
      </c>
      <c r="P7" s="57">
        <v>8.64</v>
      </c>
      <c r="Q7" s="58">
        <v>4693315</v>
      </c>
      <c r="R7" s="57">
        <v>196.18</v>
      </c>
      <c r="S7" s="59">
        <v>74528</v>
      </c>
      <c r="T7" s="57">
        <v>4.3499999999999996</v>
      </c>
      <c r="U7" s="57">
        <v>4.4000000000000004</v>
      </c>
      <c r="V7" s="59">
        <v>394157</v>
      </c>
      <c r="W7" s="59">
        <v>527556</v>
      </c>
      <c r="X7" s="57">
        <v>4.3</v>
      </c>
      <c r="Y7" s="57">
        <v>4.45</v>
      </c>
      <c r="Z7" s="59">
        <v>345770</v>
      </c>
      <c r="AA7" s="59">
        <v>726800</v>
      </c>
      <c r="AB7" s="57">
        <v>4.25</v>
      </c>
      <c r="AC7" s="57">
        <v>4.5</v>
      </c>
      <c r="AD7" s="59">
        <v>251707</v>
      </c>
      <c r="AE7" s="59">
        <v>660513</v>
      </c>
      <c r="AF7" s="57">
        <v>4.2</v>
      </c>
      <c r="AG7" s="57">
        <v>4.55</v>
      </c>
      <c r="AH7" s="59">
        <v>35409</v>
      </c>
      <c r="AI7" s="59">
        <v>488432</v>
      </c>
      <c r="AJ7" s="57">
        <v>4.1500000000000004</v>
      </c>
      <c r="AK7" s="57">
        <v>4.5999999999999996</v>
      </c>
      <c r="AL7" s="59">
        <v>166505</v>
      </c>
      <c r="AM7" s="59">
        <v>6518275</v>
      </c>
      <c r="AN7" s="59">
        <v>2114432</v>
      </c>
      <c r="AO7" s="60">
        <v>43304</v>
      </c>
      <c r="AP7" s="61" t="s">
        <v>4824</v>
      </c>
      <c r="AQ7" s="76" t="s">
        <v>4769</v>
      </c>
      <c r="AR7" s="76">
        <f t="shared" si="0"/>
        <v>43305.484583333331</v>
      </c>
      <c r="AY7" s="63"/>
      <c r="BA7" s="64"/>
    </row>
    <row r="8" spans="1:54" ht="40.799999999999997" x14ac:dyDescent="0.3">
      <c r="A8" s="56" t="s">
        <v>4815</v>
      </c>
      <c r="B8" s="57" t="s">
        <v>2658</v>
      </c>
      <c r="C8" s="57" t="s">
        <v>4767</v>
      </c>
      <c r="D8" s="57">
        <v>1</v>
      </c>
      <c r="E8" s="57" t="s">
        <v>4768</v>
      </c>
      <c r="F8" s="57" t="s">
        <v>4768</v>
      </c>
      <c r="G8" s="57">
        <v>12.25</v>
      </c>
      <c r="H8" s="57">
        <v>3.95</v>
      </c>
      <c r="I8" s="57">
        <v>4.05</v>
      </c>
      <c r="J8" s="57">
        <v>4.05</v>
      </c>
      <c r="K8" s="57">
        <v>4.45</v>
      </c>
      <c r="L8" s="57">
        <v>4.05</v>
      </c>
      <c r="M8" s="57">
        <v>4.25</v>
      </c>
      <c r="N8" s="57">
        <v>4.3499999999999996</v>
      </c>
      <c r="O8" s="57">
        <v>0.3</v>
      </c>
      <c r="P8" s="57">
        <v>7.41</v>
      </c>
      <c r="Q8" s="58">
        <v>6878210</v>
      </c>
      <c r="R8" s="57">
        <v>292.32</v>
      </c>
      <c r="S8" s="59">
        <v>439162</v>
      </c>
      <c r="T8" s="57">
        <v>4.3499999999999996</v>
      </c>
      <c r="U8" s="57">
        <v>4.4000000000000004</v>
      </c>
      <c r="V8" s="59">
        <v>201455</v>
      </c>
      <c r="W8" s="59">
        <v>850052</v>
      </c>
      <c r="X8" s="57">
        <v>4.3</v>
      </c>
      <c r="Y8" s="57">
        <v>4.45</v>
      </c>
      <c r="Z8" s="59">
        <v>351714</v>
      </c>
      <c r="AA8" s="59">
        <v>867009</v>
      </c>
      <c r="AB8" s="57">
        <v>4.25</v>
      </c>
      <c r="AC8" s="57">
        <v>4.5</v>
      </c>
      <c r="AD8" s="59">
        <v>269365</v>
      </c>
      <c r="AE8" s="59">
        <v>898365</v>
      </c>
      <c r="AF8" s="57">
        <v>4.2</v>
      </c>
      <c r="AG8" s="57">
        <v>4.55</v>
      </c>
      <c r="AH8" s="59">
        <v>65875</v>
      </c>
      <c r="AI8" s="59">
        <v>480999</v>
      </c>
      <c r="AJ8" s="57">
        <v>4.1500000000000004</v>
      </c>
      <c r="AK8" s="57">
        <v>4.5999999999999996</v>
      </c>
      <c r="AL8" s="59">
        <v>246902</v>
      </c>
      <c r="AM8" s="59">
        <v>7592345</v>
      </c>
      <c r="AN8" s="59">
        <v>2410483</v>
      </c>
      <c r="AO8" s="60">
        <v>43304</v>
      </c>
      <c r="AP8" s="61" t="s">
        <v>4825</v>
      </c>
      <c r="AQ8" s="76" t="s">
        <v>4769</v>
      </c>
      <c r="AR8" s="76">
        <f t="shared" si="0"/>
        <v>43305.488402777781</v>
      </c>
      <c r="AY8" s="63"/>
      <c r="BA8" s="64"/>
    </row>
    <row r="9" spans="1:54" ht="40.799999999999997" x14ac:dyDescent="0.3">
      <c r="A9" s="56" t="s">
        <v>4815</v>
      </c>
      <c r="B9" s="57" t="s">
        <v>2658</v>
      </c>
      <c r="C9" s="57" t="s">
        <v>4767</v>
      </c>
      <c r="D9" s="57">
        <v>1</v>
      </c>
      <c r="E9" s="57" t="s">
        <v>4768</v>
      </c>
      <c r="F9" s="57" t="s">
        <v>4768</v>
      </c>
      <c r="G9" s="57">
        <v>12.25</v>
      </c>
      <c r="H9" s="57">
        <v>3.95</v>
      </c>
      <c r="I9" s="57">
        <v>4.05</v>
      </c>
      <c r="J9" s="57">
        <v>4.05</v>
      </c>
      <c r="K9" s="57">
        <v>4.45</v>
      </c>
      <c r="L9" s="57">
        <v>4.05</v>
      </c>
      <c r="M9" s="57">
        <v>4.25</v>
      </c>
      <c r="N9" s="57">
        <v>4.3499999999999996</v>
      </c>
      <c r="O9" s="57">
        <v>0.3</v>
      </c>
      <c r="P9" s="57">
        <v>7.41</v>
      </c>
      <c r="Q9" s="58">
        <v>6878210</v>
      </c>
      <c r="R9" s="57">
        <v>292.32</v>
      </c>
      <c r="S9" s="59">
        <v>439162</v>
      </c>
      <c r="T9" s="57">
        <v>4.3499999999999996</v>
      </c>
      <c r="U9" s="57">
        <v>4.4000000000000004</v>
      </c>
      <c r="V9" s="59">
        <v>201455</v>
      </c>
      <c r="W9" s="59">
        <v>850052</v>
      </c>
      <c r="X9" s="57">
        <v>4.3</v>
      </c>
      <c r="Y9" s="57">
        <v>4.45</v>
      </c>
      <c r="Z9" s="59">
        <v>351714</v>
      </c>
      <c r="AA9" s="59">
        <v>867009</v>
      </c>
      <c r="AB9" s="57">
        <v>4.25</v>
      </c>
      <c r="AC9" s="57">
        <v>4.5</v>
      </c>
      <c r="AD9" s="59">
        <v>269365</v>
      </c>
      <c r="AE9" s="59">
        <v>898365</v>
      </c>
      <c r="AF9" s="57">
        <v>4.2</v>
      </c>
      <c r="AG9" s="57">
        <v>4.55</v>
      </c>
      <c r="AH9" s="59">
        <v>65875</v>
      </c>
      <c r="AI9" s="59">
        <v>480999</v>
      </c>
      <c r="AJ9" s="57">
        <v>4.1500000000000004</v>
      </c>
      <c r="AK9" s="57">
        <v>4.5999999999999996</v>
      </c>
      <c r="AL9" s="59">
        <v>246902</v>
      </c>
      <c r="AM9" s="59">
        <v>7592345</v>
      </c>
      <c r="AN9" s="59">
        <v>2410483</v>
      </c>
      <c r="AO9" s="60">
        <v>43304</v>
      </c>
      <c r="AP9" s="61" t="s">
        <v>4825</v>
      </c>
      <c r="AQ9" s="76" t="s">
        <v>4769</v>
      </c>
      <c r="AR9" s="76">
        <f t="shared" si="0"/>
        <v>43305.488402777781</v>
      </c>
      <c r="AY9" s="63"/>
      <c r="BA9" s="64"/>
    </row>
    <row r="10" spans="1:54" ht="40.799999999999997" x14ac:dyDescent="0.3">
      <c r="A10" s="56" t="s">
        <v>4815</v>
      </c>
      <c r="B10" s="57" t="s">
        <v>2658</v>
      </c>
      <c r="C10" s="57" t="s">
        <v>4767</v>
      </c>
      <c r="D10" s="57">
        <v>1</v>
      </c>
      <c r="E10" s="57" t="s">
        <v>4768</v>
      </c>
      <c r="F10" s="57" t="s">
        <v>4768</v>
      </c>
      <c r="G10" s="57">
        <v>12.25</v>
      </c>
      <c r="H10" s="57">
        <v>3.95</v>
      </c>
      <c r="I10" s="57">
        <v>4.05</v>
      </c>
      <c r="J10" s="57">
        <v>4.05</v>
      </c>
      <c r="K10" s="57">
        <v>4.45</v>
      </c>
      <c r="L10" s="57">
        <v>4.05</v>
      </c>
      <c r="M10" s="57">
        <v>4.25</v>
      </c>
      <c r="N10" s="57">
        <v>4.3499999999999996</v>
      </c>
      <c r="O10" s="57">
        <v>0.3</v>
      </c>
      <c r="P10" s="57">
        <v>7.41</v>
      </c>
      <c r="Q10" s="58">
        <v>7127617</v>
      </c>
      <c r="R10" s="57">
        <v>302.92</v>
      </c>
      <c r="S10" s="59">
        <v>257531</v>
      </c>
      <c r="T10" s="57">
        <v>4.3</v>
      </c>
      <c r="U10" s="57">
        <v>4.3499999999999996</v>
      </c>
      <c r="V10" s="59">
        <v>208119</v>
      </c>
      <c r="W10" s="59">
        <v>323959</v>
      </c>
      <c r="X10" s="57">
        <v>4.25</v>
      </c>
      <c r="Y10" s="57">
        <v>4.4000000000000004</v>
      </c>
      <c r="Z10" s="59">
        <v>314202</v>
      </c>
      <c r="AA10" s="59">
        <v>636365</v>
      </c>
      <c r="AB10" s="57">
        <v>4.2</v>
      </c>
      <c r="AC10" s="57">
        <v>4.45</v>
      </c>
      <c r="AD10" s="59">
        <v>348809</v>
      </c>
      <c r="AE10" s="59">
        <v>490999</v>
      </c>
      <c r="AF10" s="57">
        <v>4.1500000000000004</v>
      </c>
      <c r="AG10" s="57">
        <v>4.5</v>
      </c>
      <c r="AH10" s="59">
        <v>272465</v>
      </c>
      <c r="AI10" s="59">
        <v>648090</v>
      </c>
      <c r="AJ10" s="57">
        <v>4.0999999999999996</v>
      </c>
      <c r="AK10" s="57">
        <v>4.55</v>
      </c>
      <c r="AL10" s="59">
        <v>71525</v>
      </c>
      <c r="AM10" s="59">
        <v>5710057</v>
      </c>
      <c r="AN10" s="59">
        <v>2752698</v>
      </c>
      <c r="AO10" s="60">
        <v>43304</v>
      </c>
      <c r="AP10" s="61" t="s">
        <v>4826</v>
      </c>
      <c r="AQ10" s="76" t="s">
        <v>4769</v>
      </c>
      <c r="AR10" s="76">
        <f t="shared" si="0"/>
        <v>43305.489444444444</v>
      </c>
      <c r="AY10" s="63"/>
      <c r="BA10" s="64"/>
    </row>
    <row r="11" spans="1:54" ht="40.799999999999997" x14ac:dyDescent="0.3">
      <c r="A11" s="56" t="s">
        <v>4815</v>
      </c>
      <c r="B11" s="57" t="s">
        <v>2658</v>
      </c>
      <c r="C11" s="57" t="s">
        <v>4767</v>
      </c>
      <c r="D11" s="57">
        <v>1</v>
      </c>
      <c r="E11" s="57" t="s">
        <v>4768</v>
      </c>
      <c r="F11" s="57" t="s">
        <v>4768</v>
      </c>
      <c r="G11" s="57">
        <v>12.25</v>
      </c>
      <c r="H11" s="57">
        <v>3.95</v>
      </c>
      <c r="I11" s="57">
        <v>4.05</v>
      </c>
      <c r="J11" s="57">
        <v>4.05</v>
      </c>
      <c r="K11" s="57">
        <v>4.45</v>
      </c>
      <c r="L11" s="57">
        <v>4.05</v>
      </c>
      <c r="M11" s="57">
        <v>4.25</v>
      </c>
      <c r="N11" s="57">
        <v>4.3499999999999996</v>
      </c>
      <c r="O11" s="57">
        <v>0.3</v>
      </c>
      <c r="P11" s="57">
        <v>7.41</v>
      </c>
      <c r="Q11" s="58">
        <v>7127617</v>
      </c>
      <c r="R11" s="57">
        <v>302.92</v>
      </c>
      <c r="S11" s="59">
        <v>257531</v>
      </c>
      <c r="T11" s="57">
        <v>4.3</v>
      </c>
      <c r="U11" s="57">
        <v>4.3499999999999996</v>
      </c>
      <c r="V11" s="59">
        <v>208119</v>
      </c>
      <c r="W11" s="59">
        <v>323959</v>
      </c>
      <c r="X11" s="57">
        <v>4.25</v>
      </c>
      <c r="Y11" s="57">
        <v>4.4000000000000004</v>
      </c>
      <c r="Z11" s="59">
        <v>314202</v>
      </c>
      <c r="AA11" s="59">
        <v>636365</v>
      </c>
      <c r="AB11" s="57">
        <v>4.2</v>
      </c>
      <c r="AC11" s="57">
        <v>4.45</v>
      </c>
      <c r="AD11" s="59">
        <v>348809</v>
      </c>
      <c r="AE11" s="59">
        <v>490999</v>
      </c>
      <c r="AF11" s="57">
        <v>4.1500000000000004</v>
      </c>
      <c r="AG11" s="57">
        <v>4.5</v>
      </c>
      <c r="AH11" s="59">
        <v>272465</v>
      </c>
      <c r="AI11" s="59">
        <v>648090</v>
      </c>
      <c r="AJ11" s="57">
        <v>4.0999999999999996</v>
      </c>
      <c r="AK11" s="57">
        <v>4.55</v>
      </c>
      <c r="AL11" s="59">
        <v>71525</v>
      </c>
      <c r="AM11" s="59">
        <v>5710057</v>
      </c>
      <c r="AN11" s="59">
        <v>2752698</v>
      </c>
      <c r="AO11" s="60">
        <v>43304</v>
      </c>
      <c r="AP11" s="61" t="s">
        <v>4826</v>
      </c>
      <c r="AQ11" s="76" t="s">
        <v>4769</v>
      </c>
      <c r="AR11" s="76">
        <f t="shared" si="0"/>
        <v>43305.489444444444</v>
      </c>
      <c r="AY11" s="63"/>
      <c r="BA11" s="64"/>
    </row>
    <row r="12" spans="1:54" ht="40.799999999999997" x14ac:dyDescent="0.3">
      <c r="A12" s="56" t="s">
        <v>4815</v>
      </c>
      <c r="B12" s="57" t="s">
        <v>2658</v>
      </c>
      <c r="C12" s="57" t="s">
        <v>4767</v>
      </c>
      <c r="D12" s="57">
        <v>1</v>
      </c>
      <c r="E12" s="57" t="s">
        <v>4768</v>
      </c>
      <c r="F12" s="57" t="s">
        <v>4768</v>
      </c>
      <c r="G12" s="57">
        <v>12.25</v>
      </c>
      <c r="H12" s="57">
        <v>3.95</v>
      </c>
      <c r="I12" s="57">
        <v>4.05</v>
      </c>
      <c r="J12" s="57">
        <v>4.05</v>
      </c>
      <c r="K12" s="57">
        <v>4.45</v>
      </c>
      <c r="L12" s="57">
        <v>4.05</v>
      </c>
      <c r="M12" s="57">
        <v>4.25</v>
      </c>
      <c r="N12" s="57">
        <v>4.3</v>
      </c>
      <c r="O12" s="57">
        <v>0.25</v>
      </c>
      <c r="P12" s="57">
        <v>6.17</v>
      </c>
      <c r="Q12" s="58">
        <v>7392675</v>
      </c>
      <c r="R12" s="57">
        <v>314.19</v>
      </c>
      <c r="S12" s="59">
        <v>450209</v>
      </c>
      <c r="T12" s="57">
        <v>4.3</v>
      </c>
      <c r="U12" s="57">
        <v>4.3499999999999996</v>
      </c>
      <c r="V12" s="59">
        <v>128782</v>
      </c>
      <c r="W12" s="59">
        <v>623986</v>
      </c>
      <c r="X12" s="57">
        <v>4.25</v>
      </c>
      <c r="Y12" s="57">
        <v>4.4000000000000004</v>
      </c>
      <c r="Z12" s="59">
        <v>250649</v>
      </c>
      <c r="AA12" s="59">
        <v>943935</v>
      </c>
      <c r="AB12" s="57">
        <v>4.2</v>
      </c>
      <c r="AC12" s="57">
        <v>4.45</v>
      </c>
      <c r="AD12" s="59">
        <v>368559</v>
      </c>
      <c r="AE12" s="59">
        <v>500489</v>
      </c>
      <c r="AF12" s="57">
        <v>4.1500000000000004</v>
      </c>
      <c r="AG12" s="57">
        <v>4.5</v>
      </c>
      <c r="AH12" s="59">
        <v>274900</v>
      </c>
      <c r="AI12" s="59">
        <v>649490</v>
      </c>
      <c r="AJ12" s="57">
        <v>4.0999999999999996</v>
      </c>
      <c r="AK12" s="57">
        <v>4.55</v>
      </c>
      <c r="AL12" s="59">
        <v>66535</v>
      </c>
      <c r="AM12" s="59">
        <v>6223522</v>
      </c>
      <c r="AN12" s="59">
        <v>2778903</v>
      </c>
      <c r="AO12" s="60">
        <v>43304</v>
      </c>
      <c r="AP12" s="61" t="s">
        <v>4827</v>
      </c>
      <c r="AQ12" s="76" t="s">
        <v>4769</v>
      </c>
      <c r="AR12" s="76">
        <f t="shared" si="0"/>
        <v>43305.491527777776</v>
      </c>
      <c r="AY12" s="63"/>
      <c r="BA12" s="64"/>
    </row>
    <row r="13" spans="1:54" ht="40.799999999999997" x14ac:dyDescent="0.3">
      <c r="A13" s="56" t="s">
        <v>4815</v>
      </c>
      <c r="B13" s="57" t="s">
        <v>2658</v>
      </c>
      <c r="C13" s="57" t="s">
        <v>4767</v>
      </c>
      <c r="D13" s="57">
        <v>1</v>
      </c>
      <c r="E13" s="57" t="s">
        <v>4768</v>
      </c>
      <c r="F13" s="57" t="s">
        <v>4768</v>
      </c>
      <c r="G13" s="57">
        <v>12.25</v>
      </c>
      <c r="H13" s="57">
        <v>3.95</v>
      </c>
      <c r="I13" s="57">
        <v>4.05</v>
      </c>
      <c r="J13" s="57">
        <v>4.05</v>
      </c>
      <c r="K13" s="57">
        <v>4.45</v>
      </c>
      <c r="L13" s="57">
        <v>4.05</v>
      </c>
      <c r="M13" s="57">
        <v>4.25</v>
      </c>
      <c r="N13" s="57">
        <v>4.3</v>
      </c>
      <c r="O13" s="57">
        <v>0.25</v>
      </c>
      <c r="P13" s="57">
        <v>6.17</v>
      </c>
      <c r="Q13" s="58">
        <v>7392675</v>
      </c>
      <c r="R13" s="57">
        <v>314.19</v>
      </c>
      <c r="S13" s="59">
        <v>450209</v>
      </c>
      <c r="T13" s="57">
        <v>4.3</v>
      </c>
      <c r="U13" s="57">
        <v>4.3499999999999996</v>
      </c>
      <c r="V13" s="59">
        <v>128782</v>
      </c>
      <c r="W13" s="59">
        <v>623986</v>
      </c>
      <c r="X13" s="57">
        <v>4.25</v>
      </c>
      <c r="Y13" s="57">
        <v>4.4000000000000004</v>
      </c>
      <c r="Z13" s="59">
        <v>250649</v>
      </c>
      <c r="AA13" s="59">
        <v>943935</v>
      </c>
      <c r="AB13" s="57">
        <v>4.2</v>
      </c>
      <c r="AC13" s="57">
        <v>4.45</v>
      </c>
      <c r="AD13" s="59">
        <v>368559</v>
      </c>
      <c r="AE13" s="59">
        <v>500489</v>
      </c>
      <c r="AF13" s="57">
        <v>4.1500000000000004</v>
      </c>
      <c r="AG13" s="57">
        <v>4.5</v>
      </c>
      <c r="AH13" s="59">
        <v>274900</v>
      </c>
      <c r="AI13" s="59">
        <v>649490</v>
      </c>
      <c r="AJ13" s="57">
        <v>4.0999999999999996</v>
      </c>
      <c r="AK13" s="57">
        <v>4.55</v>
      </c>
      <c r="AL13" s="59">
        <v>66535</v>
      </c>
      <c r="AM13" s="59">
        <v>6223522</v>
      </c>
      <c r="AN13" s="59">
        <v>2778903</v>
      </c>
      <c r="AO13" s="60">
        <v>43304</v>
      </c>
      <c r="AP13" s="61" t="s">
        <v>4827</v>
      </c>
      <c r="AQ13" s="76" t="s">
        <v>4769</v>
      </c>
      <c r="AR13" s="76">
        <f t="shared" si="0"/>
        <v>43305.491527777776</v>
      </c>
      <c r="AY13" s="63"/>
      <c r="BA13" s="64"/>
    </row>
    <row r="14" spans="1:54" ht="40.799999999999997" x14ac:dyDescent="0.3">
      <c r="A14" s="56" t="s">
        <v>4815</v>
      </c>
      <c r="B14" s="57" t="s">
        <v>2658</v>
      </c>
      <c r="C14" s="57" t="s">
        <v>4767</v>
      </c>
      <c r="D14" s="57">
        <v>1</v>
      </c>
      <c r="E14" s="57" t="s">
        <v>4768</v>
      </c>
      <c r="F14" s="57" t="s">
        <v>4768</v>
      </c>
      <c r="G14" s="57">
        <v>12.25</v>
      </c>
      <c r="H14" s="57">
        <v>3.95</v>
      </c>
      <c r="I14" s="57">
        <v>4.05</v>
      </c>
      <c r="J14" s="57">
        <v>4.05</v>
      </c>
      <c r="K14" s="57">
        <v>4.45</v>
      </c>
      <c r="L14" s="57">
        <v>4.05</v>
      </c>
      <c r="M14" s="57">
        <v>4.25</v>
      </c>
      <c r="N14" s="57">
        <v>4.3</v>
      </c>
      <c r="O14" s="57">
        <v>0.25</v>
      </c>
      <c r="P14" s="57">
        <v>6.17</v>
      </c>
      <c r="Q14" s="58">
        <v>7407199</v>
      </c>
      <c r="R14" s="57">
        <v>314.81</v>
      </c>
      <c r="S14" s="59">
        <v>565695</v>
      </c>
      <c r="T14" s="57">
        <v>4.3</v>
      </c>
      <c r="U14" s="57">
        <v>4.3499999999999996</v>
      </c>
      <c r="V14" s="59">
        <v>123509</v>
      </c>
      <c r="W14" s="59">
        <v>622696</v>
      </c>
      <c r="X14" s="57">
        <v>4.25</v>
      </c>
      <c r="Y14" s="57">
        <v>4.4000000000000004</v>
      </c>
      <c r="Z14" s="59">
        <v>348825</v>
      </c>
      <c r="AA14" s="59">
        <v>958935</v>
      </c>
      <c r="AB14" s="57">
        <v>4.2</v>
      </c>
      <c r="AC14" s="57">
        <v>4.45</v>
      </c>
      <c r="AD14" s="59">
        <v>368560</v>
      </c>
      <c r="AE14" s="59">
        <v>500489</v>
      </c>
      <c r="AF14" s="57">
        <v>4.1500000000000004</v>
      </c>
      <c r="AG14" s="57">
        <v>4.5</v>
      </c>
      <c r="AH14" s="59">
        <v>271400</v>
      </c>
      <c r="AI14" s="59">
        <v>650930</v>
      </c>
      <c r="AJ14" s="57">
        <v>4.0999999999999996</v>
      </c>
      <c r="AK14" s="57">
        <v>4.55</v>
      </c>
      <c r="AL14" s="59">
        <v>47734</v>
      </c>
      <c r="AM14" s="59">
        <v>6354958</v>
      </c>
      <c r="AN14" s="59">
        <v>2869606</v>
      </c>
      <c r="AO14" s="60">
        <v>43304</v>
      </c>
      <c r="AP14" s="61" t="s">
        <v>4828</v>
      </c>
      <c r="AQ14" s="76" t="s">
        <v>4769</v>
      </c>
      <c r="AR14" s="76">
        <f t="shared" si="0"/>
        <v>43305.49291666667</v>
      </c>
      <c r="AY14" s="63"/>
      <c r="BA14" s="64"/>
    </row>
    <row r="15" spans="1:54" ht="40.799999999999997" x14ac:dyDescent="0.3">
      <c r="A15" s="56" t="s">
        <v>4815</v>
      </c>
      <c r="B15" s="57" t="s">
        <v>2658</v>
      </c>
      <c r="C15" s="57" t="s">
        <v>4767</v>
      </c>
      <c r="D15" s="57">
        <v>1</v>
      </c>
      <c r="E15" s="57" t="s">
        <v>4768</v>
      </c>
      <c r="F15" s="57" t="s">
        <v>4768</v>
      </c>
      <c r="G15" s="57">
        <v>12.25</v>
      </c>
      <c r="H15" s="57">
        <v>3.95</v>
      </c>
      <c r="I15" s="57">
        <v>4.05</v>
      </c>
      <c r="J15" s="57">
        <v>4.05</v>
      </c>
      <c r="K15" s="57">
        <v>4.45</v>
      </c>
      <c r="L15" s="57">
        <v>4.05</v>
      </c>
      <c r="M15" s="57">
        <v>4.25</v>
      </c>
      <c r="N15" s="57">
        <v>4.3</v>
      </c>
      <c r="O15" s="57">
        <v>0.25</v>
      </c>
      <c r="P15" s="57">
        <v>6.17</v>
      </c>
      <c r="Q15" s="58">
        <v>7407199</v>
      </c>
      <c r="R15" s="57">
        <v>314.81</v>
      </c>
      <c r="S15" s="59">
        <v>565695</v>
      </c>
      <c r="T15" s="57">
        <v>4.3</v>
      </c>
      <c r="U15" s="57">
        <v>4.3499999999999996</v>
      </c>
      <c r="V15" s="59">
        <v>123509</v>
      </c>
      <c r="W15" s="59">
        <v>622696</v>
      </c>
      <c r="X15" s="57">
        <v>4.25</v>
      </c>
      <c r="Y15" s="57">
        <v>4.4000000000000004</v>
      </c>
      <c r="Z15" s="59">
        <v>348825</v>
      </c>
      <c r="AA15" s="59">
        <v>958935</v>
      </c>
      <c r="AB15" s="57">
        <v>4.2</v>
      </c>
      <c r="AC15" s="57">
        <v>4.45</v>
      </c>
      <c r="AD15" s="59">
        <v>368560</v>
      </c>
      <c r="AE15" s="59">
        <v>500489</v>
      </c>
      <c r="AF15" s="57">
        <v>4.1500000000000004</v>
      </c>
      <c r="AG15" s="57">
        <v>4.5</v>
      </c>
      <c r="AH15" s="59">
        <v>271400</v>
      </c>
      <c r="AI15" s="59">
        <v>650930</v>
      </c>
      <c r="AJ15" s="57">
        <v>4.0999999999999996</v>
      </c>
      <c r="AK15" s="57">
        <v>4.55</v>
      </c>
      <c r="AL15" s="59">
        <v>47734</v>
      </c>
      <c r="AM15" s="59">
        <v>6354958</v>
      </c>
      <c r="AN15" s="59">
        <v>2869606</v>
      </c>
      <c r="AO15" s="60">
        <v>43304</v>
      </c>
      <c r="AP15" s="61" t="s">
        <v>4828</v>
      </c>
      <c r="AQ15" s="76" t="s">
        <v>4769</v>
      </c>
      <c r="AR15" s="76">
        <f t="shared" si="0"/>
        <v>43305.49291666667</v>
      </c>
      <c r="AY15" s="63"/>
      <c r="BA15" s="64"/>
    </row>
    <row r="16" spans="1:54" ht="40.799999999999997" x14ac:dyDescent="0.3">
      <c r="A16" s="56" t="s">
        <v>4815</v>
      </c>
      <c r="B16" s="57" t="s">
        <v>2658</v>
      </c>
      <c r="C16" s="57" t="s">
        <v>4767</v>
      </c>
      <c r="D16" s="57">
        <v>1</v>
      </c>
      <c r="E16" s="57" t="s">
        <v>4768</v>
      </c>
      <c r="F16" s="57" t="s">
        <v>4768</v>
      </c>
      <c r="G16" s="57">
        <v>12.25</v>
      </c>
      <c r="H16" s="57">
        <v>3.95</v>
      </c>
      <c r="I16" s="57">
        <v>4.05</v>
      </c>
      <c r="J16" s="57">
        <v>4.05</v>
      </c>
      <c r="K16" s="57">
        <v>4.45</v>
      </c>
      <c r="L16" s="57">
        <v>4.05</v>
      </c>
      <c r="M16" s="57">
        <v>4.25</v>
      </c>
      <c r="N16" s="57">
        <v>4.3</v>
      </c>
      <c r="O16" s="57">
        <v>0.25</v>
      </c>
      <c r="P16" s="57">
        <v>6.17</v>
      </c>
      <c r="Q16" s="58">
        <v>7407199</v>
      </c>
      <c r="R16" s="57">
        <v>314.81</v>
      </c>
      <c r="S16" s="59">
        <v>565695</v>
      </c>
      <c r="T16" s="57">
        <v>4.3</v>
      </c>
      <c r="U16" s="57">
        <v>4.3499999999999996</v>
      </c>
      <c r="V16" s="59">
        <v>123509</v>
      </c>
      <c r="W16" s="59">
        <v>622696</v>
      </c>
      <c r="X16" s="57">
        <v>4.25</v>
      </c>
      <c r="Y16" s="57">
        <v>4.4000000000000004</v>
      </c>
      <c r="Z16" s="59">
        <v>348825</v>
      </c>
      <c r="AA16" s="59">
        <v>958935</v>
      </c>
      <c r="AB16" s="57">
        <v>4.2</v>
      </c>
      <c r="AC16" s="57">
        <v>4.45</v>
      </c>
      <c r="AD16" s="59">
        <v>368560</v>
      </c>
      <c r="AE16" s="59">
        <v>500489</v>
      </c>
      <c r="AF16" s="57">
        <v>4.1500000000000004</v>
      </c>
      <c r="AG16" s="57">
        <v>4.5</v>
      </c>
      <c r="AH16" s="59">
        <v>271400</v>
      </c>
      <c r="AI16" s="59">
        <v>650930</v>
      </c>
      <c r="AJ16" s="57">
        <v>4.0999999999999996</v>
      </c>
      <c r="AK16" s="57">
        <v>4.55</v>
      </c>
      <c r="AL16" s="59">
        <v>47734</v>
      </c>
      <c r="AM16" s="59">
        <v>6354958</v>
      </c>
      <c r="AN16" s="59">
        <v>2869606</v>
      </c>
      <c r="AO16" s="60">
        <v>43304</v>
      </c>
      <c r="AP16" s="61" t="s">
        <v>4828</v>
      </c>
      <c r="AQ16" s="76" t="s">
        <v>4769</v>
      </c>
      <c r="AR16" s="76">
        <f t="shared" si="0"/>
        <v>43305.49291666667</v>
      </c>
      <c r="AY16" s="63"/>
      <c r="BA16" s="64"/>
    </row>
    <row r="17" spans="1:51" ht="40.799999999999997" x14ac:dyDescent="0.3">
      <c r="A17" s="56" t="s">
        <v>4815</v>
      </c>
      <c r="B17" s="57" t="s">
        <v>2658</v>
      </c>
      <c r="C17" s="57" t="s">
        <v>4767</v>
      </c>
      <c r="D17" s="57">
        <v>1</v>
      </c>
      <c r="E17" s="57" t="s">
        <v>4768</v>
      </c>
      <c r="F17" s="57" t="s">
        <v>4768</v>
      </c>
      <c r="G17" s="57">
        <v>12.25</v>
      </c>
      <c r="H17" s="57">
        <v>3.95</v>
      </c>
      <c r="I17" s="57">
        <v>4.05</v>
      </c>
      <c r="J17" s="57">
        <v>4.05</v>
      </c>
      <c r="K17" s="57">
        <v>4.45</v>
      </c>
      <c r="L17" s="57">
        <v>4.05</v>
      </c>
      <c r="M17" s="57">
        <v>4.26</v>
      </c>
      <c r="N17" s="57">
        <v>4.3</v>
      </c>
      <c r="O17" s="57">
        <v>0.25</v>
      </c>
      <c r="P17" s="57">
        <v>6.17</v>
      </c>
      <c r="Q17" s="58">
        <v>7770373</v>
      </c>
      <c r="R17" s="57">
        <v>331.02</v>
      </c>
      <c r="S17" s="59">
        <v>326914</v>
      </c>
      <c r="T17" s="57">
        <v>4.3</v>
      </c>
      <c r="U17" s="57">
        <v>4.3499999999999996</v>
      </c>
      <c r="V17" s="59">
        <v>504089</v>
      </c>
      <c r="W17" s="59">
        <v>503196</v>
      </c>
      <c r="X17" s="57">
        <v>4.25</v>
      </c>
      <c r="Y17" s="57">
        <v>4.4000000000000004</v>
      </c>
      <c r="Z17" s="59">
        <v>634034</v>
      </c>
      <c r="AA17" s="59">
        <v>665858</v>
      </c>
      <c r="AB17" s="57">
        <v>4.2</v>
      </c>
      <c r="AC17" s="57">
        <v>4.45</v>
      </c>
      <c r="AD17" s="59">
        <v>658795</v>
      </c>
      <c r="AE17" s="59">
        <v>501489</v>
      </c>
      <c r="AF17" s="57">
        <v>4.1500000000000004</v>
      </c>
      <c r="AG17" s="57">
        <v>4.5</v>
      </c>
      <c r="AH17" s="59">
        <v>493647</v>
      </c>
      <c r="AI17" s="59">
        <v>664030</v>
      </c>
      <c r="AJ17" s="57">
        <v>4.0999999999999996</v>
      </c>
      <c r="AK17" s="57">
        <v>4.55</v>
      </c>
      <c r="AL17" s="59">
        <v>53734</v>
      </c>
      <c r="AM17" s="59">
        <v>5716804</v>
      </c>
      <c r="AN17" s="59">
        <v>4014305</v>
      </c>
      <c r="AO17" s="60">
        <v>43304</v>
      </c>
      <c r="AP17" s="61" t="s">
        <v>4829</v>
      </c>
      <c r="AQ17" s="76" t="s">
        <v>4769</v>
      </c>
      <c r="AR17" s="76">
        <f t="shared" si="0"/>
        <v>43305.495000000003</v>
      </c>
      <c r="AY17" s="63"/>
    </row>
    <row r="18" spans="1:51" ht="40.799999999999997" x14ac:dyDescent="0.3">
      <c r="A18" s="56" t="s">
        <v>4815</v>
      </c>
      <c r="B18" s="57" t="s">
        <v>2658</v>
      </c>
      <c r="C18" s="57" t="s">
        <v>4767</v>
      </c>
      <c r="D18" s="57">
        <v>1</v>
      </c>
      <c r="E18" s="57" t="s">
        <v>4768</v>
      </c>
      <c r="F18" s="57" t="s">
        <v>4768</v>
      </c>
      <c r="G18" s="57">
        <v>12.25</v>
      </c>
      <c r="H18" s="57">
        <v>3.95</v>
      </c>
      <c r="I18" s="57">
        <v>4.05</v>
      </c>
      <c r="J18" s="57">
        <v>4.05</v>
      </c>
      <c r="K18" s="57">
        <v>4.45</v>
      </c>
      <c r="L18" s="57">
        <v>4.05</v>
      </c>
      <c r="M18" s="57">
        <v>4.26</v>
      </c>
      <c r="N18" s="57">
        <v>4.3</v>
      </c>
      <c r="O18" s="57">
        <v>0.25</v>
      </c>
      <c r="P18" s="57">
        <v>6.17</v>
      </c>
      <c r="Q18" s="58">
        <v>7770373</v>
      </c>
      <c r="R18" s="57">
        <v>331.02</v>
      </c>
      <c r="S18" s="59">
        <v>326914</v>
      </c>
      <c r="T18" s="57">
        <v>4.3</v>
      </c>
      <c r="U18" s="57">
        <v>4.3499999999999996</v>
      </c>
      <c r="V18" s="59">
        <v>504089</v>
      </c>
      <c r="W18" s="59">
        <v>503196</v>
      </c>
      <c r="X18" s="57">
        <v>4.25</v>
      </c>
      <c r="Y18" s="57">
        <v>4.4000000000000004</v>
      </c>
      <c r="Z18" s="59">
        <v>634034</v>
      </c>
      <c r="AA18" s="59">
        <v>665858</v>
      </c>
      <c r="AB18" s="57">
        <v>4.2</v>
      </c>
      <c r="AC18" s="57">
        <v>4.45</v>
      </c>
      <c r="AD18" s="59">
        <v>658795</v>
      </c>
      <c r="AE18" s="59">
        <v>501489</v>
      </c>
      <c r="AF18" s="57">
        <v>4.1500000000000004</v>
      </c>
      <c r="AG18" s="57">
        <v>4.5</v>
      </c>
      <c r="AH18" s="59">
        <v>493647</v>
      </c>
      <c r="AI18" s="59">
        <v>664030</v>
      </c>
      <c r="AJ18" s="57">
        <v>4.0999999999999996</v>
      </c>
      <c r="AK18" s="57">
        <v>4.55</v>
      </c>
      <c r="AL18" s="59">
        <v>53734</v>
      </c>
      <c r="AM18" s="59">
        <v>5716804</v>
      </c>
      <c r="AN18" s="59">
        <v>4014305</v>
      </c>
      <c r="AO18" s="60">
        <v>43304</v>
      </c>
      <c r="AP18" s="61" t="s">
        <v>4829</v>
      </c>
      <c r="AQ18" s="76" t="s">
        <v>4769</v>
      </c>
      <c r="AR18" s="76">
        <f t="shared" si="0"/>
        <v>43305.495000000003</v>
      </c>
      <c r="AY18" s="63"/>
    </row>
    <row r="19" spans="1:51" ht="40.799999999999997" x14ac:dyDescent="0.3">
      <c r="A19" s="56" t="s">
        <v>4815</v>
      </c>
      <c r="B19" s="57" t="s">
        <v>2658</v>
      </c>
      <c r="C19" s="57" t="s">
        <v>4767</v>
      </c>
      <c r="D19" s="57">
        <v>1</v>
      </c>
      <c r="E19" s="57" t="s">
        <v>4768</v>
      </c>
      <c r="F19" s="57" t="s">
        <v>4768</v>
      </c>
      <c r="G19" s="57">
        <v>12.25</v>
      </c>
      <c r="H19" s="57">
        <v>3.95</v>
      </c>
      <c r="I19" s="57">
        <v>4.05</v>
      </c>
      <c r="J19" s="57">
        <v>4.05</v>
      </c>
      <c r="K19" s="57">
        <v>4.45</v>
      </c>
      <c r="L19" s="57">
        <v>4.05</v>
      </c>
      <c r="M19" s="57">
        <v>4.26</v>
      </c>
      <c r="N19" s="57">
        <v>4.3</v>
      </c>
      <c r="O19" s="57">
        <v>0.25</v>
      </c>
      <c r="P19" s="57">
        <v>6.17</v>
      </c>
      <c r="Q19" s="58">
        <v>7782784</v>
      </c>
      <c r="R19" s="57">
        <v>331.55</v>
      </c>
      <c r="S19" s="59">
        <v>324464</v>
      </c>
      <c r="T19" s="57">
        <v>4.3</v>
      </c>
      <c r="U19" s="57">
        <v>4.3499999999999996</v>
      </c>
      <c r="V19" s="59">
        <v>558663</v>
      </c>
      <c r="W19" s="59">
        <v>508302</v>
      </c>
      <c r="X19" s="57">
        <v>4.25</v>
      </c>
      <c r="Y19" s="57">
        <v>4.4000000000000004</v>
      </c>
      <c r="Z19" s="59">
        <v>640634</v>
      </c>
      <c r="AA19" s="59">
        <v>665858</v>
      </c>
      <c r="AB19" s="57">
        <v>4.2</v>
      </c>
      <c r="AC19" s="57">
        <v>4.45</v>
      </c>
      <c r="AD19" s="59">
        <v>665295</v>
      </c>
      <c r="AE19" s="59">
        <v>501489</v>
      </c>
      <c r="AF19" s="57">
        <v>4.1500000000000004</v>
      </c>
      <c r="AG19" s="57">
        <v>4.5</v>
      </c>
      <c r="AH19" s="59">
        <v>493297</v>
      </c>
      <c r="AI19" s="59">
        <v>659580</v>
      </c>
      <c r="AJ19" s="57">
        <v>4.0999999999999996</v>
      </c>
      <c r="AK19" s="57">
        <v>4.55</v>
      </c>
      <c r="AL19" s="59">
        <v>53734</v>
      </c>
      <c r="AM19" s="59">
        <v>5719410</v>
      </c>
      <c r="AN19" s="59">
        <v>4090679</v>
      </c>
      <c r="AO19" s="60">
        <v>43304</v>
      </c>
      <c r="AP19" s="61" t="s">
        <v>4830</v>
      </c>
      <c r="AQ19" s="77" t="s">
        <v>4769</v>
      </c>
      <c r="AR19" s="76">
        <f t="shared" si="0"/>
        <v>43305.496041666665</v>
      </c>
    </row>
    <row r="20" spans="1:51" x14ac:dyDescent="0.3">
      <c r="A20" s="56" t="s">
        <v>4833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8"/>
      <c r="R20" s="57"/>
      <c r="S20" s="59"/>
      <c r="T20" s="57"/>
      <c r="U20" s="57"/>
      <c r="V20" s="59"/>
      <c r="W20" s="59"/>
      <c r="X20" s="57"/>
      <c r="Y20" s="57"/>
      <c r="Z20" s="59"/>
      <c r="AA20" s="59"/>
      <c r="AB20" s="57"/>
      <c r="AC20" s="57"/>
      <c r="AD20" s="59"/>
      <c r="AE20" s="59"/>
      <c r="AF20" s="57"/>
      <c r="AG20" s="57"/>
      <c r="AH20" s="59"/>
      <c r="AI20" s="59"/>
      <c r="AJ20" s="57"/>
      <c r="AK20" s="57"/>
      <c r="AL20" s="59"/>
      <c r="AM20" s="59"/>
      <c r="AN20" s="59"/>
      <c r="AO20" s="60"/>
      <c r="AP20" s="61"/>
      <c r="AQ20" s="77"/>
      <c r="AR20" s="76" t="e">
        <f t="shared" si="0"/>
        <v>#VALUE!</v>
      </c>
    </row>
    <row r="21" spans="1:51" x14ac:dyDescent="0.3">
      <c r="A21" s="56" t="s">
        <v>4833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8"/>
      <c r="R21" s="57"/>
      <c r="S21" s="59"/>
      <c r="T21" s="57"/>
      <c r="U21" s="57"/>
      <c r="V21" s="59"/>
      <c r="W21" s="59"/>
      <c r="X21" s="57"/>
      <c r="Y21" s="57"/>
      <c r="Z21" s="59"/>
      <c r="AA21" s="59"/>
      <c r="AB21" s="57"/>
      <c r="AC21" s="57"/>
      <c r="AD21" s="59"/>
      <c r="AE21" s="59"/>
      <c r="AF21" s="57"/>
      <c r="AG21" s="57"/>
      <c r="AH21" s="59"/>
      <c r="AI21" s="59"/>
      <c r="AJ21" s="57"/>
      <c r="AK21" s="57"/>
      <c r="AL21" s="59"/>
      <c r="AM21" s="59"/>
      <c r="AN21" s="59"/>
      <c r="AO21" s="60"/>
      <c r="AP21" s="61"/>
      <c r="AQ21" s="77"/>
      <c r="AR21" s="76" t="e">
        <f t="shared" si="0"/>
        <v>#VALUE!</v>
      </c>
    </row>
    <row r="22" spans="1:51" ht="40.799999999999997" x14ac:dyDescent="0.3">
      <c r="A22" s="56" t="s">
        <v>4815</v>
      </c>
      <c r="B22" s="57" t="s">
        <v>2658</v>
      </c>
      <c r="C22" s="57" t="s">
        <v>4767</v>
      </c>
      <c r="D22" s="57">
        <v>1</v>
      </c>
      <c r="E22" s="57" t="s">
        <v>4768</v>
      </c>
      <c r="F22" s="57" t="s">
        <v>4768</v>
      </c>
      <c r="G22" s="57">
        <v>12.25</v>
      </c>
      <c r="H22" s="57">
        <v>3.95</v>
      </c>
      <c r="I22" s="57">
        <v>4.05</v>
      </c>
      <c r="J22" s="57">
        <v>4.05</v>
      </c>
      <c r="K22" s="57">
        <v>4.45</v>
      </c>
      <c r="L22" s="57">
        <v>4.05</v>
      </c>
      <c r="M22" s="57">
        <v>4.26</v>
      </c>
      <c r="N22" s="57">
        <v>4.3</v>
      </c>
      <c r="O22" s="57">
        <v>0.25</v>
      </c>
      <c r="P22" s="57">
        <v>6.17</v>
      </c>
      <c r="Q22" s="58">
        <v>7909868</v>
      </c>
      <c r="R22" s="57">
        <v>336.96</v>
      </c>
      <c r="S22" s="59">
        <v>234520</v>
      </c>
      <c r="T22" s="57">
        <v>4.3</v>
      </c>
      <c r="U22" s="57">
        <v>4.3499999999999996</v>
      </c>
      <c r="V22" s="59">
        <v>636020</v>
      </c>
      <c r="W22" s="59">
        <v>505202</v>
      </c>
      <c r="X22" s="57">
        <v>4.25</v>
      </c>
      <c r="Y22" s="57">
        <v>4.4000000000000004</v>
      </c>
      <c r="Z22" s="59">
        <v>731136</v>
      </c>
      <c r="AA22" s="59">
        <v>671388</v>
      </c>
      <c r="AB22" s="57">
        <v>4.2</v>
      </c>
      <c r="AC22" s="57">
        <v>4.45</v>
      </c>
      <c r="AD22" s="59">
        <v>680995</v>
      </c>
      <c r="AE22" s="59">
        <v>498490</v>
      </c>
      <c r="AF22" s="57">
        <v>4.1500000000000004</v>
      </c>
      <c r="AG22" s="57">
        <v>4.5</v>
      </c>
      <c r="AH22" s="59">
        <v>494118</v>
      </c>
      <c r="AI22" s="59">
        <v>659580</v>
      </c>
      <c r="AJ22" s="57">
        <v>4.0999999999999996</v>
      </c>
      <c r="AK22" s="57">
        <v>4.55</v>
      </c>
      <c r="AL22" s="59">
        <v>64574</v>
      </c>
      <c r="AM22" s="59">
        <v>5628897</v>
      </c>
      <c r="AN22" s="59">
        <v>4302799</v>
      </c>
      <c r="AO22" s="60">
        <v>43304</v>
      </c>
      <c r="AP22" s="61" t="s">
        <v>4834</v>
      </c>
      <c r="AQ22" s="77" t="s">
        <v>4769</v>
      </c>
      <c r="AR22" s="76">
        <f t="shared" si="0"/>
        <v>43305.498472222222</v>
      </c>
    </row>
    <row r="23" spans="1:51" ht="40.799999999999997" x14ac:dyDescent="0.3">
      <c r="A23" s="56" t="s">
        <v>4815</v>
      </c>
      <c r="B23" s="57" t="s">
        <v>2658</v>
      </c>
      <c r="C23" s="57" t="s">
        <v>4767</v>
      </c>
      <c r="D23" s="57">
        <v>1</v>
      </c>
      <c r="E23" s="57" t="s">
        <v>4768</v>
      </c>
      <c r="F23" s="57" t="s">
        <v>4768</v>
      </c>
      <c r="G23" s="57">
        <v>12.25</v>
      </c>
      <c r="H23" s="57">
        <v>3.95</v>
      </c>
      <c r="I23" s="57">
        <v>4.05</v>
      </c>
      <c r="J23" s="57">
        <v>4.05</v>
      </c>
      <c r="K23" s="57">
        <v>4.45</v>
      </c>
      <c r="L23" s="57">
        <v>4.05</v>
      </c>
      <c r="M23" s="57">
        <v>4.26</v>
      </c>
      <c r="N23" s="57">
        <v>4.3</v>
      </c>
      <c r="O23" s="57">
        <v>0.25</v>
      </c>
      <c r="P23" s="57">
        <v>6.17</v>
      </c>
      <c r="Q23" s="58">
        <v>7909868</v>
      </c>
      <c r="R23" s="57">
        <v>336.96</v>
      </c>
      <c r="S23" s="59">
        <v>234520</v>
      </c>
      <c r="T23" s="57">
        <v>4.3</v>
      </c>
      <c r="U23" s="57">
        <v>4.3499999999999996</v>
      </c>
      <c r="V23" s="59">
        <v>636020</v>
      </c>
      <c r="W23" s="59">
        <v>505202</v>
      </c>
      <c r="X23" s="57">
        <v>4.25</v>
      </c>
      <c r="Y23" s="57">
        <v>4.4000000000000004</v>
      </c>
      <c r="Z23" s="59">
        <v>731136</v>
      </c>
      <c r="AA23" s="59">
        <v>671388</v>
      </c>
      <c r="AB23" s="57">
        <v>4.2</v>
      </c>
      <c r="AC23" s="57">
        <v>4.45</v>
      </c>
      <c r="AD23" s="59">
        <v>680995</v>
      </c>
      <c r="AE23" s="59">
        <v>498490</v>
      </c>
      <c r="AF23" s="57">
        <v>4.1500000000000004</v>
      </c>
      <c r="AG23" s="57">
        <v>4.5</v>
      </c>
      <c r="AH23" s="59">
        <v>494118</v>
      </c>
      <c r="AI23" s="59">
        <v>659580</v>
      </c>
      <c r="AJ23" s="57">
        <v>4.0999999999999996</v>
      </c>
      <c r="AK23" s="57">
        <v>4.55</v>
      </c>
      <c r="AL23" s="59">
        <v>64574</v>
      </c>
      <c r="AM23" s="59">
        <v>5628897</v>
      </c>
      <c r="AN23" s="59">
        <v>4302799</v>
      </c>
      <c r="AO23" s="60">
        <v>43304</v>
      </c>
      <c r="AP23" s="61" t="s">
        <v>4834</v>
      </c>
      <c r="AQ23" s="77" t="s">
        <v>4769</v>
      </c>
      <c r="AR23" s="76">
        <f t="shared" si="0"/>
        <v>43305.498472222222</v>
      </c>
    </row>
    <row r="24" spans="1:51" ht="40.799999999999997" x14ac:dyDescent="0.3">
      <c r="A24" s="56" t="s">
        <v>4815</v>
      </c>
      <c r="B24" s="57" t="s">
        <v>2658</v>
      </c>
      <c r="C24" s="57" t="s">
        <v>4767</v>
      </c>
      <c r="D24" s="57">
        <v>1</v>
      </c>
      <c r="E24" s="57" t="s">
        <v>4768</v>
      </c>
      <c r="F24" s="57" t="s">
        <v>4768</v>
      </c>
      <c r="G24" s="57">
        <v>12.25</v>
      </c>
      <c r="H24" s="57">
        <v>3.95</v>
      </c>
      <c r="I24" s="57">
        <v>4.05</v>
      </c>
      <c r="J24" s="57">
        <v>4.05</v>
      </c>
      <c r="K24" s="57">
        <v>4.45</v>
      </c>
      <c r="L24" s="57">
        <v>4.05</v>
      </c>
      <c r="M24" s="57">
        <v>4.26</v>
      </c>
      <c r="N24" s="57">
        <v>4.3499999999999996</v>
      </c>
      <c r="O24" s="57">
        <v>0.3</v>
      </c>
      <c r="P24" s="57">
        <v>7.41</v>
      </c>
      <c r="Q24" s="58">
        <v>8001738</v>
      </c>
      <c r="R24" s="57">
        <v>340.87</v>
      </c>
      <c r="S24" s="59">
        <v>171662</v>
      </c>
      <c r="T24" s="57">
        <v>4.3</v>
      </c>
      <c r="U24" s="57">
        <v>4.3499999999999996</v>
      </c>
      <c r="V24" s="59">
        <v>730475</v>
      </c>
      <c r="W24" s="59">
        <v>513402</v>
      </c>
      <c r="X24" s="57">
        <v>4.25</v>
      </c>
      <c r="Y24" s="57">
        <v>4.4000000000000004</v>
      </c>
      <c r="Z24" s="59">
        <v>743933</v>
      </c>
      <c r="AA24" s="59">
        <v>668649</v>
      </c>
      <c r="AB24" s="57">
        <v>4.2</v>
      </c>
      <c r="AC24" s="57">
        <v>4.45</v>
      </c>
      <c r="AD24" s="59">
        <v>712495</v>
      </c>
      <c r="AE24" s="59">
        <v>498490</v>
      </c>
      <c r="AF24" s="57">
        <v>4.1500000000000004</v>
      </c>
      <c r="AG24" s="57">
        <v>4.5</v>
      </c>
      <c r="AH24" s="59">
        <v>494118</v>
      </c>
      <c r="AI24" s="59">
        <v>660680</v>
      </c>
      <c r="AJ24" s="57">
        <v>4.0999999999999996</v>
      </c>
      <c r="AK24" s="57">
        <v>4.55</v>
      </c>
      <c r="AL24" s="59">
        <v>65974</v>
      </c>
      <c r="AM24" s="59">
        <v>5572600</v>
      </c>
      <c r="AN24" s="59">
        <v>4448151</v>
      </c>
      <c r="AO24" s="60">
        <v>43304</v>
      </c>
      <c r="AP24" s="61" t="s">
        <v>4835</v>
      </c>
      <c r="AQ24" s="77" t="s">
        <v>4769</v>
      </c>
      <c r="AR24" s="76">
        <f t="shared" si="0"/>
        <v>43305.499872685185</v>
      </c>
    </row>
    <row r="25" spans="1:51" ht="40.799999999999997" x14ac:dyDescent="0.3">
      <c r="A25" s="56" t="s">
        <v>4815</v>
      </c>
      <c r="B25" s="57" t="s">
        <v>2658</v>
      </c>
      <c r="C25" s="57" t="s">
        <v>4767</v>
      </c>
      <c r="D25" s="57">
        <v>1</v>
      </c>
      <c r="E25" s="57" t="s">
        <v>4768</v>
      </c>
      <c r="F25" s="57" t="s">
        <v>4768</v>
      </c>
      <c r="G25" s="57">
        <v>12.25</v>
      </c>
      <c r="H25" s="57">
        <v>3.95</v>
      </c>
      <c r="I25" s="57">
        <v>4.05</v>
      </c>
      <c r="J25" s="57">
        <v>4.05</v>
      </c>
      <c r="K25" s="57">
        <v>4.45</v>
      </c>
      <c r="L25" s="57">
        <v>4.05</v>
      </c>
      <c r="M25" s="57">
        <v>4.26</v>
      </c>
      <c r="N25" s="57">
        <v>4.3499999999999996</v>
      </c>
      <c r="O25" s="57">
        <v>0.3</v>
      </c>
      <c r="P25" s="57">
        <v>7.41</v>
      </c>
      <c r="Q25" s="58">
        <v>8001738</v>
      </c>
      <c r="R25" s="57">
        <v>340.87</v>
      </c>
      <c r="S25" s="59">
        <v>171662</v>
      </c>
      <c r="T25" s="57">
        <v>4.3</v>
      </c>
      <c r="U25" s="57">
        <v>4.3499999999999996</v>
      </c>
      <c r="V25" s="59">
        <v>730475</v>
      </c>
      <c r="W25" s="59">
        <v>513402</v>
      </c>
      <c r="X25" s="57">
        <v>4.25</v>
      </c>
      <c r="Y25" s="57">
        <v>4.4000000000000004</v>
      </c>
      <c r="Z25" s="59">
        <v>743933</v>
      </c>
      <c r="AA25" s="59">
        <v>668649</v>
      </c>
      <c r="AB25" s="57">
        <v>4.2</v>
      </c>
      <c r="AC25" s="57">
        <v>4.45</v>
      </c>
      <c r="AD25" s="59">
        <v>712495</v>
      </c>
      <c r="AE25" s="59">
        <v>498490</v>
      </c>
      <c r="AF25" s="57">
        <v>4.1500000000000004</v>
      </c>
      <c r="AG25" s="57">
        <v>4.5</v>
      </c>
      <c r="AH25" s="59">
        <v>494118</v>
      </c>
      <c r="AI25" s="59">
        <v>660680</v>
      </c>
      <c r="AJ25" s="57">
        <v>4.0999999999999996</v>
      </c>
      <c r="AK25" s="57">
        <v>4.55</v>
      </c>
      <c r="AL25" s="59">
        <v>65974</v>
      </c>
      <c r="AM25" s="59">
        <v>5572600</v>
      </c>
      <c r="AN25" s="59">
        <v>4448151</v>
      </c>
      <c r="AO25" s="60">
        <v>43304</v>
      </c>
      <c r="AP25" s="61" t="s">
        <v>4835</v>
      </c>
      <c r="AQ25" s="77" t="s">
        <v>4769</v>
      </c>
      <c r="AR25" s="76">
        <f t="shared" si="0"/>
        <v>43305.499872685185</v>
      </c>
    </row>
    <row r="26" spans="1:51" ht="40.799999999999997" x14ac:dyDescent="0.3">
      <c r="A26" s="56" t="s">
        <v>4815</v>
      </c>
      <c r="B26" s="57" t="s">
        <v>2658</v>
      </c>
      <c r="C26" s="57" t="s">
        <v>4767</v>
      </c>
      <c r="D26" s="57">
        <v>1</v>
      </c>
      <c r="E26" s="57" t="s">
        <v>4768</v>
      </c>
      <c r="F26" s="57" t="s">
        <v>4768</v>
      </c>
      <c r="G26" s="57">
        <v>12.25</v>
      </c>
      <c r="H26" s="57">
        <v>3.95</v>
      </c>
      <c r="I26" s="57">
        <v>4.05</v>
      </c>
      <c r="J26" s="57">
        <v>4.05</v>
      </c>
      <c r="K26" s="57">
        <v>4.45</v>
      </c>
      <c r="L26" s="57">
        <v>4.05</v>
      </c>
      <c r="M26" s="57">
        <v>4.26</v>
      </c>
      <c r="N26" s="57">
        <v>4.3499999999999996</v>
      </c>
      <c r="O26" s="57">
        <v>0.3</v>
      </c>
      <c r="P26" s="57">
        <v>7.41</v>
      </c>
      <c r="Q26" s="58">
        <v>8200652</v>
      </c>
      <c r="R26" s="57">
        <v>349.35</v>
      </c>
      <c r="S26" s="59">
        <v>209429</v>
      </c>
      <c r="T26" s="57">
        <v>4.3</v>
      </c>
      <c r="U26" s="57">
        <v>4.3499999999999996</v>
      </c>
      <c r="V26" s="59">
        <v>757545</v>
      </c>
      <c r="W26" s="59">
        <v>530487</v>
      </c>
      <c r="X26" s="57">
        <v>4.25</v>
      </c>
      <c r="Y26" s="57">
        <v>4.4000000000000004</v>
      </c>
      <c r="Z26" s="59">
        <v>740946</v>
      </c>
      <c r="AA26" s="59">
        <v>667456</v>
      </c>
      <c r="AB26" s="57">
        <v>4.2</v>
      </c>
      <c r="AC26" s="57">
        <v>4.45</v>
      </c>
      <c r="AD26" s="59">
        <v>686795</v>
      </c>
      <c r="AE26" s="59">
        <v>499790</v>
      </c>
      <c r="AF26" s="57">
        <v>4.1500000000000004</v>
      </c>
      <c r="AG26" s="57">
        <v>4.5</v>
      </c>
      <c r="AH26" s="59">
        <v>528118</v>
      </c>
      <c r="AI26" s="59">
        <v>662180</v>
      </c>
      <c r="AJ26" s="57">
        <v>4.0999999999999996</v>
      </c>
      <c r="AK26" s="57">
        <v>4.55</v>
      </c>
      <c r="AL26" s="59">
        <v>70974</v>
      </c>
      <c r="AM26" s="59">
        <v>5639959</v>
      </c>
      <c r="AN26" s="59">
        <v>4510035</v>
      </c>
      <c r="AO26" s="60">
        <v>43304</v>
      </c>
      <c r="AP26" s="61" t="s">
        <v>4836</v>
      </c>
      <c r="AQ26" s="77" t="s">
        <v>4769</v>
      </c>
      <c r="AR26" s="76">
        <f t="shared" si="0"/>
        <v>43305.501261574071</v>
      </c>
    </row>
    <row r="27" spans="1:51" ht="40.799999999999997" x14ac:dyDescent="0.3">
      <c r="A27" s="56" t="s">
        <v>4815</v>
      </c>
      <c r="B27" s="57" t="s">
        <v>2658</v>
      </c>
      <c r="C27" s="57" t="s">
        <v>4767</v>
      </c>
      <c r="D27" s="57">
        <v>1</v>
      </c>
      <c r="E27" s="57" t="s">
        <v>4768</v>
      </c>
      <c r="F27" s="57" t="s">
        <v>4768</v>
      </c>
      <c r="G27" s="57">
        <v>12.25</v>
      </c>
      <c r="H27" s="57">
        <v>3.95</v>
      </c>
      <c r="I27" s="57">
        <v>4.05</v>
      </c>
      <c r="J27" s="57">
        <v>4.05</v>
      </c>
      <c r="K27" s="57">
        <v>4.45</v>
      </c>
      <c r="L27" s="57">
        <v>4.05</v>
      </c>
      <c r="M27" s="57">
        <v>4.26</v>
      </c>
      <c r="N27" s="57">
        <v>4.3</v>
      </c>
      <c r="O27" s="57">
        <v>0.25</v>
      </c>
      <c r="P27" s="57">
        <v>6.17</v>
      </c>
      <c r="Q27" s="58">
        <v>8243929</v>
      </c>
      <c r="R27" s="57">
        <v>351.19</v>
      </c>
      <c r="S27" s="59">
        <v>216094</v>
      </c>
      <c r="T27" s="57">
        <v>4.3</v>
      </c>
      <c r="U27" s="57">
        <v>4.3499999999999996</v>
      </c>
      <c r="V27" s="59">
        <v>838552</v>
      </c>
      <c r="W27" s="59">
        <v>517387</v>
      </c>
      <c r="X27" s="57">
        <v>4.25</v>
      </c>
      <c r="Y27" s="57">
        <v>4.4000000000000004</v>
      </c>
      <c r="Z27" s="59">
        <v>748950</v>
      </c>
      <c r="AA27" s="59">
        <v>699713</v>
      </c>
      <c r="AB27" s="57">
        <v>4.2</v>
      </c>
      <c r="AC27" s="57">
        <v>4.45</v>
      </c>
      <c r="AD27" s="59">
        <v>682795</v>
      </c>
      <c r="AE27" s="59">
        <v>501295</v>
      </c>
      <c r="AF27" s="57">
        <v>4.1500000000000004</v>
      </c>
      <c r="AG27" s="57">
        <v>4.5</v>
      </c>
      <c r="AH27" s="59">
        <v>528768</v>
      </c>
      <c r="AI27" s="59">
        <v>656286</v>
      </c>
      <c r="AJ27" s="57">
        <v>4.0999999999999996</v>
      </c>
      <c r="AK27" s="57">
        <v>4.55</v>
      </c>
      <c r="AL27" s="59">
        <v>69474</v>
      </c>
      <c r="AM27" s="59">
        <v>5661427</v>
      </c>
      <c r="AN27" s="59">
        <v>4609196</v>
      </c>
      <c r="AO27" s="60">
        <v>43304</v>
      </c>
      <c r="AP27" s="61" t="s">
        <v>4837</v>
      </c>
      <c r="AQ27" s="77" t="s">
        <v>4769</v>
      </c>
      <c r="AR27" s="76">
        <f t="shared" si="0"/>
        <v>43305.502650462964</v>
      </c>
    </row>
    <row r="28" spans="1:51" ht="40.799999999999997" x14ac:dyDescent="0.3">
      <c r="A28" s="56" t="s">
        <v>4815</v>
      </c>
      <c r="B28" s="57" t="s">
        <v>2658</v>
      </c>
      <c r="C28" s="57" t="s">
        <v>4767</v>
      </c>
      <c r="D28" s="57">
        <v>1</v>
      </c>
      <c r="E28" s="57" t="s">
        <v>4768</v>
      </c>
      <c r="F28" s="57" t="s">
        <v>4768</v>
      </c>
      <c r="G28" s="57">
        <v>12.25</v>
      </c>
      <c r="H28" s="57">
        <v>3.95</v>
      </c>
      <c r="I28" s="57">
        <v>4.05</v>
      </c>
      <c r="J28" s="57">
        <v>4.05</v>
      </c>
      <c r="K28" s="57">
        <v>4.45</v>
      </c>
      <c r="L28" s="57">
        <v>4.05</v>
      </c>
      <c r="M28" s="57">
        <v>4.26</v>
      </c>
      <c r="N28" s="57">
        <v>4.3</v>
      </c>
      <c r="O28" s="57">
        <v>0.25</v>
      </c>
      <c r="P28" s="57">
        <v>6.17</v>
      </c>
      <c r="Q28" s="58">
        <v>8243929</v>
      </c>
      <c r="R28" s="57">
        <v>351.19</v>
      </c>
      <c r="S28" s="59">
        <v>216094</v>
      </c>
      <c r="T28" s="57">
        <v>4.3</v>
      </c>
      <c r="U28" s="57">
        <v>4.3499999999999996</v>
      </c>
      <c r="V28" s="59">
        <v>838552</v>
      </c>
      <c r="W28" s="59">
        <v>517387</v>
      </c>
      <c r="X28" s="57">
        <v>4.25</v>
      </c>
      <c r="Y28" s="57">
        <v>4.4000000000000004</v>
      </c>
      <c r="Z28" s="59">
        <v>748950</v>
      </c>
      <c r="AA28" s="59">
        <v>699713</v>
      </c>
      <c r="AB28" s="57">
        <v>4.2</v>
      </c>
      <c r="AC28" s="57">
        <v>4.45</v>
      </c>
      <c r="AD28" s="59">
        <v>682795</v>
      </c>
      <c r="AE28" s="59">
        <v>501295</v>
      </c>
      <c r="AF28" s="57">
        <v>4.1500000000000004</v>
      </c>
      <c r="AG28" s="57">
        <v>4.5</v>
      </c>
      <c r="AH28" s="59">
        <v>528768</v>
      </c>
      <c r="AI28" s="59">
        <v>656286</v>
      </c>
      <c r="AJ28" s="57">
        <v>4.0999999999999996</v>
      </c>
      <c r="AK28" s="57">
        <v>4.55</v>
      </c>
      <c r="AL28" s="59">
        <v>69474</v>
      </c>
      <c r="AM28" s="59">
        <v>5661427</v>
      </c>
      <c r="AN28" s="59">
        <v>4609196</v>
      </c>
      <c r="AO28" s="60">
        <v>43304</v>
      </c>
      <c r="AP28" s="61" t="s">
        <v>4837</v>
      </c>
      <c r="AQ28" s="77" t="s">
        <v>4769</v>
      </c>
      <c r="AR28" s="76">
        <f t="shared" si="0"/>
        <v>43305.502650462964</v>
      </c>
    </row>
    <row r="29" spans="1:51" ht="40.799999999999997" x14ac:dyDescent="0.3">
      <c r="A29" s="56" t="s">
        <v>4815</v>
      </c>
      <c r="B29" s="57" t="s">
        <v>2658</v>
      </c>
      <c r="C29" s="57" t="s">
        <v>4767</v>
      </c>
      <c r="D29" s="57">
        <v>1</v>
      </c>
      <c r="E29" s="57" t="s">
        <v>4768</v>
      </c>
      <c r="F29" s="57" t="s">
        <v>4768</v>
      </c>
      <c r="G29" s="57">
        <v>12.25</v>
      </c>
      <c r="H29" s="57">
        <v>3.95</v>
      </c>
      <c r="I29" s="57">
        <v>4.05</v>
      </c>
      <c r="J29" s="57">
        <v>4.05</v>
      </c>
      <c r="K29" s="57">
        <v>4.45</v>
      </c>
      <c r="L29" s="57">
        <v>4.05</v>
      </c>
      <c r="M29" s="57">
        <v>4.26</v>
      </c>
      <c r="N29" s="57">
        <v>4.3499999999999996</v>
      </c>
      <c r="O29" s="57">
        <v>0.3</v>
      </c>
      <c r="P29" s="57">
        <v>7.41</v>
      </c>
      <c r="Q29" s="58">
        <v>8272897</v>
      </c>
      <c r="R29" s="57">
        <v>352.43</v>
      </c>
      <c r="S29" s="59">
        <v>210882</v>
      </c>
      <c r="T29" s="57">
        <v>4.3</v>
      </c>
      <c r="U29" s="57">
        <v>4.3499999999999996</v>
      </c>
      <c r="V29" s="59">
        <v>826548</v>
      </c>
      <c r="W29" s="59">
        <v>521498</v>
      </c>
      <c r="X29" s="57">
        <v>4.25</v>
      </c>
      <c r="Y29" s="57">
        <v>4.4000000000000004</v>
      </c>
      <c r="Z29" s="59">
        <v>783702</v>
      </c>
      <c r="AA29" s="59">
        <v>699997</v>
      </c>
      <c r="AB29" s="57">
        <v>4.2</v>
      </c>
      <c r="AC29" s="57">
        <v>4.45</v>
      </c>
      <c r="AD29" s="59">
        <v>730996</v>
      </c>
      <c r="AE29" s="59">
        <v>501295</v>
      </c>
      <c r="AF29" s="57">
        <v>4.1500000000000004</v>
      </c>
      <c r="AG29" s="57">
        <v>4.5</v>
      </c>
      <c r="AH29" s="59">
        <v>530768</v>
      </c>
      <c r="AI29" s="59">
        <v>656786</v>
      </c>
      <c r="AJ29" s="57">
        <v>4.0999999999999996</v>
      </c>
      <c r="AK29" s="57">
        <v>4.55</v>
      </c>
      <c r="AL29" s="59">
        <v>59474</v>
      </c>
      <c r="AM29" s="59">
        <v>5661299</v>
      </c>
      <c r="AN29" s="59">
        <v>4681876</v>
      </c>
      <c r="AO29" s="60">
        <v>43304</v>
      </c>
      <c r="AP29" s="61" t="s">
        <v>4838</v>
      </c>
      <c r="AQ29" s="77" t="s">
        <v>4769</v>
      </c>
      <c r="AR29" s="76">
        <f t="shared" si="0"/>
        <v>43305.504733796297</v>
      </c>
    </row>
    <row r="30" spans="1:51" ht="40.799999999999997" x14ac:dyDescent="0.3">
      <c r="A30" s="56" t="s">
        <v>4815</v>
      </c>
      <c r="B30" s="57" t="s">
        <v>2658</v>
      </c>
      <c r="C30" s="57" t="s">
        <v>4767</v>
      </c>
      <c r="D30" s="57">
        <v>1</v>
      </c>
      <c r="E30" s="57" t="s">
        <v>4768</v>
      </c>
      <c r="F30" s="57" t="s">
        <v>4768</v>
      </c>
      <c r="G30" s="57">
        <v>12.25</v>
      </c>
      <c r="H30" s="57">
        <v>3.95</v>
      </c>
      <c r="I30" s="57">
        <v>4.05</v>
      </c>
      <c r="J30" s="57">
        <v>4.05</v>
      </c>
      <c r="K30" s="57">
        <v>4.45</v>
      </c>
      <c r="L30" s="57">
        <v>4.05</v>
      </c>
      <c r="M30" s="57">
        <v>4.26</v>
      </c>
      <c r="N30" s="57">
        <v>4.3499999999999996</v>
      </c>
      <c r="O30" s="57">
        <v>0.3</v>
      </c>
      <c r="P30" s="57">
        <v>7.41</v>
      </c>
      <c r="Q30" s="58">
        <v>8272897</v>
      </c>
      <c r="R30" s="57">
        <v>352.43</v>
      </c>
      <c r="S30" s="59">
        <v>210882</v>
      </c>
      <c r="T30" s="57">
        <v>4.3</v>
      </c>
      <c r="U30" s="57">
        <v>4.3499999999999996</v>
      </c>
      <c r="V30" s="59">
        <v>826548</v>
      </c>
      <c r="W30" s="59">
        <v>521498</v>
      </c>
      <c r="X30" s="57">
        <v>4.25</v>
      </c>
      <c r="Y30" s="57">
        <v>4.4000000000000004</v>
      </c>
      <c r="Z30" s="59">
        <v>783702</v>
      </c>
      <c r="AA30" s="59">
        <v>699997</v>
      </c>
      <c r="AB30" s="57">
        <v>4.2</v>
      </c>
      <c r="AC30" s="57">
        <v>4.45</v>
      </c>
      <c r="AD30" s="59">
        <v>730996</v>
      </c>
      <c r="AE30" s="59">
        <v>501295</v>
      </c>
      <c r="AF30" s="57">
        <v>4.1500000000000004</v>
      </c>
      <c r="AG30" s="57">
        <v>4.5</v>
      </c>
      <c r="AH30" s="59">
        <v>530768</v>
      </c>
      <c r="AI30" s="59">
        <v>656786</v>
      </c>
      <c r="AJ30" s="57">
        <v>4.0999999999999996</v>
      </c>
      <c r="AK30" s="57">
        <v>4.55</v>
      </c>
      <c r="AL30" s="59">
        <v>59474</v>
      </c>
      <c r="AM30" s="59">
        <v>5661299</v>
      </c>
      <c r="AN30" s="59">
        <v>4681876</v>
      </c>
      <c r="AO30" s="60">
        <v>43304</v>
      </c>
      <c r="AP30" s="61" t="s">
        <v>4838</v>
      </c>
      <c r="AQ30" s="77" t="s">
        <v>4769</v>
      </c>
      <c r="AR30" s="76">
        <f t="shared" si="0"/>
        <v>43305.504733796297</v>
      </c>
    </row>
    <row r="31" spans="1:51" ht="40.799999999999997" x14ac:dyDescent="0.3">
      <c r="A31" s="56" t="s">
        <v>4815</v>
      </c>
      <c r="B31" s="57" t="s">
        <v>2658</v>
      </c>
      <c r="C31" s="57" t="s">
        <v>4767</v>
      </c>
      <c r="D31" s="57">
        <v>1</v>
      </c>
      <c r="E31" s="57" t="s">
        <v>4768</v>
      </c>
      <c r="F31" s="57" t="s">
        <v>4768</v>
      </c>
      <c r="G31" s="57">
        <v>12.25</v>
      </c>
      <c r="H31" s="57">
        <v>3.95</v>
      </c>
      <c r="I31" s="57">
        <v>4.05</v>
      </c>
      <c r="J31" s="57">
        <v>4.05</v>
      </c>
      <c r="K31" s="57">
        <v>4.45</v>
      </c>
      <c r="L31" s="57">
        <v>4.05</v>
      </c>
      <c r="M31" s="57">
        <v>4.26</v>
      </c>
      <c r="N31" s="57">
        <v>4.3499999999999996</v>
      </c>
      <c r="O31" s="57">
        <v>0.3</v>
      </c>
      <c r="P31" s="57">
        <v>7.41</v>
      </c>
      <c r="Q31" s="58">
        <v>8272897</v>
      </c>
      <c r="R31" s="57">
        <v>352.43</v>
      </c>
      <c r="S31" s="59">
        <v>210882</v>
      </c>
      <c r="T31" s="57">
        <v>4.3</v>
      </c>
      <c r="U31" s="57">
        <v>4.3499999999999996</v>
      </c>
      <c r="V31" s="59">
        <v>826548</v>
      </c>
      <c r="W31" s="59">
        <v>521498</v>
      </c>
      <c r="X31" s="57">
        <v>4.25</v>
      </c>
      <c r="Y31" s="57">
        <v>4.4000000000000004</v>
      </c>
      <c r="Z31" s="59">
        <v>783702</v>
      </c>
      <c r="AA31" s="59">
        <v>699997</v>
      </c>
      <c r="AB31" s="57">
        <v>4.2</v>
      </c>
      <c r="AC31" s="57">
        <v>4.45</v>
      </c>
      <c r="AD31" s="59">
        <v>730996</v>
      </c>
      <c r="AE31" s="59">
        <v>501295</v>
      </c>
      <c r="AF31" s="57">
        <v>4.1500000000000004</v>
      </c>
      <c r="AG31" s="57">
        <v>4.5</v>
      </c>
      <c r="AH31" s="59">
        <v>530768</v>
      </c>
      <c r="AI31" s="59">
        <v>656786</v>
      </c>
      <c r="AJ31" s="57">
        <v>4.0999999999999996</v>
      </c>
      <c r="AK31" s="57">
        <v>4.55</v>
      </c>
      <c r="AL31" s="59">
        <v>59474</v>
      </c>
      <c r="AM31" s="59">
        <v>5661299</v>
      </c>
      <c r="AN31" s="59">
        <v>4681876</v>
      </c>
      <c r="AO31" s="60">
        <v>43304</v>
      </c>
      <c r="AP31" s="61" t="s">
        <v>4838</v>
      </c>
      <c r="AQ31" s="77" t="s">
        <v>4769</v>
      </c>
      <c r="AR31" s="76">
        <f t="shared" si="0"/>
        <v>43305.504733796297</v>
      </c>
    </row>
    <row r="32" spans="1:51" ht="40.799999999999997" x14ac:dyDescent="0.3">
      <c r="A32" s="56" t="s">
        <v>4815</v>
      </c>
      <c r="B32" s="57" t="s">
        <v>2658</v>
      </c>
      <c r="C32" s="57" t="s">
        <v>4767</v>
      </c>
      <c r="D32" s="57">
        <v>1</v>
      </c>
      <c r="E32" s="57" t="s">
        <v>4768</v>
      </c>
      <c r="F32" s="57" t="s">
        <v>4768</v>
      </c>
      <c r="G32" s="57">
        <v>12.25</v>
      </c>
      <c r="H32" s="57">
        <v>3.95</v>
      </c>
      <c r="I32" s="57">
        <v>4.05</v>
      </c>
      <c r="J32" s="57">
        <v>4.05</v>
      </c>
      <c r="K32" s="57">
        <v>4.45</v>
      </c>
      <c r="L32" s="57">
        <v>4.05</v>
      </c>
      <c r="M32" s="57">
        <v>4.26</v>
      </c>
      <c r="N32" s="57">
        <v>4.3499999999999996</v>
      </c>
      <c r="O32" s="57">
        <v>0.3</v>
      </c>
      <c r="P32" s="57">
        <v>7.41</v>
      </c>
      <c r="Q32" s="58">
        <v>8311174</v>
      </c>
      <c r="R32" s="57">
        <v>354.06</v>
      </c>
      <c r="S32" s="59">
        <v>266246</v>
      </c>
      <c r="T32" s="57">
        <v>4.3</v>
      </c>
      <c r="U32" s="57">
        <v>4.3499999999999996</v>
      </c>
      <c r="V32" s="59">
        <v>736260</v>
      </c>
      <c r="W32" s="59">
        <v>523598</v>
      </c>
      <c r="X32" s="57">
        <v>4.25</v>
      </c>
      <c r="Y32" s="57">
        <v>4.4000000000000004</v>
      </c>
      <c r="Z32" s="59">
        <v>820432</v>
      </c>
      <c r="AA32" s="59">
        <v>651715</v>
      </c>
      <c r="AB32" s="57">
        <v>4.2</v>
      </c>
      <c r="AC32" s="57">
        <v>4.45</v>
      </c>
      <c r="AD32" s="59">
        <v>749456</v>
      </c>
      <c r="AE32" s="59">
        <v>276794</v>
      </c>
      <c r="AF32" s="57">
        <v>4.1500000000000004</v>
      </c>
      <c r="AG32" s="57">
        <v>4.5</v>
      </c>
      <c r="AH32" s="59">
        <v>555860</v>
      </c>
      <c r="AI32" s="59">
        <v>656886</v>
      </c>
      <c r="AJ32" s="57">
        <v>4.0999999999999996</v>
      </c>
      <c r="AK32" s="57">
        <v>4.55</v>
      </c>
      <c r="AL32" s="59">
        <v>67974</v>
      </c>
      <c r="AM32" s="59">
        <v>5519760</v>
      </c>
      <c r="AN32" s="59">
        <v>4707747</v>
      </c>
      <c r="AO32" s="60">
        <v>43304</v>
      </c>
      <c r="AP32" s="61" t="s">
        <v>4842</v>
      </c>
      <c r="AQ32" s="77" t="s">
        <v>4769</v>
      </c>
      <c r="AR32" s="76">
        <f t="shared" si="0"/>
        <v>43305.508206018516</v>
      </c>
    </row>
    <row r="33" spans="1:44" ht="40.799999999999997" x14ac:dyDescent="0.3">
      <c r="A33" s="56" t="s">
        <v>4815</v>
      </c>
      <c r="B33" s="57" t="s">
        <v>2658</v>
      </c>
      <c r="C33" s="57" t="s">
        <v>4767</v>
      </c>
      <c r="D33" s="57">
        <v>1</v>
      </c>
      <c r="E33" s="57" t="s">
        <v>4768</v>
      </c>
      <c r="F33" s="57" t="s">
        <v>4768</v>
      </c>
      <c r="G33" s="57">
        <v>12.25</v>
      </c>
      <c r="H33" s="57">
        <v>3.95</v>
      </c>
      <c r="I33" s="57">
        <v>4.05</v>
      </c>
      <c r="J33" s="57">
        <v>4.05</v>
      </c>
      <c r="K33" s="57">
        <v>4.45</v>
      </c>
      <c r="L33" s="57">
        <v>4.05</v>
      </c>
      <c r="M33" s="57">
        <v>4.26</v>
      </c>
      <c r="N33" s="57">
        <v>4.3499999999999996</v>
      </c>
      <c r="O33" s="57">
        <v>0.3</v>
      </c>
      <c r="P33" s="57">
        <v>7.41</v>
      </c>
      <c r="Q33" s="58">
        <v>8311174</v>
      </c>
      <c r="R33" s="57">
        <v>354.06</v>
      </c>
      <c r="S33" s="59">
        <v>266246</v>
      </c>
      <c r="T33" s="57">
        <v>4.3</v>
      </c>
      <c r="U33" s="57">
        <v>4.3499999999999996</v>
      </c>
      <c r="V33" s="59">
        <v>736260</v>
      </c>
      <c r="W33" s="59">
        <v>523598</v>
      </c>
      <c r="X33" s="57">
        <v>4.25</v>
      </c>
      <c r="Y33" s="57">
        <v>4.4000000000000004</v>
      </c>
      <c r="Z33" s="59">
        <v>820432</v>
      </c>
      <c r="AA33" s="59">
        <v>651715</v>
      </c>
      <c r="AB33" s="57">
        <v>4.2</v>
      </c>
      <c r="AC33" s="57">
        <v>4.45</v>
      </c>
      <c r="AD33" s="59">
        <v>749456</v>
      </c>
      <c r="AE33" s="59">
        <v>276794</v>
      </c>
      <c r="AF33" s="57">
        <v>4.1500000000000004</v>
      </c>
      <c r="AG33" s="57">
        <v>4.5</v>
      </c>
      <c r="AH33" s="59">
        <v>555860</v>
      </c>
      <c r="AI33" s="59">
        <v>656886</v>
      </c>
      <c r="AJ33" s="57">
        <v>4.0999999999999996</v>
      </c>
      <c r="AK33" s="57">
        <v>4.55</v>
      </c>
      <c r="AL33" s="59">
        <v>67974</v>
      </c>
      <c r="AM33" s="59">
        <v>5519760</v>
      </c>
      <c r="AN33" s="59">
        <v>4707747</v>
      </c>
      <c r="AO33" s="60">
        <v>43304</v>
      </c>
      <c r="AP33" s="61" t="s">
        <v>4842</v>
      </c>
      <c r="AQ33" s="77" t="s">
        <v>4769</v>
      </c>
      <c r="AR33" s="76">
        <f t="shared" si="0"/>
        <v>43305.508206018516</v>
      </c>
    </row>
    <row r="34" spans="1:44" ht="40.799999999999997" x14ac:dyDescent="0.3">
      <c r="A34" s="56" t="s">
        <v>4815</v>
      </c>
      <c r="B34" s="57" t="s">
        <v>2658</v>
      </c>
      <c r="C34" s="57" t="s">
        <v>4767</v>
      </c>
      <c r="D34" s="57">
        <v>1</v>
      </c>
      <c r="E34" s="57" t="s">
        <v>4768</v>
      </c>
      <c r="F34" s="57" t="s">
        <v>4768</v>
      </c>
      <c r="G34" s="57">
        <v>12.25</v>
      </c>
      <c r="H34" s="57">
        <v>3.95</v>
      </c>
      <c r="I34" s="57">
        <v>4.05</v>
      </c>
      <c r="J34" s="57">
        <v>4.05</v>
      </c>
      <c r="K34" s="57">
        <v>4.45</v>
      </c>
      <c r="L34" s="57">
        <v>4.05</v>
      </c>
      <c r="M34" s="57">
        <v>4.26</v>
      </c>
      <c r="N34" s="57">
        <v>4.3</v>
      </c>
      <c r="O34" s="57">
        <v>0.25</v>
      </c>
      <c r="P34" s="57">
        <v>6.17</v>
      </c>
      <c r="Q34" s="58">
        <v>8384196</v>
      </c>
      <c r="R34" s="57">
        <v>357.17</v>
      </c>
      <c r="S34" s="59">
        <v>202404</v>
      </c>
      <c r="T34" s="57">
        <v>4.3</v>
      </c>
      <c r="U34" s="57">
        <v>4.3499999999999996</v>
      </c>
      <c r="V34" s="59">
        <v>743172</v>
      </c>
      <c r="W34" s="59">
        <v>513334</v>
      </c>
      <c r="X34" s="57">
        <v>4.25</v>
      </c>
      <c r="Y34" s="57">
        <v>4.4000000000000004</v>
      </c>
      <c r="Z34" s="59">
        <v>820432</v>
      </c>
      <c r="AA34" s="59">
        <v>663204</v>
      </c>
      <c r="AB34" s="57">
        <v>4.2</v>
      </c>
      <c r="AC34" s="57">
        <v>4.45</v>
      </c>
      <c r="AD34" s="59">
        <v>785956</v>
      </c>
      <c r="AE34" s="59">
        <v>276794</v>
      </c>
      <c r="AF34" s="57">
        <v>4.1500000000000004</v>
      </c>
      <c r="AG34" s="57">
        <v>4.5</v>
      </c>
      <c r="AH34" s="59">
        <v>556060</v>
      </c>
      <c r="AI34" s="59">
        <v>661586</v>
      </c>
      <c r="AJ34" s="57">
        <v>4.0999999999999996</v>
      </c>
      <c r="AK34" s="57">
        <v>4.55</v>
      </c>
      <c r="AL34" s="59">
        <v>77974</v>
      </c>
      <c r="AM34" s="59">
        <v>5465688</v>
      </c>
      <c r="AN34" s="59">
        <v>4718459</v>
      </c>
      <c r="AO34" s="60">
        <v>43304</v>
      </c>
      <c r="AP34" s="61" t="s">
        <v>4843</v>
      </c>
      <c r="AQ34" s="77" t="s">
        <v>4769</v>
      </c>
      <c r="AR34" s="76">
        <f t="shared" si="0"/>
        <v>43305.509942129633</v>
      </c>
    </row>
    <row r="35" spans="1:44" ht="40.799999999999997" x14ac:dyDescent="0.3">
      <c r="A35" s="56" t="s">
        <v>4815</v>
      </c>
      <c r="B35" s="57" t="s">
        <v>2658</v>
      </c>
      <c r="C35" s="57" t="s">
        <v>4767</v>
      </c>
      <c r="D35" s="57">
        <v>1</v>
      </c>
      <c r="E35" s="57" t="s">
        <v>4768</v>
      </c>
      <c r="F35" s="57" t="s">
        <v>4768</v>
      </c>
      <c r="G35" s="57">
        <v>12.25</v>
      </c>
      <c r="H35" s="57">
        <v>3.95</v>
      </c>
      <c r="I35" s="57">
        <v>4.05</v>
      </c>
      <c r="J35" s="57">
        <v>4.05</v>
      </c>
      <c r="K35" s="57">
        <v>4.45</v>
      </c>
      <c r="L35" s="57">
        <v>4.05</v>
      </c>
      <c r="M35" s="57">
        <v>4.26</v>
      </c>
      <c r="N35" s="57">
        <v>4.3</v>
      </c>
      <c r="O35" s="57">
        <v>0.25</v>
      </c>
      <c r="P35" s="57">
        <v>6.17</v>
      </c>
      <c r="Q35" s="58">
        <v>8384196</v>
      </c>
      <c r="R35" s="57">
        <v>357.17</v>
      </c>
      <c r="S35" s="59">
        <v>202404</v>
      </c>
      <c r="T35" s="57">
        <v>4.3</v>
      </c>
      <c r="U35" s="57">
        <v>4.3499999999999996</v>
      </c>
      <c r="V35" s="59">
        <v>743172</v>
      </c>
      <c r="W35" s="59">
        <v>513334</v>
      </c>
      <c r="X35" s="57">
        <v>4.25</v>
      </c>
      <c r="Y35" s="57">
        <v>4.4000000000000004</v>
      </c>
      <c r="Z35" s="59">
        <v>820432</v>
      </c>
      <c r="AA35" s="59">
        <v>663204</v>
      </c>
      <c r="AB35" s="57">
        <v>4.2</v>
      </c>
      <c r="AC35" s="57">
        <v>4.45</v>
      </c>
      <c r="AD35" s="59">
        <v>785956</v>
      </c>
      <c r="AE35" s="59">
        <v>276794</v>
      </c>
      <c r="AF35" s="57">
        <v>4.1500000000000004</v>
      </c>
      <c r="AG35" s="57">
        <v>4.5</v>
      </c>
      <c r="AH35" s="59">
        <v>556060</v>
      </c>
      <c r="AI35" s="59">
        <v>661586</v>
      </c>
      <c r="AJ35" s="57">
        <v>4.0999999999999996</v>
      </c>
      <c r="AK35" s="57">
        <v>4.55</v>
      </c>
      <c r="AL35" s="59">
        <v>77974</v>
      </c>
      <c r="AM35" s="59">
        <v>5465688</v>
      </c>
      <c r="AN35" s="59">
        <v>4718459</v>
      </c>
      <c r="AO35" s="60">
        <v>43304</v>
      </c>
      <c r="AP35" s="61" t="s">
        <v>4843</v>
      </c>
      <c r="AQ35" s="77" t="s">
        <v>4769</v>
      </c>
      <c r="AR35" s="76">
        <f t="shared" si="0"/>
        <v>43305.509942129633</v>
      </c>
    </row>
    <row r="36" spans="1:44" ht="40.799999999999997" x14ac:dyDescent="0.3">
      <c r="A36" s="56" t="s">
        <v>4815</v>
      </c>
      <c r="B36" s="57" t="s">
        <v>2658</v>
      </c>
      <c r="C36" s="57" t="s">
        <v>4767</v>
      </c>
      <c r="D36" s="57">
        <v>1</v>
      </c>
      <c r="E36" s="57" t="s">
        <v>4768</v>
      </c>
      <c r="F36" s="57" t="s">
        <v>4768</v>
      </c>
      <c r="G36" s="57">
        <v>12.25</v>
      </c>
      <c r="H36" s="57">
        <v>3.95</v>
      </c>
      <c r="I36" s="57">
        <v>4.05</v>
      </c>
      <c r="J36" s="57">
        <v>4.05</v>
      </c>
      <c r="K36" s="57">
        <v>4.45</v>
      </c>
      <c r="L36" s="57">
        <v>4.05</v>
      </c>
      <c r="M36" s="57">
        <v>4.2699999999999996</v>
      </c>
      <c r="N36" s="57">
        <v>4.3499999999999996</v>
      </c>
      <c r="O36" s="57">
        <v>0.3</v>
      </c>
      <c r="P36" s="57">
        <v>7.41</v>
      </c>
      <c r="Q36" s="58">
        <v>9133736</v>
      </c>
      <c r="R36" s="57">
        <v>390.01</v>
      </c>
      <c r="S36" s="59">
        <v>389850</v>
      </c>
      <c r="T36" s="57">
        <v>4.3499999999999996</v>
      </c>
      <c r="U36" s="57">
        <v>4.4000000000000004</v>
      </c>
      <c r="V36" s="59">
        <v>778869</v>
      </c>
      <c r="W36" s="59">
        <v>424011</v>
      </c>
      <c r="X36" s="57">
        <v>4.3</v>
      </c>
      <c r="Y36" s="57">
        <v>4.45</v>
      </c>
      <c r="Z36" s="59">
        <v>753274</v>
      </c>
      <c r="AA36" s="59">
        <v>462934</v>
      </c>
      <c r="AB36" s="57">
        <v>4.25</v>
      </c>
      <c r="AC36" s="57">
        <v>4.5</v>
      </c>
      <c r="AD36" s="59">
        <v>562040</v>
      </c>
      <c r="AE36" s="59">
        <v>664204</v>
      </c>
      <c r="AF36" s="57">
        <v>4.2</v>
      </c>
      <c r="AG36" s="57">
        <v>4.55</v>
      </c>
      <c r="AH36" s="59">
        <v>80574</v>
      </c>
      <c r="AI36" s="59">
        <v>284094</v>
      </c>
      <c r="AJ36" s="57">
        <v>4.1500000000000004</v>
      </c>
      <c r="AK36" s="57">
        <v>4.5999999999999996</v>
      </c>
      <c r="AL36" s="59">
        <v>252727</v>
      </c>
      <c r="AM36" s="59">
        <v>6040515</v>
      </c>
      <c r="AN36" s="59">
        <v>3922622</v>
      </c>
      <c r="AO36" s="60">
        <v>43304</v>
      </c>
      <c r="AP36" s="57" t="s">
        <v>4844</v>
      </c>
      <c r="AQ36" s="77" t="s">
        <v>4769</v>
      </c>
      <c r="AR36" s="76">
        <f t="shared" si="0"/>
        <v>43305.512372685182</v>
      </c>
    </row>
    <row r="37" spans="1:44" ht="40.799999999999997" x14ac:dyDescent="0.3">
      <c r="A37" s="56" t="s">
        <v>4815</v>
      </c>
      <c r="B37" s="57" t="s">
        <v>2658</v>
      </c>
      <c r="C37" s="57" t="s">
        <v>4767</v>
      </c>
      <c r="D37" s="57">
        <v>1</v>
      </c>
      <c r="E37" s="57" t="s">
        <v>4768</v>
      </c>
      <c r="F37" s="57" t="s">
        <v>4768</v>
      </c>
      <c r="G37" s="57">
        <v>12.25</v>
      </c>
      <c r="H37" s="57">
        <v>3.95</v>
      </c>
      <c r="I37" s="57">
        <v>4.05</v>
      </c>
      <c r="J37" s="57">
        <v>4.05</v>
      </c>
      <c r="K37" s="57">
        <v>4.45</v>
      </c>
      <c r="L37" s="57">
        <v>4.05</v>
      </c>
      <c r="M37" s="57">
        <v>4.2699999999999996</v>
      </c>
      <c r="N37" s="57">
        <v>4.3499999999999996</v>
      </c>
      <c r="O37" s="57">
        <v>0.3</v>
      </c>
      <c r="P37" s="57">
        <v>7.41</v>
      </c>
      <c r="Q37" s="58">
        <v>9133736</v>
      </c>
      <c r="R37" s="57">
        <v>390.01</v>
      </c>
      <c r="S37" s="59">
        <v>389850</v>
      </c>
      <c r="T37" s="57">
        <v>4.3499999999999996</v>
      </c>
      <c r="U37" s="57">
        <v>4.4000000000000004</v>
      </c>
      <c r="V37" s="59">
        <v>778869</v>
      </c>
      <c r="W37" s="59">
        <v>424011</v>
      </c>
      <c r="X37" s="57">
        <v>4.3</v>
      </c>
      <c r="Y37" s="57">
        <v>4.45</v>
      </c>
      <c r="Z37" s="59">
        <v>753274</v>
      </c>
      <c r="AA37" s="59">
        <v>462934</v>
      </c>
      <c r="AB37" s="57">
        <v>4.25</v>
      </c>
      <c r="AC37" s="57">
        <v>4.5</v>
      </c>
      <c r="AD37" s="59">
        <v>562040</v>
      </c>
      <c r="AE37" s="59">
        <v>664204</v>
      </c>
      <c r="AF37" s="57">
        <v>4.2</v>
      </c>
      <c r="AG37" s="57">
        <v>4.55</v>
      </c>
      <c r="AH37" s="59">
        <v>80574</v>
      </c>
      <c r="AI37" s="59">
        <v>284094</v>
      </c>
      <c r="AJ37" s="57">
        <v>4.1500000000000004</v>
      </c>
      <c r="AK37" s="57">
        <v>4.5999999999999996</v>
      </c>
      <c r="AL37" s="59">
        <v>252727</v>
      </c>
      <c r="AM37" s="59">
        <v>6040515</v>
      </c>
      <c r="AN37" s="59">
        <v>3922622</v>
      </c>
      <c r="AO37" s="60">
        <v>43304</v>
      </c>
      <c r="AP37" s="57" t="s">
        <v>4844</v>
      </c>
      <c r="AQ37" s="77" t="s">
        <v>4769</v>
      </c>
      <c r="AR37" s="76">
        <f t="shared" si="0"/>
        <v>43305.512372685182</v>
      </c>
    </row>
    <row r="38" spans="1:44" ht="40.799999999999997" x14ac:dyDescent="0.3">
      <c r="A38" s="56" t="s">
        <v>4815</v>
      </c>
      <c r="B38" s="57" t="s">
        <v>2658</v>
      </c>
      <c r="C38" s="57" t="s">
        <v>4767</v>
      </c>
      <c r="D38" s="57">
        <v>1</v>
      </c>
      <c r="E38" s="57" t="s">
        <v>4768</v>
      </c>
      <c r="F38" s="57" t="s">
        <v>4768</v>
      </c>
      <c r="G38" s="57">
        <v>12.25</v>
      </c>
      <c r="H38" s="57">
        <v>3.95</v>
      </c>
      <c r="I38" s="57">
        <v>4.05</v>
      </c>
      <c r="J38" s="57">
        <v>4.05</v>
      </c>
      <c r="K38" s="57">
        <v>4.45</v>
      </c>
      <c r="L38" s="57">
        <v>4.05</v>
      </c>
      <c r="M38" s="57">
        <v>4.2699999999999996</v>
      </c>
      <c r="N38" s="57">
        <v>4.4000000000000004</v>
      </c>
      <c r="O38" s="57">
        <v>0.35</v>
      </c>
      <c r="P38" s="57">
        <v>8.64</v>
      </c>
      <c r="Q38" s="58">
        <v>9265874</v>
      </c>
      <c r="R38" s="57">
        <v>395.65</v>
      </c>
      <c r="S38" s="59">
        <v>423305</v>
      </c>
      <c r="T38" s="57">
        <v>4.3499999999999996</v>
      </c>
      <c r="U38" s="57">
        <v>4.4000000000000004</v>
      </c>
      <c r="V38" s="59">
        <v>808283</v>
      </c>
      <c r="W38" s="59">
        <v>423611</v>
      </c>
      <c r="X38" s="57">
        <v>4.3</v>
      </c>
      <c r="Y38" s="57">
        <v>4.45</v>
      </c>
      <c r="Z38" s="59">
        <v>815475</v>
      </c>
      <c r="AA38" s="59">
        <v>462834</v>
      </c>
      <c r="AB38" s="57">
        <v>4.25</v>
      </c>
      <c r="AC38" s="57">
        <v>4.5</v>
      </c>
      <c r="AD38" s="59">
        <v>562893</v>
      </c>
      <c r="AE38" s="59">
        <v>659204</v>
      </c>
      <c r="AF38" s="57">
        <v>4.2</v>
      </c>
      <c r="AG38" s="57">
        <v>4.55</v>
      </c>
      <c r="AH38" s="59">
        <v>88174</v>
      </c>
      <c r="AI38" s="59">
        <v>283094</v>
      </c>
      <c r="AJ38" s="57">
        <v>4.1500000000000004</v>
      </c>
      <c r="AK38" s="57">
        <v>4.5999999999999996</v>
      </c>
      <c r="AL38" s="59">
        <v>311537</v>
      </c>
      <c r="AM38" s="59">
        <v>6066470</v>
      </c>
      <c r="AN38" s="59">
        <v>4083200</v>
      </c>
      <c r="AO38" s="60">
        <v>43304</v>
      </c>
      <c r="AP38" s="57" t="s">
        <v>4845</v>
      </c>
      <c r="AQ38" s="77" t="s">
        <v>4769</v>
      </c>
      <c r="AR38" s="76">
        <f t="shared" si="0"/>
        <v>43305.514456018522</v>
      </c>
    </row>
    <row r="39" spans="1:44" ht="40.799999999999997" x14ac:dyDescent="0.3">
      <c r="A39" s="56" t="s">
        <v>4815</v>
      </c>
      <c r="B39" s="57" t="s">
        <v>2658</v>
      </c>
      <c r="C39" s="57" t="s">
        <v>4767</v>
      </c>
      <c r="D39" s="57">
        <v>1</v>
      </c>
      <c r="E39" s="57" t="s">
        <v>4768</v>
      </c>
      <c r="F39" s="57" t="s">
        <v>4768</v>
      </c>
      <c r="G39" s="57">
        <v>12.25</v>
      </c>
      <c r="H39" s="57">
        <v>3.95</v>
      </c>
      <c r="I39" s="57">
        <v>4.05</v>
      </c>
      <c r="J39" s="57">
        <v>4.05</v>
      </c>
      <c r="K39" s="57">
        <v>4.45</v>
      </c>
      <c r="L39" s="57">
        <v>4.05</v>
      </c>
      <c r="M39" s="57">
        <v>4.2699999999999996</v>
      </c>
      <c r="N39" s="57">
        <v>4.4000000000000004</v>
      </c>
      <c r="O39" s="57">
        <v>0.35</v>
      </c>
      <c r="P39" s="57">
        <v>8.64</v>
      </c>
      <c r="Q39" s="58">
        <v>9265874</v>
      </c>
      <c r="R39" s="57">
        <v>395.65</v>
      </c>
      <c r="S39" s="59">
        <v>423305</v>
      </c>
      <c r="T39" s="57">
        <v>4.3499999999999996</v>
      </c>
      <c r="U39" s="57">
        <v>4.4000000000000004</v>
      </c>
      <c r="V39" s="59">
        <v>808283</v>
      </c>
      <c r="W39" s="59">
        <v>423611</v>
      </c>
      <c r="X39" s="57">
        <v>4.3</v>
      </c>
      <c r="Y39" s="57">
        <v>4.45</v>
      </c>
      <c r="Z39" s="59">
        <v>815475</v>
      </c>
      <c r="AA39" s="59">
        <v>462834</v>
      </c>
      <c r="AB39" s="57">
        <v>4.25</v>
      </c>
      <c r="AC39" s="57">
        <v>4.5</v>
      </c>
      <c r="AD39" s="59">
        <v>562893</v>
      </c>
      <c r="AE39" s="59">
        <v>659204</v>
      </c>
      <c r="AF39" s="57">
        <v>4.2</v>
      </c>
      <c r="AG39" s="57">
        <v>4.55</v>
      </c>
      <c r="AH39" s="59">
        <v>88174</v>
      </c>
      <c r="AI39" s="59">
        <v>283094</v>
      </c>
      <c r="AJ39" s="57">
        <v>4.1500000000000004</v>
      </c>
      <c r="AK39" s="57">
        <v>4.5999999999999996</v>
      </c>
      <c r="AL39" s="59">
        <v>311537</v>
      </c>
      <c r="AM39" s="59">
        <v>6066470</v>
      </c>
      <c r="AN39" s="59">
        <v>4083200</v>
      </c>
      <c r="AO39" s="60">
        <v>43304</v>
      </c>
      <c r="AP39" s="57" t="s">
        <v>4845</v>
      </c>
      <c r="AQ39" s="77" t="s">
        <v>4769</v>
      </c>
      <c r="AR39" s="76">
        <f t="shared" si="0"/>
        <v>43305.514456018522</v>
      </c>
    </row>
    <row r="40" spans="1:44" ht="40.799999999999997" x14ac:dyDescent="0.3">
      <c r="A40" s="56" t="s">
        <v>4815</v>
      </c>
      <c r="B40" s="57" t="s">
        <v>2658</v>
      </c>
      <c r="C40" s="57" t="s">
        <v>4767</v>
      </c>
      <c r="D40" s="57">
        <v>1</v>
      </c>
      <c r="E40" s="57" t="s">
        <v>4768</v>
      </c>
      <c r="F40" s="57" t="s">
        <v>4768</v>
      </c>
      <c r="G40" s="57">
        <v>12.25</v>
      </c>
      <c r="H40" s="57">
        <v>3.95</v>
      </c>
      <c r="I40" s="57">
        <v>4.05</v>
      </c>
      <c r="J40" s="57">
        <v>4.05</v>
      </c>
      <c r="K40" s="57">
        <v>4.45</v>
      </c>
      <c r="L40" s="57">
        <v>4.05</v>
      </c>
      <c r="M40" s="57">
        <v>4.2699999999999996</v>
      </c>
      <c r="N40" s="57">
        <v>4.3</v>
      </c>
      <c r="O40" s="57">
        <v>0.25</v>
      </c>
      <c r="P40" s="57">
        <v>6.17</v>
      </c>
      <c r="Q40" s="58">
        <v>9647383</v>
      </c>
      <c r="R40" s="57">
        <v>411.94</v>
      </c>
      <c r="S40" s="59">
        <v>433238</v>
      </c>
      <c r="T40" s="57">
        <v>4.3</v>
      </c>
      <c r="U40" s="57">
        <v>4.3499999999999996</v>
      </c>
      <c r="V40" s="59">
        <v>106068</v>
      </c>
      <c r="W40" s="59">
        <v>409834</v>
      </c>
      <c r="X40" s="57">
        <v>4.25</v>
      </c>
      <c r="Y40" s="57">
        <v>4.4000000000000004</v>
      </c>
      <c r="Z40" s="59">
        <v>634195</v>
      </c>
      <c r="AA40" s="59">
        <v>653504</v>
      </c>
      <c r="AB40" s="57">
        <v>4.2</v>
      </c>
      <c r="AC40" s="57">
        <v>4.45</v>
      </c>
      <c r="AD40" s="59">
        <v>678560</v>
      </c>
      <c r="AE40" s="59">
        <v>286939</v>
      </c>
      <c r="AF40" s="57">
        <v>4.1500000000000004</v>
      </c>
      <c r="AG40" s="57">
        <v>4.5</v>
      </c>
      <c r="AH40" s="59">
        <v>577693</v>
      </c>
      <c r="AI40" s="59">
        <v>660146</v>
      </c>
      <c r="AJ40" s="57">
        <v>4.0999999999999996</v>
      </c>
      <c r="AK40" s="57">
        <v>4.55</v>
      </c>
      <c r="AL40" s="59">
        <v>99174</v>
      </c>
      <c r="AM40" s="59">
        <v>5590097</v>
      </c>
      <c r="AN40" s="59">
        <v>3900640</v>
      </c>
      <c r="AO40" s="60">
        <v>43304</v>
      </c>
      <c r="AP40" s="57" t="s">
        <v>4846</v>
      </c>
      <c r="AQ40" s="77" t="s">
        <v>4769</v>
      </c>
      <c r="AR40" s="76">
        <f t="shared" si="0"/>
        <v>43305.516539351855</v>
      </c>
    </row>
    <row r="41" spans="1:44" ht="28.8" x14ac:dyDescent="0.3">
      <c r="A41" s="56" t="s">
        <v>4833</v>
      </c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8"/>
      <c r="R41" s="57"/>
      <c r="S41" s="59"/>
      <c r="T41" s="57"/>
      <c r="U41" s="57"/>
      <c r="V41" s="59"/>
      <c r="W41" s="59"/>
      <c r="X41" s="57"/>
      <c r="Y41" s="57"/>
      <c r="Z41" s="59"/>
      <c r="AA41" s="59"/>
      <c r="AB41" s="57"/>
      <c r="AC41" s="57"/>
      <c r="AD41" s="59"/>
      <c r="AE41" s="59"/>
      <c r="AF41" s="57"/>
      <c r="AG41" s="57"/>
      <c r="AH41" s="59"/>
      <c r="AI41" s="59"/>
      <c r="AJ41" s="57"/>
      <c r="AK41" s="57"/>
      <c r="AL41" s="59"/>
      <c r="AM41" s="59"/>
      <c r="AN41" s="59"/>
      <c r="AO41" s="60"/>
      <c r="AP41" s="57"/>
      <c r="AQ41" s="77" t="s">
        <v>4769</v>
      </c>
      <c r="AR41" s="76" t="e">
        <f t="shared" si="0"/>
        <v>#VALUE!</v>
      </c>
    </row>
    <row r="42" spans="1:44" ht="28.8" x14ac:dyDescent="0.3">
      <c r="A42" s="56" t="s">
        <v>4833</v>
      </c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8"/>
      <c r="R42" s="57"/>
      <c r="S42" s="59"/>
      <c r="T42" s="57"/>
      <c r="U42" s="57"/>
      <c r="V42" s="59"/>
      <c r="W42" s="59"/>
      <c r="X42" s="57"/>
      <c r="Y42" s="57"/>
      <c r="Z42" s="59"/>
      <c r="AA42" s="59"/>
      <c r="AB42" s="57"/>
      <c r="AC42" s="57"/>
      <c r="AD42" s="59"/>
      <c r="AE42" s="59"/>
      <c r="AF42" s="57"/>
      <c r="AG42" s="57"/>
      <c r="AH42" s="59"/>
      <c r="AI42" s="59"/>
      <c r="AJ42" s="57"/>
      <c r="AK42" s="57"/>
      <c r="AL42" s="59"/>
      <c r="AM42" s="59"/>
      <c r="AN42" s="59"/>
      <c r="AO42" s="60"/>
      <c r="AP42" s="57"/>
      <c r="AQ42" s="77" t="s">
        <v>4769</v>
      </c>
      <c r="AR42" s="76" t="e">
        <f t="shared" si="0"/>
        <v>#VALUE!</v>
      </c>
    </row>
    <row r="43" spans="1:44" ht="40.799999999999997" x14ac:dyDescent="0.3">
      <c r="A43" s="56" t="s">
        <v>4815</v>
      </c>
      <c r="B43" s="57" t="s">
        <v>2658</v>
      </c>
      <c r="C43" s="57" t="s">
        <v>4767</v>
      </c>
      <c r="D43" s="57">
        <v>1</v>
      </c>
      <c r="E43" s="57" t="s">
        <v>4768</v>
      </c>
      <c r="F43" s="57" t="s">
        <v>4768</v>
      </c>
      <c r="G43" s="57">
        <v>12.25</v>
      </c>
      <c r="H43" s="57">
        <v>3.95</v>
      </c>
      <c r="I43" s="57">
        <v>4.05</v>
      </c>
      <c r="J43" s="57">
        <v>4.05</v>
      </c>
      <c r="K43" s="57">
        <v>4.45</v>
      </c>
      <c r="L43" s="57">
        <v>4.05</v>
      </c>
      <c r="M43" s="57">
        <v>4.2699999999999996</v>
      </c>
      <c r="N43" s="57">
        <v>4.3499999999999996</v>
      </c>
      <c r="O43" s="57">
        <v>0.3</v>
      </c>
      <c r="P43" s="57">
        <v>7.41</v>
      </c>
      <c r="Q43" s="58">
        <v>9943302</v>
      </c>
      <c r="R43" s="57">
        <v>424.58</v>
      </c>
      <c r="S43" s="59">
        <v>439893</v>
      </c>
      <c r="T43" s="57">
        <v>4.3499999999999996</v>
      </c>
      <c r="U43" s="57">
        <v>4.4000000000000004</v>
      </c>
      <c r="V43" s="59">
        <v>464791</v>
      </c>
      <c r="W43" s="59">
        <v>543970</v>
      </c>
      <c r="X43" s="57">
        <v>4.3</v>
      </c>
      <c r="Y43" s="57">
        <v>4.45</v>
      </c>
      <c r="Z43" s="59">
        <v>463667</v>
      </c>
      <c r="AA43" s="59">
        <v>493269</v>
      </c>
      <c r="AB43" s="57">
        <v>4.25</v>
      </c>
      <c r="AC43" s="57">
        <v>4.5</v>
      </c>
      <c r="AD43" s="59">
        <v>580504</v>
      </c>
      <c r="AE43" s="59">
        <v>658704</v>
      </c>
      <c r="AF43" s="57">
        <v>4.2</v>
      </c>
      <c r="AG43" s="57">
        <v>4.55</v>
      </c>
      <c r="AH43" s="59">
        <v>176174</v>
      </c>
      <c r="AI43" s="59">
        <v>278938</v>
      </c>
      <c r="AJ43" s="57">
        <v>4.1500000000000004</v>
      </c>
      <c r="AK43" s="57">
        <v>4.5999999999999996</v>
      </c>
      <c r="AL43" s="59">
        <v>322224</v>
      </c>
      <c r="AM43" s="59">
        <v>6212796</v>
      </c>
      <c r="AN43" s="59">
        <v>3698297</v>
      </c>
      <c r="AO43" s="60">
        <v>43304</v>
      </c>
      <c r="AP43" s="57" t="s">
        <v>4847</v>
      </c>
      <c r="AQ43" s="77" t="s">
        <v>4769</v>
      </c>
      <c r="AR43" s="76">
        <f t="shared" si="0"/>
        <v>43305.526620370372</v>
      </c>
    </row>
    <row r="44" spans="1:44" ht="40.799999999999997" x14ac:dyDescent="0.3">
      <c r="A44" s="56" t="s">
        <v>4815</v>
      </c>
      <c r="B44" s="57" t="s">
        <v>2658</v>
      </c>
      <c r="C44" s="57" t="s">
        <v>4767</v>
      </c>
      <c r="D44" s="57">
        <v>1</v>
      </c>
      <c r="E44" s="57" t="s">
        <v>4768</v>
      </c>
      <c r="F44" s="57" t="s">
        <v>4768</v>
      </c>
      <c r="G44" s="57">
        <v>12.25</v>
      </c>
      <c r="H44" s="57">
        <v>3.95</v>
      </c>
      <c r="I44" s="57">
        <v>4.05</v>
      </c>
      <c r="J44" s="57">
        <v>4.05</v>
      </c>
      <c r="K44" s="57">
        <v>4.45</v>
      </c>
      <c r="L44" s="57">
        <v>4.05</v>
      </c>
      <c r="M44" s="57">
        <v>4.2699999999999996</v>
      </c>
      <c r="N44" s="57">
        <v>4.3499999999999996</v>
      </c>
      <c r="O44" s="57">
        <v>0.3</v>
      </c>
      <c r="P44" s="57">
        <v>7.41</v>
      </c>
      <c r="Q44" s="58">
        <v>9943302</v>
      </c>
      <c r="R44" s="57">
        <v>424.58</v>
      </c>
      <c r="S44" s="59">
        <v>439893</v>
      </c>
      <c r="T44" s="57">
        <v>4.3499999999999996</v>
      </c>
      <c r="U44" s="57">
        <v>4.4000000000000004</v>
      </c>
      <c r="V44" s="59">
        <v>464791</v>
      </c>
      <c r="W44" s="59">
        <v>543970</v>
      </c>
      <c r="X44" s="57">
        <v>4.3</v>
      </c>
      <c r="Y44" s="57">
        <v>4.45</v>
      </c>
      <c r="Z44" s="59">
        <v>463667</v>
      </c>
      <c r="AA44" s="59">
        <v>493269</v>
      </c>
      <c r="AB44" s="57">
        <v>4.25</v>
      </c>
      <c r="AC44" s="57">
        <v>4.5</v>
      </c>
      <c r="AD44" s="59">
        <v>580504</v>
      </c>
      <c r="AE44" s="59">
        <v>658704</v>
      </c>
      <c r="AF44" s="57">
        <v>4.2</v>
      </c>
      <c r="AG44" s="57">
        <v>4.55</v>
      </c>
      <c r="AH44" s="59">
        <v>176174</v>
      </c>
      <c r="AI44" s="59">
        <v>278938</v>
      </c>
      <c r="AJ44" s="57">
        <v>4.1500000000000004</v>
      </c>
      <c r="AK44" s="57">
        <v>4.5999999999999996</v>
      </c>
      <c r="AL44" s="59">
        <v>322224</v>
      </c>
      <c r="AM44" s="59">
        <v>6212796</v>
      </c>
      <c r="AN44" s="59">
        <v>3698297</v>
      </c>
      <c r="AO44" s="60">
        <v>43304</v>
      </c>
      <c r="AP44" s="57" t="s">
        <v>4847</v>
      </c>
      <c r="AQ44" s="77" t="s">
        <v>4769</v>
      </c>
      <c r="AR44" s="76">
        <f t="shared" si="0"/>
        <v>43305.526620370372</v>
      </c>
    </row>
    <row r="45" spans="1:44" x14ac:dyDescent="0.3">
      <c r="A45" s="56" t="s">
        <v>4833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8"/>
      <c r="R45" s="57"/>
      <c r="S45" s="59"/>
      <c r="T45" s="57"/>
      <c r="U45" s="57"/>
      <c r="V45" s="59"/>
      <c r="W45" s="59"/>
      <c r="X45" s="57"/>
      <c r="Y45" s="57"/>
      <c r="Z45" s="59"/>
      <c r="AA45" s="59"/>
      <c r="AB45" s="57"/>
      <c r="AC45" s="57"/>
      <c r="AD45" s="59"/>
      <c r="AE45" s="59"/>
      <c r="AF45" s="57"/>
      <c r="AG45" s="57"/>
      <c r="AH45" s="59"/>
      <c r="AI45" s="59"/>
      <c r="AJ45" s="57"/>
      <c r="AK45" s="57"/>
      <c r="AL45" s="59"/>
      <c r="AM45" s="59"/>
      <c r="AN45" s="59"/>
      <c r="AO45" s="60"/>
      <c r="AP45" s="57"/>
      <c r="AQ45" s="57"/>
      <c r="AR45" s="76" t="e">
        <f t="shared" si="0"/>
        <v>#VALUE!</v>
      </c>
    </row>
    <row r="46" spans="1:44" x14ac:dyDescent="0.3">
      <c r="A46" s="56" t="s">
        <v>4833</v>
      </c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8"/>
      <c r="R46" s="57"/>
      <c r="S46" s="59"/>
      <c r="T46" s="57"/>
      <c r="U46" s="57"/>
      <c r="V46" s="59"/>
      <c r="W46" s="59"/>
      <c r="X46" s="57"/>
      <c r="Y46" s="57"/>
      <c r="Z46" s="59"/>
      <c r="AA46" s="59"/>
      <c r="AB46" s="57"/>
      <c r="AC46" s="57"/>
      <c r="AD46" s="59"/>
      <c r="AE46" s="59"/>
      <c r="AF46" s="57"/>
      <c r="AG46" s="57"/>
      <c r="AH46" s="59"/>
      <c r="AI46" s="59"/>
      <c r="AJ46" s="57"/>
      <c r="AK46" s="57"/>
      <c r="AL46" s="59"/>
      <c r="AM46" s="59"/>
      <c r="AN46" s="59"/>
      <c r="AO46" s="60"/>
      <c r="AP46" s="57"/>
      <c r="AQ46" s="57"/>
      <c r="AR46" s="76" t="e">
        <f t="shared" si="0"/>
        <v>#VALUE!</v>
      </c>
    </row>
    <row r="47" spans="1:44" ht="40.799999999999997" x14ac:dyDescent="0.3">
      <c r="A47" s="56" t="s">
        <v>4815</v>
      </c>
      <c r="B47" s="57" t="s">
        <v>2658</v>
      </c>
      <c r="C47" s="57" t="s">
        <v>4767</v>
      </c>
      <c r="D47" s="57">
        <v>1</v>
      </c>
      <c r="E47" s="57" t="s">
        <v>4768</v>
      </c>
      <c r="F47" s="57" t="s">
        <v>4768</v>
      </c>
      <c r="G47" s="57">
        <v>12.25</v>
      </c>
      <c r="H47" s="57">
        <v>3.95</v>
      </c>
      <c r="I47" s="57">
        <v>4.05</v>
      </c>
      <c r="J47" s="57">
        <v>4.05</v>
      </c>
      <c r="K47" s="57">
        <v>4.45</v>
      </c>
      <c r="L47" s="57">
        <v>4.05</v>
      </c>
      <c r="M47" s="57">
        <v>4.28</v>
      </c>
      <c r="N47" s="57">
        <v>4.3</v>
      </c>
      <c r="O47" s="57">
        <v>0.25</v>
      </c>
      <c r="P47" s="57">
        <v>6.17</v>
      </c>
      <c r="Q47" s="58">
        <v>10479820</v>
      </c>
      <c r="R47" s="57">
        <v>448.54</v>
      </c>
      <c r="S47" s="59">
        <v>480449</v>
      </c>
      <c r="T47" s="57">
        <v>4.3</v>
      </c>
      <c r="U47" s="57">
        <v>4.3499999999999996</v>
      </c>
      <c r="V47" s="59">
        <v>214388</v>
      </c>
      <c r="W47" s="59">
        <v>632569</v>
      </c>
      <c r="X47" s="57">
        <v>4.25</v>
      </c>
      <c r="Y47" s="57">
        <v>4.4000000000000004</v>
      </c>
      <c r="Z47" s="59">
        <v>632094</v>
      </c>
      <c r="AA47" s="59">
        <v>628004</v>
      </c>
      <c r="AB47" s="57">
        <v>4.2</v>
      </c>
      <c r="AC47" s="57">
        <v>4.45</v>
      </c>
      <c r="AD47" s="59">
        <v>408847</v>
      </c>
      <c r="AE47" s="59">
        <v>277238</v>
      </c>
      <c r="AF47" s="57">
        <v>4.1500000000000004</v>
      </c>
      <c r="AG47" s="57">
        <v>4.5</v>
      </c>
      <c r="AH47" s="59">
        <v>471401</v>
      </c>
      <c r="AI47" s="59">
        <v>663197</v>
      </c>
      <c r="AJ47" s="57">
        <v>4.0999999999999996</v>
      </c>
      <c r="AK47" s="57">
        <v>4.55</v>
      </c>
      <c r="AL47" s="59">
        <v>174671</v>
      </c>
      <c r="AM47" s="59">
        <v>5874012</v>
      </c>
      <c r="AN47" s="59">
        <v>3894902</v>
      </c>
      <c r="AO47" s="60">
        <v>43304</v>
      </c>
      <c r="AP47" s="57" t="s">
        <v>4848</v>
      </c>
      <c r="AQ47" s="77" t="s">
        <v>4769</v>
      </c>
      <c r="AR47" s="76">
        <f t="shared" si="0"/>
        <v>43305.530787037038</v>
      </c>
    </row>
    <row r="48" spans="1:44" ht="40.799999999999997" x14ac:dyDescent="0.3">
      <c r="A48" s="56" t="s">
        <v>4815</v>
      </c>
      <c r="B48" s="57" t="s">
        <v>2658</v>
      </c>
      <c r="C48" s="57" t="s">
        <v>4767</v>
      </c>
      <c r="D48" s="57">
        <v>1</v>
      </c>
      <c r="E48" s="57" t="s">
        <v>4768</v>
      </c>
      <c r="F48" s="57" t="s">
        <v>4768</v>
      </c>
      <c r="G48" s="57">
        <v>12.25</v>
      </c>
      <c r="H48" s="57">
        <v>3.95</v>
      </c>
      <c r="I48" s="57">
        <v>4.05</v>
      </c>
      <c r="J48" s="57">
        <v>4.05</v>
      </c>
      <c r="K48" s="57">
        <v>4.45</v>
      </c>
      <c r="L48" s="57">
        <v>4.05</v>
      </c>
      <c r="M48" s="57">
        <v>4.28</v>
      </c>
      <c r="N48" s="57">
        <v>4.3</v>
      </c>
      <c r="O48" s="57">
        <v>0.25</v>
      </c>
      <c r="P48" s="57">
        <v>6.17</v>
      </c>
      <c r="Q48" s="58">
        <v>10479820</v>
      </c>
      <c r="R48" s="57">
        <v>448.54</v>
      </c>
      <c r="S48" s="59">
        <v>480449</v>
      </c>
      <c r="T48" s="57">
        <v>4.3</v>
      </c>
      <c r="U48" s="57">
        <v>4.3499999999999996</v>
      </c>
      <c r="V48" s="59">
        <v>214388</v>
      </c>
      <c r="W48" s="59">
        <v>632569</v>
      </c>
      <c r="X48" s="57">
        <v>4.25</v>
      </c>
      <c r="Y48" s="57">
        <v>4.4000000000000004</v>
      </c>
      <c r="Z48" s="59">
        <v>632094</v>
      </c>
      <c r="AA48" s="59">
        <v>628004</v>
      </c>
      <c r="AB48" s="57">
        <v>4.2</v>
      </c>
      <c r="AC48" s="57">
        <v>4.45</v>
      </c>
      <c r="AD48" s="59">
        <v>408847</v>
      </c>
      <c r="AE48" s="59">
        <v>277238</v>
      </c>
      <c r="AF48" s="57">
        <v>4.1500000000000004</v>
      </c>
      <c r="AG48" s="57">
        <v>4.5</v>
      </c>
      <c r="AH48" s="59">
        <v>471401</v>
      </c>
      <c r="AI48" s="59">
        <v>663197</v>
      </c>
      <c r="AJ48" s="57">
        <v>4.0999999999999996</v>
      </c>
      <c r="AK48" s="57">
        <v>4.55</v>
      </c>
      <c r="AL48" s="59">
        <v>174671</v>
      </c>
      <c r="AM48" s="59">
        <v>5874012</v>
      </c>
      <c r="AN48" s="59">
        <v>3894902</v>
      </c>
      <c r="AO48" s="60">
        <v>43304</v>
      </c>
      <c r="AP48" s="57" t="s">
        <v>4848</v>
      </c>
      <c r="AQ48" s="77" t="s">
        <v>4769</v>
      </c>
      <c r="AR48" s="76">
        <f t="shared" si="0"/>
        <v>43305.530787037038</v>
      </c>
    </row>
    <row r="49" spans="1:44" ht="40.799999999999997" x14ac:dyDescent="0.3">
      <c r="A49" s="56" t="s">
        <v>4815</v>
      </c>
      <c r="B49" s="57" t="s">
        <v>2658</v>
      </c>
      <c r="C49" s="57" t="s">
        <v>4767</v>
      </c>
      <c r="D49" s="57">
        <v>1</v>
      </c>
      <c r="E49" s="57" t="s">
        <v>4768</v>
      </c>
      <c r="F49" s="57" t="s">
        <v>4768</v>
      </c>
      <c r="G49" s="57">
        <v>12.25</v>
      </c>
      <c r="H49" s="57">
        <v>3.95</v>
      </c>
      <c r="I49" s="57">
        <v>4.05</v>
      </c>
      <c r="J49" s="57">
        <v>4.05</v>
      </c>
      <c r="K49" s="57">
        <v>4.45</v>
      </c>
      <c r="L49" s="57">
        <v>4.05</v>
      </c>
      <c r="M49" s="57">
        <v>4.28</v>
      </c>
      <c r="N49" s="57">
        <v>4.3</v>
      </c>
      <c r="O49" s="57">
        <v>0.25</v>
      </c>
      <c r="P49" s="57">
        <v>6.17</v>
      </c>
      <c r="Q49" s="58">
        <v>10538185</v>
      </c>
      <c r="R49" s="57">
        <v>451.03</v>
      </c>
      <c r="S49" s="59">
        <v>651785</v>
      </c>
      <c r="T49" s="57">
        <v>4.3</v>
      </c>
      <c r="U49" s="57">
        <v>4.3499999999999996</v>
      </c>
      <c r="V49" s="59">
        <v>201488</v>
      </c>
      <c r="W49" s="59">
        <v>707581</v>
      </c>
      <c r="X49" s="57">
        <v>4.25</v>
      </c>
      <c r="Y49" s="57">
        <v>4.4000000000000004</v>
      </c>
      <c r="Z49" s="59">
        <v>632994</v>
      </c>
      <c r="AA49" s="59">
        <v>736004</v>
      </c>
      <c r="AB49" s="57">
        <v>4.2</v>
      </c>
      <c r="AC49" s="57">
        <v>4.45</v>
      </c>
      <c r="AD49" s="59">
        <v>412347</v>
      </c>
      <c r="AE49" s="59">
        <v>529238</v>
      </c>
      <c r="AF49" s="57">
        <v>4.1500000000000004</v>
      </c>
      <c r="AG49" s="57">
        <v>4.5</v>
      </c>
      <c r="AH49" s="59">
        <v>482688</v>
      </c>
      <c r="AI49" s="59">
        <v>663201</v>
      </c>
      <c r="AJ49" s="57">
        <v>4.0999999999999996</v>
      </c>
      <c r="AK49" s="57">
        <v>4.55</v>
      </c>
      <c r="AL49" s="59">
        <v>174671</v>
      </c>
      <c r="AM49" s="59">
        <v>6370663</v>
      </c>
      <c r="AN49" s="59">
        <v>3898389</v>
      </c>
      <c r="AO49" s="60">
        <v>43304</v>
      </c>
      <c r="AP49" s="57" t="s">
        <v>4849</v>
      </c>
      <c r="AQ49" s="77" t="s">
        <v>4769</v>
      </c>
      <c r="AR49" s="76">
        <f t="shared" si="0"/>
        <v>43305.533217592594</v>
      </c>
    </row>
    <row r="50" spans="1:44" ht="40.799999999999997" x14ac:dyDescent="0.3">
      <c r="A50" s="56" t="s">
        <v>4815</v>
      </c>
      <c r="B50" s="57" t="s">
        <v>2658</v>
      </c>
      <c r="C50" s="57" t="s">
        <v>4767</v>
      </c>
      <c r="D50" s="57">
        <v>1</v>
      </c>
      <c r="E50" s="57" t="s">
        <v>4768</v>
      </c>
      <c r="F50" s="57" t="s">
        <v>4768</v>
      </c>
      <c r="G50" s="57">
        <v>12.25</v>
      </c>
      <c r="H50" s="57">
        <v>3.95</v>
      </c>
      <c r="I50" s="57">
        <v>4.05</v>
      </c>
      <c r="J50" s="57">
        <v>4.05</v>
      </c>
      <c r="K50" s="57">
        <v>4.45</v>
      </c>
      <c r="L50" s="57">
        <v>4.05</v>
      </c>
      <c r="M50" s="57">
        <v>4.26</v>
      </c>
      <c r="N50" s="57">
        <v>4.3</v>
      </c>
      <c r="O50" s="57">
        <v>0.25</v>
      </c>
      <c r="P50" s="57">
        <v>6.17</v>
      </c>
      <c r="Q50" s="58">
        <v>8243929</v>
      </c>
      <c r="R50" s="57">
        <v>351.19</v>
      </c>
      <c r="S50" s="59">
        <v>216094</v>
      </c>
      <c r="T50" s="57">
        <v>4.3</v>
      </c>
      <c r="U50" s="57">
        <v>4.3499999999999996</v>
      </c>
      <c r="V50" s="59">
        <v>838552</v>
      </c>
      <c r="W50" s="59">
        <v>517387</v>
      </c>
      <c r="X50" s="57">
        <v>4.25</v>
      </c>
      <c r="Y50" s="57">
        <v>4.4000000000000004</v>
      </c>
      <c r="Z50" s="59">
        <v>748950</v>
      </c>
      <c r="AA50" s="59">
        <v>699713</v>
      </c>
      <c r="AB50" s="57">
        <v>4.2</v>
      </c>
      <c r="AC50" s="57">
        <v>4.45</v>
      </c>
      <c r="AD50" s="59">
        <v>682795</v>
      </c>
      <c r="AE50" s="59">
        <v>501295</v>
      </c>
      <c r="AF50" s="57">
        <v>4.1500000000000004</v>
      </c>
      <c r="AG50" s="57">
        <v>4.5</v>
      </c>
      <c r="AH50" s="59">
        <v>528768</v>
      </c>
      <c r="AI50" s="59">
        <v>656286</v>
      </c>
      <c r="AJ50" s="57">
        <v>4.0999999999999996</v>
      </c>
      <c r="AK50" s="57">
        <v>4.55</v>
      </c>
      <c r="AL50" s="59">
        <v>69474</v>
      </c>
      <c r="AM50" s="59">
        <v>5661427</v>
      </c>
      <c r="AN50" s="59">
        <v>4609196</v>
      </c>
      <c r="AO50" s="60">
        <v>43304</v>
      </c>
      <c r="AP50" s="57" t="s">
        <v>4837</v>
      </c>
      <c r="AQ50" s="77" t="s">
        <v>4769</v>
      </c>
      <c r="AR50" s="76">
        <f t="shared" si="0"/>
        <v>43305.502650462964</v>
      </c>
    </row>
    <row r="51" spans="1:44" x14ac:dyDescent="0.3">
      <c r="A51" s="5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8"/>
      <c r="R51" s="57"/>
      <c r="S51" s="59"/>
      <c r="T51" s="57"/>
      <c r="U51" s="57"/>
      <c r="V51" s="59"/>
      <c r="W51" s="59"/>
      <c r="X51" s="57"/>
      <c r="Y51" s="57"/>
      <c r="Z51" s="59"/>
      <c r="AA51" s="59"/>
      <c r="AB51" s="57"/>
      <c r="AC51" s="57"/>
      <c r="AD51" s="59"/>
      <c r="AE51" s="59"/>
      <c r="AF51" s="57"/>
      <c r="AG51" s="57"/>
      <c r="AH51" s="59"/>
      <c r="AI51" s="59"/>
      <c r="AJ51" s="57"/>
      <c r="AK51" s="57"/>
      <c r="AL51" s="59"/>
      <c r="AM51" s="59"/>
      <c r="AN51" s="59"/>
      <c r="AO51" s="60"/>
      <c r="AP51" s="57"/>
      <c r="AQ51" s="57"/>
      <c r="AR51" s="76" t="e">
        <f t="shared" si="0"/>
        <v>#VALUE!</v>
      </c>
    </row>
    <row r="52" spans="1:44" ht="40.799999999999997" x14ac:dyDescent="0.3">
      <c r="A52" s="56" t="s">
        <v>4815</v>
      </c>
      <c r="B52" s="57" t="s">
        <v>2658</v>
      </c>
      <c r="C52" s="57" t="s">
        <v>4767</v>
      </c>
      <c r="D52" s="57">
        <v>1</v>
      </c>
      <c r="E52" s="57" t="s">
        <v>4768</v>
      </c>
      <c r="F52" s="57" t="s">
        <v>4768</v>
      </c>
      <c r="G52" s="57">
        <v>12.25</v>
      </c>
      <c r="H52" s="57">
        <v>3.95</v>
      </c>
      <c r="I52" s="57">
        <v>4.05</v>
      </c>
      <c r="J52" s="57">
        <v>4.05</v>
      </c>
      <c r="K52" s="57">
        <v>4.45</v>
      </c>
      <c r="L52" s="57">
        <v>4.05</v>
      </c>
      <c r="M52" s="57">
        <v>4.28</v>
      </c>
      <c r="N52" s="57">
        <v>4.3</v>
      </c>
      <c r="O52" s="57">
        <v>0.25</v>
      </c>
      <c r="P52" s="57">
        <v>6.17</v>
      </c>
      <c r="Q52" s="58">
        <v>10644871</v>
      </c>
      <c r="R52" s="57">
        <v>455.6</v>
      </c>
      <c r="S52" s="59">
        <v>692126</v>
      </c>
      <c r="T52" s="57">
        <v>4.3</v>
      </c>
      <c r="U52" s="57">
        <v>4.3499999999999996</v>
      </c>
      <c r="V52" s="59">
        <v>219166</v>
      </c>
      <c r="W52" s="59">
        <v>678631</v>
      </c>
      <c r="X52" s="57">
        <v>4.25</v>
      </c>
      <c r="Y52" s="57">
        <v>4.4000000000000004</v>
      </c>
      <c r="Z52" s="59">
        <v>625022</v>
      </c>
      <c r="AA52" s="59">
        <v>727154</v>
      </c>
      <c r="AB52" s="57">
        <v>4.2</v>
      </c>
      <c r="AC52" s="57">
        <v>4.45</v>
      </c>
      <c r="AD52" s="59">
        <v>424447</v>
      </c>
      <c r="AE52" s="59">
        <v>530288</v>
      </c>
      <c r="AF52" s="57">
        <v>4.1500000000000004</v>
      </c>
      <c r="AG52" s="57">
        <v>4.5</v>
      </c>
      <c r="AH52" s="59">
        <v>482888</v>
      </c>
      <c r="AI52" s="59">
        <v>661301</v>
      </c>
      <c r="AJ52" s="57">
        <v>4.0999999999999996</v>
      </c>
      <c r="AK52" s="57">
        <v>4.55</v>
      </c>
      <c r="AL52" s="59">
        <v>174671</v>
      </c>
      <c r="AM52" s="59">
        <v>6379254</v>
      </c>
      <c r="AN52" s="59">
        <v>3921768</v>
      </c>
      <c r="AO52" s="60">
        <v>43304</v>
      </c>
      <c r="AP52" s="57" t="s">
        <v>4850</v>
      </c>
      <c r="AQ52" s="77" t="s">
        <v>4769</v>
      </c>
      <c r="AR52" s="76">
        <f t="shared" si="0"/>
        <v>43305.53738425926</v>
      </c>
    </row>
    <row r="53" spans="1:44" ht="40.799999999999997" x14ac:dyDescent="0.3">
      <c r="A53" s="56" t="s">
        <v>4815</v>
      </c>
      <c r="B53" s="57" t="s">
        <v>2658</v>
      </c>
      <c r="C53" s="57" t="s">
        <v>4767</v>
      </c>
      <c r="D53" s="57">
        <v>1</v>
      </c>
      <c r="E53" s="57" t="s">
        <v>4768</v>
      </c>
      <c r="F53" s="57" t="s">
        <v>4768</v>
      </c>
      <c r="G53" s="57">
        <v>12.25</v>
      </c>
      <c r="H53" s="57">
        <v>3.95</v>
      </c>
      <c r="I53" s="57">
        <v>4.05</v>
      </c>
      <c r="J53" s="57">
        <v>4.05</v>
      </c>
      <c r="K53" s="57">
        <v>4.45</v>
      </c>
      <c r="L53" s="57">
        <v>4.05</v>
      </c>
      <c r="M53" s="57">
        <v>4.28</v>
      </c>
      <c r="N53" s="57">
        <v>4.3</v>
      </c>
      <c r="O53" s="57">
        <v>0.25</v>
      </c>
      <c r="P53" s="57">
        <v>6.17</v>
      </c>
      <c r="Q53" s="58">
        <v>10644871</v>
      </c>
      <c r="R53" s="57">
        <v>455.6</v>
      </c>
      <c r="S53" s="59">
        <v>692126</v>
      </c>
      <c r="T53" s="57">
        <v>4.3</v>
      </c>
      <c r="U53" s="57">
        <v>4.3499999999999996</v>
      </c>
      <c r="V53" s="59">
        <v>219166</v>
      </c>
      <c r="W53" s="59">
        <v>678631</v>
      </c>
      <c r="X53" s="57">
        <v>4.25</v>
      </c>
      <c r="Y53" s="57">
        <v>4.4000000000000004</v>
      </c>
      <c r="Z53" s="59">
        <v>625022</v>
      </c>
      <c r="AA53" s="59">
        <v>727154</v>
      </c>
      <c r="AB53" s="57">
        <v>4.2</v>
      </c>
      <c r="AC53" s="57">
        <v>4.45</v>
      </c>
      <c r="AD53" s="59">
        <v>424447</v>
      </c>
      <c r="AE53" s="59">
        <v>530288</v>
      </c>
      <c r="AF53" s="57">
        <v>4.1500000000000004</v>
      </c>
      <c r="AG53" s="57">
        <v>4.5</v>
      </c>
      <c r="AH53" s="59">
        <v>482888</v>
      </c>
      <c r="AI53" s="59">
        <v>661301</v>
      </c>
      <c r="AJ53" s="57">
        <v>4.0999999999999996</v>
      </c>
      <c r="AK53" s="57">
        <v>4.55</v>
      </c>
      <c r="AL53" s="59">
        <v>174671</v>
      </c>
      <c r="AM53" s="59">
        <v>6379254</v>
      </c>
      <c r="AN53" s="59">
        <v>3921768</v>
      </c>
      <c r="AO53" s="60">
        <v>43304</v>
      </c>
      <c r="AP53" s="57" t="s">
        <v>4850</v>
      </c>
      <c r="AQ53" s="77" t="s">
        <v>4769</v>
      </c>
      <c r="AR53" s="76">
        <f t="shared" si="0"/>
        <v>43305.53738425926</v>
      </c>
    </row>
    <row r="54" spans="1:44" ht="40.799999999999997" x14ac:dyDescent="0.3">
      <c r="A54" s="56" t="s">
        <v>4815</v>
      </c>
      <c r="B54" s="57" t="s">
        <v>2658</v>
      </c>
      <c r="C54" s="57" t="s">
        <v>4767</v>
      </c>
      <c r="D54" s="57">
        <v>1</v>
      </c>
      <c r="E54" s="57" t="s">
        <v>4768</v>
      </c>
      <c r="F54" s="57" t="s">
        <v>4768</v>
      </c>
      <c r="G54" s="57">
        <v>12.25</v>
      </c>
      <c r="H54" s="57">
        <v>3.95</v>
      </c>
      <c r="I54" s="57">
        <v>4.05</v>
      </c>
      <c r="J54" s="57">
        <v>4.05</v>
      </c>
      <c r="K54" s="57">
        <v>4.45</v>
      </c>
      <c r="L54" s="57">
        <v>4.05</v>
      </c>
      <c r="M54" s="57">
        <v>4.28</v>
      </c>
      <c r="N54" s="57">
        <v>4.3499999999999996</v>
      </c>
      <c r="O54" s="57">
        <v>0.3</v>
      </c>
      <c r="P54" s="57">
        <v>7.41</v>
      </c>
      <c r="Q54" s="58">
        <v>10656658</v>
      </c>
      <c r="R54" s="57">
        <v>456.1</v>
      </c>
      <c r="S54" s="59">
        <v>826042</v>
      </c>
      <c r="T54" s="57">
        <v>4.3</v>
      </c>
      <c r="U54" s="57">
        <v>4.3499999999999996</v>
      </c>
      <c r="V54" s="59">
        <v>226293</v>
      </c>
      <c r="W54" s="59">
        <v>678831</v>
      </c>
      <c r="X54" s="57">
        <v>4.25</v>
      </c>
      <c r="Y54" s="57">
        <v>4.4000000000000004</v>
      </c>
      <c r="Z54" s="59">
        <v>627802</v>
      </c>
      <c r="AA54" s="59">
        <v>727254</v>
      </c>
      <c r="AB54" s="57">
        <v>4.2</v>
      </c>
      <c r="AC54" s="57">
        <v>4.45</v>
      </c>
      <c r="AD54" s="59">
        <v>432683</v>
      </c>
      <c r="AE54" s="59">
        <v>531288</v>
      </c>
      <c r="AF54" s="57">
        <v>4.1500000000000004</v>
      </c>
      <c r="AG54" s="57">
        <v>4.5</v>
      </c>
      <c r="AH54" s="59">
        <v>487988</v>
      </c>
      <c r="AI54" s="59">
        <v>661551</v>
      </c>
      <c r="AJ54" s="57">
        <v>4.0999999999999996</v>
      </c>
      <c r="AK54" s="57">
        <v>4.55</v>
      </c>
      <c r="AL54" s="59">
        <v>183566</v>
      </c>
      <c r="AM54" s="59">
        <v>6514750</v>
      </c>
      <c r="AN54" s="59">
        <v>3953006</v>
      </c>
      <c r="AO54" s="60">
        <v>43304</v>
      </c>
      <c r="AP54" s="57" t="s">
        <v>4851</v>
      </c>
      <c r="AQ54" s="77" t="s">
        <v>4769</v>
      </c>
      <c r="AR54" s="76">
        <f t="shared" si="0"/>
        <v>43305.539814814816</v>
      </c>
    </row>
    <row r="55" spans="1:44" ht="40.799999999999997" x14ac:dyDescent="0.3">
      <c r="A55" s="56" t="s">
        <v>4815</v>
      </c>
      <c r="B55" s="57" t="s">
        <v>2658</v>
      </c>
      <c r="C55" s="57" t="s">
        <v>4767</v>
      </c>
      <c r="D55" s="57">
        <v>1</v>
      </c>
      <c r="E55" s="57" t="s">
        <v>4768</v>
      </c>
      <c r="F55" s="57" t="s">
        <v>4768</v>
      </c>
      <c r="G55" s="57">
        <v>12.25</v>
      </c>
      <c r="H55" s="57">
        <v>3.95</v>
      </c>
      <c r="I55" s="57">
        <v>4.05</v>
      </c>
      <c r="J55" s="57">
        <v>4.05</v>
      </c>
      <c r="K55" s="57">
        <v>4.45</v>
      </c>
      <c r="L55" s="57">
        <v>4.05</v>
      </c>
      <c r="M55" s="57">
        <v>4.28</v>
      </c>
      <c r="N55" s="57">
        <v>4.3</v>
      </c>
      <c r="O55" s="57">
        <v>0.25</v>
      </c>
      <c r="P55" s="57">
        <v>6.17</v>
      </c>
      <c r="Q55" s="58">
        <v>11389200</v>
      </c>
      <c r="R55" s="57">
        <v>487.46</v>
      </c>
      <c r="S55" s="59">
        <v>707149</v>
      </c>
      <c r="T55" s="57">
        <v>4.3</v>
      </c>
      <c r="U55" s="57">
        <v>4.3499999999999996</v>
      </c>
      <c r="V55" s="59">
        <v>313546</v>
      </c>
      <c r="W55" s="59">
        <v>655973</v>
      </c>
      <c r="X55" s="57">
        <v>4.25</v>
      </c>
      <c r="Y55" s="57">
        <v>4.4000000000000004</v>
      </c>
      <c r="Z55" s="59">
        <v>678858</v>
      </c>
      <c r="AA55" s="59">
        <v>786954</v>
      </c>
      <c r="AB55" s="57">
        <v>4.2</v>
      </c>
      <c r="AC55" s="57">
        <v>4.45</v>
      </c>
      <c r="AD55" s="59">
        <v>469451</v>
      </c>
      <c r="AE55" s="59">
        <v>466838</v>
      </c>
      <c r="AF55" s="57">
        <v>4.1500000000000004</v>
      </c>
      <c r="AG55" s="57">
        <v>4.5</v>
      </c>
      <c r="AH55" s="59">
        <v>396099</v>
      </c>
      <c r="AI55" s="59">
        <v>900616</v>
      </c>
      <c r="AJ55" s="57">
        <v>4.0999999999999996</v>
      </c>
      <c r="AK55" s="57">
        <v>4.55</v>
      </c>
      <c r="AL55" s="59">
        <v>195666</v>
      </c>
      <c r="AM55" s="59">
        <v>6601021</v>
      </c>
      <c r="AN55" s="59">
        <v>4089240</v>
      </c>
      <c r="AO55" s="60">
        <v>43304</v>
      </c>
      <c r="AP55" s="57" t="s">
        <v>4852</v>
      </c>
      <c r="AQ55" s="77" t="s">
        <v>4769</v>
      </c>
      <c r="AR55" s="76">
        <f t="shared" si="0"/>
        <v>43305.591932870368</v>
      </c>
    </row>
    <row r="56" spans="1:44" ht="40.799999999999997" x14ac:dyDescent="0.3">
      <c r="A56" s="56" t="s">
        <v>4815</v>
      </c>
      <c r="B56" s="57" t="s">
        <v>2658</v>
      </c>
      <c r="C56" s="57" t="s">
        <v>4767</v>
      </c>
      <c r="D56" s="57">
        <v>1</v>
      </c>
      <c r="E56" s="57" t="s">
        <v>4768</v>
      </c>
      <c r="F56" s="57" t="s">
        <v>4768</v>
      </c>
      <c r="G56" s="57">
        <v>12.25</v>
      </c>
      <c r="H56" s="57">
        <v>3.95</v>
      </c>
      <c r="I56" s="57">
        <v>4.05</v>
      </c>
      <c r="J56" s="57">
        <v>4.05</v>
      </c>
      <c r="K56" s="57">
        <v>4.45</v>
      </c>
      <c r="L56" s="57">
        <v>4.05</v>
      </c>
      <c r="M56" s="57">
        <v>4.28</v>
      </c>
      <c r="N56" s="57">
        <v>4.3</v>
      </c>
      <c r="O56" s="57">
        <v>0.25</v>
      </c>
      <c r="P56" s="57">
        <v>6.17</v>
      </c>
      <c r="Q56" s="58">
        <v>11389200</v>
      </c>
      <c r="R56" s="57">
        <v>487.46</v>
      </c>
      <c r="S56" s="59">
        <v>707149</v>
      </c>
      <c r="T56" s="57">
        <v>4.3</v>
      </c>
      <c r="U56" s="57">
        <v>4.3499999999999996</v>
      </c>
      <c r="V56" s="59">
        <v>313546</v>
      </c>
      <c r="W56" s="59">
        <v>655973</v>
      </c>
      <c r="X56" s="57">
        <v>4.25</v>
      </c>
      <c r="Y56" s="57">
        <v>4.4000000000000004</v>
      </c>
      <c r="Z56" s="59">
        <v>678858</v>
      </c>
      <c r="AA56" s="59">
        <v>786954</v>
      </c>
      <c r="AB56" s="57">
        <v>4.2</v>
      </c>
      <c r="AC56" s="57">
        <v>4.45</v>
      </c>
      <c r="AD56" s="59">
        <v>469451</v>
      </c>
      <c r="AE56" s="59">
        <v>466838</v>
      </c>
      <c r="AF56" s="57">
        <v>4.1500000000000004</v>
      </c>
      <c r="AG56" s="57">
        <v>4.5</v>
      </c>
      <c r="AH56" s="59">
        <v>396099</v>
      </c>
      <c r="AI56" s="59">
        <v>900616</v>
      </c>
      <c r="AJ56" s="57">
        <v>4.0999999999999996</v>
      </c>
      <c r="AK56" s="57">
        <v>4.55</v>
      </c>
      <c r="AL56" s="59">
        <v>195666</v>
      </c>
      <c r="AM56" s="59">
        <v>6601021</v>
      </c>
      <c r="AN56" s="59">
        <v>4089240</v>
      </c>
      <c r="AO56" s="60">
        <v>43304</v>
      </c>
      <c r="AP56" s="57" t="s">
        <v>4852</v>
      </c>
      <c r="AQ56" s="77" t="s">
        <v>4769</v>
      </c>
      <c r="AR56" s="76">
        <f t="shared" si="0"/>
        <v>43305.591932870368</v>
      </c>
    </row>
    <row r="57" spans="1:44" ht="40.799999999999997" x14ac:dyDescent="0.3">
      <c r="A57" s="56" t="s">
        <v>4815</v>
      </c>
      <c r="B57" s="57" t="s">
        <v>2658</v>
      </c>
      <c r="C57" s="57" t="s">
        <v>4767</v>
      </c>
      <c r="D57" s="57">
        <v>1</v>
      </c>
      <c r="E57" s="57" t="s">
        <v>4768</v>
      </c>
      <c r="F57" s="57" t="s">
        <v>4768</v>
      </c>
      <c r="G57" s="57">
        <v>12.25</v>
      </c>
      <c r="H57" s="57">
        <v>3.95</v>
      </c>
      <c r="I57" s="57">
        <v>4.05</v>
      </c>
      <c r="J57" s="57">
        <v>4.05</v>
      </c>
      <c r="K57" s="57">
        <v>4.45</v>
      </c>
      <c r="L57" s="57">
        <v>4.05</v>
      </c>
      <c r="M57" s="57">
        <v>4.28</v>
      </c>
      <c r="N57" s="57">
        <v>4.3</v>
      </c>
      <c r="O57" s="57">
        <v>0.25</v>
      </c>
      <c r="P57" s="57">
        <v>6.17</v>
      </c>
      <c r="Q57" s="58">
        <v>11389200</v>
      </c>
      <c r="R57" s="57">
        <v>487.46</v>
      </c>
      <c r="S57" s="59">
        <v>707149</v>
      </c>
      <c r="T57" s="57">
        <v>4.3</v>
      </c>
      <c r="U57" s="57">
        <v>4.3499999999999996</v>
      </c>
      <c r="V57" s="59">
        <v>313546</v>
      </c>
      <c r="W57" s="59">
        <v>655973</v>
      </c>
      <c r="X57" s="57">
        <v>4.25</v>
      </c>
      <c r="Y57" s="57">
        <v>4.4000000000000004</v>
      </c>
      <c r="Z57" s="59">
        <v>678858</v>
      </c>
      <c r="AA57" s="59">
        <v>786954</v>
      </c>
      <c r="AB57" s="57">
        <v>4.2</v>
      </c>
      <c r="AC57" s="57">
        <v>4.45</v>
      </c>
      <c r="AD57" s="59">
        <v>469451</v>
      </c>
      <c r="AE57" s="59">
        <v>466838</v>
      </c>
      <c r="AF57" s="57">
        <v>4.1500000000000004</v>
      </c>
      <c r="AG57" s="57">
        <v>4.5</v>
      </c>
      <c r="AH57" s="59">
        <v>396099</v>
      </c>
      <c r="AI57" s="59">
        <v>900616</v>
      </c>
      <c r="AJ57" s="57">
        <v>4.0999999999999996</v>
      </c>
      <c r="AK57" s="57">
        <v>4.55</v>
      </c>
      <c r="AL57" s="59">
        <v>195666</v>
      </c>
      <c r="AM57" s="59">
        <v>6601021</v>
      </c>
      <c r="AN57" s="59">
        <v>4089240</v>
      </c>
      <c r="AO57" s="60">
        <v>43304</v>
      </c>
      <c r="AP57" s="57" t="s">
        <v>4852</v>
      </c>
      <c r="AQ57" s="77" t="s">
        <v>4769</v>
      </c>
      <c r="AR57" s="76">
        <f t="shared" si="0"/>
        <v>43305.591932870368</v>
      </c>
    </row>
    <row r="58" spans="1:44" ht="40.799999999999997" x14ac:dyDescent="0.3">
      <c r="A58" s="56" t="s">
        <v>4815</v>
      </c>
      <c r="B58" s="57" t="s">
        <v>2658</v>
      </c>
      <c r="C58" s="57" t="s">
        <v>4767</v>
      </c>
      <c r="D58" s="57">
        <v>1</v>
      </c>
      <c r="E58" s="57" t="s">
        <v>4768</v>
      </c>
      <c r="F58" s="57" t="s">
        <v>4768</v>
      </c>
      <c r="G58" s="57">
        <v>12.25</v>
      </c>
      <c r="H58" s="57">
        <v>3.95</v>
      </c>
      <c r="I58" s="57">
        <v>4.05</v>
      </c>
      <c r="J58" s="57">
        <v>4.05</v>
      </c>
      <c r="K58" s="57">
        <v>4.45</v>
      </c>
      <c r="L58" s="57">
        <v>4.05</v>
      </c>
      <c r="M58" s="57">
        <v>4.28</v>
      </c>
      <c r="N58" s="57">
        <v>4.3499999999999996</v>
      </c>
      <c r="O58" s="57">
        <v>0.3</v>
      </c>
      <c r="P58" s="57">
        <v>7.41</v>
      </c>
      <c r="Q58" s="58">
        <v>11424010</v>
      </c>
      <c r="R58" s="57">
        <v>488.95</v>
      </c>
      <c r="S58" s="59">
        <v>701649</v>
      </c>
      <c r="T58" s="57">
        <v>4.3</v>
      </c>
      <c r="U58" s="57">
        <v>4.3499999999999996</v>
      </c>
      <c r="V58" s="59">
        <v>310198</v>
      </c>
      <c r="W58" s="59">
        <v>655973</v>
      </c>
      <c r="X58" s="57">
        <v>4.25</v>
      </c>
      <c r="Y58" s="57">
        <v>4.4000000000000004</v>
      </c>
      <c r="Z58" s="59">
        <v>680658</v>
      </c>
      <c r="AA58" s="59">
        <v>790954</v>
      </c>
      <c r="AB58" s="57">
        <v>4.2</v>
      </c>
      <c r="AC58" s="57">
        <v>4.45</v>
      </c>
      <c r="AD58" s="59">
        <v>481556</v>
      </c>
      <c r="AE58" s="59">
        <v>466838</v>
      </c>
      <c r="AF58" s="57">
        <v>4.1500000000000004</v>
      </c>
      <c r="AG58" s="57">
        <v>4.5</v>
      </c>
      <c r="AH58" s="59">
        <v>395809</v>
      </c>
      <c r="AI58" s="59">
        <v>900616</v>
      </c>
      <c r="AJ58" s="57">
        <v>4.0999999999999996</v>
      </c>
      <c r="AK58" s="57">
        <v>4.55</v>
      </c>
      <c r="AL58" s="59">
        <v>195666</v>
      </c>
      <c r="AM58" s="59">
        <v>6594921</v>
      </c>
      <c r="AN58" s="59">
        <v>4099161</v>
      </c>
      <c r="AO58" s="60">
        <v>43304</v>
      </c>
      <c r="AP58" s="57" t="s">
        <v>4853</v>
      </c>
      <c r="AQ58" s="77" t="s">
        <v>4769</v>
      </c>
      <c r="AR58" s="76">
        <f t="shared" si="0"/>
        <v>43305.5940162037</v>
      </c>
    </row>
    <row r="59" spans="1:44" ht="40.799999999999997" x14ac:dyDescent="0.3">
      <c r="A59" s="56" t="s">
        <v>4815</v>
      </c>
      <c r="B59" s="57" t="s">
        <v>2658</v>
      </c>
      <c r="C59" s="57" t="s">
        <v>4767</v>
      </c>
      <c r="D59" s="57">
        <v>1</v>
      </c>
      <c r="E59" s="57" t="s">
        <v>4768</v>
      </c>
      <c r="F59" s="57" t="s">
        <v>4768</v>
      </c>
      <c r="G59" s="57">
        <v>12.25</v>
      </c>
      <c r="H59" s="57">
        <v>3.95</v>
      </c>
      <c r="I59" s="57">
        <v>4.05</v>
      </c>
      <c r="J59" s="57">
        <v>4.05</v>
      </c>
      <c r="K59" s="57">
        <v>4.45</v>
      </c>
      <c r="L59" s="57">
        <v>4.05</v>
      </c>
      <c r="M59" s="57">
        <v>4.28</v>
      </c>
      <c r="N59" s="57">
        <v>4.3499999999999996</v>
      </c>
      <c r="O59" s="57">
        <v>0.3</v>
      </c>
      <c r="P59" s="57">
        <v>7.41</v>
      </c>
      <c r="Q59" s="58">
        <v>11424010</v>
      </c>
      <c r="R59" s="57">
        <v>488.95</v>
      </c>
      <c r="S59" s="59">
        <v>701649</v>
      </c>
      <c r="T59" s="57">
        <v>4.3</v>
      </c>
      <c r="U59" s="57">
        <v>4.3499999999999996</v>
      </c>
      <c r="V59" s="59">
        <v>310198</v>
      </c>
      <c r="W59" s="59">
        <v>655973</v>
      </c>
      <c r="X59" s="57">
        <v>4.25</v>
      </c>
      <c r="Y59" s="57">
        <v>4.4000000000000004</v>
      </c>
      <c r="Z59" s="59">
        <v>680658</v>
      </c>
      <c r="AA59" s="59">
        <v>790954</v>
      </c>
      <c r="AB59" s="57">
        <v>4.2</v>
      </c>
      <c r="AC59" s="57">
        <v>4.45</v>
      </c>
      <c r="AD59" s="59">
        <v>481556</v>
      </c>
      <c r="AE59" s="59">
        <v>466838</v>
      </c>
      <c r="AF59" s="57">
        <v>4.1500000000000004</v>
      </c>
      <c r="AG59" s="57">
        <v>4.5</v>
      </c>
      <c r="AH59" s="59">
        <v>395809</v>
      </c>
      <c r="AI59" s="59">
        <v>900616</v>
      </c>
      <c r="AJ59" s="57">
        <v>4.0999999999999996</v>
      </c>
      <c r="AK59" s="57">
        <v>4.55</v>
      </c>
      <c r="AL59" s="59">
        <v>195666</v>
      </c>
      <c r="AM59" s="59">
        <v>6594921</v>
      </c>
      <c r="AN59" s="59">
        <v>4099161</v>
      </c>
      <c r="AO59" s="60">
        <v>43304</v>
      </c>
      <c r="AP59" s="57" t="s">
        <v>4853</v>
      </c>
      <c r="AQ59" s="77" t="s">
        <v>4769</v>
      </c>
      <c r="AR59" s="76">
        <f t="shared" si="0"/>
        <v>43305.5940162037</v>
      </c>
    </row>
    <row r="60" spans="1:44" ht="40.799999999999997" x14ac:dyDescent="0.3">
      <c r="A60" s="56" t="s">
        <v>4815</v>
      </c>
      <c r="B60" s="57" t="s">
        <v>2658</v>
      </c>
      <c r="C60" s="57" t="s">
        <v>4767</v>
      </c>
      <c r="D60" s="57">
        <v>1</v>
      </c>
      <c r="E60" s="57" t="s">
        <v>4768</v>
      </c>
      <c r="F60" s="57" t="s">
        <v>4768</v>
      </c>
      <c r="G60" s="57">
        <v>12.25</v>
      </c>
      <c r="H60" s="57">
        <v>3.95</v>
      </c>
      <c r="I60" s="57">
        <v>4.05</v>
      </c>
      <c r="J60" s="57">
        <v>4.05</v>
      </c>
      <c r="K60" s="57">
        <v>4.45</v>
      </c>
      <c r="L60" s="57">
        <v>4.05</v>
      </c>
      <c r="M60" s="57">
        <v>4.28</v>
      </c>
      <c r="N60" s="57">
        <v>4.3499999999999996</v>
      </c>
      <c r="O60" s="57">
        <v>0.3</v>
      </c>
      <c r="P60" s="57">
        <v>7.41</v>
      </c>
      <c r="Q60" s="58">
        <v>11437697</v>
      </c>
      <c r="R60" s="57">
        <v>489.53</v>
      </c>
      <c r="S60" s="59">
        <v>743704</v>
      </c>
      <c r="T60" s="57">
        <v>4.3</v>
      </c>
      <c r="U60" s="57">
        <v>4.3499999999999996</v>
      </c>
      <c r="V60" s="59">
        <v>303201</v>
      </c>
      <c r="W60" s="59">
        <v>656073</v>
      </c>
      <c r="X60" s="57">
        <v>4.25</v>
      </c>
      <c r="Y60" s="57">
        <v>4.4000000000000004</v>
      </c>
      <c r="Z60" s="59">
        <v>677658</v>
      </c>
      <c r="AA60" s="59">
        <v>790954</v>
      </c>
      <c r="AB60" s="57">
        <v>4.2</v>
      </c>
      <c r="AC60" s="57">
        <v>4.45</v>
      </c>
      <c r="AD60" s="59">
        <v>482256</v>
      </c>
      <c r="AE60" s="59">
        <v>466838</v>
      </c>
      <c r="AF60" s="57">
        <v>4.1500000000000004</v>
      </c>
      <c r="AG60" s="57">
        <v>4.5</v>
      </c>
      <c r="AH60" s="59">
        <v>395809</v>
      </c>
      <c r="AI60" s="59">
        <v>900616</v>
      </c>
      <c r="AJ60" s="57">
        <v>4.0999999999999996</v>
      </c>
      <c r="AK60" s="57">
        <v>4.55</v>
      </c>
      <c r="AL60" s="59">
        <v>195666</v>
      </c>
      <c r="AM60" s="59">
        <v>6638076</v>
      </c>
      <c r="AN60" s="59">
        <v>4100664</v>
      </c>
      <c r="AO60" s="60">
        <v>43304</v>
      </c>
      <c r="AP60" s="57" t="s">
        <v>4854</v>
      </c>
      <c r="AQ60" s="77" t="s">
        <v>4769</v>
      </c>
      <c r="AR60" s="76">
        <f t="shared" si="0"/>
        <v>43305.595057870371</v>
      </c>
    </row>
    <row r="61" spans="1:44" ht="40.799999999999997" x14ac:dyDescent="0.3">
      <c r="A61" s="56" t="s">
        <v>4815</v>
      </c>
      <c r="B61" s="57" t="s">
        <v>2658</v>
      </c>
      <c r="C61" s="57" t="s">
        <v>4767</v>
      </c>
      <c r="D61" s="57">
        <v>1</v>
      </c>
      <c r="E61" s="57" t="s">
        <v>4768</v>
      </c>
      <c r="F61" s="57" t="s">
        <v>4768</v>
      </c>
      <c r="G61" s="57">
        <v>12.25</v>
      </c>
      <c r="H61" s="57">
        <v>3.95</v>
      </c>
      <c r="I61" s="57">
        <v>4.05</v>
      </c>
      <c r="J61" s="57">
        <v>4.05</v>
      </c>
      <c r="K61" s="57">
        <v>4.45</v>
      </c>
      <c r="L61" s="57">
        <v>4.05</v>
      </c>
      <c r="M61" s="57">
        <v>4.28</v>
      </c>
      <c r="N61" s="57">
        <v>4.3</v>
      </c>
      <c r="O61" s="57">
        <v>0.25</v>
      </c>
      <c r="P61" s="57">
        <v>6.17</v>
      </c>
      <c r="Q61" s="58">
        <v>11490613</v>
      </c>
      <c r="R61" s="57">
        <v>491.8</v>
      </c>
      <c r="S61" s="59">
        <v>760583</v>
      </c>
      <c r="T61" s="57">
        <v>4.3</v>
      </c>
      <c r="U61" s="57">
        <v>4.3499999999999996</v>
      </c>
      <c r="V61" s="59">
        <v>327568</v>
      </c>
      <c r="W61" s="59">
        <v>656073</v>
      </c>
      <c r="X61" s="57">
        <v>4.25</v>
      </c>
      <c r="Y61" s="57">
        <v>4.4000000000000004</v>
      </c>
      <c r="Z61" s="59">
        <v>677923</v>
      </c>
      <c r="AA61" s="59">
        <v>789954</v>
      </c>
      <c r="AB61" s="57">
        <v>4.2</v>
      </c>
      <c r="AC61" s="57">
        <v>4.45</v>
      </c>
      <c r="AD61" s="59">
        <v>482256</v>
      </c>
      <c r="AE61" s="59">
        <v>466838</v>
      </c>
      <c r="AF61" s="57">
        <v>4.1500000000000004</v>
      </c>
      <c r="AG61" s="57">
        <v>4.5</v>
      </c>
      <c r="AH61" s="59">
        <v>395759</v>
      </c>
      <c r="AI61" s="59">
        <v>900521</v>
      </c>
      <c r="AJ61" s="57">
        <v>4.0999999999999996</v>
      </c>
      <c r="AK61" s="57">
        <v>4.55</v>
      </c>
      <c r="AL61" s="59">
        <v>193166</v>
      </c>
      <c r="AM61" s="59">
        <v>6653860</v>
      </c>
      <c r="AN61" s="59">
        <v>4114046</v>
      </c>
      <c r="AO61" s="60">
        <v>43304</v>
      </c>
      <c r="AP61" s="57" t="s">
        <v>4855</v>
      </c>
      <c r="AQ61" s="77" t="s">
        <v>4769</v>
      </c>
      <c r="AR61" s="76">
        <f t="shared" si="0"/>
        <v>43305.59783564815</v>
      </c>
    </row>
    <row r="62" spans="1:44" ht="40.799999999999997" x14ac:dyDescent="0.3">
      <c r="A62" s="56" t="s">
        <v>4815</v>
      </c>
      <c r="B62" s="57" t="s">
        <v>2658</v>
      </c>
      <c r="C62" s="57" t="s">
        <v>4767</v>
      </c>
      <c r="D62" s="57">
        <v>1</v>
      </c>
      <c r="E62" s="57" t="s">
        <v>4768</v>
      </c>
      <c r="F62" s="57" t="s">
        <v>4768</v>
      </c>
      <c r="G62" s="57">
        <v>12.25</v>
      </c>
      <c r="H62" s="57">
        <v>3.95</v>
      </c>
      <c r="I62" s="57">
        <v>4.05</v>
      </c>
      <c r="J62" s="57">
        <v>4.05</v>
      </c>
      <c r="K62" s="57">
        <v>4.45</v>
      </c>
      <c r="L62" s="57">
        <v>4.05</v>
      </c>
      <c r="M62" s="57">
        <v>4.28</v>
      </c>
      <c r="N62" s="57">
        <v>4.3</v>
      </c>
      <c r="O62" s="57">
        <v>0.25</v>
      </c>
      <c r="P62" s="57">
        <v>6.17</v>
      </c>
      <c r="Q62" s="58">
        <v>11490613</v>
      </c>
      <c r="R62" s="57">
        <v>491.8</v>
      </c>
      <c r="S62" s="59">
        <v>760583</v>
      </c>
      <c r="T62" s="57">
        <v>4.3</v>
      </c>
      <c r="U62" s="57">
        <v>4.3499999999999996</v>
      </c>
      <c r="V62" s="59">
        <v>327568</v>
      </c>
      <c r="W62" s="59">
        <v>656073</v>
      </c>
      <c r="X62" s="57">
        <v>4.25</v>
      </c>
      <c r="Y62" s="57">
        <v>4.4000000000000004</v>
      </c>
      <c r="Z62" s="59">
        <v>677923</v>
      </c>
      <c r="AA62" s="59">
        <v>789954</v>
      </c>
      <c r="AB62" s="57">
        <v>4.2</v>
      </c>
      <c r="AC62" s="57">
        <v>4.45</v>
      </c>
      <c r="AD62" s="59">
        <v>482256</v>
      </c>
      <c r="AE62" s="59">
        <v>466838</v>
      </c>
      <c r="AF62" s="57">
        <v>4.1500000000000004</v>
      </c>
      <c r="AG62" s="57">
        <v>4.5</v>
      </c>
      <c r="AH62" s="59">
        <v>395759</v>
      </c>
      <c r="AI62" s="59">
        <v>900521</v>
      </c>
      <c r="AJ62" s="57">
        <v>4.0999999999999996</v>
      </c>
      <c r="AK62" s="57">
        <v>4.55</v>
      </c>
      <c r="AL62" s="59">
        <v>193166</v>
      </c>
      <c r="AM62" s="59">
        <v>6653860</v>
      </c>
      <c r="AN62" s="59">
        <v>4114046</v>
      </c>
      <c r="AO62" s="60">
        <v>43304</v>
      </c>
      <c r="AP62" s="57" t="s">
        <v>4855</v>
      </c>
      <c r="AQ62" s="77" t="s">
        <v>4769</v>
      </c>
      <c r="AR62" s="76">
        <f t="shared" si="0"/>
        <v>43305.59783564815</v>
      </c>
    </row>
    <row r="63" spans="1:44" ht="40.799999999999997" x14ac:dyDescent="0.3">
      <c r="A63" s="56" t="s">
        <v>4815</v>
      </c>
      <c r="B63" s="57" t="s">
        <v>2658</v>
      </c>
      <c r="C63" s="57" t="s">
        <v>4767</v>
      </c>
      <c r="D63" s="57">
        <v>1</v>
      </c>
      <c r="E63" s="57" t="s">
        <v>4768</v>
      </c>
      <c r="F63" s="57" t="s">
        <v>4768</v>
      </c>
      <c r="G63" s="57">
        <v>12.25</v>
      </c>
      <c r="H63" s="57">
        <v>3.95</v>
      </c>
      <c r="I63" s="57">
        <v>4.05</v>
      </c>
      <c r="J63" s="57">
        <v>4.05</v>
      </c>
      <c r="K63" s="57">
        <v>4.45</v>
      </c>
      <c r="L63" s="57">
        <v>4.05</v>
      </c>
      <c r="M63" s="57">
        <v>4.28</v>
      </c>
      <c r="N63" s="57">
        <v>4.3499999999999996</v>
      </c>
      <c r="O63" s="57">
        <v>0.3</v>
      </c>
      <c r="P63" s="57">
        <v>7.41</v>
      </c>
      <c r="Q63" s="58">
        <v>11512001</v>
      </c>
      <c r="R63" s="57">
        <v>492.71</v>
      </c>
      <c r="S63" s="59">
        <v>867007</v>
      </c>
      <c r="T63" s="57">
        <v>4.3</v>
      </c>
      <c r="U63" s="57">
        <v>4.3499999999999996</v>
      </c>
      <c r="V63" s="59">
        <v>317181</v>
      </c>
      <c r="W63" s="59">
        <v>656073</v>
      </c>
      <c r="X63" s="57">
        <v>4.25</v>
      </c>
      <c r="Y63" s="57">
        <v>4.4000000000000004</v>
      </c>
      <c r="Z63" s="59">
        <v>678923</v>
      </c>
      <c r="AA63" s="59">
        <v>783954</v>
      </c>
      <c r="AB63" s="57">
        <v>4.2</v>
      </c>
      <c r="AC63" s="57">
        <v>4.45</v>
      </c>
      <c r="AD63" s="59">
        <v>480356</v>
      </c>
      <c r="AE63" s="59">
        <v>466038</v>
      </c>
      <c r="AF63" s="57">
        <v>4.1500000000000004</v>
      </c>
      <c r="AG63" s="57">
        <v>4.5</v>
      </c>
      <c r="AH63" s="59">
        <v>388659</v>
      </c>
      <c r="AI63" s="59">
        <v>900521</v>
      </c>
      <c r="AJ63" s="57">
        <v>4.0999999999999996</v>
      </c>
      <c r="AK63" s="57">
        <v>4.55</v>
      </c>
      <c r="AL63" s="59">
        <v>193166</v>
      </c>
      <c r="AM63" s="59">
        <v>6753684</v>
      </c>
      <c r="AN63" s="59">
        <v>4093159</v>
      </c>
      <c r="AO63" s="60">
        <v>43304</v>
      </c>
      <c r="AP63" s="57" t="s">
        <v>4856</v>
      </c>
      <c r="AQ63" s="77" t="s">
        <v>4769</v>
      </c>
      <c r="AR63" s="76">
        <f t="shared" si="0"/>
        <v>43305.600266203706</v>
      </c>
    </row>
    <row r="64" spans="1:44" ht="40.799999999999997" x14ac:dyDescent="0.3">
      <c r="A64" s="56" t="s">
        <v>4815</v>
      </c>
      <c r="B64" s="57" t="s">
        <v>2658</v>
      </c>
      <c r="C64" s="57" t="s">
        <v>4767</v>
      </c>
      <c r="D64" s="57">
        <v>1</v>
      </c>
      <c r="E64" s="57" t="s">
        <v>4768</v>
      </c>
      <c r="F64" s="57" t="s">
        <v>4768</v>
      </c>
      <c r="G64" s="57">
        <v>12.25</v>
      </c>
      <c r="H64" s="57">
        <v>3.95</v>
      </c>
      <c r="I64" s="57">
        <v>4.05</v>
      </c>
      <c r="J64" s="57">
        <v>4.05</v>
      </c>
      <c r="K64" s="57">
        <v>4.45</v>
      </c>
      <c r="L64" s="57">
        <v>4.05</v>
      </c>
      <c r="M64" s="57">
        <v>4.28</v>
      </c>
      <c r="N64" s="57">
        <v>4.3</v>
      </c>
      <c r="O64" s="57">
        <v>0.25</v>
      </c>
      <c r="P64" s="57">
        <v>6.17</v>
      </c>
      <c r="Q64" s="58">
        <v>11525463</v>
      </c>
      <c r="R64" s="57">
        <v>493.29</v>
      </c>
      <c r="S64" s="59">
        <v>856147</v>
      </c>
      <c r="T64" s="57">
        <v>4.3</v>
      </c>
      <c r="U64" s="57">
        <v>4.3499999999999996</v>
      </c>
      <c r="V64" s="59">
        <v>324979</v>
      </c>
      <c r="W64" s="59">
        <v>656073</v>
      </c>
      <c r="X64" s="57">
        <v>4.25</v>
      </c>
      <c r="Y64" s="57">
        <v>4.4000000000000004</v>
      </c>
      <c r="Z64" s="59">
        <v>678248</v>
      </c>
      <c r="AA64" s="59">
        <v>786054</v>
      </c>
      <c r="AB64" s="57">
        <v>4.2</v>
      </c>
      <c r="AC64" s="57">
        <v>4.45</v>
      </c>
      <c r="AD64" s="59">
        <v>480356</v>
      </c>
      <c r="AE64" s="59">
        <v>466038</v>
      </c>
      <c r="AF64" s="57">
        <v>4.1500000000000004</v>
      </c>
      <c r="AG64" s="57">
        <v>4.5</v>
      </c>
      <c r="AH64" s="59">
        <v>389159</v>
      </c>
      <c r="AI64" s="59">
        <v>900121</v>
      </c>
      <c r="AJ64" s="57">
        <v>4.0999999999999996</v>
      </c>
      <c r="AK64" s="57">
        <v>4.55</v>
      </c>
      <c r="AL64" s="59">
        <v>193166</v>
      </c>
      <c r="AM64" s="59">
        <v>6744524</v>
      </c>
      <c r="AN64" s="59">
        <v>4080282</v>
      </c>
      <c r="AO64" s="60">
        <v>43304</v>
      </c>
      <c r="AP64" s="57" t="s">
        <v>4857</v>
      </c>
      <c r="AQ64" s="77" t="s">
        <v>4769</v>
      </c>
      <c r="AR64" s="76">
        <f t="shared" si="0"/>
        <v>43305.601655092592</v>
      </c>
    </row>
    <row r="65" spans="1:44" ht="40.799999999999997" x14ac:dyDescent="0.3">
      <c r="A65" s="56" t="s">
        <v>4815</v>
      </c>
      <c r="B65" s="57" t="s">
        <v>2658</v>
      </c>
      <c r="C65" s="57" t="s">
        <v>4767</v>
      </c>
      <c r="D65" s="57">
        <v>1</v>
      </c>
      <c r="E65" s="57" t="s">
        <v>4768</v>
      </c>
      <c r="F65" s="57" t="s">
        <v>4768</v>
      </c>
      <c r="G65" s="57">
        <v>12.25</v>
      </c>
      <c r="H65" s="57">
        <v>3.95</v>
      </c>
      <c r="I65" s="57">
        <v>4.05</v>
      </c>
      <c r="J65" s="57">
        <v>4.05</v>
      </c>
      <c r="K65" s="57">
        <v>4.45</v>
      </c>
      <c r="L65" s="57">
        <v>4.05</v>
      </c>
      <c r="M65" s="57">
        <v>4.28</v>
      </c>
      <c r="N65" s="57">
        <v>4.3</v>
      </c>
      <c r="O65" s="57">
        <v>0.25</v>
      </c>
      <c r="P65" s="57">
        <v>6.17</v>
      </c>
      <c r="Q65" s="58">
        <v>11525463</v>
      </c>
      <c r="R65" s="57">
        <v>493.29</v>
      </c>
      <c r="S65" s="59">
        <v>856147</v>
      </c>
      <c r="T65" s="57">
        <v>4.3</v>
      </c>
      <c r="U65" s="57">
        <v>4.3499999999999996</v>
      </c>
      <c r="V65" s="59">
        <v>324979</v>
      </c>
      <c r="W65" s="59">
        <v>656073</v>
      </c>
      <c r="X65" s="57">
        <v>4.25</v>
      </c>
      <c r="Y65" s="57">
        <v>4.4000000000000004</v>
      </c>
      <c r="Z65" s="59">
        <v>678248</v>
      </c>
      <c r="AA65" s="59">
        <v>786054</v>
      </c>
      <c r="AB65" s="57">
        <v>4.2</v>
      </c>
      <c r="AC65" s="57">
        <v>4.45</v>
      </c>
      <c r="AD65" s="59">
        <v>480356</v>
      </c>
      <c r="AE65" s="59">
        <v>466038</v>
      </c>
      <c r="AF65" s="57">
        <v>4.1500000000000004</v>
      </c>
      <c r="AG65" s="57">
        <v>4.5</v>
      </c>
      <c r="AH65" s="59">
        <v>389159</v>
      </c>
      <c r="AI65" s="59">
        <v>900121</v>
      </c>
      <c r="AJ65" s="57">
        <v>4.0999999999999996</v>
      </c>
      <c r="AK65" s="57">
        <v>4.55</v>
      </c>
      <c r="AL65" s="59">
        <v>193166</v>
      </c>
      <c r="AM65" s="59">
        <v>6744524</v>
      </c>
      <c r="AN65" s="59">
        <v>4080282</v>
      </c>
      <c r="AO65" s="60">
        <v>43304</v>
      </c>
      <c r="AP65" s="57" t="s">
        <v>4857</v>
      </c>
      <c r="AQ65" s="77" t="s">
        <v>4769</v>
      </c>
      <c r="AR65" s="76">
        <f t="shared" si="0"/>
        <v>43305.601655092592</v>
      </c>
    </row>
    <row r="66" spans="1:44" ht="40.799999999999997" x14ac:dyDescent="0.3">
      <c r="A66" s="56" t="s">
        <v>4815</v>
      </c>
      <c r="B66" s="57" t="s">
        <v>2658</v>
      </c>
      <c r="C66" s="57" t="s">
        <v>4767</v>
      </c>
      <c r="D66" s="57">
        <v>1</v>
      </c>
      <c r="E66" s="57" t="s">
        <v>4768</v>
      </c>
      <c r="F66" s="57" t="s">
        <v>4768</v>
      </c>
      <c r="G66" s="57">
        <v>12.25</v>
      </c>
      <c r="H66" s="57">
        <v>3.95</v>
      </c>
      <c r="I66" s="57">
        <v>4.05</v>
      </c>
      <c r="J66" s="57">
        <v>4.05</v>
      </c>
      <c r="K66" s="57">
        <v>4.45</v>
      </c>
      <c r="L66" s="57">
        <v>4.05</v>
      </c>
      <c r="M66" s="57">
        <v>4.28</v>
      </c>
      <c r="N66" s="57">
        <v>4.3499999999999996</v>
      </c>
      <c r="O66" s="57">
        <v>0.3</v>
      </c>
      <c r="P66" s="57">
        <v>7.41</v>
      </c>
      <c r="Q66" s="58">
        <v>11544927</v>
      </c>
      <c r="R66" s="57">
        <v>494.12</v>
      </c>
      <c r="S66" s="59">
        <v>851430</v>
      </c>
      <c r="T66" s="57">
        <v>4.3</v>
      </c>
      <c r="U66" s="57">
        <v>4.3499999999999996</v>
      </c>
      <c r="V66" s="59">
        <v>397995</v>
      </c>
      <c r="W66" s="59">
        <v>656573</v>
      </c>
      <c r="X66" s="57">
        <v>4.25</v>
      </c>
      <c r="Y66" s="57">
        <v>4.4000000000000004</v>
      </c>
      <c r="Z66" s="59">
        <v>677813</v>
      </c>
      <c r="AA66" s="59">
        <v>788054</v>
      </c>
      <c r="AB66" s="57">
        <v>4.2</v>
      </c>
      <c r="AC66" s="57">
        <v>4.45</v>
      </c>
      <c r="AD66" s="59">
        <v>480356</v>
      </c>
      <c r="AE66" s="59">
        <v>466038</v>
      </c>
      <c r="AF66" s="57">
        <v>4.1500000000000004</v>
      </c>
      <c r="AG66" s="57">
        <v>4.5</v>
      </c>
      <c r="AH66" s="59">
        <v>429159</v>
      </c>
      <c r="AI66" s="59">
        <v>900121</v>
      </c>
      <c r="AJ66" s="57">
        <v>4.0999999999999996</v>
      </c>
      <c r="AK66" s="57">
        <v>4.55</v>
      </c>
      <c r="AL66" s="59">
        <v>193166</v>
      </c>
      <c r="AM66" s="59">
        <v>6741307</v>
      </c>
      <c r="AN66" s="59">
        <v>4253863</v>
      </c>
      <c r="AO66" s="60">
        <v>43304</v>
      </c>
      <c r="AP66" s="57" t="s">
        <v>4858</v>
      </c>
      <c r="AQ66" s="77" t="s">
        <v>4769</v>
      </c>
      <c r="AR66" s="76">
        <f t="shared" si="0"/>
        <v>43305.604085648149</v>
      </c>
    </row>
    <row r="67" spans="1:44" ht="28.8" x14ac:dyDescent="0.3">
      <c r="A67" s="56" t="s">
        <v>4833</v>
      </c>
      <c r="B67" s="57" t="s">
        <v>2658</v>
      </c>
      <c r="C67" s="57" t="s">
        <v>4767</v>
      </c>
      <c r="D67" s="57">
        <v>1</v>
      </c>
      <c r="E67" s="57" t="s">
        <v>4768</v>
      </c>
      <c r="F67" s="57" t="s">
        <v>4768</v>
      </c>
      <c r="G67" s="57">
        <v>12.25</v>
      </c>
      <c r="H67" s="57">
        <v>3.95</v>
      </c>
      <c r="I67" s="57">
        <v>4.05</v>
      </c>
      <c r="J67" s="57">
        <v>4.05</v>
      </c>
      <c r="K67" s="57">
        <v>4.45</v>
      </c>
      <c r="L67" s="57">
        <v>4.05</v>
      </c>
      <c r="M67" s="57">
        <v>4.28</v>
      </c>
      <c r="N67" s="57">
        <v>4.3499999999999996</v>
      </c>
      <c r="O67" s="57">
        <v>0.3</v>
      </c>
      <c r="P67" s="57">
        <v>7.41</v>
      </c>
      <c r="Q67" s="58">
        <v>11512001</v>
      </c>
      <c r="R67" s="57">
        <v>492.71</v>
      </c>
      <c r="S67" s="59">
        <v>867007</v>
      </c>
      <c r="T67" s="57">
        <v>4.3</v>
      </c>
      <c r="U67" s="57">
        <v>4.3499999999999996</v>
      </c>
      <c r="V67" s="59">
        <v>317181</v>
      </c>
      <c r="W67" s="59">
        <v>656073</v>
      </c>
      <c r="X67" s="57">
        <v>4.25</v>
      </c>
      <c r="Y67" s="57">
        <v>4.4000000000000004</v>
      </c>
      <c r="Z67" s="59">
        <v>678923</v>
      </c>
      <c r="AA67" s="59">
        <v>783954</v>
      </c>
      <c r="AB67" s="57">
        <v>4.2</v>
      </c>
      <c r="AC67" s="57">
        <v>4.45</v>
      </c>
      <c r="AD67" s="59">
        <v>480356</v>
      </c>
      <c r="AE67" s="59">
        <v>466038</v>
      </c>
      <c r="AF67" s="57">
        <v>4.1500000000000004</v>
      </c>
      <c r="AG67" s="57">
        <v>4.5</v>
      </c>
      <c r="AH67" s="59">
        <v>388659</v>
      </c>
      <c r="AI67" s="59">
        <v>900521</v>
      </c>
      <c r="AJ67" s="57">
        <v>4.0999999999999996</v>
      </c>
      <c r="AK67" s="57">
        <v>4.55</v>
      </c>
      <c r="AL67" s="59">
        <v>193166</v>
      </c>
      <c r="AM67" s="59">
        <v>6753684</v>
      </c>
      <c r="AN67" s="59">
        <v>4093159</v>
      </c>
      <c r="AO67" s="60">
        <v>43304</v>
      </c>
      <c r="AP67" s="57" t="s">
        <v>4856</v>
      </c>
      <c r="AQ67" s="77" t="s">
        <v>4769</v>
      </c>
      <c r="AR67" s="76">
        <f t="shared" ref="AR67:AR100" si="2">43305+TIMEVALUE(SUBSTITUTE(AP67,";",":"))</f>
        <v>43305.600266203706</v>
      </c>
    </row>
    <row r="68" spans="1:44" ht="40.799999999999997" x14ac:dyDescent="0.3">
      <c r="A68" s="56" t="s">
        <v>4815</v>
      </c>
      <c r="B68" s="57" t="s">
        <v>2658</v>
      </c>
      <c r="C68" s="57" t="s">
        <v>4767</v>
      </c>
      <c r="D68" s="57">
        <v>1</v>
      </c>
      <c r="E68" s="57" t="s">
        <v>4768</v>
      </c>
      <c r="F68" s="57" t="s">
        <v>4768</v>
      </c>
      <c r="G68" s="57">
        <v>12.25</v>
      </c>
      <c r="H68" s="57">
        <v>3.95</v>
      </c>
      <c r="I68" s="57">
        <v>4.05</v>
      </c>
      <c r="J68" s="57">
        <v>4.05</v>
      </c>
      <c r="K68" s="57">
        <v>4.45</v>
      </c>
      <c r="L68" s="57">
        <v>4.05</v>
      </c>
      <c r="M68" s="57">
        <v>4.28</v>
      </c>
      <c r="N68" s="57">
        <v>4.3499999999999996</v>
      </c>
      <c r="O68" s="57">
        <v>0.3</v>
      </c>
      <c r="P68" s="57">
        <v>7.41</v>
      </c>
      <c r="Q68" s="58">
        <v>11612418</v>
      </c>
      <c r="R68" s="57">
        <v>497.01</v>
      </c>
      <c r="S68" s="59">
        <v>821837</v>
      </c>
      <c r="T68" s="57">
        <v>4.3</v>
      </c>
      <c r="U68" s="57">
        <v>4.3499999999999996</v>
      </c>
      <c r="V68" s="59">
        <v>351773</v>
      </c>
      <c r="W68" s="59">
        <v>656573</v>
      </c>
      <c r="X68" s="57">
        <v>4.25</v>
      </c>
      <c r="Y68" s="57">
        <v>4.4000000000000004</v>
      </c>
      <c r="Z68" s="59">
        <v>677173</v>
      </c>
      <c r="AA68" s="59">
        <v>787054</v>
      </c>
      <c r="AB68" s="57">
        <v>4.2</v>
      </c>
      <c r="AC68" s="57">
        <v>4.45</v>
      </c>
      <c r="AD68" s="59">
        <v>470356</v>
      </c>
      <c r="AE68" s="59">
        <v>465738</v>
      </c>
      <c r="AF68" s="57">
        <v>4.1500000000000004</v>
      </c>
      <c r="AG68" s="57">
        <v>4.5</v>
      </c>
      <c r="AH68" s="59">
        <v>439584</v>
      </c>
      <c r="AI68" s="59">
        <v>905121</v>
      </c>
      <c r="AJ68" s="57">
        <v>4.0999999999999996</v>
      </c>
      <c r="AK68" s="57">
        <v>4.55</v>
      </c>
      <c r="AL68" s="59">
        <v>194166</v>
      </c>
      <c r="AM68" s="59">
        <v>6715907</v>
      </c>
      <c r="AN68" s="59">
        <v>4100376</v>
      </c>
      <c r="AO68" s="60">
        <v>43304</v>
      </c>
      <c r="AP68" s="57" t="s">
        <v>4859</v>
      </c>
      <c r="AQ68" s="77" t="s">
        <v>4769</v>
      </c>
      <c r="AR68" s="76">
        <f t="shared" si="2"/>
        <v>43305.607905092591</v>
      </c>
    </row>
    <row r="69" spans="1:44" ht="28.8" x14ac:dyDescent="0.3">
      <c r="A69" s="56" t="s">
        <v>4833</v>
      </c>
      <c r="B69" s="57" t="s">
        <v>2658</v>
      </c>
      <c r="C69" s="57" t="s">
        <v>4767</v>
      </c>
      <c r="D69" s="57">
        <v>1</v>
      </c>
      <c r="E69" s="57" t="s">
        <v>4768</v>
      </c>
      <c r="F69" s="57" t="s">
        <v>4768</v>
      </c>
      <c r="G69" s="57">
        <v>12.25</v>
      </c>
      <c r="H69" s="57">
        <v>3.95</v>
      </c>
      <c r="I69" s="57">
        <v>4.05</v>
      </c>
      <c r="J69" s="57">
        <v>4.05</v>
      </c>
      <c r="K69" s="57">
        <v>4.45</v>
      </c>
      <c r="L69" s="57">
        <v>4.05</v>
      </c>
      <c r="M69" s="57">
        <v>4.28</v>
      </c>
      <c r="N69" s="57">
        <v>4.3</v>
      </c>
      <c r="O69" s="57">
        <v>0.25</v>
      </c>
      <c r="P69" s="57">
        <v>6.17</v>
      </c>
      <c r="Q69" s="58">
        <v>11525463</v>
      </c>
      <c r="R69" s="57">
        <v>493.29</v>
      </c>
      <c r="S69" s="59">
        <v>856147</v>
      </c>
      <c r="T69" s="57">
        <v>4.3</v>
      </c>
      <c r="U69" s="57">
        <v>4.3499999999999996</v>
      </c>
      <c r="V69" s="59">
        <v>324979</v>
      </c>
      <c r="W69" s="59">
        <v>656073</v>
      </c>
      <c r="X69" s="57">
        <v>4.25</v>
      </c>
      <c r="Y69" s="57">
        <v>4.4000000000000004</v>
      </c>
      <c r="Z69" s="59">
        <v>678248</v>
      </c>
      <c r="AA69" s="59">
        <v>786054</v>
      </c>
      <c r="AB69" s="57">
        <v>4.2</v>
      </c>
      <c r="AC69" s="57">
        <v>4.45</v>
      </c>
      <c r="AD69" s="59">
        <v>480356</v>
      </c>
      <c r="AE69" s="59">
        <v>466038</v>
      </c>
      <c r="AF69" s="57">
        <v>4.1500000000000004</v>
      </c>
      <c r="AG69" s="57">
        <v>4.5</v>
      </c>
      <c r="AH69" s="59">
        <v>389159</v>
      </c>
      <c r="AI69" s="59">
        <v>900121</v>
      </c>
      <c r="AJ69" s="57">
        <v>4.0999999999999996</v>
      </c>
      <c r="AK69" s="57">
        <v>4.55</v>
      </c>
      <c r="AL69" s="59">
        <v>193166</v>
      </c>
      <c r="AM69" s="59">
        <v>6744524</v>
      </c>
      <c r="AN69" s="59">
        <v>4080282</v>
      </c>
      <c r="AO69" s="60">
        <v>43304</v>
      </c>
      <c r="AP69" s="57" t="s">
        <v>4857</v>
      </c>
      <c r="AQ69" s="77" t="s">
        <v>4769</v>
      </c>
      <c r="AR69" s="76">
        <f t="shared" si="2"/>
        <v>43305.601655092592</v>
      </c>
    </row>
    <row r="70" spans="1:44" ht="28.8" x14ac:dyDescent="0.3">
      <c r="A70" s="56" t="s">
        <v>4833</v>
      </c>
      <c r="B70" s="57" t="s">
        <v>2658</v>
      </c>
      <c r="C70" s="57" t="s">
        <v>4767</v>
      </c>
      <c r="D70" s="57">
        <v>1</v>
      </c>
      <c r="E70" s="57" t="s">
        <v>4768</v>
      </c>
      <c r="F70" s="57" t="s">
        <v>4768</v>
      </c>
      <c r="G70" s="57">
        <v>12.25</v>
      </c>
      <c r="H70" s="57">
        <v>3.95</v>
      </c>
      <c r="I70" s="57">
        <v>4.05</v>
      </c>
      <c r="J70" s="57">
        <v>4.05</v>
      </c>
      <c r="K70" s="57">
        <v>4.45</v>
      </c>
      <c r="L70" s="57">
        <v>4.05</v>
      </c>
      <c r="M70" s="57">
        <v>4.28</v>
      </c>
      <c r="N70" s="57">
        <v>4.3499999999999996</v>
      </c>
      <c r="O70" s="57">
        <v>0.3</v>
      </c>
      <c r="P70" s="57">
        <v>7.41</v>
      </c>
      <c r="Q70" s="58">
        <v>11544927</v>
      </c>
      <c r="R70" s="57">
        <v>494.12</v>
      </c>
      <c r="S70" s="59">
        <v>851430</v>
      </c>
      <c r="T70" s="57">
        <v>4.3</v>
      </c>
      <c r="U70" s="57">
        <v>4.3499999999999996</v>
      </c>
      <c r="V70" s="59">
        <v>397995</v>
      </c>
      <c r="W70" s="59">
        <v>656573</v>
      </c>
      <c r="X70" s="57">
        <v>4.25</v>
      </c>
      <c r="Y70" s="57">
        <v>4.4000000000000004</v>
      </c>
      <c r="Z70" s="59">
        <v>677813</v>
      </c>
      <c r="AA70" s="59">
        <v>788054</v>
      </c>
      <c r="AB70" s="57">
        <v>4.2</v>
      </c>
      <c r="AC70" s="57">
        <v>4.45</v>
      </c>
      <c r="AD70" s="59">
        <v>480356</v>
      </c>
      <c r="AE70" s="59">
        <v>466038</v>
      </c>
      <c r="AF70" s="57">
        <v>4.1500000000000004</v>
      </c>
      <c r="AG70" s="57">
        <v>4.5</v>
      </c>
      <c r="AH70" s="59">
        <v>429159</v>
      </c>
      <c r="AI70" s="59">
        <v>900121</v>
      </c>
      <c r="AJ70" s="57">
        <v>4.0999999999999996</v>
      </c>
      <c r="AK70" s="57">
        <v>4.55</v>
      </c>
      <c r="AL70" s="59">
        <v>193166</v>
      </c>
      <c r="AM70" s="59">
        <v>6741307</v>
      </c>
      <c r="AN70" s="59">
        <v>4253863</v>
      </c>
      <c r="AO70" s="60">
        <v>43304</v>
      </c>
      <c r="AP70" s="57" t="s">
        <v>4858</v>
      </c>
      <c r="AQ70" s="77" t="s">
        <v>4769</v>
      </c>
      <c r="AR70" s="76">
        <f t="shared" si="2"/>
        <v>43305.604085648149</v>
      </c>
    </row>
    <row r="71" spans="1:44" ht="40.799999999999997" x14ac:dyDescent="0.3">
      <c r="A71" s="56" t="s">
        <v>4815</v>
      </c>
      <c r="B71" s="57" t="s">
        <v>2658</v>
      </c>
      <c r="C71" s="57" t="s">
        <v>4767</v>
      </c>
      <c r="D71" s="57">
        <v>1</v>
      </c>
      <c r="E71" s="57" t="s">
        <v>4768</v>
      </c>
      <c r="F71" s="57" t="s">
        <v>4768</v>
      </c>
      <c r="G71" s="57">
        <v>12.25</v>
      </c>
      <c r="H71" s="57">
        <v>3.95</v>
      </c>
      <c r="I71" s="57">
        <v>4.05</v>
      </c>
      <c r="J71" s="57">
        <v>4.05</v>
      </c>
      <c r="K71" s="57">
        <v>4.45</v>
      </c>
      <c r="L71" s="57">
        <v>4.05</v>
      </c>
      <c r="M71" s="57">
        <v>4.28</v>
      </c>
      <c r="N71" s="57">
        <v>4.3499999999999996</v>
      </c>
      <c r="O71" s="57">
        <v>0.3</v>
      </c>
      <c r="P71" s="57">
        <v>7.41</v>
      </c>
      <c r="Q71" s="58">
        <v>11671662</v>
      </c>
      <c r="R71" s="57">
        <v>499.55</v>
      </c>
      <c r="S71" s="59">
        <v>804265</v>
      </c>
      <c r="T71" s="57">
        <v>4.3</v>
      </c>
      <c r="U71" s="57">
        <v>4.3499999999999996</v>
      </c>
      <c r="V71" s="59">
        <v>313862</v>
      </c>
      <c r="W71" s="59">
        <v>656181</v>
      </c>
      <c r="X71" s="57">
        <v>4.25</v>
      </c>
      <c r="Y71" s="57">
        <v>4.4000000000000004</v>
      </c>
      <c r="Z71" s="59">
        <v>678083</v>
      </c>
      <c r="AA71" s="59">
        <v>787454</v>
      </c>
      <c r="AB71" s="57">
        <v>4.2</v>
      </c>
      <c r="AC71" s="57">
        <v>4.45</v>
      </c>
      <c r="AD71" s="59">
        <v>479106</v>
      </c>
      <c r="AE71" s="59">
        <v>465238</v>
      </c>
      <c r="AF71" s="57">
        <v>4.1500000000000004</v>
      </c>
      <c r="AG71" s="57">
        <v>4.5</v>
      </c>
      <c r="AH71" s="59">
        <v>434574</v>
      </c>
      <c r="AI71" s="59">
        <v>905126</v>
      </c>
      <c r="AJ71" s="57">
        <v>4.0999999999999996</v>
      </c>
      <c r="AK71" s="57">
        <v>4.55</v>
      </c>
      <c r="AL71" s="59">
        <v>194166</v>
      </c>
      <c r="AM71" s="59">
        <v>6597821</v>
      </c>
      <c r="AN71" s="59">
        <v>4165415</v>
      </c>
      <c r="AO71" s="60">
        <v>43304</v>
      </c>
      <c r="AP71" s="57" t="s">
        <v>4860</v>
      </c>
      <c r="AQ71" s="77" t="s">
        <v>4769</v>
      </c>
      <c r="AR71" s="76">
        <f t="shared" si="2"/>
        <v>43305.610682870371</v>
      </c>
    </row>
    <row r="72" spans="1:44" ht="40.799999999999997" x14ac:dyDescent="0.3">
      <c r="A72" s="56" t="s">
        <v>4815</v>
      </c>
      <c r="B72" s="57" t="s">
        <v>2658</v>
      </c>
      <c r="C72" s="57" t="s">
        <v>4767</v>
      </c>
      <c r="D72" s="57">
        <v>1</v>
      </c>
      <c r="E72" s="57" t="s">
        <v>4768</v>
      </c>
      <c r="F72" s="57" t="s">
        <v>4768</v>
      </c>
      <c r="G72" s="57">
        <v>12.25</v>
      </c>
      <c r="H72" s="57">
        <v>3.95</v>
      </c>
      <c r="I72" s="57">
        <v>4.05</v>
      </c>
      <c r="J72" s="57">
        <v>4.05</v>
      </c>
      <c r="K72" s="57">
        <v>4.45</v>
      </c>
      <c r="L72" s="57">
        <v>4.05</v>
      </c>
      <c r="M72" s="57">
        <v>4.28</v>
      </c>
      <c r="N72" s="57">
        <v>4.3499999999999996</v>
      </c>
      <c r="O72" s="57">
        <v>0.3</v>
      </c>
      <c r="P72" s="57">
        <v>7.41</v>
      </c>
      <c r="Q72" s="58">
        <v>11671662</v>
      </c>
      <c r="R72" s="57">
        <v>499.55</v>
      </c>
      <c r="S72" s="59">
        <v>804265</v>
      </c>
      <c r="T72" s="57">
        <v>4.3</v>
      </c>
      <c r="U72" s="57">
        <v>4.3499999999999996</v>
      </c>
      <c r="V72" s="59">
        <v>313862</v>
      </c>
      <c r="W72" s="59">
        <v>656181</v>
      </c>
      <c r="X72" s="57">
        <v>4.25</v>
      </c>
      <c r="Y72" s="57">
        <v>4.4000000000000004</v>
      </c>
      <c r="Z72" s="59">
        <v>678083</v>
      </c>
      <c r="AA72" s="59">
        <v>787454</v>
      </c>
      <c r="AB72" s="57">
        <v>4.2</v>
      </c>
      <c r="AC72" s="57">
        <v>4.45</v>
      </c>
      <c r="AD72" s="59">
        <v>479106</v>
      </c>
      <c r="AE72" s="59">
        <v>465238</v>
      </c>
      <c r="AF72" s="57">
        <v>4.1500000000000004</v>
      </c>
      <c r="AG72" s="57">
        <v>4.5</v>
      </c>
      <c r="AH72" s="59">
        <v>434574</v>
      </c>
      <c r="AI72" s="59">
        <v>905126</v>
      </c>
      <c r="AJ72" s="57">
        <v>4.0999999999999996</v>
      </c>
      <c r="AK72" s="57">
        <v>4.55</v>
      </c>
      <c r="AL72" s="59">
        <v>194166</v>
      </c>
      <c r="AM72" s="59">
        <v>6597821</v>
      </c>
      <c r="AN72" s="59">
        <v>4165415</v>
      </c>
      <c r="AO72" s="60">
        <v>43304</v>
      </c>
      <c r="AP72" s="57" t="s">
        <v>4860</v>
      </c>
      <c r="AQ72" s="77" t="s">
        <v>4769</v>
      </c>
      <c r="AR72" s="76">
        <f t="shared" si="2"/>
        <v>43305.610682870371</v>
      </c>
    </row>
    <row r="73" spans="1:44" ht="40.799999999999997" x14ac:dyDescent="0.3">
      <c r="A73" s="56" t="s">
        <v>4815</v>
      </c>
      <c r="B73" s="57" t="s">
        <v>2658</v>
      </c>
      <c r="C73" s="57" t="s">
        <v>4767</v>
      </c>
      <c r="D73" s="57">
        <v>1</v>
      </c>
      <c r="E73" s="57" t="s">
        <v>4768</v>
      </c>
      <c r="F73" s="57" t="s">
        <v>4768</v>
      </c>
      <c r="G73" s="57">
        <v>12.25</v>
      </c>
      <c r="H73" s="57">
        <v>3.95</v>
      </c>
      <c r="I73" s="57">
        <v>4.05</v>
      </c>
      <c r="J73" s="57">
        <v>4.05</v>
      </c>
      <c r="K73" s="57">
        <v>4.45</v>
      </c>
      <c r="L73" s="57">
        <v>4.05</v>
      </c>
      <c r="M73" s="57">
        <v>4.28</v>
      </c>
      <c r="N73" s="57">
        <v>4.3499999999999996</v>
      </c>
      <c r="O73" s="57">
        <v>0.3</v>
      </c>
      <c r="P73" s="57">
        <v>7.41</v>
      </c>
      <c r="Q73" s="58">
        <v>11675414</v>
      </c>
      <c r="R73" s="57">
        <v>499.71</v>
      </c>
      <c r="S73" s="59">
        <v>807207</v>
      </c>
      <c r="T73" s="57">
        <v>4.3</v>
      </c>
      <c r="U73" s="57">
        <v>4.3499999999999996</v>
      </c>
      <c r="V73" s="59">
        <v>411170</v>
      </c>
      <c r="W73" s="59">
        <v>656231</v>
      </c>
      <c r="X73" s="57">
        <v>4.25</v>
      </c>
      <c r="Y73" s="57">
        <v>4.4000000000000004</v>
      </c>
      <c r="Z73" s="59">
        <v>679355</v>
      </c>
      <c r="AA73" s="59">
        <v>788204</v>
      </c>
      <c r="AB73" s="57">
        <v>4.2</v>
      </c>
      <c r="AC73" s="57">
        <v>4.45</v>
      </c>
      <c r="AD73" s="59">
        <v>474106</v>
      </c>
      <c r="AE73" s="59">
        <v>465238</v>
      </c>
      <c r="AF73" s="57">
        <v>4.1500000000000004</v>
      </c>
      <c r="AG73" s="57">
        <v>4.5</v>
      </c>
      <c r="AH73" s="59">
        <v>435574</v>
      </c>
      <c r="AI73" s="59">
        <v>904376</v>
      </c>
      <c r="AJ73" s="57">
        <v>4.0999999999999996</v>
      </c>
      <c r="AK73" s="57">
        <v>4.55</v>
      </c>
      <c r="AL73" s="59">
        <v>194166</v>
      </c>
      <c r="AM73" s="59">
        <v>6600413</v>
      </c>
      <c r="AN73" s="59">
        <v>4249995</v>
      </c>
      <c r="AO73" s="60">
        <v>43304</v>
      </c>
      <c r="AP73" s="57" t="s">
        <v>4861</v>
      </c>
      <c r="AQ73" s="77" t="s">
        <v>4769</v>
      </c>
      <c r="AR73" s="76">
        <f t="shared" si="2"/>
        <v>43305.612071759257</v>
      </c>
    </row>
    <row r="74" spans="1:44" ht="40.799999999999997" x14ac:dyDescent="0.3">
      <c r="A74" s="56" t="s">
        <v>4815</v>
      </c>
      <c r="B74" s="57" t="s">
        <v>2658</v>
      </c>
      <c r="C74" s="57" t="s">
        <v>4767</v>
      </c>
      <c r="D74" s="57">
        <v>1</v>
      </c>
      <c r="E74" s="57" t="s">
        <v>4768</v>
      </c>
      <c r="F74" s="57" t="s">
        <v>4768</v>
      </c>
      <c r="G74" s="57">
        <v>12.25</v>
      </c>
      <c r="H74" s="57">
        <v>3.95</v>
      </c>
      <c r="I74" s="57">
        <v>4.05</v>
      </c>
      <c r="J74" s="57">
        <v>4.05</v>
      </c>
      <c r="K74" s="57">
        <v>4.45</v>
      </c>
      <c r="L74" s="57">
        <v>4.05</v>
      </c>
      <c r="M74" s="57">
        <v>4.28</v>
      </c>
      <c r="N74" s="57">
        <v>4.3499999999999996</v>
      </c>
      <c r="O74" s="57">
        <v>0.3</v>
      </c>
      <c r="P74" s="57">
        <v>7.41</v>
      </c>
      <c r="Q74" s="58">
        <v>11675414</v>
      </c>
      <c r="R74" s="57">
        <v>499.71</v>
      </c>
      <c r="S74" s="59">
        <v>807207</v>
      </c>
      <c r="T74" s="57">
        <v>4.3</v>
      </c>
      <c r="U74" s="57">
        <v>4.3499999999999996</v>
      </c>
      <c r="V74" s="59">
        <v>411170</v>
      </c>
      <c r="W74" s="59">
        <v>656231</v>
      </c>
      <c r="X74" s="57">
        <v>4.25</v>
      </c>
      <c r="Y74" s="57">
        <v>4.4000000000000004</v>
      </c>
      <c r="Z74" s="59">
        <v>679355</v>
      </c>
      <c r="AA74" s="59">
        <v>788204</v>
      </c>
      <c r="AB74" s="57">
        <v>4.2</v>
      </c>
      <c r="AC74" s="57">
        <v>4.45</v>
      </c>
      <c r="AD74" s="59">
        <v>474106</v>
      </c>
      <c r="AE74" s="59">
        <v>465238</v>
      </c>
      <c r="AF74" s="57">
        <v>4.1500000000000004</v>
      </c>
      <c r="AG74" s="57">
        <v>4.5</v>
      </c>
      <c r="AH74" s="59">
        <v>435574</v>
      </c>
      <c r="AI74" s="59">
        <v>904376</v>
      </c>
      <c r="AJ74" s="57">
        <v>4.0999999999999996</v>
      </c>
      <c r="AK74" s="57">
        <v>4.55</v>
      </c>
      <c r="AL74" s="59">
        <v>194166</v>
      </c>
      <c r="AM74" s="59">
        <v>6600413</v>
      </c>
      <c r="AN74" s="59">
        <v>4249995</v>
      </c>
      <c r="AO74" s="60">
        <v>43304</v>
      </c>
      <c r="AP74" s="57" t="s">
        <v>4861</v>
      </c>
      <c r="AQ74" s="77" t="s">
        <v>4769</v>
      </c>
      <c r="AR74" s="76">
        <f t="shared" si="2"/>
        <v>43305.612071759257</v>
      </c>
    </row>
    <row r="75" spans="1:44" ht="40.799999999999997" x14ac:dyDescent="0.3">
      <c r="A75" s="56" t="s">
        <v>4815</v>
      </c>
      <c r="B75" s="57" t="s">
        <v>2658</v>
      </c>
      <c r="C75" s="57" t="s">
        <v>4767</v>
      </c>
      <c r="D75" s="57">
        <v>1</v>
      </c>
      <c r="E75" s="57" t="s">
        <v>4768</v>
      </c>
      <c r="F75" s="57" t="s">
        <v>4768</v>
      </c>
      <c r="G75" s="57">
        <v>12.25</v>
      </c>
      <c r="H75" s="57">
        <v>3.95</v>
      </c>
      <c r="I75" s="57">
        <v>4.05</v>
      </c>
      <c r="J75" s="57">
        <v>4.05</v>
      </c>
      <c r="K75" s="57">
        <v>4.45</v>
      </c>
      <c r="L75" s="57">
        <v>4.05</v>
      </c>
      <c r="M75" s="57">
        <v>4.28</v>
      </c>
      <c r="N75" s="57">
        <v>4.3499999999999996</v>
      </c>
      <c r="O75" s="57">
        <v>0.3</v>
      </c>
      <c r="P75" s="57">
        <v>7.41</v>
      </c>
      <c r="Q75" s="58">
        <v>11708841</v>
      </c>
      <c r="R75" s="57">
        <v>501.14</v>
      </c>
      <c r="S75" s="59">
        <v>912519</v>
      </c>
      <c r="T75" s="57">
        <v>4.3</v>
      </c>
      <c r="U75" s="57">
        <v>4.3499999999999996</v>
      </c>
      <c r="V75" s="59">
        <v>316999</v>
      </c>
      <c r="W75" s="59">
        <v>658231</v>
      </c>
      <c r="X75" s="57">
        <v>4.25</v>
      </c>
      <c r="Y75" s="57">
        <v>4.4000000000000004</v>
      </c>
      <c r="Z75" s="59">
        <v>693008</v>
      </c>
      <c r="AA75" s="59">
        <v>788204</v>
      </c>
      <c r="AB75" s="57">
        <v>4.2</v>
      </c>
      <c r="AC75" s="57">
        <v>4.45</v>
      </c>
      <c r="AD75" s="59">
        <v>475656</v>
      </c>
      <c r="AE75" s="59">
        <v>269238</v>
      </c>
      <c r="AF75" s="57">
        <v>4.1500000000000004</v>
      </c>
      <c r="AG75" s="57">
        <v>4.5</v>
      </c>
      <c r="AH75" s="59">
        <v>438104</v>
      </c>
      <c r="AI75" s="59">
        <v>904376</v>
      </c>
      <c r="AJ75" s="57">
        <v>4.0999999999999996</v>
      </c>
      <c r="AK75" s="57">
        <v>4.55</v>
      </c>
      <c r="AL75" s="59">
        <v>191666</v>
      </c>
      <c r="AM75" s="59">
        <v>6511725</v>
      </c>
      <c r="AN75" s="59">
        <v>4168657</v>
      </c>
      <c r="AO75" s="60">
        <v>43304</v>
      </c>
      <c r="AP75" s="57" t="s">
        <v>4862</v>
      </c>
      <c r="AQ75" s="77" t="s">
        <v>4769</v>
      </c>
      <c r="AR75" s="76">
        <f t="shared" si="2"/>
        <v>43305.614861111113</v>
      </c>
    </row>
    <row r="76" spans="1:44" ht="40.799999999999997" x14ac:dyDescent="0.3">
      <c r="A76" s="56" t="s">
        <v>4815</v>
      </c>
      <c r="B76" s="57" t="s">
        <v>2658</v>
      </c>
      <c r="C76" s="57" t="s">
        <v>4767</v>
      </c>
      <c r="D76" s="57">
        <v>1</v>
      </c>
      <c r="E76" s="57" t="s">
        <v>4768</v>
      </c>
      <c r="F76" s="57" t="s">
        <v>4768</v>
      </c>
      <c r="G76" s="57">
        <v>12.25</v>
      </c>
      <c r="H76" s="57">
        <v>3.95</v>
      </c>
      <c r="I76" s="57">
        <v>4.05</v>
      </c>
      <c r="J76" s="57">
        <v>4.05</v>
      </c>
      <c r="K76" s="57">
        <v>4.45</v>
      </c>
      <c r="L76" s="57">
        <v>4.05</v>
      </c>
      <c r="M76" s="57">
        <v>4.28</v>
      </c>
      <c r="N76" s="57">
        <v>4.3499999999999996</v>
      </c>
      <c r="O76" s="57">
        <v>0.3</v>
      </c>
      <c r="P76" s="57">
        <v>7.41</v>
      </c>
      <c r="Q76" s="58">
        <v>11708841</v>
      </c>
      <c r="R76" s="57">
        <v>501.14</v>
      </c>
      <c r="S76" s="59">
        <v>912519</v>
      </c>
      <c r="T76" s="57">
        <v>4.3</v>
      </c>
      <c r="U76" s="57">
        <v>4.3499999999999996</v>
      </c>
      <c r="V76" s="59">
        <v>316999</v>
      </c>
      <c r="W76" s="59">
        <v>658231</v>
      </c>
      <c r="X76" s="57">
        <v>4.25</v>
      </c>
      <c r="Y76" s="57">
        <v>4.4000000000000004</v>
      </c>
      <c r="Z76" s="59">
        <v>693008</v>
      </c>
      <c r="AA76" s="59">
        <v>788204</v>
      </c>
      <c r="AB76" s="57">
        <v>4.2</v>
      </c>
      <c r="AC76" s="57">
        <v>4.45</v>
      </c>
      <c r="AD76" s="59">
        <v>475656</v>
      </c>
      <c r="AE76" s="59">
        <v>269238</v>
      </c>
      <c r="AF76" s="57">
        <v>4.1500000000000004</v>
      </c>
      <c r="AG76" s="57">
        <v>4.5</v>
      </c>
      <c r="AH76" s="59">
        <v>438104</v>
      </c>
      <c r="AI76" s="59">
        <v>904376</v>
      </c>
      <c r="AJ76" s="57">
        <v>4.0999999999999996</v>
      </c>
      <c r="AK76" s="57">
        <v>4.55</v>
      </c>
      <c r="AL76" s="59">
        <v>191666</v>
      </c>
      <c r="AM76" s="59">
        <v>6511725</v>
      </c>
      <c r="AN76" s="59">
        <v>4168657</v>
      </c>
      <c r="AO76" s="60">
        <v>43304</v>
      </c>
      <c r="AP76" s="57" t="s">
        <v>4862</v>
      </c>
      <c r="AQ76" s="77" t="s">
        <v>4769</v>
      </c>
      <c r="AR76" s="76">
        <f t="shared" si="2"/>
        <v>43305.614861111113</v>
      </c>
    </row>
    <row r="77" spans="1:44" ht="40.799999999999997" x14ac:dyDescent="0.3">
      <c r="A77" s="56" t="s">
        <v>4815</v>
      </c>
      <c r="B77" s="57" t="s">
        <v>2658</v>
      </c>
      <c r="C77" s="57" t="s">
        <v>4767</v>
      </c>
      <c r="D77" s="57">
        <v>1</v>
      </c>
      <c r="E77" s="57" t="s">
        <v>4768</v>
      </c>
      <c r="F77" s="57" t="s">
        <v>4768</v>
      </c>
      <c r="G77" s="57">
        <v>12.25</v>
      </c>
      <c r="H77" s="57">
        <v>3.95</v>
      </c>
      <c r="I77" s="57">
        <v>4.05</v>
      </c>
      <c r="J77" s="57">
        <v>4.05</v>
      </c>
      <c r="K77" s="57">
        <v>4.45</v>
      </c>
      <c r="L77" s="57">
        <v>4.05</v>
      </c>
      <c r="M77" s="57">
        <v>4.28</v>
      </c>
      <c r="N77" s="57">
        <v>4.3499999999999996</v>
      </c>
      <c r="O77" s="57">
        <v>0.3</v>
      </c>
      <c r="P77" s="57">
        <v>7.41</v>
      </c>
      <c r="Q77" s="58">
        <v>11731213</v>
      </c>
      <c r="R77" s="57">
        <v>502.1</v>
      </c>
      <c r="S77" s="59">
        <v>988937</v>
      </c>
      <c r="T77" s="57">
        <v>4.3</v>
      </c>
      <c r="U77" s="57">
        <v>4.3499999999999996</v>
      </c>
      <c r="V77" s="59">
        <v>308368</v>
      </c>
      <c r="W77" s="59">
        <v>659231</v>
      </c>
      <c r="X77" s="57">
        <v>4.25</v>
      </c>
      <c r="Y77" s="57">
        <v>4.4000000000000004</v>
      </c>
      <c r="Z77" s="59">
        <v>704008</v>
      </c>
      <c r="AA77" s="59">
        <v>789704</v>
      </c>
      <c r="AB77" s="57">
        <v>4.2</v>
      </c>
      <c r="AC77" s="57">
        <v>4.45</v>
      </c>
      <c r="AD77" s="59">
        <v>481656</v>
      </c>
      <c r="AE77" s="59">
        <v>271238</v>
      </c>
      <c r="AF77" s="57">
        <v>4.1500000000000004</v>
      </c>
      <c r="AG77" s="57">
        <v>4.5</v>
      </c>
      <c r="AH77" s="59">
        <v>433104</v>
      </c>
      <c r="AI77" s="59">
        <v>905026</v>
      </c>
      <c r="AJ77" s="57">
        <v>4.0999999999999996</v>
      </c>
      <c r="AK77" s="57">
        <v>4.55</v>
      </c>
      <c r="AL77" s="59">
        <v>198666</v>
      </c>
      <c r="AM77" s="59">
        <v>6586693</v>
      </c>
      <c r="AN77" s="59">
        <v>4191576</v>
      </c>
      <c r="AO77" s="60">
        <v>43304</v>
      </c>
      <c r="AP77" s="57" t="s">
        <v>4863</v>
      </c>
      <c r="AQ77" s="77" t="s">
        <v>4769</v>
      </c>
      <c r="AR77" s="76">
        <f t="shared" si="2"/>
        <v>43305.617291666669</v>
      </c>
    </row>
    <row r="78" spans="1:44" ht="40.799999999999997" x14ac:dyDescent="0.3">
      <c r="A78" s="56" t="s">
        <v>4815</v>
      </c>
      <c r="B78" s="57" t="s">
        <v>2658</v>
      </c>
      <c r="C78" s="57" t="s">
        <v>4767</v>
      </c>
      <c r="D78" s="57">
        <v>1</v>
      </c>
      <c r="E78" s="57" t="s">
        <v>4768</v>
      </c>
      <c r="F78" s="57" t="s">
        <v>4768</v>
      </c>
      <c r="G78" s="57">
        <v>12.25</v>
      </c>
      <c r="H78" s="57">
        <v>3.95</v>
      </c>
      <c r="I78" s="57">
        <v>4.05</v>
      </c>
      <c r="J78" s="57">
        <v>4.05</v>
      </c>
      <c r="K78" s="57">
        <v>4.45</v>
      </c>
      <c r="L78" s="57">
        <v>4.05</v>
      </c>
      <c r="M78" s="57">
        <v>4.28</v>
      </c>
      <c r="N78" s="57">
        <v>4.3499999999999996</v>
      </c>
      <c r="O78" s="57">
        <v>0.3</v>
      </c>
      <c r="P78" s="57">
        <v>7.41</v>
      </c>
      <c r="Q78" s="58">
        <v>11731213</v>
      </c>
      <c r="R78" s="57">
        <v>502.1</v>
      </c>
      <c r="S78" s="59">
        <v>988937</v>
      </c>
      <c r="T78" s="57">
        <v>4.3</v>
      </c>
      <c r="U78" s="57">
        <v>4.3499999999999996</v>
      </c>
      <c r="V78" s="59">
        <v>308368</v>
      </c>
      <c r="W78" s="59">
        <v>659231</v>
      </c>
      <c r="X78" s="57">
        <v>4.25</v>
      </c>
      <c r="Y78" s="57">
        <v>4.4000000000000004</v>
      </c>
      <c r="Z78" s="59">
        <v>704008</v>
      </c>
      <c r="AA78" s="59">
        <v>789704</v>
      </c>
      <c r="AB78" s="57">
        <v>4.2</v>
      </c>
      <c r="AC78" s="57">
        <v>4.45</v>
      </c>
      <c r="AD78" s="59">
        <v>481656</v>
      </c>
      <c r="AE78" s="59">
        <v>271238</v>
      </c>
      <c r="AF78" s="57">
        <v>4.1500000000000004</v>
      </c>
      <c r="AG78" s="57">
        <v>4.5</v>
      </c>
      <c r="AH78" s="59">
        <v>433104</v>
      </c>
      <c r="AI78" s="59">
        <v>905026</v>
      </c>
      <c r="AJ78" s="57">
        <v>4.0999999999999996</v>
      </c>
      <c r="AK78" s="57">
        <v>4.55</v>
      </c>
      <c r="AL78" s="59">
        <v>198666</v>
      </c>
      <c r="AM78" s="59">
        <v>6586693</v>
      </c>
      <c r="AN78" s="59">
        <v>4191576</v>
      </c>
      <c r="AO78" s="60">
        <v>43304</v>
      </c>
      <c r="AP78" s="57" t="s">
        <v>4863</v>
      </c>
      <c r="AQ78" s="77" t="s">
        <v>4769</v>
      </c>
      <c r="AR78" s="76">
        <f t="shared" si="2"/>
        <v>43305.617291666669</v>
      </c>
    </row>
    <row r="79" spans="1:44" ht="40.799999999999997" x14ac:dyDescent="0.3">
      <c r="A79" s="56" t="s">
        <v>4815</v>
      </c>
      <c r="B79" s="57" t="s">
        <v>2658</v>
      </c>
      <c r="C79" s="57" t="s">
        <v>4767</v>
      </c>
      <c r="D79" s="57">
        <v>1</v>
      </c>
      <c r="E79" s="57" t="s">
        <v>4768</v>
      </c>
      <c r="F79" s="57" t="s">
        <v>4768</v>
      </c>
      <c r="G79" s="57">
        <v>12.25</v>
      </c>
      <c r="H79" s="57">
        <v>3.95</v>
      </c>
      <c r="I79" s="57">
        <v>4.05</v>
      </c>
      <c r="J79" s="57">
        <v>4.05</v>
      </c>
      <c r="K79" s="57">
        <v>4.45</v>
      </c>
      <c r="L79" s="57">
        <v>4.05</v>
      </c>
      <c r="M79" s="57">
        <v>4.28</v>
      </c>
      <c r="N79" s="57">
        <v>4.3</v>
      </c>
      <c r="O79" s="57">
        <v>0.25</v>
      </c>
      <c r="P79" s="57">
        <v>6.17</v>
      </c>
      <c r="Q79" s="58">
        <v>11744435</v>
      </c>
      <c r="R79" s="57">
        <v>502.66</v>
      </c>
      <c r="S79" s="59">
        <v>888350</v>
      </c>
      <c r="T79" s="57">
        <v>4.3</v>
      </c>
      <c r="U79" s="57">
        <v>4.3499999999999996</v>
      </c>
      <c r="V79" s="59">
        <v>306736</v>
      </c>
      <c r="W79" s="59">
        <v>659231</v>
      </c>
      <c r="X79" s="57">
        <v>4.25</v>
      </c>
      <c r="Y79" s="57">
        <v>4.4000000000000004</v>
      </c>
      <c r="Z79" s="59">
        <v>705628</v>
      </c>
      <c r="AA79" s="59">
        <v>787704</v>
      </c>
      <c r="AB79" s="57">
        <v>4.2</v>
      </c>
      <c r="AC79" s="57">
        <v>4.45</v>
      </c>
      <c r="AD79" s="59">
        <v>481556</v>
      </c>
      <c r="AE79" s="59">
        <v>271238</v>
      </c>
      <c r="AF79" s="57">
        <v>4.1500000000000004</v>
      </c>
      <c r="AG79" s="57">
        <v>4.5</v>
      </c>
      <c r="AH79" s="59">
        <v>428004</v>
      </c>
      <c r="AI79" s="59">
        <v>907466</v>
      </c>
      <c r="AJ79" s="57">
        <v>4.0999999999999996</v>
      </c>
      <c r="AK79" s="57">
        <v>4.55</v>
      </c>
      <c r="AL79" s="59">
        <v>198666</v>
      </c>
      <c r="AM79" s="59">
        <v>6486306</v>
      </c>
      <c r="AN79" s="59">
        <v>4185964</v>
      </c>
      <c r="AO79" s="60">
        <v>43304</v>
      </c>
      <c r="AP79" s="57" t="s">
        <v>4864</v>
      </c>
      <c r="AQ79" s="77" t="s">
        <v>4769</v>
      </c>
      <c r="AR79" s="76">
        <f t="shared" si="2"/>
        <v>43305.620069444441</v>
      </c>
    </row>
    <row r="80" spans="1:44" ht="40.799999999999997" x14ac:dyDescent="0.3">
      <c r="A80" s="56" t="s">
        <v>4815</v>
      </c>
      <c r="B80" s="57" t="s">
        <v>2658</v>
      </c>
      <c r="C80" s="57" t="s">
        <v>4767</v>
      </c>
      <c r="D80" s="57">
        <v>1</v>
      </c>
      <c r="E80" s="57" t="s">
        <v>4768</v>
      </c>
      <c r="F80" s="57" t="s">
        <v>4768</v>
      </c>
      <c r="G80" s="57">
        <v>12.25</v>
      </c>
      <c r="H80" s="57">
        <v>3.95</v>
      </c>
      <c r="I80" s="57">
        <v>4.05</v>
      </c>
      <c r="J80" s="57">
        <v>4.05</v>
      </c>
      <c r="K80" s="57">
        <v>4.45</v>
      </c>
      <c r="L80" s="57">
        <v>4.05</v>
      </c>
      <c r="M80" s="57">
        <v>4.28</v>
      </c>
      <c r="N80" s="57">
        <v>4.3</v>
      </c>
      <c r="O80" s="57">
        <v>0.25</v>
      </c>
      <c r="P80" s="57">
        <v>6.17</v>
      </c>
      <c r="Q80" s="58">
        <v>11744435</v>
      </c>
      <c r="R80" s="57">
        <v>502.66</v>
      </c>
      <c r="S80" s="59">
        <v>888350</v>
      </c>
      <c r="T80" s="57">
        <v>4.3</v>
      </c>
      <c r="U80" s="57">
        <v>4.3499999999999996</v>
      </c>
      <c r="V80" s="59">
        <v>306736</v>
      </c>
      <c r="W80" s="59">
        <v>659231</v>
      </c>
      <c r="X80" s="57">
        <v>4.25</v>
      </c>
      <c r="Y80" s="57">
        <v>4.4000000000000004</v>
      </c>
      <c r="Z80" s="59">
        <v>705628</v>
      </c>
      <c r="AA80" s="59">
        <v>787704</v>
      </c>
      <c r="AB80" s="57">
        <v>4.2</v>
      </c>
      <c r="AC80" s="57">
        <v>4.45</v>
      </c>
      <c r="AD80" s="59">
        <v>481556</v>
      </c>
      <c r="AE80" s="59">
        <v>271238</v>
      </c>
      <c r="AF80" s="57">
        <v>4.1500000000000004</v>
      </c>
      <c r="AG80" s="57">
        <v>4.5</v>
      </c>
      <c r="AH80" s="59">
        <v>428004</v>
      </c>
      <c r="AI80" s="59">
        <v>907466</v>
      </c>
      <c r="AJ80" s="57">
        <v>4.0999999999999996</v>
      </c>
      <c r="AK80" s="57">
        <v>4.55</v>
      </c>
      <c r="AL80" s="59">
        <v>198666</v>
      </c>
      <c r="AM80" s="59">
        <v>6486306</v>
      </c>
      <c r="AN80" s="59">
        <v>4185964</v>
      </c>
      <c r="AO80" s="60">
        <v>43304</v>
      </c>
      <c r="AP80" s="57" t="s">
        <v>4864</v>
      </c>
      <c r="AQ80" s="77" t="s">
        <v>4769</v>
      </c>
      <c r="AR80" s="76">
        <f t="shared" si="2"/>
        <v>43305.620069444441</v>
      </c>
    </row>
    <row r="81" spans="1:44" ht="40.799999999999997" x14ac:dyDescent="0.3">
      <c r="A81" s="56" t="s">
        <v>4815</v>
      </c>
      <c r="B81" s="57" t="s">
        <v>2658</v>
      </c>
      <c r="C81" s="57" t="s">
        <v>4767</v>
      </c>
      <c r="D81" s="57">
        <v>1</v>
      </c>
      <c r="E81" s="57" t="s">
        <v>4768</v>
      </c>
      <c r="F81" s="57" t="s">
        <v>4768</v>
      </c>
      <c r="G81" s="57">
        <v>12.25</v>
      </c>
      <c r="H81" s="57">
        <v>3.95</v>
      </c>
      <c r="I81" s="57">
        <v>4.05</v>
      </c>
      <c r="J81" s="57">
        <v>4.05</v>
      </c>
      <c r="K81" s="57">
        <v>4.45</v>
      </c>
      <c r="L81" s="57">
        <v>4.05</v>
      </c>
      <c r="M81" s="57">
        <v>4.28</v>
      </c>
      <c r="N81" s="57">
        <v>4.3</v>
      </c>
      <c r="O81" s="57">
        <v>0.25</v>
      </c>
      <c r="P81" s="57">
        <v>6.17</v>
      </c>
      <c r="Q81" s="58">
        <v>11821939</v>
      </c>
      <c r="R81" s="57">
        <v>505.98</v>
      </c>
      <c r="S81" s="59">
        <v>819457</v>
      </c>
      <c r="T81" s="57">
        <v>4.3</v>
      </c>
      <c r="U81" s="57">
        <v>4.3499999999999996</v>
      </c>
      <c r="V81" s="59">
        <v>455713</v>
      </c>
      <c r="W81" s="59">
        <v>659181</v>
      </c>
      <c r="X81" s="57">
        <v>4.25</v>
      </c>
      <c r="Y81" s="57">
        <v>4.4000000000000004</v>
      </c>
      <c r="Z81" s="59">
        <v>670020</v>
      </c>
      <c r="AA81" s="59">
        <v>787754</v>
      </c>
      <c r="AB81" s="57">
        <v>4.2</v>
      </c>
      <c r="AC81" s="57">
        <v>4.45</v>
      </c>
      <c r="AD81" s="59">
        <v>483256</v>
      </c>
      <c r="AE81" s="59">
        <v>281238</v>
      </c>
      <c r="AF81" s="57">
        <v>4.1500000000000004</v>
      </c>
      <c r="AG81" s="57">
        <v>4.5</v>
      </c>
      <c r="AH81" s="59">
        <v>424004</v>
      </c>
      <c r="AI81" s="59">
        <v>807466</v>
      </c>
      <c r="AJ81" s="57">
        <v>4.0999999999999996</v>
      </c>
      <c r="AK81" s="57">
        <v>4.55</v>
      </c>
      <c r="AL81" s="59">
        <v>198666</v>
      </c>
      <c r="AM81" s="59">
        <v>5978413</v>
      </c>
      <c r="AN81" s="59">
        <v>4297088</v>
      </c>
      <c r="AO81" s="60">
        <v>43304</v>
      </c>
      <c r="AP81" s="57" t="s">
        <v>4865</v>
      </c>
      <c r="AQ81" s="77" t="s">
        <v>4769</v>
      </c>
      <c r="AR81" s="76">
        <f t="shared" si="2"/>
        <v>43305.622152777774</v>
      </c>
    </row>
    <row r="82" spans="1:44" ht="40.799999999999997" x14ac:dyDescent="0.3">
      <c r="A82" s="56" t="s">
        <v>4815</v>
      </c>
      <c r="B82" s="57" t="s">
        <v>2658</v>
      </c>
      <c r="C82" s="57" t="s">
        <v>4767</v>
      </c>
      <c r="D82" s="57">
        <v>1</v>
      </c>
      <c r="E82" s="57" t="s">
        <v>4768</v>
      </c>
      <c r="F82" s="57" t="s">
        <v>4768</v>
      </c>
      <c r="G82" s="57">
        <v>12.25</v>
      </c>
      <c r="H82" s="57">
        <v>3.95</v>
      </c>
      <c r="I82" s="57">
        <v>4.05</v>
      </c>
      <c r="J82" s="57">
        <v>4.05</v>
      </c>
      <c r="K82" s="57">
        <v>4.45</v>
      </c>
      <c r="L82" s="57">
        <v>4.05</v>
      </c>
      <c r="M82" s="57">
        <v>4.28</v>
      </c>
      <c r="N82" s="57">
        <v>4.3</v>
      </c>
      <c r="O82" s="57">
        <v>0.25</v>
      </c>
      <c r="P82" s="57">
        <v>6.17</v>
      </c>
      <c r="Q82" s="58">
        <v>11821939</v>
      </c>
      <c r="R82" s="57">
        <v>505.98</v>
      </c>
      <c r="S82" s="59">
        <v>819457</v>
      </c>
      <c r="T82" s="57">
        <v>4.3</v>
      </c>
      <c r="U82" s="57">
        <v>4.3499999999999996</v>
      </c>
      <c r="V82" s="59">
        <v>455713</v>
      </c>
      <c r="W82" s="59">
        <v>659181</v>
      </c>
      <c r="X82" s="57">
        <v>4.25</v>
      </c>
      <c r="Y82" s="57">
        <v>4.4000000000000004</v>
      </c>
      <c r="Z82" s="59">
        <v>670020</v>
      </c>
      <c r="AA82" s="59">
        <v>787754</v>
      </c>
      <c r="AB82" s="57">
        <v>4.2</v>
      </c>
      <c r="AC82" s="57">
        <v>4.45</v>
      </c>
      <c r="AD82" s="59">
        <v>483256</v>
      </c>
      <c r="AE82" s="59">
        <v>281238</v>
      </c>
      <c r="AF82" s="57">
        <v>4.1500000000000004</v>
      </c>
      <c r="AG82" s="57">
        <v>4.5</v>
      </c>
      <c r="AH82" s="59">
        <v>424004</v>
      </c>
      <c r="AI82" s="59">
        <v>807466</v>
      </c>
      <c r="AJ82" s="57">
        <v>4.0999999999999996</v>
      </c>
      <c r="AK82" s="57">
        <v>4.55</v>
      </c>
      <c r="AL82" s="59">
        <v>198666</v>
      </c>
      <c r="AM82" s="59">
        <v>5978413</v>
      </c>
      <c r="AN82" s="59">
        <v>4297088</v>
      </c>
      <c r="AO82" s="60">
        <v>43304</v>
      </c>
      <c r="AP82" s="57" t="s">
        <v>4865</v>
      </c>
      <c r="AQ82" s="77" t="s">
        <v>4769</v>
      </c>
      <c r="AR82" s="76">
        <f t="shared" si="2"/>
        <v>43305.622152777774</v>
      </c>
    </row>
    <row r="83" spans="1:44" ht="40.799999999999997" x14ac:dyDescent="0.3">
      <c r="A83" s="56" t="s">
        <v>4815</v>
      </c>
      <c r="B83" s="57" t="s">
        <v>2658</v>
      </c>
      <c r="C83" s="57" t="s">
        <v>4767</v>
      </c>
      <c r="D83" s="57">
        <v>1</v>
      </c>
      <c r="E83" s="57" t="s">
        <v>4768</v>
      </c>
      <c r="F83" s="57" t="s">
        <v>4768</v>
      </c>
      <c r="G83" s="57">
        <v>12.25</v>
      </c>
      <c r="H83" s="57">
        <v>3.95</v>
      </c>
      <c r="I83" s="57">
        <v>4.05</v>
      </c>
      <c r="J83" s="57">
        <v>4.05</v>
      </c>
      <c r="K83" s="57">
        <v>4.45</v>
      </c>
      <c r="L83" s="57">
        <v>4.05</v>
      </c>
      <c r="M83" s="57">
        <v>4.28</v>
      </c>
      <c r="N83" s="57">
        <v>4.3</v>
      </c>
      <c r="O83" s="57">
        <v>0.25</v>
      </c>
      <c r="P83" s="57">
        <v>6.17</v>
      </c>
      <c r="Q83" s="58">
        <v>11842716</v>
      </c>
      <c r="R83" s="57">
        <v>506.87</v>
      </c>
      <c r="S83" s="59">
        <v>812427</v>
      </c>
      <c r="T83" s="57">
        <v>4.3</v>
      </c>
      <c r="U83" s="57">
        <v>4.3499999999999996</v>
      </c>
      <c r="V83" s="59">
        <v>445727</v>
      </c>
      <c r="W83" s="59">
        <v>659181</v>
      </c>
      <c r="X83" s="57">
        <v>4.25</v>
      </c>
      <c r="Y83" s="57">
        <v>4.4000000000000004</v>
      </c>
      <c r="Z83" s="59">
        <v>691031</v>
      </c>
      <c r="AA83" s="59">
        <v>788764</v>
      </c>
      <c r="AB83" s="57">
        <v>4.2</v>
      </c>
      <c r="AC83" s="57">
        <v>4.45</v>
      </c>
      <c r="AD83" s="59">
        <v>483256</v>
      </c>
      <c r="AE83" s="59">
        <v>335085</v>
      </c>
      <c r="AF83" s="57">
        <v>4.1500000000000004</v>
      </c>
      <c r="AG83" s="57">
        <v>4.5</v>
      </c>
      <c r="AH83" s="59">
        <v>384209</v>
      </c>
      <c r="AI83" s="59">
        <v>807466</v>
      </c>
      <c r="AJ83" s="57">
        <v>4.0999999999999996</v>
      </c>
      <c r="AK83" s="57">
        <v>4.55</v>
      </c>
      <c r="AL83" s="59">
        <v>199166</v>
      </c>
      <c r="AM83" s="59">
        <v>5891503</v>
      </c>
      <c r="AN83" s="59">
        <v>4259168</v>
      </c>
      <c r="AO83" s="60">
        <v>43304</v>
      </c>
      <c r="AP83" s="57" t="s">
        <v>4866</v>
      </c>
      <c r="AQ83" s="77" t="s">
        <v>4769</v>
      </c>
      <c r="AR83" s="76">
        <f t="shared" si="2"/>
        <v>43305.623541666668</v>
      </c>
    </row>
    <row r="84" spans="1:44" ht="40.799999999999997" x14ac:dyDescent="0.3">
      <c r="A84" s="56" t="s">
        <v>4815</v>
      </c>
      <c r="B84" s="57" t="s">
        <v>2658</v>
      </c>
      <c r="C84" s="57" t="s">
        <v>4767</v>
      </c>
      <c r="D84" s="57">
        <v>1</v>
      </c>
      <c r="E84" s="57" t="s">
        <v>4768</v>
      </c>
      <c r="F84" s="57" t="s">
        <v>4768</v>
      </c>
      <c r="G84" s="57">
        <v>12.25</v>
      </c>
      <c r="H84" s="57">
        <v>3.95</v>
      </c>
      <c r="I84" s="57">
        <v>4.05</v>
      </c>
      <c r="J84" s="57">
        <v>4.05</v>
      </c>
      <c r="K84" s="57">
        <v>4.45</v>
      </c>
      <c r="L84" s="57">
        <v>4.05</v>
      </c>
      <c r="M84" s="57">
        <v>4.28</v>
      </c>
      <c r="N84" s="57">
        <v>4.3</v>
      </c>
      <c r="O84" s="57">
        <v>0.25</v>
      </c>
      <c r="P84" s="57">
        <v>6.17</v>
      </c>
      <c r="Q84" s="58">
        <v>11901538</v>
      </c>
      <c r="R84" s="57">
        <v>509.39</v>
      </c>
      <c r="S84" s="59">
        <v>784209</v>
      </c>
      <c r="T84" s="57">
        <v>4.3</v>
      </c>
      <c r="U84" s="57">
        <v>4.3499999999999996</v>
      </c>
      <c r="V84" s="59">
        <v>428290</v>
      </c>
      <c r="W84" s="59">
        <v>662181</v>
      </c>
      <c r="X84" s="57">
        <v>4.25</v>
      </c>
      <c r="Y84" s="57">
        <v>4.4000000000000004</v>
      </c>
      <c r="Z84" s="59">
        <v>690799</v>
      </c>
      <c r="AA84" s="59">
        <v>788764</v>
      </c>
      <c r="AB84" s="57">
        <v>4.2</v>
      </c>
      <c r="AC84" s="57">
        <v>4.45</v>
      </c>
      <c r="AD84" s="59">
        <v>481046</v>
      </c>
      <c r="AE84" s="59">
        <v>378485</v>
      </c>
      <c r="AF84" s="57">
        <v>4.1500000000000004</v>
      </c>
      <c r="AG84" s="57">
        <v>4.5</v>
      </c>
      <c r="AH84" s="59">
        <v>384209</v>
      </c>
      <c r="AI84" s="59">
        <v>760566</v>
      </c>
      <c r="AJ84" s="57">
        <v>4.0999999999999996</v>
      </c>
      <c r="AK84" s="57">
        <v>4.55</v>
      </c>
      <c r="AL84" s="59">
        <v>198666</v>
      </c>
      <c r="AM84" s="59">
        <v>5865086</v>
      </c>
      <c r="AN84" s="59">
        <v>4235364</v>
      </c>
      <c r="AO84" s="60">
        <v>43304</v>
      </c>
      <c r="AP84" s="57" t="s">
        <v>4867</v>
      </c>
      <c r="AQ84" s="77" t="s">
        <v>4769</v>
      </c>
      <c r="AR84" s="76">
        <f t="shared" si="2"/>
        <v>43305.625625000001</v>
      </c>
    </row>
    <row r="85" spans="1:44" ht="40.799999999999997" x14ac:dyDescent="0.3">
      <c r="A85" s="56" t="s">
        <v>4815</v>
      </c>
      <c r="B85" s="57" t="s">
        <v>2658</v>
      </c>
      <c r="C85" s="57" t="s">
        <v>4767</v>
      </c>
      <c r="D85" s="57">
        <v>1</v>
      </c>
      <c r="E85" s="57" t="s">
        <v>4768</v>
      </c>
      <c r="F85" s="57" t="s">
        <v>4768</v>
      </c>
      <c r="G85" s="57">
        <v>12.25</v>
      </c>
      <c r="H85" s="57">
        <v>3.95</v>
      </c>
      <c r="I85" s="57">
        <v>4.05</v>
      </c>
      <c r="J85" s="57">
        <v>4.05</v>
      </c>
      <c r="K85" s="57">
        <v>4.45</v>
      </c>
      <c r="L85" s="57">
        <v>4.05</v>
      </c>
      <c r="M85" s="57">
        <v>4.28</v>
      </c>
      <c r="N85" s="57">
        <v>4.3</v>
      </c>
      <c r="O85" s="57">
        <v>0.25</v>
      </c>
      <c r="P85" s="57">
        <v>6.17</v>
      </c>
      <c r="Q85" s="58">
        <v>11910782</v>
      </c>
      <c r="R85" s="57">
        <v>509.78</v>
      </c>
      <c r="S85" s="59">
        <v>859169</v>
      </c>
      <c r="T85" s="57">
        <v>4.3</v>
      </c>
      <c r="U85" s="57">
        <v>4.3499999999999996</v>
      </c>
      <c r="V85" s="59">
        <v>424910</v>
      </c>
      <c r="W85" s="59">
        <v>662181</v>
      </c>
      <c r="X85" s="57">
        <v>4.25</v>
      </c>
      <c r="Y85" s="57">
        <v>4.4000000000000004</v>
      </c>
      <c r="Z85" s="59">
        <v>695799</v>
      </c>
      <c r="AA85" s="59">
        <v>778764</v>
      </c>
      <c r="AB85" s="57">
        <v>4.2</v>
      </c>
      <c r="AC85" s="57">
        <v>4.45</v>
      </c>
      <c r="AD85" s="59">
        <v>478046</v>
      </c>
      <c r="AE85" s="59">
        <v>378485</v>
      </c>
      <c r="AF85" s="57">
        <v>4.1500000000000004</v>
      </c>
      <c r="AG85" s="57">
        <v>4.5</v>
      </c>
      <c r="AH85" s="59">
        <v>384309</v>
      </c>
      <c r="AI85" s="59">
        <v>760566</v>
      </c>
      <c r="AJ85" s="57">
        <v>4.0999999999999996</v>
      </c>
      <c r="AK85" s="57">
        <v>4.55</v>
      </c>
      <c r="AL85" s="59">
        <v>198153</v>
      </c>
      <c r="AM85" s="59">
        <v>5934815</v>
      </c>
      <c r="AN85" s="59">
        <v>4232571</v>
      </c>
      <c r="AO85" s="60">
        <v>43304</v>
      </c>
      <c r="AP85" s="57" t="s">
        <v>4868</v>
      </c>
      <c r="AQ85" s="77" t="s">
        <v>4769</v>
      </c>
      <c r="AR85" s="76">
        <f t="shared" si="2"/>
        <v>43305.627013888887</v>
      </c>
    </row>
    <row r="86" spans="1:44" ht="40.799999999999997" x14ac:dyDescent="0.3">
      <c r="A86" s="56" t="s">
        <v>4815</v>
      </c>
      <c r="B86" s="57" t="s">
        <v>2658</v>
      </c>
      <c r="C86" s="57" t="s">
        <v>4767</v>
      </c>
      <c r="D86" s="57">
        <v>1</v>
      </c>
      <c r="E86" s="57" t="s">
        <v>4768</v>
      </c>
      <c r="F86" s="57" t="s">
        <v>4768</v>
      </c>
      <c r="G86" s="57">
        <v>12.25</v>
      </c>
      <c r="H86" s="57">
        <v>3.95</v>
      </c>
      <c r="I86" s="57">
        <v>4.05</v>
      </c>
      <c r="J86" s="57">
        <v>4.05</v>
      </c>
      <c r="K86" s="57">
        <v>4.45</v>
      </c>
      <c r="L86" s="57">
        <v>4.05</v>
      </c>
      <c r="M86" s="57">
        <v>4.28</v>
      </c>
      <c r="N86" s="57">
        <v>4.3</v>
      </c>
      <c r="O86" s="57">
        <v>0.25</v>
      </c>
      <c r="P86" s="57">
        <v>6.17</v>
      </c>
      <c r="Q86" s="58">
        <v>11910782</v>
      </c>
      <c r="R86" s="57">
        <v>509.78</v>
      </c>
      <c r="S86" s="59">
        <v>859169</v>
      </c>
      <c r="T86" s="57">
        <v>4.3</v>
      </c>
      <c r="U86" s="57">
        <v>4.3499999999999996</v>
      </c>
      <c r="V86" s="59">
        <v>424910</v>
      </c>
      <c r="W86" s="59">
        <v>662181</v>
      </c>
      <c r="X86" s="57">
        <v>4.25</v>
      </c>
      <c r="Y86" s="57">
        <v>4.4000000000000004</v>
      </c>
      <c r="Z86" s="59">
        <v>695799</v>
      </c>
      <c r="AA86" s="59">
        <v>778764</v>
      </c>
      <c r="AB86" s="57">
        <v>4.2</v>
      </c>
      <c r="AC86" s="57">
        <v>4.45</v>
      </c>
      <c r="AD86" s="59">
        <v>478046</v>
      </c>
      <c r="AE86" s="59">
        <v>378485</v>
      </c>
      <c r="AF86" s="57">
        <v>4.1500000000000004</v>
      </c>
      <c r="AG86" s="57">
        <v>4.5</v>
      </c>
      <c r="AH86" s="59">
        <v>384309</v>
      </c>
      <c r="AI86" s="59">
        <v>760566</v>
      </c>
      <c r="AJ86" s="57">
        <v>4.0999999999999996</v>
      </c>
      <c r="AK86" s="57">
        <v>4.55</v>
      </c>
      <c r="AL86" s="59">
        <v>198153</v>
      </c>
      <c r="AM86" s="59">
        <v>5934815</v>
      </c>
      <c r="AN86" s="59">
        <v>4232571</v>
      </c>
      <c r="AO86" s="60">
        <v>43304</v>
      </c>
      <c r="AP86" s="57" t="s">
        <v>4868</v>
      </c>
      <c r="AQ86" s="77" t="s">
        <v>4769</v>
      </c>
      <c r="AR86" s="76">
        <f t="shared" si="2"/>
        <v>43305.627013888887</v>
      </c>
    </row>
    <row r="87" spans="1:44" ht="40.799999999999997" x14ac:dyDescent="0.3">
      <c r="A87" s="56" t="s">
        <v>4815</v>
      </c>
      <c r="B87" s="57" t="s">
        <v>2658</v>
      </c>
      <c r="C87" s="57" t="s">
        <v>4767</v>
      </c>
      <c r="D87" s="57">
        <v>1</v>
      </c>
      <c r="E87" s="57" t="s">
        <v>4768</v>
      </c>
      <c r="F87" s="57" t="s">
        <v>4768</v>
      </c>
      <c r="G87" s="57">
        <v>12.25</v>
      </c>
      <c r="H87" s="57">
        <v>3.95</v>
      </c>
      <c r="I87" s="57">
        <v>4.05</v>
      </c>
      <c r="J87" s="57">
        <v>4.05</v>
      </c>
      <c r="K87" s="57">
        <v>4.45</v>
      </c>
      <c r="L87" s="57">
        <v>4.05</v>
      </c>
      <c r="M87" s="57">
        <v>4.28</v>
      </c>
      <c r="N87" s="57">
        <v>4.3</v>
      </c>
      <c r="O87" s="57">
        <v>0.25</v>
      </c>
      <c r="P87" s="57">
        <v>6.17</v>
      </c>
      <c r="Q87" s="58">
        <v>11956663</v>
      </c>
      <c r="R87" s="57">
        <v>511.75</v>
      </c>
      <c r="S87" s="59">
        <v>837271</v>
      </c>
      <c r="T87" s="57">
        <v>4.3</v>
      </c>
      <c r="U87" s="57">
        <v>4.3499999999999996</v>
      </c>
      <c r="V87" s="59">
        <v>396119</v>
      </c>
      <c r="W87" s="59">
        <v>409021</v>
      </c>
      <c r="X87" s="57">
        <v>4.25</v>
      </c>
      <c r="Y87" s="57">
        <v>4.4000000000000004</v>
      </c>
      <c r="Z87" s="59">
        <v>718430</v>
      </c>
      <c r="AA87" s="59">
        <v>793264</v>
      </c>
      <c r="AB87" s="57">
        <v>4.2</v>
      </c>
      <c r="AC87" s="57">
        <v>4.45</v>
      </c>
      <c r="AD87" s="59">
        <v>478046</v>
      </c>
      <c r="AE87" s="59">
        <v>378485</v>
      </c>
      <c r="AF87" s="57">
        <v>4.1500000000000004</v>
      </c>
      <c r="AG87" s="57">
        <v>4.5</v>
      </c>
      <c r="AH87" s="59">
        <v>406509</v>
      </c>
      <c r="AI87" s="59">
        <v>764566</v>
      </c>
      <c r="AJ87" s="57">
        <v>4.0999999999999996</v>
      </c>
      <c r="AK87" s="57">
        <v>4.55</v>
      </c>
      <c r="AL87" s="59">
        <v>198153</v>
      </c>
      <c r="AM87" s="59">
        <v>5675246</v>
      </c>
      <c r="AN87" s="59">
        <v>4227780</v>
      </c>
      <c r="AO87" s="60">
        <v>43304</v>
      </c>
      <c r="AP87" s="57" t="s">
        <v>4869</v>
      </c>
      <c r="AQ87" s="77" t="s">
        <v>4769</v>
      </c>
      <c r="AR87" s="76">
        <f t="shared" si="2"/>
        <v>43305.63013888889</v>
      </c>
    </row>
    <row r="88" spans="1:44" ht="40.799999999999997" x14ac:dyDescent="0.3">
      <c r="A88" s="56" t="s">
        <v>4815</v>
      </c>
      <c r="B88" s="57" t="s">
        <v>2658</v>
      </c>
      <c r="C88" s="57" t="s">
        <v>4767</v>
      </c>
      <c r="D88" s="57">
        <v>1</v>
      </c>
      <c r="E88" s="57" t="s">
        <v>4768</v>
      </c>
      <c r="F88" s="57" t="s">
        <v>4768</v>
      </c>
      <c r="G88" s="57">
        <v>12.25</v>
      </c>
      <c r="H88" s="57">
        <v>3.95</v>
      </c>
      <c r="I88" s="57">
        <v>4.05</v>
      </c>
      <c r="J88" s="57">
        <v>4.05</v>
      </c>
      <c r="K88" s="57">
        <v>4.45</v>
      </c>
      <c r="L88" s="57">
        <v>4.05</v>
      </c>
      <c r="M88" s="57">
        <v>4.28</v>
      </c>
      <c r="N88" s="57">
        <v>4.3</v>
      </c>
      <c r="O88" s="57">
        <v>0.25</v>
      </c>
      <c r="P88" s="57">
        <v>6.17</v>
      </c>
      <c r="Q88" s="58">
        <v>11956663</v>
      </c>
      <c r="R88" s="57">
        <v>511.75</v>
      </c>
      <c r="S88" s="59">
        <v>837271</v>
      </c>
      <c r="T88" s="57">
        <v>4.3</v>
      </c>
      <c r="U88" s="57">
        <v>4.3499999999999996</v>
      </c>
      <c r="V88" s="59">
        <v>396119</v>
      </c>
      <c r="W88" s="59">
        <v>409021</v>
      </c>
      <c r="X88" s="57">
        <v>4.25</v>
      </c>
      <c r="Y88" s="57">
        <v>4.4000000000000004</v>
      </c>
      <c r="Z88" s="59">
        <v>718430</v>
      </c>
      <c r="AA88" s="59">
        <v>793264</v>
      </c>
      <c r="AB88" s="57">
        <v>4.2</v>
      </c>
      <c r="AC88" s="57">
        <v>4.45</v>
      </c>
      <c r="AD88" s="59">
        <v>478046</v>
      </c>
      <c r="AE88" s="59">
        <v>378485</v>
      </c>
      <c r="AF88" s="57">
        <v>4.1500000000000004</v>
      </c>
      <c r="AG88" s="57">
        <v>4.5</v>
      </c>
      <c r="AH88" s="59">
        <v>406509</v>
      </c>
      <c r="AI88" s="59">
        <v>764566</v>
      </c>
      <c r="AJ88" s="57">
        <v>4.0999999999999996</v>
      </c>
      <c r="AK88" s="57">
        <v>4.55</v>
      </c>
      <c r="AL88" s="59">
        <v>198153</v>
      </c>
      <c r="AM88" s="59">
        <v>5675246</v>
      </c>
      <c r="AN88" s="59">
        <v>4227780</v>
      </c>
      <c r="AO88" s="60">
        <v>43304</v>
      </c>
      <c r="AP88" s="57" t="s">
        <v>4869</v>
      </c>
      <c r="AQ88" s="77" t="s">
        <v>4769</v>
      </c>
      <c r="AR88" s="76">
        <f t="shared" si="2"/>
        <v>43305.63013888889</v>
      </c>
    </row>
    <row r="89" spans="1:44" ht="40.799999999999997" x14ac:dyDescent="0.3">
      <c r="A89" s="56" t="s">
        <v>4815</v>
      </c>
      <c r="B89" s="57" t="s">
        <v>2658</v>
      </c>
      <c r="C89" s="57" t="s">
        <v>4767</v>
      </c>
      <c r="D89" s="57">
        <v>1</v>
      </c>
      <c r="E89" s="57" t="s">
        <v>4768</v>
      </c>
      <c r="F89" s="57" t="s">
        <v>4768</v>
      </c>
      <c r="G89" s="57">
        <v>12.25</v>
      </c>
      <c r="H89" s="57">
        <v>3.95</v>
      </c>
      <c r="I89" s="57">
        <v>4.05</v>
      </c>
      <c r="J89" s="57">
        <v>4.05</v>
      </c>
      <c r="K89" s="57">
        <v>4.45</v>
      </c>
      <c r="L89" s="57">
        <v>4.05</v>
      </c>
      <c r="M89" s="57">
        <v>4.28</v>
      </c>
      <c r="N89" s="57">
        <v>4.3</v>
      </c>
      <c r="O89" s="57">
        <v>0.25</v>
      </c>
      <c r="P89" s="57">
        <v>6.17</v>
      </c>
      <c r="Q89" s="58">
        <v>11960864</v>
      </c>
      <c r="R89" s="57">
        <v>511.92</v>
      </c>
      <c r="S89" s="59">
        <v>832115</v>
      </c>
      <c r="T89" s="57">
        <v>4.3</v>
      </c>
      <c r="U89" s="57">
        <v>4.3499999999999996</v>
      </c>
      <c r="V89" s="59">
        <v>396919</v>
      </c>
      <c r="W89" s="59">
        <v>409417</v>
      </c>
      <c r="X89" s="57">
        <v>4.25</v>
      </c>
      <c r="Y89" s="57">
        <v>4.4000000000000004</v>
      </c>
      <c r="Z89" s="59">
        <v>695004</v>
      </c>
      <c r="AA89" s="59">
        <v>793264</v>
      </c>
      <c r="AB89" s="57">
        <v>4.2</v>
      </c>
      <c r="AC89" s="57">
        <v>4.45</v>
      </c>
      <c r="AD89" s="59">
        <v>473957</v>
      </c>
      <c r="AE89" s="59">
        <v>378485</v>
      </c>
      <c r="AF89" s="57">
        <v>4.1500000000000004</v>
      </c>
      <c r="AG89" s="57">
        <v>4.5</v>
      </c>
      <c r="AH89" s="59">
        <v>406509</v>
      </c>
      <c r="AI89" s="59">
        <v>764566</v>
      </c>
      <c r="AJ89" s="57">
        <v>4.0999999999999996</v>
      </c>
      <c r="AK89" s="57">
        <v>4.55</v>
      </c>
      <c r="AL89" s="59">
        <v>198153</v>
      </c>
      <c r="AM89" s="59">
        <v>5666486</v>
      </c>
      <c r="AN89" s="59">
        <v>4199065</v>
      </c>
      <c r="AO89" s="60">
        <v>43304</v>
      </c>
      <c r="AP89" s="57" t="s">
        <v>4870</v>
      </c>
      <c r="AQ89" s="77" t="s">
        <v>4769</v>
      </c>
      <c r="AR89" s="76">
        <f t="shared" si="2"/>
        <v>43305.630833333336</v>
      </c>
    </row>
    <row r="90" spans="1:44" ht="40.799999999999997" x14ac:dyDescent="0.3">
      <c r="A90" s="56" t="s">
        <v>4815</v>
      </c>
      <c r="B90" s="57" t="s">
        <v>2658</v>
      </c>
      <c r="C90" s="57" t="s">
        <v>4767</v>
      </c>
      <c r="D90" s="57">
        <v>1</v>
      </c>
      <c r="E90" s="57" t="s">
        <v>4768</v>
      </c>
      <c r="F90" s="57" t="s">
        <v>4768</v>
      </c>
      <c r="G90" s="57">
        <v>12.25</v>
      </c>
      <c r="H90" s="57">
        <v>3.95</v>
      </c>
      <c r="I90" s="57">
        <v>4.05</v>
      </c>
      <c r="J90" s="57">
        <v>4.05</v>
      </c>
      <c r="K90" s="57">
        <v>4.45</v>
      </c>
      <c r="L90" s="57">
        <v>4.05</v>
      </c>
      <c r="M90" s="57">
        <v>4.28</v>
      </c>
      <c r="N90" s="57">
        <v>4.3</v>
      </c>
      <c r="O90" s="57">
        <v>0.25</v>
      </c>
      <c r="P90" s="57">
        <v>6.17</v>
      </c>
      <c r="Q90" s="58">
        <v>11999657</v>
      </c>
      <c r="R90" s="57">
        <v>513.59</v>
      </c>
      <c r="S90" s="59">
        <v>822097</v>
      </c>
      <c r="T90" s="57">
        <v>4.3</v>
      </c>
      <c r="U90" s="57">
        <v>4.3499999999999996</v>
      </c>
      <c r="V90" s="59">
        <v>464529</v>
      </c>
      <c r="W90" s="59">
        <v>413913</v>
      </c>
      <c r="X90" s="57">
        <v>4.25</v>
      </c>
      <c r="Y90" s="57">
        <v>4.4000000000000004</v>
      </c>
      <c r="Z90" s="59">
        <v>668615</v>
      </c>
      <c r="AA90" s="59">
        <v>793257</v>
      </c>
      <c r="AB90" s="57">
        <v>4.2</v>
      </c>
      <c r="AC90" s="57">
        <v>4.45</v>
      </c>
      <c r="AD90" s="59">
        <v>474257</v>
      </c>
      <c r="AE90" s="59">
        <v>374445</v>
      </c>
      <c r="AF90" s="57">
        <v>4.1500000000000004</v>
      </c>
      <c r="AG90" s="57">
        <v>4.5</v>
      </c>
      <c r="AH90" s="59">
        <v>405008</v>
      </c>
      <c r="AI90" s="59">
        <v>764115</v>
      </c>
      <c r="AJ90" s="57">
        <v>4.0999999999999996</v>
      </c>
      <c r="AK90" s="57">
        <v>4.55</v>
      </c>
      <c r="AL90" s="59">
        <v>200653</v>
      </c>
      <c r="AM90" s="59">
        <v>5653463</v>
      </c>
      <c r="AN90" s="59">
        <v>4231585</v>
      </c>
      <c r="AO90" s="60">
        <v>43304</v>
      </c>
      <c r="AP90" s="57" t="s">
        <v>4871</v>
      </c>
      <c r="AQ90" s="77" t="s">
        <v>4769</v>
      </c>
      <c r="AR90" s="76">
        <f t="shared" si="2"/>
        <v>43305.633611111109</v>
      </c>
    </row>
    <row r="91" spans="1:44" ht="40.799999999999997" x14ac:dyDescent="0.3">
      <c r="A91" s="56" t="s">
        <v>4815</v>
      </c>
      <c r="B91" s="57" t="s">
        <v>2658</v>
      </c>
      <c r="C91" s="57" t="s">
        <v>4767</v>
      </c>
      <c r="D91" s="57">
        <v>1</v>
      </c>
      <c r="E91" s="57" t="s">
        <v>4768</v>
      </c>
      <c r="F91" s="57" t="s">
        <v>4768</v>
      </c>
      <c r="G91" s="57">
        <v>12.25</v>
      </c>
      <c r="H91" s="57">
        <v>3.95</v>
      </c>
      <c r="I91" s="57">
        <v>4.05</v>
      </c>
      <c r="J91" s="57">
        <v>4.05</v>
      </c>
      <c r="K91" s="57">
        <v>4.45</v>
      </c>
      <c r="L91" s="57">
        <v>4.05</v>
      </c>
      <c r="M91" s="57">
        <v>4.28</v>
      </c>
      <c r="N91" s="57">
        <v>4.3</v>
      </c>
      <c r="O91" s="57">
        <v>0.25</v>
      </c>
      <c r="P91" s="57">
        <v>6.17</v>
      </c>
      <c r="Q91" s="58">
        <v>11999657</v>
      </c>
      <c r="R91" s="57">
        <v>513.59</v>
      </c>
      <c r="S91" s="59">
        <v>822097</v>
      </c>
      <c r="T91" s="57">
        <v>4.3</v>
      </c>
      <c r="U91" s="57">
        <v>4.3499999999999996</v>
      </c>
      <c r="V91" s="59">
        <v>464529</v>
      </c>
      <c r="W91" s="59">
        <v>413913</v>
      </c>
      <c r="X91" s="57">
        <v>4.25</v>
      </c>
      <c r="Y91" s="57">
        <v>4.4000000000000004</v>
      </c>
      <c r="Z91" s="59">
        <v>668615</v>
      </c>
      <c r="AA91" s="59">
        <v>793257</v>
      </c>
      <c r="AB91" s="57">
        <v>4.2</v>
      </c>
      <c r="AC91" s="57">
        <v>4.45</v>
      </c>
      <c r="AD91" s="59">
        <v>474257</v>
      </c>
      <c r="AE91" s="59">
        <v>374445</v>
      </c>
      <c r="AF91" s="57">
        <v>4.1500000000000004</v>
      </c>
      <c r="AG91" s="57">
        <v>4.5</v>
      </c>
      <c r="AH91" s="59">
        <v>405008</v>
      </c>
      <c r="AI91" s="59">
        <v>764115</v>
      </c>
      <c r="AJ91" s="57">
        <v>4.0999999999999996</v>
      </c>
      <c r="AK91" s="57">
        <v>4.55</v>
      </c>
      <c r="AL91" s="59">
        <v>200653</v>
      </c>
      <c r="AM91" s="59">
        <v>5653463</v>
      </c>
      <c r="AN91" s="59">
        <v>4231585</v>
      </c>
      <c r="AO91" s="60">
        <v>43304</v>
      </c>
      <c r="AP91" s="57" t="s">
        <v>4871</v>
      </c>
      <c r="AQ91" s="77" t="s">
        <v>4769</v>
      </c>
      <c r="AR91" s="76">
        <f t="shared" si="2"/>
        <v>43305.633611111109</v>
      </c>
    </row>
    <row r="92" spans="1:44" ht="40.799999999999997" x14ac:dyDescent="0.3">
      <c r="A92" s="56" t="s">
        <v>4815</v>
      </c>
      <c r="B92" s="57" t="s">
        <v>2658</v>
      </c>
      <c r="C92" s="57" t="s">
        <v>4767</v>
      </c>
      <c r="D92" s="57">
        <v>1</v>
      </c>
      <c r="E92" s="57" t="s">
        <v>4768</v>
      </c>
      <c r="F92" s="57" t="s">
        <v>4768</v>
      </c>
      <c r="G92" s="57">
        <v>12.25</v>
      </c>
      <c r="H92" s="57">
        <v>3.95</v>
      </c>
      <c r="I92" s="57">
        <v>4.05</v>
      </c>
      <c r="J92" s="57">
        <v>4.05</v>
      </c>
      <c r="K92" s="57">
        <v>4.45</v>
      </c>
      <c r="L92" s="57">
        <v>4.05</v>
      </c>
      <c r="M92" s="57">
        <v>4.28</v>
      </c>
      <c r="N92" s="57">
        <v>4.3499999999999996</v>
      </c>
      <c r="O92" s="57">
        <v>0.3</v>
      </c>
      <c r="P92" s="57">
        <v>7.41</v>
      </c>
      <c r="Q92" s="58">
        <v>12034322</v>
      </c>
      <c r="R92" s="57">
        <v>515.07000000000005</v>
      </c>
      <c r="S92" s="59">
        <v>1042808</v>
      </c>
      <c r="T92" s="57">
        <v>4.3</v>
      </c>
      <c r="U92" s="57">
        <v>4.3499999999999996</v>
      </c>
      <c r="V92" s="59">
        <v>489046</v>
      </c>
      <c r="W92" s="59">
        <v>707873</v>
      </c>
      <c r="X92" s="57">
        <v>4.25</v>
      </c>
      <c r="Y92" s="57">
        <v>4.4000000000000004</v>
      </c>
      <c r="Z92" s="59">
        <v>654615</v>
      </c>
      <c r="AA92" s="59">
        <v>792857</v>
      </c>
      <c r="AB92" s="57">
        <v>4.2</v>
      </c>
      <c r="AC92" s="57">
        <v>4.45</v>
      </c>
      <c r="AD92" s="59">
        <v>375357</v>
      </c>
      <c r="AE92" s="59">
        <v>371945</v>
      </c>
      <c r="AF92" s="57">
        <v>4.1500000000000004</v>
      </c>
      <c r="AG92" s="57">
        <v>4.5</v>
      </c>
      <c r="AH92" s="59">
        <v>396008</v>
      </c>
      <c r="AI92" s="59">
        <v>565264</v>
      </c>
      <c r="AJ92" s="57">
        <v>4.0999999999999996</v>
      </c>
      <c r="AK92" s="57">
        <v>4.55</v>
      </c>
      <c r="AL92" s="59">
        <v>191753</v>
      </c>
      <c r="AM92" s="59">
        <v>5725583</v>
      </c>
      <c r="AN92" s="59">
        <v>4106802</v>
      </c>
      <c r="AO92" s="60">
        <v>43304</v>
      </c>
      <c r="AP92" s="57" t="s">
        <v>4872</v>
      </c>
      <c r="AQ92" s="77" t="s">
        <v>4769</v>
      </c>
      <c r="AR92" s="76">
        <f t="shared" si="2"/>
        <v>43305.636041666665</v>
      </c>
    </row>
    <row r="93" spans="1:44" ht="40.799999999999997" x14ac:dyDescent="0.3">
      <c r="A93" s="56" t="s">
        <v>4815</v>
      </c>
      <c r="B93" s="57" t="s">
        <v>2658</v>
      </c>
      <c r="C93" s="57" t="s">
        <v>4767</v>
      </c>
      <c r="D93" s="57">
        <v>1</v>
      </c>
      <c r="E93" s="57" t="s">
        <v>4768</v>
      </c>
      <c r="F93" s="57" t="s">
        <v>4768</v>
      </c>
      <c r="G93" s="57">
        <v>12.25</v>
      </c>
      <c r="H93" s="57">
        <v>3.95</v>
      </c>
      <c r="I93" s="57">
        <v>4.05</v>
      </c>
      <c r="J93" s="57">
        <v>4.05</v>
      </c>
      <c r="K93" s="57">
        <v>4.45</v>
      </c>
      <c r="L93" s="57">
        <v>4.05</v>
      </c>
      <c r="M93" s="57">
        <v>4.28</v>
      </c>
      <c r="N93" s="57">
        <v>4.3499999999999996</v>
      </c>
      <c r="O93" s="57">
        <v>0.3</v>
      </c>
      <c r="P93" s="57">
        <v>7.41</v>
      </c>
      <c r="Q93" s="58">
        <v>12034322</v>
      </c>
      <c r="R93" s="57">
        <v>515.07000000000005</v>
      </c>
      <c r="S93" s="59">
        <v>1042808</v>
      </c>
      <c r="T93" s="57">
        <v>4.3</v>
      </c>
      <c r="U93" s="57">
        <v>4.3499999999999996</v>
      </c>
      <c r="V93" s="59">
        <v>489046</v>
      </c>
      <c r="W93" s="59">
        <v>707873</v>
      </c>
      <c r="X93" s="57">
        <v>4.25</v>
      </c>
      <c r="Y93" s="57">
        <v>4.4000000000000004</v>
      </c>
      <c r="Z93" s="59">
        <v>654615</v>
      </c>
      <c r="AA93" s="59">
        <v>792857</v>
      </c>
      <c r="AB93" s="57">
        <v>4.2</v>
      </c>
      <c r="AC93" s="57">
        <v>4.45</v>
      </c>
      <c r="AD93" s="59">
        <v>375357</v>
      </c>
      <c r="AE93" s="59">
        <v>371945</v>
      </c>
      <c r="AF93" s="57">
        <v>4.1500000000000004</v>
      </c>
      <c r="AG93" s="57">
        <v>4.5</v>
      </c>
      <c r="AH93" s="59">
        <v>396008</v>
      </c>
      <c r="AI93" s="59">
        <v>565264</v>
      </c>
      <c r="AJ93" s="57">
        <v>4.0999999999999996</v>
      </c>
      <c r="AK93" s="57">
        <v>4.55</v>
      </c>
      <c r="AL93" s="59">
        <v>191753</v>
      </c>
      <c r="AM93" s="59">
        <v>5725583</v>
      </c>
      <c r="AN93" s="59">
        <v>4106802</v>
      </c>
      <c r="AO93" s="60">
        <v>43304</v>
      </c>
      <c r="AP93" s="57" t="s">
        <v>4872</v>
      </c>
      <c r="AQ93" s="77" t="s">
        <v>4769</v>
      </c>
      <c r="AR93" s="76">
        <f t="shared" si="2"/>
        <v>43305.636041666665</v>
      </c>
    </row>
    <row r="94" spans="1:44" ht="40.799999999999997" x14ac:dyDescent="0.3">
      <c r="A94" s="56" t="s">
        <v>4815</v>
      </c>
      <c r="B94" s="57" t="s">
        <v>2658</v>
      </c>
      <c r="C94" s="57" t="s">
        <v>4767</v>
      </c>
      <c r="D94" s="57">
        <v>1</v>
      </c>
      <c r="E94" s="57" t="s">
        <v>4768</v>
      </c>
      <c r="F94" s="57" t="s">
        <v>4768</v>
      </c>
      <c r="G94" s="57">
        <v>12.25</v>
      </c>
      <c r="H94" s="57">
        <v>3.95</v>
      </c>
      <c r="I94" s="57">
        <v>4.05</v>
      </c>
      <c r="J94" s="57">
        <v>4.05</v>
      </c>
      <c r="K94" s="57">
        <v>4.45</v>
      </c>
      <c r="L94" s="57">
        <v>4.05</v>
      </c>
      <c r="M94" s="57">
        <v>4.28</v>
      </c>
      <c r="N94" s="57">
        <v>4.3499999999999996</v>
      </c>
      <c r="O94" s="57">
        <v>0.3</v>
      </c>
      <c r="P94" s="57">
        <v>7.41</v>
      </c>
      <c r="Q94" s="58">
        <v>12107740</v>
      </c>
      <c r="R94" s="57">
        <v>518.21</v>
      </c>
      <c r="S94" s="59">
        <v>1095825</v>
      </c>
      <c r="T94" s="57">
        <v>4.3</v>
      </c>
      <c r="U94" s="57">
        <v>4.3499999999999996</v>
      </c>
      <c r="V94" s="59">
        <v>539264</v>
      </c>
      <c r="W94" s="59">
        <v>707874</v>
      </c>
      <c r="X94" s="57">
        <v>4.25</v>
      </c>
      <c r="Y94" s="57">
        <v>4.4000000000000004</v>
      </c>
      <c r="Z94" s="59">
        <v>594848</v>
      </c>
      <c r="AA94" s="59">
        <v>1008206</v>
      </c>
      <c r="AB94" s="57">
        <v>4.2</v>
      </c>
      <c r="AC94" s="57">
        <v>4.45</v>
      </c>
      <c r="AD94" s="59">
        <v>385767</v>
      </c>
      <c r="AE94" s="59">
        <v>618145</v>
      </c>
      <c r="AF94" s="57">
        <v>4.1500000000000004</v>
      </c>
      <c r="AG94" s="57">
        <v>4.5</v>
      </c>
      <c r="AH94" s="59">
        <v>396007</v>
      </c>
      <c r="AI94" s="59">
        <v>550264</v>
      </c>
      <c r="AJ94" s="57">
        <v>4.0999999999999996</v>
      </c>
      <c r="AK94" s="57">
        <v>4.55</v>
      </c>
      <c r="AL94" s="59">
        <v>191753</v>
      </c>
      <c r="AM94" s="59">
        <v>6219342</v>
      </c>
      <c r="AN94" s="59">
        <v>4109262</v>
      </c>
      <c r="AO94" s="60">
        <v>43304</v>
      </c>
      <c r="AP94" s="57" t="s">
        <v>4873</v>
      </c>
      <c r="AQ94" s="77" t="s">
        <v>4769</v>
      </c>
      <c r="AR94" s="76">
        <f t="shared" si="2"/>
        <v>43305.638136574074</v>
      </c>
    </row>
    <row r="95" spans="1:44" ht="40.799999999999997" x14ac:dyDescent="0.3">
      <c r="A95" s="56" t="s">
        <v>4815</v>
      </c>
      <c r="B95" s="57" t="s">
        <v>2658</v>
      </c>
      <c r="C95" s="57" t="s">
        <v>4767</v>
      </c>
      <c r="D95" s="57">
        <v>1</v>
      </c>
      <c r="E95" s="57" t="s">
        <v>4768</v>
      </c>
      <c r="F95" s="57" t="s">
        <v>4768</v>
      </c>
      <c r="G95" s="57">
        <v>12.25</v>
      </c>
      <c r="H95" s="57">
        <v>3.95</v>
      </c>
      <c r="I95" s="57">
        <v>4.05</v>
      </c>
      <c r="J95" s="57">
        <v>4.05</v>
      </c>
      <c r="K95" s="57">
        <v>4.45</v>
      </c>
      <c r="L95" s="57">
        <v>4.05</v>
      </c>
      <c r="M95" s="57">
        <v>4.28</v>
      </c>
      <c r="N95" s="57">
        <v>4.3499999999999996</v>
      </c>
      <c r="O95" s="57">
        <v>0.3</v>
      </c>
      <c r="P95" s="57">
        <v>7.41</v>
      </c>
      <c r="Q95" s="58">
        <v>12107740</v>
      </c>
      <c r="R95" s="57">
        <v>518.21</v>
      </c>
      <c r="S95" s="59">
        <v>1095825</v>
      </c>
      <c r="T95" s="57">
        <v>4.3</v>
      </c>
      <c r="U95" s="57">
        <v>4.3499999999999996</v>
      </c>
      <c r="V95" s="59">
        <v>539264</v>
      </c>
      <c r="W95" s="59">
        <v>707874</v>
      </c>
      <c r="X95" s="57">
        <v>4.25</v>
      </c>
      <c r="Y95" s="57">
        <v>4.4000000000000004</v>
      </c>
      <c r="Z95" s="59">
        <v>594848</v>
      </c>
      <c r="AA95" s="59">
        <v>1008206</v>
      </c>
      <c r="AB95" s="57">
        <v>4.2</v>
      </c>
      <c r="AC95" s="57">
        <v>4.45</v>
      </c>
      <c r="AD95" s="59">
        <v>385767</v>
      </c>
      <c r="AE95" s="59">
        <v>618145</v>
      </c>
      <c r="AF95" s="57">
        <v>4.1500000000000004</v>
      </c>
      <c r="AG95" s="57">
        <v>4.5</v>
      </c>
      <c r="AH95" s="59">
        <v>396007</v>
      </c>
      <c r="AI95" s="59">
        <v>550264</v>
      </c>
      <c r="AJ95" s="57">
        <v>4.0999999999999996</v>
      </c>
      <c r="AK95" s="57">
        <v>4.55</v>
      </c>
      <c r="AL95" s="59">
        <v>191753</v>
      </c>
      <c r="AM95" s="59">
        <v>6219342</v>
      </c>
      <c r="AN95" s="59">
        <v>4109262</v>
      </c>
      <c r="AO95" s="60">
        <v>43304</v>
      </c>
      <c r="AP95" s="57" t="s">
        <v>4873</v>
      </c>
      <c r="AQ95" s="77" t="s">
        <v>4769</v>
      </c>
      <c r="AR95" s="76">
        <f t="shared" si="2"/>
        <v>43305.638136574074</v>
      </c>
    </row>
    <row r="96" spans="1:44" ht="40.799999999999997" x14ac:dyDescent="0.3">
      <c r="A96" s="56" t="s">
        <v>4815</v>
      </c>
      <c r="B96" s="57" t="s">
        <v>2658</v>
      </c>
      <c r="C96" s="57" t="s">
        <v>4767</v>
      </c>
      <c r="D96" s="57">
        <v>1</v>
      </c>
      <c r="E96" s="57" t="s">
        <v>4768</v>
      </c>
      <c r="F96" s="57" t="s">
        <v>4768</v>
      </c>
      <c r="G96" s="57">
        <v>12.25</v>
      </c>
      <c r="H96" s="57">
        <v>3.95</v>
      </c>
      <c r="I96" s="57">
        <v>4.05</v>
      </c>
      <c r="J96" s="57">
        <v>4.05</v>
      </c>
      <c r="K96" s="57">
        <v>4.45</v>
      </c>
      <c r="L96" s="57">
        <v>4.05</v>
      </c>
      <c r="M96" s="57">
        <v>4.28</v>
      </c>
      <c r="N96" s="57">
        <v>4.3499999999999996</v>
      </c>
      <c r="O96" s="57">
        <v>0.3</v>
      </c>
      <c r="P96" s="57">
        <v>7.41</v>
      </c>
      <c r="Q96" s="58">
        <v>12222989</v>
      </c>
      <c r="R96" s="57">
        <v>523.14</v>
      </c>
      <c r="S96" s="59">
        <v>1202563</v>
      </c>
      <c r="T96" s="57">
        <v>4.3</v>
      </c>
      <c r="U96" s="57">
        <v>4.3499999999999996</v>
      </c>
      <c r="V96" s="59">
        <v>504569</v>
      </c>
      <c r="W96" s="59">
        <v>807374</v>
      </c>
      <c r="X96" s="57">
        <v>4.25</v>
      </c>
      <c r="Y96" s="57">
        <v>4.4000000000000004</v>
      </c>
      <c r="Z96" s="59">
        <v>590490</v>
      </c>
      <c r="AA96" s="59">
        <v>1008806</v>
      </c>
      <c r="AB96" s="57">
        <v>4.2</v>
      </c>
      <c r="AC96" s="57">
        <v>4.45</v>
      </c>
      <c r="AD96" s="59">
        <v>375437</v>
      </c>
      <c r="AE96" s="59">
        <v>618045</v>
      </c>
      <c r="AF96" s="57">
        <v>4.1500000000000004</v>
      </c>
      <c r="AG96" s="57">
        <v>4.5</v>
      </c>
      <c r="AH96" s="59">
        <v>395907</v>
      </c>
      <c r="AI96" s="59">
        <v>548523</v>
      </c>
      <c r="AJ96" s="57">
        <v>4.0999999999999996</v>
      </c>
      <c r="AK96" s="57">
        <v>4.55</v>
      </c>
      <c r="AL96" s="59">
        <v>191753</v>
      </c>
      <c r="AM96" s="59">
        <v>6420675</v>
      </c>
      <c r="AN96" s="59">
        <v>4059779</v>
      </c>
      <c r="AO96" s="60">
        <v>43304</v>
      </c>
      <c r="AP96" s="57" t="s">
        <v>4874</v>
      </c>
      <c r="AQ96" s="77" t="s">
        <v>4769</v>
      </c>
      <c r="AR96" s="76">
        <f t="shared" si="2"/>
        <v>43305.640219907407</v>
      </c>
    </row>
    <row r="97" spans="1:44" ht="40.799999999999997" x14ac:dyDescent="0.3">
      <c r="A97" s="56" t="s">
        <v>4815</v>
      </c>
      <c r="B97" s="57" t="s">
        <v>2658</v>
      </c>
      <c r="C97" s="57" t="s">
        <v>4767</v>
      </c>
      <c r="D97" s="57">
        <v>1</v>
      </c>
      <c r="E97" s="57" t="s">
        <v>4768</v>
      </c>
      <c r="F97" s="57" t="s">
        <v>4768</v>
      </c>
      <c r="G97" s="57">
        <v>12.25</v>
      </c>
      <c r="H97" s="57">
        <v>3.95</v>
      </c>
      <c r="I97" s="57">
        <v>4.05</v>
      </c>
      <c r="J97" s="57">
        <v>4.05</v>
      </c>
      <c r="K97" s="57">
        <v>4.45</v>
      </c>
      <c r="L97" s="57">
        <v>4.05</v>
      </c>
      <c r="M97" s="57">
        <v>4.28</v>
      </c>
      <c r="N97" s="57">
        <v>4.3499999999999996</v>
      </c>
      <c r="O97" s="57">
        <v>0.3</v>
      </c>
      <c r="P97" s="57">
        <v>7.41</v>
      </c>
      <c r="Q97" s="58">
        <v>12222989</v>
      </c>
      <c r="R97" s="57">
        <v>523.14</v>
      </c>
      <c r="S97" s="59">
        <v>1202563</v>
      </c>
      <c r="T97" s="57">
        <v>4.3</v>
      </c>
      <c r="U97" s="57">
        <v>4.3499999999999996</v>
      </c>
      <c r="V97" s="59">
        <v>504569</v>
      </c>
      <c r="W97" s="59">
        <v>807374</v>
      </c>
      <c r="X97" s="57">
        <v>4.25</v>
      </c>
      <c r="Y97" s="57">
        <v>4.4000000000000004</v>
      </c>
      <c r="Z97" s="59">
        <v>590490</v>
      </c>
      <c r="AA97" s="59">
        <v>1008806</v>
      </c>
      <c r="AB97" s="57">
        <v>4.2</v>
      </c>
      <c r="AC97" s="57">
        <v>4.45</v>
      </c>
      <c r="AD97" s="59">
        <v>375437</v>
      </c>
      <c r="AE97" s="59">
        <v>618045</v>
      </c>
      <c r="AF97" s="57">
        <v>4.1500000000000004</v>
      </c>
      <c r="AG97" s="57">
        <v>4.5</v>
      </c>
      <c r="AH97" s="59">
        <v>395907</v>
      </c>
      <c r="AI97" s="59">
        <v>548523</v>
      </c>
      <c r="AJ97" s="57">
        <v>4.0999999999999996</v>
      </c>
      <c r="AK97" s="57">
        <v>4.55</v>
      </c>
      <c r="AL97" s="59">
        <v>191753</v>
      </c>
      <c r="AM97" s="59">
        <v>6420675</v>
      </c>
      <c r="AN97" s="59">
        <v>4059779</v>
      </c>
      <c r="AO97" s="60">
        <v>43304</v>
      </c>
      <c r="AP97" s="57" t="s">
        <v>4874</v>
      </c>
      <c r="AQ97" s="77" t="s">
        <v>4769</v>
      </c>
      <c r="AR97" s="76">
        <f t="shared" si="2"/>
        <v>43305.640219907407</v>
      </c>
    </row>
    <row r="98" spans="1:44" ht="40.799999999999997" x14ac:dyDescent="0.3">
      <c r="A98" s="56" t="s">
        <v>4815</v>
      </c>
      <c r="B98" s="57" t="s">
        <v>2658</v>
      </c>
      <c r="C98" s="57" t="s">
        <v>4767</v>
      </c>
      <c r="D98" s="57">
        <v>1</v>
      </c>
      <c r="E98" s="57" t="s">
        <v>4768</v>
      </c>
      <c r="F98" s="57" t="s">
        <v>4768</v>
      </c>
      <c r="G98" s="57">
        <v>12.25</v>
      </c>
      <c r="H98" s="57">
        <v>3.95</v>
      </c>
      <c r="I98" s="57">
        <v>4.05</v>
      </c>
      <c r="J98" s="57">
        <v>4.05</v>
      </c>
      <c r="K98" s="57">
        <v>4.45</v>
      </c>
      <c r="L98" s="57">
        <v>4.05</v>
      </c>
      <c r="M98" s="57">
        <v>4.28</v>
      </c>
      <c r="N98" s="57">
        <v>4.3499999999999996</v>
      </c>
      <c r="O98" s="57">
        <v>0.3</v>
      </c>
      <c r="P98" s="57">
        <v>7.41</v>
      </c>
      <c r="Q98" s="58">
        <v>12491265</v>
      </c>
      <c r="R98" s="57">
        <v>534.63</v>
      </c>
      <c r="S98" s="59">
        <v>1051023</v>
      </c>
      <c r="T98" s="57">
        <v>4.3</v>
      </c>
      <c r="U98" s="57">
        <v>4.3499999999999996</v>
      </c>
      <c r="V98" s="59">
        <v>473144</v>
      </c>
      <c r="W98" s="59">
        <v>823215</v>
      </c>
      <c r="X98" s="57">
        <v>4.25</v>
      </c>
      <c r="Y98" s="57">
        <v>4.4000000000000004</v>
      </c>
      <c r="Z98" s="59">
        <v>735725</v>
      </c>
      <c r="AA98" s="59">
        <v>1005306</v>
      </c>
      <c r="AB98" s="57">
        <v>4.2</v>
      </c>
      <c r="AC98" s="57">
        <v>4.45</v>
      </c>
      <c r="AD98" s="59">
        <v>378987</v>
      </c>
      <c r="AE98" s="59">
        <v>618045</v>
      </c>
      <c r="AF98" s="57">
        <v>4.1500000000000004</v>
      </c>
      <c r="AG98" s="57">
        <v>4.5</v>
      </c>
      <c r="AH98" s="59">
        <v>396002</v>
      </c>
      <c r="AI98" s="59">
        <v>548423</v>
      </c>
      <c r="AJ98" s="57">
        <v>4.0999999999999996</v>
      </c>
      <c r="AK98" s="57">
        <v>4.55</v>
      </c>
      <c r="AL98" s="59">
        <v>186753</v>
      </c>
      <c r="AM98" s="59">
        <v>6276366</v>
      </c>
      <c r="AN98" s="59">
        <v>4169473</v>
      </c>
      <c r="AO98" s="60">
        <v>43304</v>
      </c>
      <c r="AP98" s="57" t="s">
        <v>4875</v>
      </c>
      <c r="AQ98" s="77" t="s">
        <v>4769</v>
      </c>
      <c r="AR98" s="76">
        <f t="shared" si="2"/>
        <v>43305.642997685187</v>
      </c>
    </row>
    <row r="99" spans="1:44" ht="40.799999999999997" x14ac:dyDescent="0.3">
      <c r="A99" s="56" t="s">
        <v>4815</v>
      </c>
      <c r="B99" s="57" t="s">
        <v>2658</v>
      </c>
      <c r="C99" s="57" t="s">
        <v>4767</v>
      </c>
      <c r="D99" s="57">
        <v>1</v>
      </c>
      <c r="E99" s="57" t="s">
        <v>4768</v>
      </c>
      <c r="F99" s="57" t="s">
        <v>4768</v>
      </c>
      <c r="G99" s="57">
        <v>12.25</v>
      </c>
      <c r="H99" s="57">
        <v>3.95</v>
      </c>
      <c r="I99" s="57">
        <v>4.05</v>
      </c>
      <c r="J99" s="57">
        <v>4.05</v>
      </c>
      <c r="K99" s="57">
        <v>4.45</v>
      </c>
      <c r="L99" s="57">
        <v>4.05</v>
      </c>
      <c r="M99" s="57">
        <v>4.28</v>
      </c>
      <c r="N99" s="57">
        <v>4.3499999999999996</v>
      </c>
      <c r="O99" s="57">
        <v>0.3</v>
      </c>
      <c r="P99" s="57">
        <v>7.41</v>
      </c>
      <c r="Q99" s="58">
        <v>12491265</v>
      </c>
      <c r="R99" s="57">
        <v>534.63</v>
      </c>
      <c r="S99" s="59">
        <v>1051023</v>
      </c>
      <c r="T99" s="57">
        <v>4.3</v>
      </c>
      <c r="U99" s="57">
        <v>4.3499999999999996</v>
      </c>
      <c r="V99" s="59">
        <v>473144</v>
      </c>
      <c r="W99" s="59">
        <v>823215</v>
      </c>
      <c r="X99" s="57">
        <v>4.25</v>
      </c>
      <c r="Y99" s="57">
        <v>4.4000000000000004</v>
      </c>
      <c r="Z99" s="59">
        <v>735725</v>
      </c>
      <c r="AA99" s="59">
        <v>1005306</v>
      </c>
      <c r="AB99" s="57">
        <v>4.2</v>
      </c>
      <c r="AC99" s="57">
        <v>4.45</v>
      </c>
      <c r="AD99" s="59">
        <v>378987</v>
      </c>
      <c r="AE99" s="59">
        <v>618045</v>
      </c>
      <c r="AF99" s="57">
        <v>4.1500000000000004</v>
      </c>
      <c r="AG99" s="57">
        <v>4.5</v>
      </c>
      <c r="AH99" s="59">
        <v>396002</v>
      </c>
      <c r="AI99" s="59">
        <v>548423</v>
      </c>
      <c r="AJ99" s="57">
        <v>4.0999999999999996</v>
      </c>
      <c r="AK99" s="57">
        <v>4.55</v>
      </c>
      <c r="AL99" s="59">
        <v>186753</v>
      </c>
      <c r="AM99" s="59">
        <v>6276366</v>
      </c>
      <c r="AN99" s="59">
        <v>4169473</v>
      </c>
      <c r="AO99" s="60">
        <v>43304</v>
      </c>
      <c r="AP99" s="57" t="s">
        <v>4875</v>
      </c>
      <c r="AQ99" s="77" t="s">
        <v>4769</v>
      </c>
      <c r="AR99" s="76">
        <f t="shared" si="2"/>
        <v>43305.642997685187</v>
      </c>
    </row>
    <row r="100" spans="1:44" ht="40.799999999999997" x14ac:dyDescent="0.3">
      <c r="A100" s="56" t="s">
        <v>4815</v>
      </c>
      <c r="B100" s="57" t="s">
        <v>2658</v>
      </c>
      <c r="C100" s="57" t="s">
        <v>4767</v>
      </c>
      <c r="D100" s="57">
        <v>1</v>
      </c>
      <c r="E100" s="57" t="s">
        <v>4768</v>
      </c>
      <c r="F100" s="57" t="s">
        <v>4768</v>
      </c>
      <c r="G100" s="57">
        <v>12.25</v>
      </c>
      <c r="H100" s="57">
        <v>3.95</v>
      </c>
      <c r="I100" s="57">
        <v>4.05</v>
      </c>
      <c r="J100" s="57">
        <v>4.05</v>
      </c>
      <c r="K100" s="57">
        <v>4.45</v>
      </c>
      <c r="L100" s="57">
        <v>4.05</v>
      </c>
      <c r="M100" s="57">
        <v>4.28</v>
      </c>
      <c r="N100" s="57">
        <v>4.3499999999999996</v>
      </c>
      <c r="O100" s="57">
        <v>0.3</v>
      </c>
      <c r="P100" s="57">
        <v>7.41</v>
      </c>
      <c r="Q100" s="58">
        <v>12668996</v>
      </c>
      <c r="R100" s="57">
        <v>542.23</v>
      </c>
      <c r="S100" s="59">
        <v>947948</v>
      </c>
      <c r="T100" s="57">
        <v>4.3</v>
      </c>
      <c r="U100" s="57">
        <v>4.3499999999999996</v>
      </c>
      <c r="V100" s="59">
        <v>386801</v>
      </c>
      <c r="W100" s="59">
        <v>726781</v>
      </c>
      <c r="X100" s="57">
        <v>4.25</v>
      </c>
      <c r="Y100" s="57">
        <v>4.4000000000000004</v>
      </c>
      <c r="Z100" s="59">
        <v>735516</v>
      </c>
      <c r="AA100" s="59">
        <v>1001606</v>
      </c>
      <c r="AB100" s="57">
        <v>4.2</v>
      </c>
      <c r="AC100" s="57">
        <v>4.45</v>
      </c>
      <c r="AD100" s="59">
        <v>372417</v>
      </c>
      <c r="AE100" s="59">
        <v>611745</v>
      </c>
      <c r="AF100" s="57">
        <v>4.1500000000000004</v>
      </c>
      <c r="AG100" s="57">
        <v>4.5</v>
      </c>
      <c r="AH100" s="59">
        <v>393902</v>
      </c>
      <c r="AI100" s="59">
        <v>546013</v>
      </c>
      <c r="AJ100" s="57">
        <v>4.0999999999999996</v>
      </c>
      <c r="AK100" s="57">
        <v>4.55</v>
      </c>
      <c r="AL100" s="59">
        <v>181753</v>
      </c>
      <c r="AM100" s="59">
        <v>6057748</v>
      </c>
      <c r="AN100" s="59">
        <v>3959251</v>
      </c>
      <c r="AO100" s="60">
        <v>43304</v>
      </c>
      <c r="AP100" s="57" t="s">
        <v>4876</v>
      </c>
      <c r="AQ100" s="77" t="s">
        <v>4769</v>
      </c>
      <c r="AR100" s="76">
        <f t="shared" si="2"/>
        <v>43305.645775462966</v>
      </c>
    </row>
    <row r="101" spans="1:44" ht="40.799999999999997" x14ac:dyDescent="0.3">
      <c r="A101" s="56" t="s">
        <v>4815</v>
      </c>
      <c r="B101" s="57" t="s">
        <v>2658</v>
      </c>
      <c r="C101" s="57" t="s">
        <v>4767</v>
      </c>
      <c r="D101" s="57">
        <v>1</v>
      </c>
      <c r="E101" s="57" t="s">
        <v>4768</v>
      </c>
      <c r="F101" s="57" t="s">
        <v>4768</v>
      </c>
      <c r="G101" s="57">
        <v>12.25</v>
      </c>
      <c r="H101" s="57">
        <v>3.95</v>
      </c>
      <c r="I101" s="57">
        <v>4.05</v>
      </c>
      <c r="J101" s="57">
        <v>4.05</v>
      </c>
      <c r="K101" s="57">
        <v>4.45</v>
      </c>
      <c r="L101" s="57">
        <v>4.05</v>
      </c>
      <c r="M101" s="57">
        <v>4.28</v>
      </c>
      <c r="N101" s="57">
        <v>4.3499999999999996</v>
      </c>
      <c r="O101" s="57">
        <v>0.3</v>
      </c>
      <c r="P101" s="57">
        <v>7.41</v>
      </c>
      <c r="Q101" s="58">
        <v>12668996</v>
      </c>
      <c r="R101" s="57">
        <v>542.23</v>
      </c>
      <c r="S101" s="59">
        <v>947948</v>
      </c>
      <c r="T101" s="57">
        <v>4.3</v>
      </c>
      <c r="U101" s="57">
        <v>4.3499999999999996</v>
      </c>
      <c r="V101" s="59">
        <v>386801</v>
      </c>
      <c r="W101" s="59">
        <v>726781</v>
      </c>
      <c r="X101" s="57">
        <v>4.25</v>
      </c>
      <c r="Y101" s="57">
        <v>4.4000000000000004</v>
      </c>
      <c r="Z101" s="59">
        <v>735516</v>
      </c>
      <c r="AA101" s="59">
        <v>1001606</v>
      </c>
      <c r="AB101" s="57">
        <v>4.2</v>
      </c>
      <c r="AC101" s="57">
        <v>4.45</v>
      </c>
      <c r="AD101" s="59">
        <v>372417</v>
      </c>
      <c r="AE101" s="59">
        <v>611745</v>
      </c>
      <c r="AF101" s="57">
        <v>4.1500000000000004</v>
      </c>
      <c r="AG101" s="57">
        <v>4.5</v>
      </c>
      <c r="AH101" s="59">
        <v>393902</v>
      </c>
      <c r="AI101" s="59">
        <v>546013</v>
      </c>
      <c r="AJ101" s="57">
        <v>4.0999999999999996</v>
      </c>
      <c r="AK101" s="57">
        <v>4.55</v>
      </c>
      <c r="AL101" s="59">
        <v>181753</v>
      </c>
      <c r="AM101" s="59">
        <v>6057748</v>
      </c>
      <c r="AN101" s="59">
        <v>3959251</v>
      </c>
      <c r="AO101" s="60">
        <v>43304</v>
      </c>
      <c r="AP101" s="57" t="s">
        <v>4876</v>
      </c>
      <c r="AQ101" s="77" t="s">
        <v>4769</v>
      </c>
      <c r="AR101" s="76"/>
    </row>
    <row r="102" spans="1:44" ht="40.799999999999997" x14ac:dyDescent="0.3">
      <c r="A102" s="56" t="s">
        <v>4815</v>
      </c>
      <c r="B102" s="57" t="s">
        <v>2658</v>
      </c>
      <c r="C102" s="57" t="s">
        <v>4767</v>
      </c>
      <c r="D102" s="57">
        <v>1</v>
      </c>
      <c r="E102" s="57" t="s">
        <v>4768</v>
      </c>
      <c r="F102" s="57" t="s">
        <v>4768</v>
      </c>
      <c r="G102" s="57">
        <v>12.25</v>
      </c>
      <c r="H102" s="57">
        <v>3.95</v>
      </c>
      <c r="I102" s="57">
        <v>4.05</v>
      </c>
      <c r="J102" s="57">
        <v>4.05</v>
      </c>
      <c r="K102" s="57">
        <v>4.45</v>
      </c>
      <c r="L102" s="57">
        <v>4.05</v>
      </c>
      <c r="M102" s="57">
        <v>4.29</v>
      </c>
      <c r="N102" s="57">
        <v>4.3499999999999996</v>
      </c>
      <c r="O102" s="57">
        <v>0.3</v>
      </c>
      <c r="P102" s="57">
        <v>7.41</v>
      </c>
      <c r="Q102" s="58">
        <v>12755684</v>
      </c>
      <c r="R102" s="57">
        <v>547.22</v>
      </c>
      <c r="S102" s="59">
        <v>998265</v>
      </c>
      <c r="T102" s="57">
        <v>4.3</v>
      </c>
      <c r="U102" s="57">
        <v>4.3499999999999996</v>
      </c>
      <c r="V102" s="59">
        <v>213646</v>
      </c>
      <c r="W102" s="59">
        <v>726781</v>
      </c>
      <c r="X102" s="57">
        <v>4.25</v>
      </c>
      <c r="Y102" s="57">
        <v>4.4000000000000004</v>
      </c>
      <c r="Z102" s="59">
        <v>735483</v>
      </c>
      <c r="AA102" s="59">
        <v>1001606</v>
      </c>
      <c r="AB102" s="57">
        <v>4.2</v>
      </c>
      <c r="AC102" s="57">
        <v>4.45</v>
      </c>
      <c r="AD102" s="59">
        <v>372417</v>
      </c>
      <c r="AE102" s="59">
        <v>611745</v>
      </c>
      <c r="AF102" s="57">
        <v>4.1500000000000004</v>
      </c>
      <c r="AG102" s="57">
        <v>4.5</v>
      </c>
      <c r="AH102" s="59">
        <v>393902</v>
      </c>
      <c r="AI102" s="59">
        <v>546013</v>
      </c>
      <c r="AJ102" s="57">
        <v>4.0999999999999996</v>
      </c>
      <c r="AK102" s="57">
        <v>4.55</v>
      </c>
      <c r="AL102" s="59">
        <v>181753</v>
      </c>
      <c r="AM102" s="59">
        <v>6108065</v>
      </c>
      <c r="AN102" s="59">
        <v>3786063</v>
      </c>
      <c r="AO102" s="60">
        <v>43304</v>
      </c>
      <c r="AP102" s="57" t="s">
        <v>4877</v>
      </c>
      <c r="AQ102" s="77" t="s">
        <v>4769</v>
      </c>
      <c r="AR102" s="76"/>
    </row>
    <row r="103" spans="1:44" ht="40.799999999999997" x14ac:dyDescent="0.3">
      <c r="A103" s="56" t="s">
        <v>4815</v>
      </c>
      <c r="B103" s="57" t="s">
        <v>2658</v>
      </c>
      <c r="C103" s="57" t="s">
        <v>4767</v>
      </c>
      <c r="D103" s="57">
        <v>1</v>
      </c>
      <c r="E103" s="57" t="s">
        <v>4768</v>
      </c>
      <c r="F103" s="57" t="s">
        <v>4768</v>
      </c>
      <c r="G103" s="57">
        <v>12.25</v>
      </c>
      <c r="H103" s="57">
        <v>3.95</v>
      </c>
      <c r="I103" s="57">
        <v>4.05</v>
      </c>
      <c r="J103" s="57">
        <v>4.05</v>
      </c>
      <c r="K103" s="57">
        <v>4.45</v>
      </c>
      <c r="L103" s="57">
        <v>4.05</v>
      </c>
      <c r="M103" s="57">
        <v>4.29</v>
      </c>
      <c r="N103" s="57">
        <v>4.3499999999999996</v>
      </c>
      <c r="O103" s="57">
        <v>0.3</v>
      </c>
      <c r="P103" s="57">
        <v>7.41</v>
      </c>
      <c r="Q103" s="58">
        <v>12757354</v>
      </c>
      <c r="R103" s="57">
        <v>547.29</v>
      </c>
      <c r="S103" s="59">
        <v>223716</v>
      </c>
      <c r="T103" s="57">
        <v>4.3</v>
      </c>
      <c r="U103" s="57" t="s">
        <v>4768</v>
      </c>
      <c r="V103" s="59" t="s">
        <v>4768</v>
      </c>
      <c r="W103" s="59" t="s">
        <v>4768</v>
      </c>
      <c r="X103" s="57" t="s">
        <v>4768</v>
      </c>
      <c r="Y103" s="57" t="s">
        <v>4768</v>
      </c>
      <c r="Z103" s="59" t="s">
        <v>4768</v>
      </c>
      <c r="AA103" s="59" t="s">
        <v>4768</v>
      </c>
      <c r="AB103" s="57" t="s">
        <v>4768</v>
      </c>
      <c r="AC103" s="57" t="s">
        <v>4768</v>
      </c>
      <c r="AD103" s="59" t="s">
        <v>4768</v>
      </c>
      <c r="AE103" s="59" t="s">
        <v>4768</v>
      </c>
      <c r="AF103" s="57" t="s">
        <v>4768</v>
      </c>
      <c r="AG103" s="57" t="s">
        <v>4768</v>
      </c>
      <c r="AH103" s="59" t="s">
        <v>4768</v>
      </c>
      <c r="AI103" s="59" t="s">
        <v>4768</v>
      </c>
      <c r="AJ103" s="57" t="s">
        <v>4768</v>
      </c>
      <c r="AK103" s="57" t="s">
        <v>4768</v>
      </c>
      <c r="AL103" s="59" t="s">
        <v>4768</v>
      </c>
      <c r="AM103" s="59">
        <v>223716</v>
      </c>
      <c r="AN103" s="59" t="s">
        <v>4768</v>
      </c>
      <c r="AO103" s="60">
        <v>43304</v>
      </c>
      <c r="AP103" s="57" t="s">
        <v>4878</v>
      </c>
      <c r="AQ103" s="77" t="s">
        <v>4769</v>
      </c>
      <c r="AR103" s="76"/>
    </row>
    <row r="104" spans="1:44" ht="40.799999999999997" x14ac:dyDescent="0.3">
      <c r="A104" s="56" t="s">
        <v>4815</v>
      </c>
      <c r="B104" s="57" t="s">
        <v>2658</v>
      </c>
      <c r="C104" s="57" t="s">
        <v>4767</v>
      </c>
      <c r="D104" s="57">
        <v>1</v>
      </c>
      <c r="E104" s="57" t="s">
        <v>4768</v>
      </c>
      <c r="F104" s="57" t="s">
        <v>4768</v>
      </c>
      <c r="G104" s="57">
        <v>12.25</v>
      </c>
      <c r="H104" s="57">
        <v>3.95</v>
      </c>
      <c r="I104" s="57">
        <v>4.05</v>
      </c>
      <c r="J104" s="57">
        <v>4.05</v>
      </c>
      <c r="K104" s="57">
        <v>4.45</v>
      </c>
      <c r="L104" s="57">
        <v>4.05</v>
      </c>
      <c r="M104" s="57">
        <v>4.29</v>
      </c>
      <c r="N104" s="57">
        <v>4.3499999999999996</v>
      </c>
      <c r="O104" s="57">
        <v>0.3</v>
      </c>
      <c r="P104" s="57">
        <v>7.41</v>
      </c>
      <c r="Q104" s="58">
        <v>12757354</v>
      </c>
      <c r="R104" s="57">
        <v>547.29</v>
      </c>
      <c r="S104" s="59">
        <v>223716</v>
      </c>
      <c r="T104" s="57">
        <v>4.3</v>
      </c>
      <c r="U104" s="57" t="s">
        <v>4768</v>
      </c>
      <c r="V104" s="59" t="s">
        <v>4768</v>
      </c>
      <c r="W104" s="59" t="s">
        <v>4768</v>
      </c>
      <c r="X104" s="57" t="s">
        <v>4768</v>
      </c>
      <c r="Y104" s="57" t="s">
        <v>4768</v>
      </c>
      <c r="Z104" s="59" t="s">
        <v>4768</v>
      </c>
      <c r="AA104" s="59" t="s">
        <v>4768</v>
      </c>
      <c r="AB104" s="57" t="s">
        <v>4768</v>
      </c>
      <c r="AC104" s="57" t="s">
        <v>4768</v>
      </c>
      <c r="AD104" s="59" t="s">
        <v>4768</v>
      </c>
      <c r="AE104" s="59" t="s">
        <v>4768</v>
      </c>
      <c r="AF104" s="57" t="s">
        <v>4768</v>
      </c>
      <c r="AG104" s="57" t="s">
        <v>4768</v>
      </c>
      <c r="AH104" s="59" t="s">
        <v>4768</v>
      </c>
      <c r="AI104" s="59" t="s">
        <v>4768</v>
      </c>
      <c r="AJ104" s="57" t="s">
        <v>4768</v>
      </c>
      <c r="AK104" s="57" t="s">
        <v>4768</v>
      </c>
      <c r="AL104" s="59" t="s">
        <v>4768</v>
      </c>
      <c r="AM104" s="59">
        <v>223716</v>
      </c>
      <c r="AN104" s="59" t="s">
        <v>4768</v>
      </c>
      <c r="AO104" s="60">
        <v>43304</v>
      </c>
      <c r="AP104" s="57" t="s">
        <v>4878</v>
      </c>
      <c r="AQ104" s="77" t="s">
        <v>4769</v>
      </c>
      <c r="AR104" s="76"/>
    </row>
    <row r="105" spans="1:44" ht="40.799999999999997" x14ac:dyDescent="0.3">
      <c r="A105" s="56" t="s">
        <v>4815</v>
      </c>
      <c r="B105" s="57" t="s">
        <v>2658</v>
      </c>
      <c r="C105" s="57" t="s">
        <v>4767</v>
      </c>
      <c r="D105" s="57">
        <v>1</v>
      </c>
      <c r="E105" s="57" t="s">
        <v>4768</v>
      </c>
      <c r="F105" s="57" t="s">
        <v>4768</v>
      </c>
      <c r="G105" s="57">
        <v>12.25</v>
      </c>
      <c r="H105" s="57">
        <v>3.95</v>
      </c>
      <c r="I105" s="57">
        <v>4.05</v>
      </c>
      <c r="J105" s="57">
        <v>4.05</v>
      </c>
      <c r="K105" s="57">
        <v>4.45</v>
      </c>
      <c r="L105" s="57">
        <v>4.05</v>
      </c>
      <c r="M105" s="57">
        <v>4.29</v>
      </c>
      <c r="N105" s="57">
        <v>4.3499999999999996</v>
      </c>
      <c r="O105" s="57">
        <v>0.3</v>
      </c>
      <c r="P105" s="57">
        <v>7.41</v>
      </c>
      <c r="Q105" s="58">
        <v>12757354</v>
      </c>
      <c r="R105" s="57">
        <v>547.29</v>
      </c>
      <c r="S105" s="59">
        <v>223716</v>
      </c>
      <c r="T105" s="57">
        <v>4.3</v>
      </c>
      <c r="U105" s="57" t="s">
        <v>4768</v>
      </c>
      <c r="V105" s="59" t="s">
        <v>4768</v>
      </c>
      <c r="W105" s="59" t="s">
        <v>4768</v>
      </c>
      <c r="X105" s="57" t="s">
        <v>4768</v>
      </c>
      <c r="Y105" s="57" t="s">
        <v>4768</v>
      </c>
      <c r="Z105" s="59" t="s">
        <v>4768</v>
      </c>
      <c r="AA105" s="59" t="s">
        <v>4768</v>
      </c>
      <c r="AB105" s="57" t="s">
        <v>4768</v>
      </c>
      <c r="AC105" s="57" t="s">
        <v>4768</v>
      </c>
      <c r="AD105" s="59" t="s">
        <v>4768</v>
      </c>
      <c r="AE105" s="59" t="s">
        <v>4768</v>
      </c>
      <c r="AF105" s="57" t="s">
        <v>4768</v>
      </c>
      <c r="AG105" s="57" t="s">
        <v>4768</v>
      </c>
      <c r="AH105" s="59" t="s">
        <v>4768</v>
      </c>
      <c r="AI105" s="59" t="s">
        <v>4768</v>
      </c>
      <c r="AJ105" s="57" t="s">
        <v>4768</v>
      </c>
      <c r="AK105" s="57" t="s">
        <v>4768</v>
      </c>
      <c r="AL105" s="59" t="s">
        <v>4768</v>
      </c>
      <c r="AM105" s="59">
        <v>223716</v>
      </c>
      <c r="AN105" s="59" t="s">
        <v>4768</v>
      </c>
      <c r="AO105" s="60">
        <v>43304</v>
      </c>
      <c r="AP105" s="57" t="s">
        <v>4878</v>
      </c>
      <c r="AQ105" s="77" t="s">
        <v>4769</v>
      </c>
      <c r="AR105" s="76"/>
    </row>
    <row r="106" spans="1:44" ht="40.799999999999997" x14ac:dyDescent="0.3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8"/>
      <c r="R106" s="57"/>
      <c r="S106" s="59"/>
      <c r="T106" s="57"/>
      <c r="U106" s="57"/>
      <c r="V106" s="59"/>
      <c r="W106" s="59"/>
      <c r="X106" s="57"/>
      <c r="Y106" s="57"/>
      <c r="Z106" s="59"/>
      <c r="AA106" s="59"/>
      <c r="AB106" s="57"/>
      <c r="AC106" s="57"/>
      <c r="AD106" s="59"/>
      <c r="AE106" s="59"/>
      <c r="AF106" s="57"/>
      <c r="AG106" s="57"/>
      <c r="AH106" s="59"/>
      <c r="AI106" s="59"/>
      <c r="AJ106" s="57"/>
      <c r="AK106" s="57"/>
      <c r="AL106" s="59"/>
      <c r="AM106" s="59"/>
      <c r="AN106" s="59"/>
      <c r="AO106" s="60"/>
      <c r="AP106" s="57"/>
      <c r="AQ106" s="77"/>
      <c r="AR106" s="76"/>
    </row>
    <row r="107" spans="1:44" ht="40.799999999999997" x14ac:dyDescent="0.3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8"/>
      <c r="R107" s="57"/>
      <c r="S107" s="59"/>
      <c r="T107" s="57"/>
      <c r="U107" s="57"/>
      <c r="V107" s="59"/>
      <c r="W107" s="59"/>
      <c r="X107" s="57"/>
      <c r="Y107" s="57"/>
      <c r="Z107" s="59"/>
      <c r="AA107" s="59"/>
      <c r="AB107" s="57"/>
      <c r="AC107" s="57"/>
      <c r="AD107" s="59"/>
      <c r="AE107" s="59"/>
      <c r="AF107" s="57"/>
      <c r="AG107" s="57"/>
      <c r="AH107" s="59"/>
      <c r="AI107" s="59"/>
      <c r="AJ107" s="57"/>
      <c r="AK107" s="57"/>
      <c r="AL107" s="59"/>
      <c r="AM107" s="59"/>
      <c r="AN107" s="59"/>
      <c r="AO107" s="60"/>
      <c r="AP107" s="57"/>
      <c r="AQ107" s="77"/>
      <c r="AR107" s="76"/>
    </row>
    <row r="108" spans="1:44" ht="40.799999999999997" x14ac:dyDescent="0.3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8"/>
      <c r="R108" s="57"/>
      <c r="S108" s="59"/>
      <c r="T108" s="57"/>
      <c r="U108" s="57"/>
      <c r="V108" s="59"/>
      <c r="W108" s="59"/>
      <c r="X108" s="57"/>
      <c r="Y108" s="57"/>
      <c r="Z108" s="59"/>
      <c r="AA108" s="59"/>
      <c r="AB108" s="57"/>
      <c r="AC108" s="57"/>
      <c r="AD108" s="59"/>
      <c r="AE108" s="59"/>
      <c r="AF108" s="57"/>
      <c r="AG108" s="57"/>
      <c r="AH108" s="59"/>
      <c r="AI108" s="59"/>
      <c r="AJ108" s="57"/>
      <c r="AK108" s="57"/>
      <c r="AL108" s="59"/>
      <c r="AM108" s="59"/>
      <c r="AN108" s="59"/>
      <c r="AO108" s="60"/>
      <c r="AP108" s="57"/>
      <c r="AQ108" s="77"/>
      <c r="AR108" s="76"/>
    </row>
    <row r="109" spans="1:44" ht="40.799999999999997" x14ac:dyDescent="0.3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8"/>
      <c r="R109" s="57"/>
      <c r="S109" s="59"/>
      <c r="T109" s="57"/>
      <c r="U109" s="57"/>
      <c r="V109" s="59"/>
      <c r="W109" s="59"/>
      <c r="X109" s="57"/>
      <c r="Y109" s="57"/>
      <c r="Z109" s="59"/>
      <c r="AA109" s="59"/>
      <c r="AB109" s="57"/>
      <c r="AC109" s="57"/>
      <c r="AD109" s="59"/>
      <c r="AE109" s="59"/>
      <c r="AF109" s="57"/>
      <c r="AG109" s="57"/>
      <c r="AH109" s="59"/>
      <c r="AI109" s="59"/>
      <c r="AJ109" s="57"/>
      <c r="AK109" s="57"/>
      <c r="AL109" s="59"/>
      <c r="AM109" s="59"/>
      <c r="AN109" s="59"/>
      <c r="AO109" s="60"/>
      <c r="AP109" s="57"/>
      <c r="AQ109" s="77"/>
      <c r="AR109" s="76"/>
    </row>
    <row r="110" spans="1:44" ht="40.799999999999997" x14ac:dyDescent="0.3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8"/>
      <c r="R110" s="57"/>
      <c r="S110" s="59"/>
      <c r="T110" s="57"/>
      <c r="U110" s="57"/>
      <c r="V110" s="59"/>
      <c r="W110" s="59"/>
      <c r="X110" s="57"/>
      <c r="Y110" s="57"/>
      <c r="Z110" s="59"/>
      <c r="AA110" s="59"/>
      <c r="AB110" s="57"/>
      <c r="AC110" s="57"/>
      <c r="AD110" s="59"/>
      <c r="AE110" s="59"/>
      <c r="AF110" s="57"/>
      <c r="AG110" s="57"/>
      <c r="AH110" s="59"/>
      <c r="AI110" s="59"/>
      <c r="AJ110" s="57"/>
      <c r="AK110" s="57"/>
      <c r="AL110" s="59"/>
      <c r="AM110" s="59"/>
      <c r="AN110" s="59"/>
      <c r="AO110" s="60"/>
      <c r="AP110" s="57"/>
      <c r="AQ110" s="77"/>
      <c r="AR110" s="76"/>
    </row>
    <row r="111" spans="1:44" ht="40.799999999999997" x14ac:dyDescent="0.3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8"/>
      <c r="R111" s="57"/>
      <c r="S111" s="59"/>
      <c r="T111" s="57"/>
      <c r="U111" s="57"/>
      <c r="V111" s="59"/>
      <c r="W111" s="59"/>
      <c r="X111" s="57"/>
      <c r="Y111" s="57"/>
      <c r="Z111" s="59"/>
      <c r="AA111" s="59"/>
      <c r="AB111" s="57"/>
      <c r="AC111" s="57"/>
      <c r="AD111" s="59"/>
      <c r="AE111" s="59"/>
      <c r="AF111" s="57"/>
      <c r="AG111" s="57"/>
      <c r="AH111" s="59"/>
      <c r="AI111" s="59"/>
      <c r="AJ111" s="57"/>
      <c r="AK111" s="57"/>
      <c r="AL111" s="59"/>
      <c r="AM111" s="59"/>
      <c r="AN111" s="59"/>
      <c r="AO111" s="60"/>
      <c r="AP111" s="57"/>
      <c r="AQ111" s="77"/>
      <c r="AR111" s="76"/>
    </row>
    <row r="112" spans="1:44" ht="40.799999999999997" x14ac:dyDescent="0.3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8"/>
      <c r="R112" s="57"/>
      <c r="S112" s="59"/>
      <c r="T112" s="57"/>
      <c r="U112" s="57"/>
      <c r="V112" s="59"/>
      <c r="W112" s="59"/>
      <c r="X112" s="57"/>
      <c r="Y112" s="57"/>
      <c r="Z112" s="59"/>
      <c r="AA112" s="59"/>
      <c r="AB112" s="57"/>
      <c r="AC112" s="57"/>
      <c r="AD112" s="59"/>
      <c r="AE112" s="59"/>
      <c r="AF112" s="57"/>
      <c r="AG112" s="57"/>
      <c r="AH112" s="59"/>
      <c r="AI112" s="59"/>
      <c r="AJ112" s="57"/>
      <c r="AK112" s="57"/>
      <c r="AL112" s="59"/>
      <c r="AM112" s="59"/>
      <c r="AN112" s="59"/>
      <c r="AO112" s="60"/>
      <c r="AP112" s="57"/>
      <c r="AQ112" s="77"/>
      <c r="AR112" s="76"/>
    </row>
    <row r="113" spans="1:44" ht="40.799999999999997" x14ac:dyDescent="0.3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8"/>
      <c r="R113" s="57"/>
      <c r="S113" s="59"/>
      <c r="T113" s="57"/>
      <c r="U113" s="57"/>
      <c r="V113" s="59"/>
      <c r="W113" s="59"/>
      <c r="X113" s="57"/>
      <c r="Y113" s="57"/>
      <c r="Z113" s="59"/>
      <c r="AA113" s="59"/>
      <c r="AB113" s="57"/>
      <c r="AC113" s="57"/>
      <c r="AD113" s="59"/>
      <c r="AE113" s="59"/>
      <c r="AF113" s="57"/>
      <c r="AG113" s="57"/>
      <c r="AH113" s="59"/>
      <c r="AI113" s="59"/>
      <c r="AJ113" s="57"/>
      <c r="AK113" s="57"/>
      <c r="AL113" s="59"/>
      <c r="AM113" s="59"/>
      <c r="AN113" s="59"/>
      <c r="AO113" s="60"/>
      <c r="AP113" s="57"/>
      <c r="AQ113" s="77"/>
      <c r="AR113" s="76"/>
    </row>
    <row r="114" spans="1:44" ht="40.799999999999997" x14ac:dyDescent="0.3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8"/>
      <c r="R114" s="57"/>
      <c r="S114" s="59"/>
      <c r="T114" s="57"/>
      <c r="U114" s="57"/>
      <c r="V114" s="59"/>
      <c r="W114" s="59"/>
      <c r="X114" s="57"/>
      <c r="Y114" s="57"/>
      <c r="Z114" s="59"/>
      <c r="AA114" s="59"/>
      <c r="AB114" s="57"/>
      <c r="AC114" s="57"/>
      <c r="AD114" s="59"/>
      <c r="AE114" s="59"/>
      <c r="AF114" s="57"/>
      <c r="AG114" s="57"/>
      <c r="AH114" s="59"/>
      <c r="AI114" s="59"/>
      <c r="AJ114" s="57"/>
      <c r="AK114" s="57"/>
      <c r="AL114" s="59"/>
      <c r="AM114" s="59"/>
      <c r="AN114" s="59"/>
      <c r="AO114" s="60"/>
      <c r="AP114" s="57"/>
      <c r="AQ114" s="77"/>
      <c r="AR114" s="76"/>
    </row>
    <row r="115" spans="1:44" ht="40.799999999999997" x14ac:dyDescent="0.3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8"/>
      <c r="R115" s="57"/>
      <c r="S115" s="59"/>
      <c r="T115" s="57"/>
      <c r="U115" s="57"/>
      <c r="V115" s="59"/>
      <c r="W115" s="59"/>
      <c r="X115" s="57"/>
      <c r="Y115" s="57"/>
      <c r="Z115" s="59"/>
      <c r="AA115" s="59"/>
      <c r="AB115" s="57"/>
      <c r="AC115" s="57"/>
      <c r="AD115" s="59"/>
      <c r="AE115" s="59"/>
      <c r="AF115" s="57"/>
      <c r="AG115" s="57"/>
      <c r="AH115" s="59"/>
      <c r="AI115" s="59"/>
      <c r="AJ115" s="57"/>
      <c r="AK115" s="57"/>
      <c r="AL115" s="59"/>
      <c r="AM115" s="59"/>
      <c r="AN115" s="59"/>
      <c r="AO115" s="60"/>
      <c r="AP115" s="57"/>
      <c r="AQ115" s="77"/>
      <c r="AR115" s="76"/>
    </row>
    <row r="116" spans="1:44" ht="40.799999999999997" x14ac:dyDescent="0.3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8"/>
      <c r="R116" s="57"/>
      <c r="S116" s="59"/>
      <c r="T116" s="57"/>
      <c r="U116" s="57"/>
      <c r="V116" s="59"/>
      <c r="W116" s="59"/>
      <c r="X116" s="57"/>
      <c r="Y116" s="57"/>
      <c r="Z116" s="59"/>
      <c r="AA116" s="59"/>
      <c r="AB116" s="57"/>
      <c r="AC116" s="57"/>
      <c r="AD116" s="59"/>
      <c r="AE116" s="59"/>
      <c r="AF116" s="57"/>
      <c r="AG116" s="57"/>
      <c r="AH116" s="59"/>
      <c r="AI116" s="59"/>
      <c r="AJ116" s="57"/>
      <c r="AK116" s="57"/>
      <c r="AL116" s="59"/>
      <c r="AM116" s="59"/>
      <c r="AN116" s="59"/>
      <c r="AO116" s="60"/>
      <c r="AP116" s="57"/>
      <c r="AQ116" s="77"/>
      <c r="AR116" s="76"/>
    </row>
    <row r="117" spans="1:44" ht="40.799999999999997" x14ac:dyDescent="0.3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8"/>
      <c r="R117" s="57"/>
      <c r="S117" s="59"/>
      <c r="T117" s="57"/>
      <c r="U117" s="57"/>
      <c r="V117" s="59"/>
      <c r="W117" s="59"/>
      <c r="X117" s="57"/>
      <c r="Y117" s="57"/>
      <c r="Z117" s="59"/>
      <c r="AA117" s="59"/>
      <c r="AB117" s="57"/>
      <c r="AC117" s="57"/>
      <c r="AD117" s="59"/>
      <c r="AE117" s="59"/>
      <c r="AF117" s="57"/>
      <c r="AG117" s="57"/>
      <c r="AH117" s="59"/>
      <c r="AI117" s="59"/>
      <c r="AJ117" s="57"/>
      <c r="AK117" s="57"/>
      <c r="AL117" s="59"/>
      <c r="AM117" s="59"/>
      <c r="AN117" s="59"/>
      <c r="AO117" s="60"/>
      <c r="AP117" s="57"/>
      <c r="AQ117" s="77"/>
      <c r="AR117" s="76"/>
    </row>
    <row r="118" spans="1:44" ht="40.799999999999997" x14ac:dyDescent="0.3">
      <c r="A118" s="56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8"/>
      <c r="R118" s="57"/>
      <c r="S118" s="59"/>
      <c r="T118" s="57"/>
      <c r="U118" s="57"/>
      <c r="V118" s="59"/>
      <c r="W118" s="59"/>
      <c r="X118" s="57"/>
      <c r="Y118" s="57"/>
      <c r="Z118" s="59"/>
      <c r="AA118" s="59"/>
      <c r="AB118" s="57"/>
      <c r="AC118" s="57"/>
      <c r="AD118" s="59"/>
      <c r="AE118" s="59"/>
      <c r="AF118" s="57"/>
      <c r="AG118" s="57"/>
      <c r="AH118" s="59"/>
      <c r="AI118" s="59"/>
      <c r="AJ118" s="57"/>
      <c r="AK118" s="57"/>
      <c r="AL118" s="59"/>
      <c r="AM118" s="59"/>
      <c r="AN118" s="59"/>
      <c r="AO118" s="60"/>
      <c r="AP118" s="57"/>
      <c r="AQ118" s="77"/>
      <c r="AR118" s="76"/>
    </row>
    <row r="119" spans="1:44" ht="40.799999999999997" x14ac:dyDescent="0.3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8"/>
      <c r="R119" s="57"/>
      <c r="S119" s="59"/>
      <c r="T119" s="57"/>
      <c r="U119" s="57"/>
      <c r="V119" s="59"/>
      <c r="W119" s="59"/>
      <c r="X119" s="57"/>
      <c r="Y119" s="57"/>
      <c r="Z119" s="59"/>
      <c r="AA119" s="59"/>
      <c r="AB119" s="57"/>
      <c r="AC119" s="57"/>
      <c r="AD119" s="59"/>
      <c r="AE119" s="59"/>
      <c r="AF119" s="57"/>
      <c r="AG119" s="57"/>
      <c r="AH119" s="59"/>
      <c r="AI119" s="59"/>
      <c r="AJ119" s="57"/>
      <c r="AK119" s="57"/>
      <c r="AL119" s="59"/>
      <c r="AM119" s="59"/>
      <c r="AN119" s="59"/>
      <c r="AO119" s="60"/>
      <c r="AP119" s="57"/>
      <c r="AQ119" s="77"/>
      <c r="AR119" s="76"/>
    </row>
    <row r="120" spans="1:44" ht="40.799999999999997" x14ac:dyDescent="0.3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8"/>
      <c r="R120" s="57"/>
      <c r="S120" s="59"/>
      <c r="T120" s="57"/>
      <c r="U120" s="57"/>
      <c r="V120" s="59"/>
      <c r="W120" s="59"/>
      <c r="X120" s="57"/>
      <c r="Y120" s="57"/>
      <c r="Z120" s="59"/>
      <c r="AA120" s="59"/>
      <c r="AB120" s="57"/>
      <c r="AC120" s="57"/>
      <c r="AD120" s="59"/>
      <c r="AE120" s="59"/>
      <c r="AF120" s="57"/>
      <c r="AG120" s="57"/>
      <c r="AH120" s="59"/>
      <c r="AI120" s="59"/>
      <c r="AJ120" s="57"/>
      <c r="AK120" s="57"/>
      <c r="AL120" s="59"/>
      <c r="AM120" s="59"/>
      <c r="AN120" s="59"/>
      <c r="AO120" s="60"/>
      <c r="AP120" s="57"/>
      <c r="AQ120" s="77"/>
      <c r="AR120" s="76"/>
    </row>
    <row r="121" spans="1:44" ht="40.799999999999997" x14ac:dyDescent="0.3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8"/>
      <c r="R121" s="57"/>
      <c r="S121" s="59"/>
      <c r="T121" s="57"/>
      <c r="U121" s="57"/>
      <c r="V121" s="59"/>
      <c r="W121" s="59"/>
      <c r="X121" s="57"/>
      <c r="Y121" s="57"/>
      <c r="Z121" s="59"/>
      <c r="AA121" s="59"/>
      <c r="AB121" s="57"/>
      <c r="AC121" s="57"/>
      <c r="AD121" s="59"/>
      <c r="AE121" s="59"/>
      <c r="AF121" s="57"/>
      <c r="AG121" s="57"/>
      <c r="AH121" s="59"/>
      <c r="AI121" s="59"/>
      <c r="AJ121" s="57"/>
      <c r="AK121" s="57"/>
      <c r="AL121" s="59"/>
      <c r="AM121" s="59"/>
      <c r="AN121" s="59"/>
      <c r="AO121" s="60"/>
      <c r="AP121" s="57"/>
      <c r="AQ121" s="77"/>
      <c r="AR121" s="76"/>
    </row>
    <row r="122" spans="1:44" ht="40.799999999999997" x14ac:dyDescent="0.3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8"/>
      <c r="R122" s="57"/>
      <c r="S122" s="59"/>
      <c r="T122" s="57"/>
      <c r="U122" s="57"/>
      <c r="V122" s="59"/>
      <c r="W122" s="59"/>
      <c r="X122" s="57"/>
      <c r="Y122" s="57"/>
      <c r="Z122" s="59"/>
      <c r="AA122" s="59"/>
      <c r="AB122" s="57"/>
      <c r="AC122" s="57"/>
      <c r="AD122" s="59"/>
      <c r="AE122" s="59"/>
      <c r="AF122" s="57"/>
      <c r="AG122" s="57"/>
      <c r="AH122" s="59"/>
      <c r="AI122" s="59"/>
      <c r="AJ122" s="57"/>
      <c r="AK122" s="57"/>
      <c r="AL122" s="59"/>
      <c r="AM122" s="59"/>
      <c r="AN122" s="59"/>
      <c r="AO122" s="60"/>
      <c r="AP122" s="57"/>
      <c r="AQ122" s="77"/>
      <c r="AR122" s="76"/>
    </row>
    <row r="123" spans="1:44" ht="40.799999999999997" x14ac:dyDescent="0.3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8"/>
      <c r="R123" s="57"/>
      <c r="S123" s="59"/>
      <c r="T123" s="57"/>
      <c r="U123" s="57"/>
      <c r="V123" s="59"/>
      <c r="W123" s="59"/>
      <c r="X123" s="57"/>
      <c r="Y123" s="57"/>
      <c r="Z123" s="59"/>
      <c r="AA123" s="59"/>
      <c r="AB123" s="57"/>
      <c r="AC123" s="57"/>
      <c r="AD123" s="59"/>
      <c r="AE123" s="59"/>
      <c r="AF123" s="57"/>
      <c r="AG123" s="57"/>
      <c r="AH123" s="59"/>
      <c r="AI123" s="59"/>
      <c r="AJ123" s="57"/>
      <c r="AK123" s="57"/>
      <c r="AL123" s="59"/>
      <c r="AM123" s="59"/>
      <c r="AN123" s="59"/>
      <c r="AO123" s="60"/>
      <c r="AP123" s="57"/>
      <c r="AQ123" s="77"/>
      <c r="AR123" s="76"/>
    </row>
    <row r="124" spans="1:44" ht="40.799999999999997" x14ac:dyDescent="0.3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9"/>
      <c r="T124" s="57"/>
      <c r="U124" s="57"/>
      <c r="V124" s="59"/>
      <c r="W124" s="59"/>
      <c r="X124" s="57"/>
      <c r="Y124" s="57"/>
      <c r="Z124" s="59"/>
      <c r="AA124" s="59"/>
      <c r="AB124" s="57"/>
      <c r="AC124" s="57"/>
      <c r="AD124" s="59"/>
      <c r="AE124" s="59"/>
      <c r="AF124" s="57"/>
      <c r="AG124" s="57"/>
      <c r="AH124" s="59"/>
      <c r="AI124" s="59"/>
      <c r="AJ124" s="57"/>
      <c r="AK124" s="57"/>
      <c r="AL124" s="59"/>
      <c r="AM124" s="59"/>
      <c r="AN124" s="59"/>
      <c r="AO124" s="60"/>
      <c r="AP124" s="57"/>
      <c r="AQ124" s="77"/>
      <c r="AR124" s="76"/>
    </row>
    <row r="125" spans="1:44" ht="40.799999999999997" x14ac:dyDescent="0.3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8"/>
      <c r="R125" s="57"/>
      <c r="S125" s="59"/>
      <c r="T125" s="57"/>
      <c r="U125" s="57"/>
      <c r="V125" s="59"/>
      <c r="W125" s="59"/>
      <c r="X125" s="57"/>
      <c r="Y125" s="57"/>
      <c r="Z125" s="59"/>
      <c r="AA125" s="59"/>
      <c r="AB125" s="57"/>
      <c r="AC125" s="57"/>
      <c r="AD125" s="59"/>
      <c r="AE125" s="59"/>
      <c r="AF125" s="57"/>
      <c r="AG125" s="57"/>
      <c r="AH125" s="59"/>
      <c r="AI125" s="59"/>
      <c r="AJ125" s="57"/>
      <c r="AK125" s="57"/>
      <c r="AL125" s="59"/>
      <c r="AM125" s="59"/>
      <c r="AN125" s="59"/>
      <c r="AO125" s="60"/>
      <c r="AP125" s="57"/>
      <c r="AQ125" s="77"/>
      <c r="AR125" s="76"/>
    </row>
    <row r="126" spans="1:44" ht="40.799999999999997" x14ac:dyDescent="0.3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8"/>
      <c r="R126" s="57"/>
      <c r="S126" s="59"/>
      <c r="T126" s="57"/>
      <c r="U126" s="57"/>
      <c r="V126" s="59"/>
      <c r="W126" s="59"/>
      <c r="X126" s="57"/>
      <c r="Y126" s="57"/>
      <c r="Z126" s="59"/>
      <c r="AA126" s="59"/>
      <c r="AB126" s="57"/>
      <c r="AC126" s="57"/>
      <c r="AD126" s="59"/>
      <c r="AE126" s="59"/>
      <c r="AF126" s="57"/>
      <c r="AG126" s="57"/>
      <c r="AH126" s="59"/>
      <c r="AI126" s="59"/>
      <c r="AJ126" s="57"/>
      <c r="AK126" s="57"/>
      <c r="AL126" s="59"/>
      <c r="AM126" s="59"/>
      <c r="AN126" s="59"/>
      <c r="AO126" s="60"/>
      <c r="AP126" s="57"/>
      <c r="AQ126" s="77"/>
      <c r="AR126" s="76"/>
    </row>
    <row r="127" spans="1:44" ht="40.799999999999997" x14ac:dyDescent="0.3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8"/>
      <c r="R127" s="57"/>
      <c r="S127" s="59"/>
      <c r="T127" s="57"/>
      <c r="U127" s="57"/>
      <c r="V127" s="59"/>
      <c r="W127" s="59"/>
      <c r="X127" s="57"/>
      <c r="Y127" s="57"/>
      <c r="Z127" s="59"/>
      <c r="AA127" s="59"/>
      <c r="AB127" s="57"/>
      <c r="AC127" s="57"/>
      <c r="AD127" s="59"/>
      <c r="AE127" s="59"/>
      <c r="AF127" s="57"/>
      <c r="AG127" s="57"/>
      <c r="AH127" s="59"/>
      <c r="AI127" s="59"/>
      <c r="AJ127" s="57"/>
      <c r="AK127" s="57"/>
      <c r="AL127" s="59"/>
      <c r="AM127" s="59"/>
      <c r="AN127" s="59"/>
      <c r="AO127" s="60"/>
      <c r="AP127" s="57"/>
      <c r="AQ127" s="77"/>
      <c r="AR127" s="76"/>
    </row>
    <row r="128" spans="1:44" ht="40.799999999999997" x14ac:dyDescent="0.3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8"/>
      <c r="R128" s="57"/>
      <c r="S128" s="59"/>
      <c r="T128" s="57"/>
      <c r="U128" s="57"/>
      <c r="V128" s="59"/>
      <c r="W128" s="59"/>
      <c r="X128" s="57"/>
      <c r="Y128" s="57"/>
      <c r="Z128" s="59"/>
      <c r="AA128" s="59"/>
      <c r="AB128" s="57"/>
      <c r="AC128" s="57"/>
      <c r="AD128" s="59"/>
      <c r="AE128" s="59"/>
      <c r="AF128" s="57"/>
      <c r="AG128" s="57"/>
      <c r="AH128" s="59"/>
      <c r="AI128" s="59"/>
      <c r="AJ128" s="57"/>
      <c r="AK128" s="57"/>
      <c r="AL128" s="59"/>
      <c r="AM128" s="59"/>
      <c r="AN128" s="59"/>
      <c r="AO128" s="60"/>
      <c r="AP128" s="57"/>
      <c r="AQ128" s="77"/>
      <c r="AR128" s="76"/>
    </row>
    <row r="129" spans="1:44" ht="40.799999999999997" x14ac:dyDescent="0.3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8"/>
      <c r="R129" s="57"/>
      <c r="S129" s="59"/>
      <c r="T129" s="57"/>
      <c r="U129" s="57"/>
      <c r="V129" s="59"/>
      <c r="W129" s="59"/>
      <c r="X129" s="57"/>
      <c r="Y129" s="57"/>
      <c r="Z129" s="59"/>
      <c r="AA129" s="59"/>
      <c r="AB129" s="57"/>
      <c r="AC129" s="57"/>
      <c r="AD129" s="59"/>
      <c r="AE129" s="59"/>
      <c r="AF129" s="57"/>
      <c r="AG129" s="57"/>
      <c r="AH129" s="59"/>
      <c r="AI129" s="59"/>
      <c r="AJ129" s="57"/>
      <c r="AK129" s="57"/>
      <c r="AL129" s="59"/>
      <c r="AM129" s="59"/>
      <c r="AN129" s="59"/>
      <c r="AO129" s="60"/>
      <c r="AP129" s="57"/>
      <c r="AQ129" s="77"/>
      <c r="AR129" s="76"/>
    </row>
    <row r="130" spans="1:44" ht="40.799999999999997" x14ac:dyDescent="0.3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8"/>
      <c r="R130" s="57"/>
      <c r="S130" s="59"/>
      <c r="T130" s="57"/>
      <c r="U130" s="57"/>
      <c r="V130" s="59"/>
      <c r="W130" s="59"/>
      <c r="X130" s="57"/>
      <c r="Y130" s="57"/>
      <c r="Z130" s="59"/>
      <c r="AA130" s="59"/>
      <c r="AB130" s="57"/>
      <c r="AC130" s="57"/>
      <c r="AD130" s="59"/>
      <c r="AE130" s="59"/>
      <c r="AF130" s="57"/>
      <c r="AG130" s="57"/>
      <c r="AH130" s="59"/>
      <c r="AI130" s="59"/>
      <c r="AJ130" s="57"/>
      <c r="AK130" s="57"/>
      <c r="AL130" s="59"/>
      <c r="AM130" s="59"/>
      <c r="AN130" s="59"/>
      <c r="AO130" s="60"/>
      <c r="AP130" s="57"/>
      <c r="AQ130" s="77"/>
      <c r="AR130" s="76"/>
    </row>
    <row r="131" spans="1:44" ht="40.799999999999997" x14ac:dyDescent="0.3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8"/>
      <c r="R131" s="57"/>
      <c r="S131" s="59"/>
      <c r="T131" s="57"/>
      <c r="U131" s="57"/>
      <c r="V131" s="59"/>
      <c r="W131" s="59"/>
      <c r="X131" s="57"/>
      <c r="Y131" s="57"/>
      <c r="Z131" s="59"/>
      <c r="AA131" s="59"/>
      <c r="AB131" s="57"/>
      <c r="AC131" s="57"/>
      <c r="AD131" s="59"/>
      <c r="AE131" s="59"/>
      <c r="AF131" s="57"/>
      <c r="AG131" s="57"/>
      <c r="AH131" s="59"/>
      <c r="AI131" s="59"/>
      <c r="AJ131" s="57"/>
      <c r="AK131" s="57"/>
      <c r="AL131" s="59"/>
      <c r="AM131" s="59"/>
      <c r="AN131" s="59"/>
      <c r="AO131" s="60"/>
      <c r="AP131" s="57"/>
      <c r="AQ131" s="77"/>
      <c r="AR131" s="76"/>
    </row>
    <row r="132" spans="1:44" ht="40.799999999999997" x14ac:dyDescent="0.3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8"/>
      <c r="R132" s="57"/>
      <c r="S132" s="59"/>
      <c r="T132" s="57"/>
      <c r="U132" s="57"/>
      <c r="V132" s="59"/>
      <c r="W132" s="59"/>
      <c r="X132" s="57"/>
      <c r="Y132" s="57"/>
      <c r="Z132" s="59"/>
      <c r="AA132" s="59"/>
      <c r="AB132" s="57"/>
      <c r="AC132" s="57"/>
      <c r="AD132" s="59"/>
      <c r="AE132" s="59"/>
      <c r="AF132" s="57"/>
      <c r="AG132" s="57"/>
      <c r="AH132" s="59"/>
      <c r="AI132" s="59"/>
      <c r="AJ132" s="57"/>
      <c r="AK132" s="57"/>
      <c r="AL132" s="59"/>
      <c r="AM132" s="59"/>
      <c r="AN132" s="59"/>
      <c r="AO132" s="60"/>
      <c r="AP132" s="57"/>
      <c r="AQ132" s="77"/>
      <c r="AR132" s="76"/>
    </row>
    <row r="133" spans="1:44" ht="40.799999999999997" x14ac:dyDescent="0.3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8"/>
      <c r="R133" s="57"/>
      <c r="S133" s="59"/>
      <c r="T133" s="57"/>
      <c r="U133" s="57"/>
      <c r="V133" s="59"/>
      <c r="W133" s="59"/>
      <c r="X133" s="57"/>
      <c r="Y133" s="57"/>
      <c r="Z133" s="59"/>
      <c r="AA133" s="59"/>
      <c r="AB133" s="57"/>
      <c r="AC133" s="57"/>
      <c r="AD133" s="59"/>
      <c r="AE133" s="59"/>
      <c r="AF133" s="57"/>
      <c r="AG133" s="57"/>
      <c r="AH133" s="59"/>
      <c r="AI133" s="59"/>
      <c r="AJ133" s="57"/>
      <c r="AK133" s="57"/>
      <c r="AL133" s="59"/>
      <c r="AM133" s="59"/>
      <c r="AN133" s="59"/>
      <c r="AO133" s="60"/>
      <c r="AP133" s="57"/>
      <c r="AQ133" s="77"/>
      <c r="AR133" s="76"/>
    </row>
    <row r="134" spans="1:44" ht="40.799999999999997" x14ac:dyDescent="0.3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8"/>
      <c r="R134" s="57"/>
      <c r="S134" s="59"/>
      <c r="T134" s="57"/>
      <c r="U134" s="57"/>
      <c r="V134" s="59"/>
      <c r="W134" s="59"/>
      <c r="X134" s="57"/>
      <c r="Y134" s="57"/>
      <c r="Z134" s="59"/>
      <c r="AA134" s="59"/>
      <c r="AB134" s="57"/>
      <c r="AC134" s="57"/>
      <c r="AD134" s="59"/>
      <c r="AE134" s="59"/>
      <c r="AF134" s="57"/>
      <c r="AG134" s="57"/>
      <c r="AH134" s="59"/>
      <c r="AI134" s="59"/>
      <c r="AJ134" s="57"/>
      <c r="AK134" s="57"/>
      <c r="AL134" s="59"/>
      <c r="AM134" s="59"/>
      <c r="AN134" s="59"/>
      <c r="AO134" s="60"/>
      <c r="AP134" s="57"/>
      <c r="AQ134" s="77"/>
      <c r="AR134" s="76"/>
    </row>
    <row r="135" spans="1:44" ht="40.799999999999997" x14ac:dyDescent="0.3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8"/>
      <c r="R135" s="57"/>
      <c r="S135" s="59"/>
      <c r="T135" s="57"/>
      <c r="U135" s="57"/>
      <c r="V135" s="59"/>
      <c r="W135" s="59"/>
      <c r="X135" s="57"/>
      <c r="Y135" s="57"/>
      <c r="Z135" s="59"/>
      <c r="AA135" s="59"/>
      <c r="AB135" s="57"/>
      <c r="AC135" s="57"/>
      <c r="AD135" s="59"/>
      <c r="AE135" s="59"/>
      <c r="AF135" s="57"/>
      <c r="AG135" s="57"/>
      <c r="AH135" s="59"/>
      <c r="AI135" s="59"/>
      <c r="AJ135" s="57"/>
      <c r="AK135" s="57"/>
      <c r="AL135" s="59"/>
      <c r="AM135" s="59"/>
      <c r="AN135" s="59"/>
      <c r="AO135" s="60"/>
      <c r="AP135" s="57"/>
      <c r="AQ135" s="77"/>
      <c r="AR135" s="76"/>
    </row>
    <row r="136" spans="1:44" ht="40.799999999999997" x14ac:dyDescent="0.3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8"/>
      <c r="R136" s="57"/>
      <c r="S136" s="59"/>
      <c r="T136" s="57"/>
      <c r="U136" s="57"/>
      <c r="V136" s="59"/>
      <c r="W136" s="59"/>
      <c r="X136" s="57"/>
      <c r="Y136" s="57"/>
      <c r="Z136" s="59"/>
      <c r="AA136" s="59"/>
      <c r="AB136" s="57"/>
      <c r="AC136" s="57"/>
      <c r="AD136" s="59"/>
      <c r="AE136" s="59"/>
      <c r="AF136" s="57"/>
      <c r="AG136" s="57"/>
      <c r="AH136" s="59"/>
      <c r="AI136" s="59"/>
      <c r="AJ136" s="57"/>
      <c r="AK136" s="57"/>
      <c r="AL136" s="59"/>
      <c r="AM136" s="59"/>
      <c r="AN136" s="59"/>
      <c r="AO136" s="60"/>
      <c r="AP136" s="57"/>
      <c r="AQ136" s="77"/>
      <c r="AR136" s="76"/>
    </row>
    <row r="137" spans="1:44" ht="40.799999999999997" x14ac:dyDescent="0.3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8"/>
      <c r="R137" s="57"/>
      <c r="S137" s="59"/>
      <c r="T137" s="57"/>
      <c r="U137" s="57"/>
      <c r="V137" s="59"/>
      <c r="W137" s="59"/>
      <c r="X137" s="57"/>
      <c r="Y137" s="57"/>
      <c r="Z137" s="59"/>
      <c r="AA137" s="59"/>
      <c r="AB137" s="57"/>
      <c r="AC137" s="57"/>
      <c r="AD137" s="59"/>
      <c r="AE137" s="59"/>
      <c r="AF137" s="57"/>
      <c r="AG137" s="57"/>
      <c r="AH137" s="59"/>
      <c r="AI137" s="59"/>
      <c r="AJ137" s="57"/>
      <c r="AK137" s="57"/>
      <c r="AL137" s="59"/>
      <c r="AM137" s="59"/>
      <c r="AN137" s="59"/>
      <c r="AO137" s="60"/>
      <c r="AP137" s="57"/>
      <c r="AQ137" s="77"/>
      <c r="AR137" s="76"/>
    </row>
    <row r="138" spans="1:44" ht="40.799999999999997" x14ac:dyDescent="0.3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8"/>
      <c r="R138" s="57"/>
      <c r="S138" s="59"/>
      <c r="T138" s="57"/>
      <c r="U138" s="57"/>
      <c r="V138" s="59"/>
      <c r="W138" s="59"/>
      <c r="X138" s="57"/>
      <c r="Y138" s="57"/>
      <c r="Z138" s="59"/>
      <c r="AA138" s="59"/>
      <c r="AB138" s="57"/>
      <c r="AC138" s="57"/>
      <c r="AD138" s="59"/>
      <c r="AE138" s="59"/>
      <c r="AF138" s="57"/>
      <c r="AG138" s="57"/>
      <c r="AH138" s="59"/>
      <c r="AI138" s="59"/>
      <c r="AJ138" s="57"/>
      <c r="AK138" s="57"/>
      <c r="AL138" s="59"/>
      <c r="AM138" s="59"/>
      <c r="AN138" s="59"/>
      <c r="AO138" s="60"/>
      <c r="AP138" s="57"/>
      <c r="AQ138" s="77"/>
      <c r="AR138" s="76"/>
    </row>
    <row r="139" spans="1:44" ht="40.799999999999997" x14ac:dyDescent="0.3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8"/>
      <c r="R139" s="57"/>
      <c r="S139" s="59"/>
      <c r="T139" s="57"/>
      <c r="U139" s="57"/>
      <c r="V139" s="59"/>
      <c r="W139" s="59"/>
      <c r="X139" s="57"/>
      <c r="Y139" s="57"/>
      <c r="Z139" s="59"/>
      <c r="AA139" s="59"/>
      <c r="AB139" s="57"/>
      <c r="AC139" s="57"/>
      <c r="AD139" s="59"/>
      <c r="AE139" s="59"/>
      <c r="AF139" s="57"/>
      <c r="AG139" s="57"/>
      <c r="AH139" s="59"/>
      <c r="AI139" s="59"/>
      <c r="AJ139" s="57"/>
      <c r="AK139" s="57"/>
      <c r="AL139" s="59"/>
      <c r="AM139" s="59"/>
      <c r="AN139" s="59"/>
      <c r="AO139" s="60"/>
      <c r="AP139" s="57"/>
      <c r="AQ139" s="77"/>
      <c r="AR139" s="76"/>
    </row>
    <row r="140" spans="1:44" ht="40.799999999999997" x14ac:dyDescent="0.3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8"/>
      <c r="R140" s="57"/>
      <c r="S140" s="59"/>
      <c r="T140" s="57"/>
      <c r="U140" s="57"/>
      <c r="V140" s="59"/>
      <c r="W140" s="59"/>
      <c r="X140" s="57"/>
      <c r="Y140" s="57"/>
      <c r="Z140" s="59"/>
      <c r="AA140" s="59"/>
      <c r="AB140" s="57"/>
      <c r="AC140" s="57"/>
      <c r="AD140" s="59"/>
      <c r="AE140" s="59"/>
      <c r="AF140" s="57"/>
      <c r="AG140" s="57"/>
      <c r="AH140" s="59"/>
      <c r="AI140" s="59"/>
      <c r="AJ140" s="57"/>
      <c r="AK140" s="57"/>
      <c r="AL140" s="59"/>
      <c r="AM140" s="59"/>
      <c r="AN140" s="59"/>
      <c r="AO140" s="60"/>
      <c r="AP140" s="57"/>
      <c r="AQ140" s="77"/>
      <c r="AR140" s="76"/>
    </row>
    <row r="141" spans="1:44" ht="40.799999999999997" x14ac:dyDescent="0.3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8"/>
      <c r="R141" s="57"/>
      <c r="S141" s="59"/>
      <c r="T141" s="57"/>
      <c r="U141" s="57"/>
      <c r="V141" s="59"/>
      <c r="W141" s="59"/>
      <c r="X141" s="57"/>
      <c r="Y141" s="57"/>
      <c r="Z141" s="59"/>
      <c r="AA141" s="59"/>
      <c r="AB141" s="57"/>
      <c r="AC141" s="57"/>
      <c r="AD141" s="59"/>
      <c r="AE141" s="59"/>
      <c r="AF141" s="57"/>
      <c r="AG141" s="57"/>
      <c r="AH141" s="59"/>
      <c r="AI141" s="59"/>
      <c r="AJ141" s="57"/>
      <c r="AK141" s="57"/>
      <c r="AL141" s="59"/>
      <c r="AM141" s="59"/>
      <c r="AN141" s="59"/>
      <c r="AO141" s="60"/>
      <c r="AP141" s="57"/>
      <c r="AQ141" s="77"/>
      <c r="AR141" s="76"/>
    </row>
    <row r="142" spans="1:44" ht="40.799999999999997" x14ac:dyDescent="0.3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8"/>
      <c r="R142" s="57"/>
      <c r="S142" s="59"/>
      <c r="T142" s="57"/>
      <c r="U142" s="57"/>
      <c r="V142" s="59"/>
      <c r="W142" s="59"/>
      <c r="X142" s="57"/>
      <c r="Y142" s="57"/>
      <c r="Z142" s="59"/>
      <c r="AA142" s="59"/>
      <c r="AB142" s="57"/>
      <c r="AC142" s="57"/>
      <c r="AD142" s="59"/>
      <c r="AE142" s="59"/>
      <c r="AF142" s="57"/>
      <c r="AG142" s="57"/>
      <c r="AH142" s="59"/>
      <c r="AI142" s="59"/>
      <c r="AJ142" s="57"/>
      <c r="AK142" s="57"/>
      <c r="AL142" s="59"/>
      <c r="AM142" s="59"/>
      <c r="AN142" s="59"/>
      <c r="AO142" s="60"/>
      <c r="AP142" s="57"/>
      <c r="AQ142" s="77"/>
      <c r="AR142" s="76"/>
    </row>
    <row r="143" spans="1:44" ht="40.799999999999997" x14ac:dyDescent="0.3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8"/>
      <c r="R143" s="57"/>
      <c r="S143" s="59"/>
      <c r="T143" s="57"/>
      <c r="U143" s="57"/>
      <c r="V143" s="59"/>
      <c r="W143" s="59"/>
      <c r="X143" s="57"/>
      <c r="Y143" s="57"/>
      <c r="Z143" s="59"/>
      <c r="AA143" s="59"/>
      <c r="AB143" s="57"/>
      <c r="AC143" s="57"/>
      <c r="AD143" s="59"/>
      <c r="AE143" s="59"/>
      <c r="AF143" s="57"/>
      <c r="AG143" s="57"/>
      <c r="AH143" s="59"/>
      <c r="AI143" s="59"/>
      <c r="AJ143" s="57"/>
      <c r="AK143" s="57"/>
      <c r="AL143" s="59"/>
      <c r="AM143" s="59"/>
      <c r="AN143" s="59"/>
      <c r="AO143" s="60"/>
      <c r="AP143" s="57"/>
      <c r="AQ143" s="77"/>
      <c r="AR143" s="76"/>
    </row>
    <row r="144" spans="1:44" ht="40.799999999999997" x14ac:dyDescent="0.3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8"/>
      <c r="R144" s="57"/>
      <c r="S144" s="59"/>
      <c r="T144" s="57"/>
      <c r="U144" s="57"/>
      <c r="V144" s="59"/>
      <c r="W144" s="59"/>
      <c r="X144" s="57"/>
      <c r="Y144" s="57"/>
      <c r="Z144" s="59"/>
      <c r="AA144" s="59"/>
      <c r="AB144" s="57"/>
      <c r="AC144" s="57"/>
      <c r="AD144" s="59"/>
      <c r="AE144" s="59"/>
      <c r="AF144" s="57"/>
      <c r="AG144" s="57"/>
      <c r="AH144" s="59"/>
      <c r="AI144" s="59"/>
      <c r="AJ144" s="57"/>
      <c r="AK144" s="57"/>
      <c r="AL144" s="59"/>
      <c r="AM144" s="59"/>
      <c r="AN144" s="59"/>
      <c r="AO144" s="60"/>
      <c r="AP144" s="57"/>
      <c r="AQ144" s="77"/>
      <c r="AR144" s="76"/>
    </row>
    <row r="145" spans="1:44" ht="40.799999999999997" x14ac:dyDescent="0.3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8"/>
      <c r="R145" s="57"/>
      <c r="S145" s="59"/>
      <c r="T145" s="57"/>
      <c r="U145" s="57"/>
      <c r="V145" s="59"/>
      <c r="W145" s="59"/>
      <c r="X145" s="57"/>
      <c r="Y145" s="57"/>
      <c r="Z145" s="59"/>
      <c r="AA145" s="59"/>
      <c r="AB145" s="57"/>
      <c r="AC145" s="57"/>
      <c r="AD145" s="59"/>
      <c r="AE145" s="59"/>
      <c r="AF145" s="57"/>
      <c r="AG145" s="57"/>
      <c r="AH145" s="59"/>
      <c r="AI145" s="59"/>
      <c r="AJ145" s="57"/>
      <c r="AK145" s="57"/>
      <c r="AL145" s="59"/>
      <c r="AM145" s="59"/>
      <c r="AN145" s="59"/>
      <c r="AO145" s="60"/>
      <c r="AP145" s="57"/>
      <c r="AQ145" s="77"/>
      <c r="AR145" s="76"/>
    </row>
    <row r="146" spans="1:44" ht="40.799999999999997" x14ac:dyDescent="0.3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8"/>
      <c r="R146" s="57"/>
      <c r="S146" s="59"/>
      <c r="T146" s="57"/>
      <c r="U146" s="57"/>
      <c r="V146" s="59"/>
      <c r="W146" s="59"/>
      <c r="X146" s="57"/>
      <c r="Y146" s="57"/>
      <c r="Z146" s="59"/>
      <c r="AA146" s="59"/>
      <c r="AB146" s="57"/>
      <c r="AC146" s="57"/>
      <c r="AD146" s="59"/>
      <c r="AE146" s="59"/>
      <c r="AF146" s="57"/>
      <c r="AG146" s="57"/>
      <c r="AH146" s="59"/>
      <c r="AI146" s="59"/>
      <c r="AJ146" s="57"/>
      <c r="AK146" s="57"/>
      <c r="AL146" s="59"/>
      <c r="AM146" s="59"/>
      <c r="AN146" s="59"/>
      <c r="AO146" s="60"/>
      <c r="AP146" s="57"/>
      <c r="AQ146" s="77"/>
      <c r="AR146" s="76"/>
    </row>
    <row r="147" spans="1:44" ht="40.799999999999997" x14ac:dyDescent="0.3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8"/>
      <c r="R147" s="57"/>
      <c r="S147" s="59"/>
      <c r="T147" s="57"/>
      <c r="U147" s="57"/>
      <c r="V147" s="59"/>
      <c r="W147" s="59"/>
      <c r="X147" s="57"/>
      <c r="Y147" s="57"/>
      <c r="Z147" s="59"/>
      <c r="AA147" s="59"/>
      <c r="AB147" s="57"/>
      <c r="AC147" s="57"/>
      <c r="AD147" s="59"/>
      <c r="AE147" s="59"/>
      <c r="AF147" s="57"/>
      <c r="AG147" s="57"/>
      <c r="AH147" s="59"/>
      <c r="AI147" s="59"/>
      <c r="AJ147" s="57"/>
      <c r="AK147" s="57"/>
      <c r="AL147" s="59"/>
      <c r="AM147" s="59"/>
      <c r="AN147" s="59"/>
      <c r="AO147" s="60"/>
      <c r="AP147" s="57"/>
      <c r="AQ147" s="77"/>
      <c r="AR147" s="76"/>
    </row>
    <row r="148" spans="1:44" ht="40.799999999999997" x14ac:dyDescent="0.3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9"/>
      <c r="T148" s="57"/>
      <c r="U148" s="57"/>
      <c r="V148" s="59"/>
      <c r="W148" s="59"/>
      <c r="X148" s="57"/>
      <c r="Y148" s="57"/>
      <c r="Z148" s="59"/>
      <c r="AA148" s="59"/>
      <c r="AB148" s="57"/>
      <c r="AC148" s="57"/>
      <c r="AD148" s="59"/>
      <c r="AE148" s="59"/>
      <c r="AF148" s="57"/>
      <c r="AG148" s="57"/>
      <c r="AH148" s="59"/>
      <c r="AI148" s="59"/>
      <c r="AJ148" s="57"/>
      <c r="AK148" s="57"/>
      <c r="AL148" s="59"/>
      <c r="AM148" s="59"/>
      <c r="AN148" s="59"/>
      <c r="AO148" s="60"/>
      <c r="AP148" s="57"/>
      <c r="AQ148" s="77"/>
      <c r="AR148" s="76"/>
    </row>
    <row r="149" spans="1:44" ht="40.799999999999997" x14ac:dyDescent="0.3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8"/>
      <c r="R149" s="57"/>
      <c r="S149" s="59"/>
      <c r="T149" s="57"/>
      <c r="U149" s="57"/>
      <c r="V149" s="59"/>
      <c r="W149" s="59"/>
      <c r="X149" s="57"/>
      <c r="Y149" s="57"/>
      <c r="Z149" s="59"/>
      <c r="AA149" s="59"/>
      <c r="AB149" s="57"/>
      <c r="AC149" s="57"/>
      <c r="AD149" s="59"/>
      <c r="AE149" s="59"/>
      <c r="AF149" s="57"/>
      <c r="AG149" s="57"/>
      <c r="AH149" s="59"/>
      <c r="AI149" s="59"/>
      <c r="AJ149" s="57"/>
      <c r="AK149" s="57"/>
      <c r="AL149" s="59"/>
      <c r="AM149" s="59"/>
      <c r="AN149" s="59"/>
      <c r="AO149" s="60"/>
      <c r="AP149" s="57"/>
      <c r="AQ149" s="77"/>
      <c r="AR149" s="76"/>
    </row>
    <row r="150" spans="1:44" ht="40.799999999999997" x14ac:dyDescent="0.3">
      <c r="A150" s="56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9"/>
      <c r="T150" s="57"/>
      <c r="U150" s="57"/>
      <c r="V150" s="59"/>
      <c r="W150" s="59"/>
      <c r="X150" s="57"/>
      <c r="Y150" s="57"/>
      <c r="Z150" s="59"/>
      <c r="AA150" s="59"/>
      <c r="AB150" s="57"/>
      <c r="AC150" s="57"/>
      <c r="AD150" s="59"/>
      <c r="AE150" s="59"/>
      <c r="AF150" s="57"/>
      <c r="AG150" s="57"/>
      <c r="AH150" s="59"/>
      <c r="AI150" s="59"/>
      <c r="AJ150" s="57"/>
      <c r="AK150" s="57"/>
      <c r="AL150" s="59"/>
      <c r="AM150" s="59"/>
      <c r="AN150" s="59"/>
      <c r="AO150" s="60"/>
      <c r="AP150" s="57"/>
      <c r="AQ150" s="77"/>
      <c r="AR150" s="76"/>
    </row>
    <row r="151" spans="1:44" ht="40.799999999999997" x14ac:dyDescent="0.3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8"/>
      <c r="R151" s="57"/>
      <c r="S151" s="59"/>
      <c r="T151" s="57"/>
      <c r="U151" s="57"/>
      <c r="V151" s="59"/>
      <c r="W151" s="59"/>
      <c r="X151" s="57"/>
      <c r="Y151" s="57"/>
      <c r="Z151" s="59"/>
      <c r="AA151" s="59"/>
      <c r="AB151" s="57"/>
      <c r="AC151" s="57"/>
      <c r="AD151" s="59"/>
      <c r="AE151" s="59"/>
      <c r="AF151" s="57"/>
      <c r="AG151" s="57"/>
      <c r="AH151" s="59"/>
      <c r="AI151" s="59"/>
      <c r="AJ151" s="57"/>
      <c r="AK151" s="57"/>
      <c r="AL151" s="59"/>
      <c r="AM151" s="59"/>
      <c r="AN151" s="59"/>
      <c r="AO151" s="60"/>
      <c r="AP151" s="57"/>
      <c r="AQ151" s="77"/>
      <c r="AR151" s="76"/>
    </row>
    <row r="152" spans="1:44" ht="40.799999999999997" x14ac:dyDescent="0.3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8"/>
      <c r="R152" s="57"/>
      <c r="S152" s="59"/>
      <c r="T152" s="57"/>
      <c r="U152" s="57"/>
      <c r="V152" s="59"/>
      <c r="W152" s="59"/>
      <c r="X152" s="57"/>
      <c r="Y152" s="57"/>
      <c r="Z152" s="59"/>
      <c r="AA152" s="59"/>
      <c r="AB152" s="57"/>
      <c r="AC152" s="57"/>
      <c r="AD152" s="59"/>
      <c r="AE152" s="59"/>
      <c r="AF152" s="57"/>
      <c r="AG152" s="57"/>
      <c r="AH152" s="59"/>
      <c r="AI152" s="59"/>
      <c r="AJ152" s="57"/>
      <c r="AK152" s="57"/>
      <c r="AL152" s="59"/>
      <c r="AM152" s="59"/>
      <c r="AN152" s="59"/>
      <c r="AO152" s="60"/>
      <c r="AP152" s="57"/>
      <c r="AQ152" s="77"/>
      <c r="AR152" s="76"/>
    </row>
    <row r="153" spans="1:44" ht="40.799999999999997" x14ac:dyDescent="0.3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8"/>
      <c r="R153" s="57"/>
      <c r="S153" s="59"/>
      <c r="T153" s="57"/>
      <c r="U153" s="57"/>
      <c r="V153" s="59"/>
      <c r="W153" s="59"/>
      <c r="X153" s="57"/>
      <c r="Y153" s="57"/>
      <c r="Z153" s="59"/>
      <c r="AA153" s="59"/>
      <c r="AB153" s="57"/>
      <c r="AC153" s="57"/>
      <c r="AD153" s="59"/>
      <c r="AE153" s="59"/>
      <c r="AF153" s="57"/>
      <c r="AG153" s="57"/>
      <c r="AH153" s="59"/>
      <c r="AI153" s="59"/>
      <c r="AJ153" s="57"/>
      <c r="AK153" s="57"/>
      <c r="AL153" s="59"/>
      <c r="AM153" s="59"/>
      <c r="AN153" s="59"/>
      <c r="AO153" s="60"/>
      <c r="AP153" s="57"/>
      <c r="AQ153" s="77"/>
      <c r="AR153" s="76"/>
    </row>
    <row r="154" spans="1:44" ht="40.799999999999997" x14ac:dyDescent="0.3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8"/>
      <c r="R154" s="57"/>
      <c r="S154" s="59"/>
      <c r="T154" s="57"/>
      <c r="U154" s="57"/>
      <c r="V154" s="59"/>
      <c r="W154" s="59"/>
      <c r="X154" s="57"/>
      <c r="Y154" s="57"/>
      <c r="Z154" s="59"/>
      <c r="AA154" s="59"/>
      <c r="AB154" s="57"/>
      <c r="AC154" s="57"/>
      <c r="AD154" s="59"/>
      <c r="AE154" s="59"/>
      <c r="AF154" s="57"/>
      <c r="AG154" s="57"/>
      <c r="AH154" s="59"/>
      <c r="AI154" s="59"/>
      <c r="AJ154" s="57"/>
      <c r="AK154" s="57"/>
      <c r="AL154" s="59"/>
      <c r="AM154" s="59"/>
      <c r="AN154" s="59"/>
      <c r="AO154" s="60"/>
      <c r="AP154" s="57"/>
      <c r="AQ154" s="77"/>
      <c r="AR154" s="76"/>
    </row>
    <row r="155" spans="1:44" ht="40.799999999999997" x14ac:dyDescent="0.3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8"/>
      <c r="R155" s="57"/>
      <c r="S155" s="59"/>
      <c r="T155" s="57"/>
      <c r="U155" s="57"/>
      <c r="V155" s="59"/>
      <c r="W155" s="59"/>
      <c r="X155" s="57"/>
      <c r="Y155" s="57"/>
      <c r="Z155" s="59"/>
      <c r="AA155" s="59"/>
      <c r="AB155" s="57"/>
      <c r="AC155" s="57"/>
      <c r="AD155" s="59"/>
      <c r="AE155" s="59"/>
      <c r="AF155" s="57"/>
      <c r="AG155" s="57"/>
      <c r="AH155" s="59"/>
      <c r="AI155" s="59"/>
      <c r="AJ155" s="57"/>
      <c r="AK155" s="57"/>
      <c r="AL155" s="59"/>
      <c r="AM155" s="59"/>
      <c r="AN155" s="59"/>
      <c r="AO155" s="60"/>
      <c r="AP155" s="57"/>
      <c r="AQ155" s="77"/>
      <c r="AR155" s="76"/>
    </row>
    <row r="156" spans="1:44" ht="40.799999999999997" x14ac:dyDescent="0.3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8"/>
      <c r="R156" s="57"/>
      <c r="S156" s="59"/>
      <c r="T156" s="57"/>
      <c r="U156" s="57"/>
      <c r="V156" s="59"/>
      <c r="W156" s="59"/>
      <c r="X156" s="57"/>
      <c r="Y156" s="57"/>
      <c r="Z156" s="59"/>
      <c r="AA156" s="59"/>
      <c r="AB156" s="57"/>
      <c r="AC156" s="57"/>
      <c r="AD156" s="59"/>
      <c r="AE156" s="59"/>
      <c r="AF156" s="57"/>
      <c r="AG156" s="57"/>
      <c r="AH156" s="59"/>
      <c r="AI156" s="59"/>
      <c r="AJ156" s="57"/>
      <c r="AK156" s="57"/>
      <c r="AL156" s="59"/>
      <c r="AM156" s="59"/>
      <c r="AN156" s="59"/>
      <c r="AO156" s="60"/>
      <c r="AP156" s="57"/>
      <c r="AQ156" s="77"/>
      <c r="AR156" s="76"/>
    </row>
    <row r="157" spans="1:44" ht="40.799999999999997" x14ac:dyDescent="0.3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8"/>
      <c r="R157" s="57"/>
      <c r="S157" s="59"/>
      <c r="T157" s="57"/>
      <c r="U157" s="57"/>
      <c r="V157" s="59"/>
      <c r="W157" s="59"/>
      <c r="X157" s="57"/>
      <c r="Y157" s="57"/>
      <c r="Z157" s="59"/>
      <c r="AA157" s="59"/>
      <c r="AB157" s="57"/>
      <c r="AC157" s="57"/>
      <c r="AD157" s="59"/>
      <c r="AE157" s="59"/>
      <c r="AF157" s="57"/>
      <c r="AG157" s="57"/>
      <c r="AH157" s="59"/>
      <c r="AI157" s="59"/>
      <c r="AJ157" s="57"/>
      <c r="AK157" s="57"/>
      <c r="AL157" s="59"/>
      <c r="AM157" s="59"/>
      <c r="AN157" s="59"/>
      <c r="AO157" s="60"/>
      <c r="AP157" s="57"/>
      <c r="AQ157" s="77"/>
      <c r="AR157" s="76"/>
    </row>
    <row r="158" spans="1:44" ht="40.799999999999997" x14ac:dyDescent="0.3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8"/>
      <c r="R158" s="57"/>
      <c r="S158" s="59"/>
      <c r="T158" s="57"/>
      <c r="U158" s="57"/>
      <c r="V158" s="59"/>
      <c r="W158" s="59"/>
      <c r="X158" s="57"/>
      <c r="Y158" s="57"/>
      <c r="Z158" s="59"/>
      <c r="AA158" s="59"/>
      <c r="AB158" s="57"/>
      <c r="AC158" s="57"/>
      <c r="AD158" s="59"/>
      <c r="AE158" s="59"/>
      <c r="AF158" s="57"/>
      <c r="AG158" s="57"/>
      <c r="AH158" s="59"/>
      <c r="AI158" s="59"/>
      <c r="AJ158" s="57"/>
      <c r="AK158" s="57"/>
      <c r="AL158" s="59"/>
      <c r="AM158" s="59"/>
      <c r="AN158" s="59"/>
      <c r="AO158" s="60"/>
      <c r="AP158" s="57"/>
      <c r="AQ158" s="77"/>
      <c r="AR158" s="76"/>
    </row>
    <row r="159" spans="1:44" ht="40.799999999999997" x14ac:dyDescent="0.3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8"/>
      <c r="R159" s="57"/>
      <c r="S159" s="59"/>
      <c r="T159" s="57"/>
      <c r="U159" s="57"/>
      <c r="V159" s="59"/>
      <c r="W159" s="59"/>
      <c r="X159" s="57"/>
      <c r="Y159" s="57"/>
      <c r="Z159" s="59"/>
      <c r="AA159" s="59"/>
      <c r="AB159" s="57"/>
      <c r="AC159" s="57"/>
      <c r="AD159" s="59"/>
      <c r="AE159" s="59"/>
      <c r="AF159" s="57"/>
      <c r="AG159" s="57"/>
      <c r="AH159" s="59"/>
      <c r="AI159" s="59"/>
      <c r="AJ159" s="57"/>
      <c r="AK159" s="57"/>
      <c r="AL159" s="59"/>
      <c r="AM159" s="59"/>
      <c r="AN159" s="59"/>
      <c r="AO159" s="60"/>
      <c r="AP159" s="57"/>
      <c r="AQ159" s="77"/>
      <c r="AR159" s="76"/>
    </row>
    <row r="160" spans="1:44" ht="40.799999999999997" x14ac:dyDescent="0.3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8"/>
      <c r="R160" s="57"/>
      <c r="S160" s="59"/>
      <c r="T160" s="57"/>
      <c r="U160" s="57"/>
      <c r="V160" s="59"/>
      <c r="W160" s="59"/>
      <c r="X160" s="57"/>
      <c r="Y160" s="57"/>
      <c r="Z160" s="59"/>
      <c r="AA160" s="59"/>
      <c r="AB160" s="57"/>
      <c r="AC160" s="57"/>
      <c r="AD160" s="59"/>
      <c r="AE160" s="59"/>
      <c r="AF160" s="57"/>
      <c r="AG160" s="57"/>
      <c r="AH160" s="59"/>
      <c r="AI160" s="59"/>
      <c r="AJ160" s="57"/>
      <c r="AK160" s="57"/>
      <c r="AL160" s="59"/>
      <c r="AM160" s="59"/>
      <c r="AN160" s="59"/>
      <c r="AO160" s="60"/>
      <c r="AP160" s="57"/>
      <c r="AQ160" s="77"/>
      <c r="AR160" s="76"/>
    </row>
    <row r="161" spans="1:44" ht="40.799999999999997" x14ac:dyDescent="0.3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8"/>
      <c r="R161" s="57"/>
      <c r="S161" s="59"/>
      <c r="T161" s="57"/>
      <c r="U161" s="57"/>
      <c r="V161" s="59"/>
      <c r="W161" s="59"/>
      <c r="X161" s="57"/>
      <c r="Y161" s="57"/>
      <c r="Z161" s="59"/>
      <c r="AA161" s="59"/>
      <c r="AB161" s="57"/>
      <c r="AC161" s="57"/>
      <c r="AD161" s="59"/>
      <c r="AE161" s="59"/>
      <c r="AF161" s="57"/>
      <c r="AG161" s="57"/>
      <c r="AH161" s="59"/>
      <c r="AI161" s="59"/>
      <c r="AJ161" s="57"/>
      <c r="AK161" s="57"/>
      <c r="AL161" s="59"/>
      <c r="AM161" s="59"/>
      <c r="AN161" s="59"/>
      <c r="AO161" s="60"/>
      <c r="AP161" s="57"/>
      <c r="AQ161" s="77"/>
      <c r="AR161" s="76"/>
    </row>
    <row r="162" spans="1:44" ht="40.799999999999997" x14ac:dyDescent="0.3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8"/>
      <c r="R162" s="57"/>
      <c r="S162" s="59"/>
      <c r="T162" s="57"/>
      <c r="U162" s="57"/>
      <c r="V162" s="59"/>
      <c r="W162" s="59"/>
      <c r="X162" s="57"/>
      <c r="Y162" s="57"/>
      <c r="Z162" s="59"/>
      <c r="AA162" s="59"/>
      <c r="AB162" s="57"/>
      <c r="AC162" s="57"/>
      <c r="AD162" s="59"/>
      <c r="AE162" s="59"/>
      <c r="AF162" s="57"/>
      <c r="AG162" s="57"/>
      <c r="AH162" s="59"/>
      <c r="AI162" s="59"/>
      <c r="AJ162" s="57"/>
      <c r="AK162" s="57"/>
      <c r="AL162" s="59"/>
      <c r="AM162" s="59"/>
      <c r="AN162" s="59"/>
      <c r="AO162" s="60"/>
      <c r="AP162" s="57"/>
      <c r="AQ162" s="77"/>
      <c r="AR162" s="76"/>
    </row>
    <row r="163" spans="1:44" ht="40.799999999999997" x14ac:dyDescent="0.3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8"/>
      <c r="R163" s="57"/>
      <c r="S163" s="59"/>
      <c r="T163" s="57"/>
      <c r="U163" s="57"/>
      <c r="V163" s="59"/>
      <c r="W163" s="59"/>
      <c r="X163" s="57"/>
      <c r="Y163" s="57"/>
      <c r="Z163" s="59"/>
      <c r="AA163" s="59"/>
      <c r="AB163" s="57"/>
      <c r="AC163" s="57"/>
      <c r="AD163" s="59"/>
      <c r="AE163" s="59"/>
      <c r="AF163" s="57"/>
      <c r="AG163" s="57"/>
      <c r="AH163" s="59"/>
      <c r="AI163" s="59"/>
      <c r="AJ163" s="57"/>
      <c r="AK163" s="57"/>
      <c r="AL163" s="59"/>
      <c r="AM163" s="59"/>
      <c r="AN163" s="59"/>
      <c r="AO163" s="60"/>
      <c r="AP163" s="57"/>
      <c r="AQ163" s="77"/>
      <c r="AR163" s="76"/>
    </row>
    <row r="164" spans="1:44" ht="40.799999999999997" x14ac:dyDescent="0.3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8"/>
      <c r="R164" s="57"/>
      <c r="S164" s="59"/>
      <c r="T164" s="57"/>
      <c r="U164" s="57"/>
      <c r="V164" s="59"/>
      <c r="W164" s="59"/>
      <c r="X164" s="57"/>
      <c r="Y164" s="57"/>
      <c r="Z164" s="59"/>
      <c r="AA164" s="59"/>
      <c r="AB164" s="57"/>
      <c r="AC164" s="57"/>
      <c r="AD164" s="59"/>
      <c r="AE164" s="59"/>
      <c r="AF164" s="57"/>
      <c r="AG164" s="57"/>
      <c r="AH164" s="59"/>
      <c r="AI164" s="59"/>
      <c r="AJ164" s="57"/>
      <c r="AK164" s="57"/>
      <c r="AL164" s="59"/>
      <c r="AM164" s="59"/>
      <c r="AN164" s="59"/>
      <c r="AO164" s="60"/>
      <c r="AP164" s="57"/>
      <c r="AQ164" s="77"/>
      <c r="AR164" s="76"/>
    </row>
    <row r="165" spans="1:44" ht="40.799999999999997" x14ac:dyDescent="0.3">
      <c r="A165" s="56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8"/>
      <c r="R165" s="57"/>
      <c r="S165" s="59"/>
      <c r="T165" s="57"/>
      <c r="U165" s="57"/>
      <c r="V165" s="59"/>
      <c r="W165" s="59"/>
      <c r="X165" s="57"/>
      <c r="Y165" s="57"/>
      <c r="Z165" s="59"/>
      <c r="AA165" s="59"/>
      <c r="AB165" s="57"/>
      <c r="AC165" s="57"/>
      <c r="AD165" s="59"/>
      <c r="AE165" s="59"/>
      <c r="AF165" s="57"/>
      <c r="AG165" s="57"/>
      <c r="AH165" s="59"/>
      <c r="AI165" s="59"/>
      <c r="AJ165" s="57"/>
      <c r="AK165" s="57"/>
      <c r="AL165" s="59"/>
      <c r="AM165" s="59"/>
      <c r="AN165" s="59"/>
      <c r="AO165" s="60"/>
      <c r="AP165" s="57"/>
      <c r="AQ165" s="77"/>
      <c r="AR165" s="76"/>
    </row>
    <row r="166" spans="1:44" ht="40.799999999999997" x14ac:dyDescent="0.3">
      <c r="A166" s="56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8"/>
      <c r="R166" s="57"/>
      <c r="S166" s="59"/>
      <c r="T166" s="57"/>
      <c r="U166" s="57"/>
      <c r="V166" s="59"/>
      <c r="W166" s="59"/>
      <c r="X166" s="57"/>
      <c r="Y166" s="57"/>
      <c r="Z166" s="59"/>
      <c r="AA166" s="59"/>
      <c r="AB166" s="57"/>
      <c r="AC166" s="57"/>
      <c r="AD166" s="59"/>
      <c r="AE166" s="59"/>
      <c r="AF166" s="57"/>
      <c r="AG166" s="57"/>
      <c r="AH166" s="59"/>
      <c r="AI166" s="59"/>
      <c r="AJ166" s="57"/>
      <c r="AK166" s="57"/>
      <c r="AL166" s="59"/>
      <c r="AM166" s="59"/>
      <c r="AN166" s="59"/>
      <c r="AO166" s="60"/>
      <c r="AP166" s="57"/>
      <c r="AQ166" s="77"/>
      <c r="AR166" s="76"/>
    </row>
    <row r="167" spans="1:44" ht="40.799999999999997" x14ac:dyDescent="0.3">
      <c r="A167" s="56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8"/>
      <c r="R167" s="57"/>
      <c r="S167" s="59"/>
      <c r="T167" s="57"/>
      <c r="U167" s="57"/>
      <c r="V167" s="59"/>
      <c r="W167" s="59"/>
      <c r="X167" s="57"/>
      <c r="Y167" s="57"/>
      <c r="Z167" s="59"/>
      <c r="AA167" s="59"/>
      <c r="AB167" s="57"/>
      <c r="AC167" s="57"/>
      <c r="AD167" s="59"/>
      <c r="AE167" s="59"/>
      <c r="AF167" s="57"/>
      <c r="AG167" s="57"/>
      <c r="AH167" s="59"/>
      <c r="AI167" s="59"/>
      <c r="AJ167" s="57"/>
      <c r="AK167" s="57"/>
      <c r="AL167" s="59"/>
      <c r="AM167" s="59"/>
      <c r="AN167" s="59"/>
      <c r="AO167" s="60"/>
      <c r="AP167" s="57"/>
      <c r="AQ167" s="77"/>
      <c r="AR167" s="76"/>
    </row>
    <row r="168" spans="1:44" ht="40.799999999999997" x14ac:dyDescent="0.3">
      <c r="A168" s="56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8"/>
      <c r="R168" s="57"/>
      <c r="S168" s="59"/>
      <c r="T168" s="57"/>
      <c r="U168" s="57"/>
      <c r="V168" s="59"/>
      <c r="W168" s="59"/>
      <c r="X168" s="57"/>
      <c r="Y168" s="57"/>
      <c r="Z168" s="59"/>
      <c r="AA168" s="59"/>
      <c r="AB168" s="57"/>
      <c r="AC168" s="57"/>
      <c r="AD168" s="59"/>
      <c r="AE168" s="59"/>
      <c r="AF168" s="57"/>
      <c r="AG168" s="57"/>
      <c r="AH168" s="59"/>
      <c r="AI168" s="59"/>
      <c r="AJ168" s="57"/>
      <c r="AK168" s="57"/>
      <c r="AL168" s="59"/>
      <c r="AM168" s="59"/>
      <c r="AN168" s="59"/>
      <c r="AO168" s="60"/>
      <c r="AP168" s="57"/>
      <c r="AQ168" s="77"/>
      <c r="AR168" s="76"/>
    </row>
    <row r="169" spans="1:44" ht="40.799999999999997" x14ac:dyDescent="0.3">
      <c r="A169" s="56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8"/>
      <c r="R169" s="57"/>
      <c r="S169" s="59"/>
      <c r="T169" s="57"/>
      <c r="U169" s="57"/>
      <c r="V169" s="59"/>
      <c r="W169" s="59"/>
      <c r="X169" s="57"/>
      <c r="Y169" s="57"/>
      <c r="Z169" s="59"/>
      <c r="AA169" s="59"/>
      <c r="AB169" s="57"/>
      <c r="AC169" s="57"/>
      <c r="AD169" s="59"/>
      <c r="AE169" s="59"/>
      <c r="AF169" s="57"/>
      <c r="AG169" s="57"/>
      <c r="AH169" s="59"/>
      <c r="AI169" s="59"/>
      <c r="AJ169" s="57"/>
      <c r="AK169" s="57"/>
      <c r="AL169" s="59"/>
      <c r="AM169" s="59"/>
      <c r="AN169" s="59"/>
      <c r="AO169" s="60"/>
      <c r="AP169" s="57"/>
      <c r="AQ169" s="77"/>
      <c r="AR169" s="76"/>
    </row>
    <row r="170" spans="1:44" ht="40.799999999999997" x14ac:dyDescent="0.3">
      <c r="A170" s="56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8"/>
      <c r="R170" s="57"/>
      <c r="S170" s="59"/>
      <c r="T170" s="57"/>
      <c r="U170" s="57"/>
      <c r="V170" s="59"/>
      <c r="W170" s="59"/>
      <c r="X170" s="57"/>
      <c r="Y170" s="57"/>
      <c r="Z170" s="59"/>
      <c r="AA170" s="59"/>
      <c r="AB170" s="57"/>
      <c r="AC170" s="57"/>
      <c r="AD170" s="59"/>
      <c r="AE170" s="59"/>
      <c r="AF170" s="57"/>
      <c r="AG170" s="57"/>
      <c r="AH170" s="59"/>
      <c r="AI170" s="59"/>
      <c r="AJ170" s="57"/>
      <c r="AK170" s="57"/>
      <c r="AL170" s="59"/>
      <c r="AM170" s="59"/>
      <c r="AN170" s="59"/>
      <c r="AO170" s="60"/>
      <c r="AP170" s="57"/>
      <c r="AQ170" s="77"/>
      <c r="AR170" s="76"/>
    </row>
    <row r="171" spans="1:44" ht="40.799999999999997" x14ac:dyDescent="0.3">
      <c r="A171" s="56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8"/>
      <c r="R171" s="57"/>
      <c r="S171" s="59"/>
      <c r="T171" s="57"/>
      <c r="U171" s="57"/>
      <c r="V171" s="59"/>
      <c r="W171" s="59"/>
      <c r="X171" s="57"/>
      <c r="Y171" s="57"/>
      <c r="Z171" s="59"/>
      <c r="AA171" s="59"/>
      <c r="AB171" s="57"/>
      <c r="AC171" s="57"/>
      <c r="AD171" s="59"/>
      <c r="AE171" s="59"/>
      <c r="AF171" s="57"/>
      <c r="AG171" s="57"/>
      <c r="AH171" s="59"/>
      <c r="AI171" s="59"/>
      <c r="AJ171" s="57"/>
      <c r="AK171" s="57"/>
      <c r="AL171" s="59"/>
      <c r="AM171" s="59"/>
      <c r="AN171" s="59"/>
      <c r="AO171" s="60"/>
      <c r="AP171" s="57"/>
      <c r="AQ171" s="77"/>
      <c r="AR171" s="76"/>
    </row>
    <row r="172" spans="1:44" ht="40.799999999999997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/>
    </row>
    <row r="173" spans="1:44" ht="40.799999999999997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/>
    </row>
    <row r="174" spans="1:44" ht="40.799999999999997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/>
    </row>
    <row r="175" spans="1:44" ht="40.799999999999997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/>
    </row>
    <row r="176" spans="1:44" ht="40.799999999999997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/>
    </row>
    <row r="177" spans="1:44" ht="40.799999999999997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/>
    </row>
    <row r="178" spans="1:44" ht="40.799999999999997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/>
    </row>
    <row r="179" spans="1:44" ht="40.799999999999997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/>
    </row>
    <row r="180" spans="1:44" ht="40.799999999999997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/>
    </row>
    <row r="181" spans="1:44" ht="40.799999999999997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/>
    </row>
    <row r="182" spans="1:44" ht="40.799999999999997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/>
    </row>
    <row r="183" spans="1:44" ht="40.799999999999997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/>
    </row>
    <row r="184" spans="1:44" ht="40.799999999999997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/>
    </row>
    <row r="185" spans="1:44" ht="40.799999999999997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/>
    </row>
    <row r="186" spans="1:44" ht="40.799999999999997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/>
    </row>
    <row r="187" spans="1:44" ht="40.799999999999997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/>
    </row>
    <row r="188" spans="1:44" ht="40.799999999999997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/>
    </row>
    <row r="189" spans="1:44" ht="40.799999999999997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/>
    </row>
    <row r="190" spans="1:44" ht="40.799999999999997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/>
    </row>
    <row r="191" spans="1:44" ht="40.799999999999997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/>
    </row>
    <row r="192" spans="1:44" ht="40.799999999999997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/>
    </row>
    <row r="193" spans="1:44" ht="40.799999999999997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/>
    </row>
    <row r="194" spans="1:44" ht="40.799999999999997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/>
    </row>
    <row r="195" spans="1:44" ht="40.799999999999997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/>
    </row>
    <row r="196" spans="1:44" ht="40.799999999999997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/>
    </row>
    <row r="197" spans="1:44" ht="40.799999999999997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/>
    </row>
    <row r="198" spans="1:44" ht="40.799999999999997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/>
    </row>
    <row r="199" spans="1:44" ht="40.799999999999997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/>
    </row>
    <row r="200" spans="1:44" ht="40.799999999999997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/>
    </row>
    <row r="201" spans="1:44" ht="40.799999999999997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/>
    </row>
    <row r="202" spans="1:44" ht="40.799999999999997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/>
    </row>
    <row r="203" spans="1:44" ht="40.799999999999997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/>
    </row>
    <row r="204" spans="1:44" ht="40.799999999999997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/>
    </row>
    <row r="205" spans="1:44" ht="40.799999999999997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/>
    </row>
    <row r="206" spans="1:44" ht="40.799999999999997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/>
    </row>
    <row r="207" spans="1:44" ht="40.799999999999997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/>
    </row>
    <row r="208" spans="1:44" ht="40.799999999999997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/>
    </row>
    <row r="209" spans="1:44" ht="40.799999999999997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/>
    </row>
    <row r="210" spans="1:44" ht="40.799999999999997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/>
    </row>
    <row r="211" spans="1:44" ht="40.799999999999997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/>
    </row>
    <row r="212" spans="1:44" ht="40.799999999999997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/>
    </row>
    <row r="213" spans="1:44" ht="40.799999999999997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/>
    </row>
    <row r="214" spans="1:44" ht="40.799999999999997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/>
    </row>
    <row r="215" spans="1:44" ht="40.799999999999997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/>
    </row>
    <row r="216" spans="1:44" ht="40.799999999999997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/>
    </row>
    <row r="217" spans="1:44" ht="40.799999999999997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/>
    </row>
    <row r="218" spans="1:44" ht="40.799999999999997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/>
    </row>
    <row r="219" spans="1:44" ht="40.799999999999997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/>
    </row>
    <row r="220" spans="1:44" ht="40.799999999999997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/>
    </row>
    <row r="221" spans="1:44" ht="40.799999999999997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/>
    </row>
    <row r="222" spans="1:44" ht="40.799999999999997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/>
    </row>
    <row r="223" spans="1:44" ht="40.799999999999997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/>
    </row>
    <row r="224" spans="1:44" ht="40.799999999999997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/>
    </row>
    <row r="225" spans="1:44" ht="40.799999999999997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/>
    </row>
    <row r="226" spans="1:44" ht="40.799999999999997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/>
    </row>
    <row r="227" spans="1:44" ht="40.799999999999997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/>
    </row>
    <row r="228" spans="1:44" ht="40.799999999999997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/>
    </row>
    <row r="229" spans="1:44" ht="40.799999999999997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/>
    </row>
    <row r="230" spans="1:44" ht="40.799999999999997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/>
    </row>
    <row r="231" spans="1:44" ht="40.799999999999997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/>
    </row>
    <row r="232" spans="1:44" ht="40.799999999999997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/>
    </row>
    <row r="233" spans="1:44" ht="40.799999999999997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/>
    </row>
    <row r="234" spans="1:44" ht="40.799999999999997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/>
    </row>
    <row r="235" spans="1:44" ht="40.799999999999997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/>
    </row>
    <row r="236" spans="1:44" ht="40.799999999999997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/>
    </row>
    <row r="237" spans="1:44" ht="40.799999999999997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/>
    </row>
    <row r="238" spans="1:44" ht="40.799999999999997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/>
    </row>
    <row r="239" spans="1:44" ht="40.799999999999997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/>
    </row>
    <row r="240" spans="1:44" ht="40.799999999999997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/>
    </row>
    <row r="241" spans="1:44" ht="40.799999999999997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/>
    </row>
    <row r="242" spans="1:44" ht="40.799999999999997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/>
    </row>
    <row r="243" spans="1:44" ht="40.799999999999997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/>
    </row>
    <row r="244" spans="1:44" ht="40.799999999999997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/>
    </row>
    <row r="245" spans="1:44" ht="40.799999999999997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/>
    </row>
    <row r="246" spans="1:44" ht="40.799999999999997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/>
    </row>
    <row r="247" spans="1:44" ht="40.799999999999997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/>
    </row>
    <row r="248" spans="1:44" ht="40.799999999999997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/>
    </row>
    <row r="249" spans="1:44" ht="40.799999999999997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/>
    </row>
    <row r="250" spans="1:44" ht="40.799999999999997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/>
    </row>
    <row r="251" spans="1:44" ht="40.799999999999997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/>
    </row>
    <row r="252" spans="1:44" ht="40.799999999999997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/>
    </row>
    <row r="253" spans="1:44" ht="40.799999999999997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/>
    </row>
    <row r="254" spans="1:44" ht="40.799999999999997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/>
    </row>
    <row r="255" spans="1:44" ht="40.799999999999997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/>
    </row>
    <row r="256" spans="1:44" ht="40.799999999999997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/>
    </row>
    <row r="257" spans="1:44" ht="40.799999999999997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/>
    </row>
    <row r="258" spans="1:44" ht="40.799999999999997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/>
    </row>
    <row r="259" spans="1:44" ht="40.799999999999997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/>
    </row>
    <row r="260" spans="1:44" ht="40.799999999999997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/>
    </row>
    <row r="261" spans="1:44" ht="40.799999999999997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/>
    </row>
    <row r="262" spans="1:44" ht="40.799999999999997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/>
    </row>
    <row r="263" spans="1:44" ht="40.799999999999997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/>
    </row>
    <row r="264" spans="1:44" ht="40.799999999999997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/>
    </row>
    <row r="265" spans="1:44" ht="40.799999999999997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/>
    </row>
    <row r="266" spans="1:44" ht="40.799999999999997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/>
    </row>
    <row r="267" spans="1:44" ht="40.799999999999997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/>
    </row>
    <row r="268" spans="1:44" ht="40.799999999999997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/>
    </row>
    <row r="269" spans="1:44" ht="40.799999999999997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/>
    </row>
    <row r="270" spans="1:44" ht="40.799999999999997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/>
    </row>
    <row r="271" spans="1:44" ht="40.799999999999997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/>
    </row>
    <row r="272" spans="1:44" ht="40.799999999999997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/>
    </row>
    <row r="273" spans="1:44" ht="40.799999999999997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/>
    </row>
    <row r="274" spans="1:44" ht="40.799999999999997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/>
    </row>
    <row r="275" spans="1:44" ht="40.799999999999997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/>
    </row>
    <row r="276" spans="1:44" ht="40.799999999999997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/>
    </row>
    <row r="277" spans="1:44" ht="40.799999999999997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/>
    </row>
    <row r="278" spans="1:44" ht="40.799999999999997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/>
    </row>
    <row r="279" spans="1:44" ht="40.799999999999997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/>
    </row>
    <row r="280" spans="1:44" ht="40.799999999999997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/>
    </row>
    <row r="281" spans="1:44" ht="40.799999999999997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/>
    </row>
    <row r="282" spans="1:44" ht="40.799999999999997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/>
    </row>
    <row r="283" spans="1:44" ht="40.799999999999997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/>
    </row>
    <row r="284" spans="1:44" ht="40.799999999999997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/>
    </row>
    <row r="285" spans="1:44" ht="40.799999999999997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B9"/>
  <sheetViews>
    <sheetView zoomScale="70" zoomScaleNormal="70" workbookViewId="0">
      <selection activeCell="B8" sqref="B8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2" x14ac:dyDescent="0.3">
      <c r="A1" s="83" t="s">
        <v>4816</v>
      </c>
      <c r="B1" s="84"/>
    </row>
    <row r="2" spans="1:2" x14ac:dyDescent="0.3">
      <c r="A2" s="81" t="s">
        <v>4817</v>
      </c>
      <c r="B2" s="82">
        <v>43302.375</v>
      </c>
    </row>
    <row r="3" spans="1:2" x14ac:dyDescent="0.3">
      <c r="A3" s="81" t="s">
        <v>4818</v>
      </c>
      <c r="B3" s="50">
        <v>43302.645833333299</v>
      </c>
    </row>
    <row r="4" spans="1:2" x14ac:dyDescent="0.3">
      <c r="A4" s="83" t="s">
        <v>4819</v>
      </c>
      <c r="B4" s="84"/>
    </row>
    <row r="5" spans="1:2" x14ac:dyDescent="0.3">
      <c r="A5" s="81" t="s">
        <v>4820</v>
      </c>
      <c r="B5" s="50">
        <v>1.0416666666666701E-2</v>
      </c>
    </row>
    <row r="6" spans="1:2" x14ac:dyDescent="0.3">
      <c r="A6" s="81" t="s">
        <v>4821</v>
      </c>
      <c r="B6" s="50">
        <f>B5/5</f>
        <v>2.0833333333333402E-3</v>
      </c>
    </row>
    <row r="7" spans="1:2" x14ac:dyDescent="0.3">
      <c r="A7" s="83" t="s">
        <v>4832</v>
      </c>
      <c r="B7" s="84"/>
    </row>
    <row r="8" spans="1:2" x14ac:dyDescent="0.3">
      <c r="A8" s="81" t="s">
        <v>4831</v>
      </c>
      <c r="B8" s="50">
        <v>55</v>
      </c>
    </row>
    <row r="9" spans="1:2" x14ac:dyDescent="0.3">
      <c r="A9" s="81"/>
      <c r="B9" s="50"/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4812</v>
      </c>
      <c r="D1" t="s">
        <v>4811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4810</v>
      </c>
      <c r="G3" t="s">
        <v>4809</v>
      </c>
      <c r="H3" t="s">
        <v>4808</v>
      </c>
      <c r="I3" t="s">
        <v>4807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4813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4806</v>
      </c>
      <c r="E6" s="65">
        <f>C6/J5</f>
        <v>83.999999999301508</v>
      </c>
      <c r="K6" t="s">
        <v>4814</v>
      </c>
    </row>
    <row r="13" spans="1:11" x14ac:dyDescent="0.3">
      <c r="E13" t="s">
        <v>4804</v>
      </c>
      <c r="F13" t="s">
        <v>4805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2018-07-24T10:34:50Z</dcterms:modified>
</cp:coreProperties>
</file>