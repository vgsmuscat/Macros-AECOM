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firstSheet="2" activeTab="5"/>
  </bookViews>
  <sheets>
    <sheet name="Portfolio" sheetId="2" r:id="rId1"/>
    <sheet name="nse" sheetId="4" state="hidden" r:id="rId2"/>
    <sheet name="Stocks" sheetId="6" r:id="rId3"/>
    <sheet name="Sheet1" sheetId="5" r:id="rId4"/>
    <sheet name="Export Data" sheetId="7" r:id="rId5"/>
    <sheet name="TotalBuySellGraph" sheetId="9" r:id="rId6"/>
    <sheet name="Basic data" sheetId="10" r:id="rId7"/>
    <sheet name="Rough Calculation" sheetId="8" r:id="rId8"/>
  </sheets>
  <functionGroups builtInGroupCount="18"/>
  <definedNames>
    <definedName name="_xlnm._FilterDatabase" localSheetId="0" hidden="1">Portfolio!$B$4:$T$1600</definedName>
    <definedName name="_xlnm._FilterDatabase" localSheetId="2" hidden="1">Stocks!$B$1:$B$1597</definedName>
  </definedNames>
  <calcPr calcId="152511"/>
</workbook>
</file>

<file path=xl/calcChain.xml><?xml version="1.0" encoding="utf-8"?>
<calcChain xmlns="http://schemas.openxmlformats.org/spreadsheetml/2006/main">
  <c r="E24" i="8" l="1"/>
  <c r="E23" i="8"/>
  <c r="E22" i="8"/>
  <c r="E21" i="8"/>
  <c r="E20" i="8"/>
  <c r="E19" i="8"/>
  <c r="E18" i="8"/>
  <c r="E17" i="8"/>
  <c r="E16" i="8"/>
  <c r="E15" i="8"/>
  <c r="E6" i="8"/>
  <c r="C6" i="8"/>
  <c r="B6" i="8"/>
  <c r="J5" i="8"/>
  <c r="B5" i="8"/>
  <c r="I4" i="8"/>
  <c r="H4" i="8"/>
  <c r="B4" i="8"/>
  <c r="B3" i="8"/>
  <c r="A2" i="8"/>
  <c r="B1" i="8"/>
  <c r="B6" i="10"/>
  <c r="AR350" i="7"/>
  <c r="AR349" i="7"/>
  <c r="AR348" i="7"/>
  <c r="AR347" i="7"/>
  <c r="AR346" i="7"/>
  <c r="AR345" i="7"/>
  <c r="AR344" i="7"/>
  <c r="AR343" i="7"/>
  <c r="AR342" i="7"/>
  <c r="AR341" i="7"/>
  <c r="AR340" i="7"/>
  <c r="AR339" i="7"/>
  <c r="AR338" i="7"/>
  <c r="AR337" i="7"/>
  <c r="AR336" i="7"/>
  <c r="AR335" i="7"/>
  <c r="AR334" i="7"/>
  <c r="AR333" i="7"/>
  <c r="AR332" i="7"/>
  <c r="AR331" i="7"/>
  <c r="AR330" i="7"/>
  <c r="AR329" i="7"/>
  <c r="AR328" i="7"/>
  <c r="AR327" i="7"/>
  <c r="AR326" i="7"/>
  <c r="AR325" i="7"/>
  <c r="AR324" i="7"/>
  <c r="AR323" i="7"/>
  <c r="AR322" i="7"/>
  <c r="AR321" i="7"/>
  <c r="AR320" i="7"/>
  <c r="AR319" i="7"/>
  <c r="AR318" i="7"/>
  <c r="AR317" i="7"/>
  <c r="AR316" i="7"/>
  <c r="AR315" i="7"/>
  <c r="AR314" i="7"/>
  <c r="AR313" i="7"/>
  <c r="AR312" i="7"/>
  <c r="AR311" i="7"/>
  <c r="AR310" i="7"/>
  <c r="AR309" i="7"/>
  <c r="AR308" i="7"/>
  <c r="AR307" i="7"/>
  <c r="AR306" i="7"/>
  <c r="AR305" i="7"/>
  <c r="AR304" i="7"/>
  <c r="AR303" i="7"/>
  <c r="AR302" i="7"/>
  <c r="AR301" i="7"/>
  <c r="AR300" i="7"/>
  <c r="AR299" i="7"/>
  <c r="AR298" i="7"/>
  <c r="AR297" i="7"/>
  <c r="AR296" i="7"/>
  <c r="AR295" i="7"/>
  <c r="AR294" i="7"/>
  <c r="AR293" i="7"/>
  <c r="AR292" i="7"/>
  <c r="AR291" i="7"/>
  <c r="AR290" i="7"/>
  <c r="AR289" i="7"/>
  <c r="AR288" i="7"/>
  <c r="AR287" i="7"/>
  <c r="AR286" i="7"/>
  <c r="AR285" i="7"/>
  <c r="AR284" i="7"/>
  <c r="AR283" i="7"/>
  <c r="AR282" i="7"/>
  <c r="AR281" i="7"/>
  <c r="AR280" i="7"/>
  <c r="AR279" i="7"/>
  <c r="AR278" i="7"/>
  <c r="AR277" i="7"/>
  <c r="AR276" i="7"/>
  <c r="AR275" i="7"/>
  <c r="AR274" i="7"/>
  <c r="AR273" i="7"/>
  <c r="AR272" i="7"/>
  <c r="AR271" i="7"/>
  <c r="AR270" i="7"/>
  <c r="AR269" i="7"/>
  <c r="AR268" i="7"/>
  <c r="AR267" i="7"/>
  <c r="AR266" i="7"/>
  <c r="AR265" i="7"/>
  <c r="AR264" i="7"/>
  <c r="AR263" i="7"/>
  <c r="AR262" i="7"/>
  <c r="AR261" i="7"/>
  <c r="AR260" i="7"/>
  <c r="AR259" i="7"/>
  <c r="AR258" i="7"/>
  <c r="AR257" i="7"/>
  <c r="AR256" i="7"/>
  <c r="AR255" i="7"/>
  <c r="AR254" i="7"/>
  <c r="AR253" i="7"/>
  <c r="AR252" i="7"/>
  <c r="AR251" i="7"/>
  <c r="AR250" i="7"/>
  <c r="AR249" i="7"/>
  <c r="AR248" i="7"/>
  <c r="AR247" i="7"/>
  <c r="AR246" i="7"/>
  <c r="AR245" i="7"/>
  <c r="AR244" i="7"/>
  <c r="AR243" i="7"/>
  <c r="AR242" i="7"/>
  <c r="AR241" i="7"/>
  <c r="AR240" i="7"/>
  <c r="AR239" i="7"/>
  <c r="AR238" i="7"/>
  <c r="AR237" i="7"/>
  <c r="AR236" i="7"/>
  <c r="AR235" i="7"/>
  <c r="AR234" i="7"/>
  <c r="AR233" i="7"/>
  <c r="AR232" i="7"/>
  <c r="AR231" i="7"/>
  <c r="AR230" i="7"/>
  <c r="AR229" i="7"/>
  <c r="AR228" i="7"/>
  <c r="AR227" i="7"/>
  <c r="AR226" i="7"/>
  <c r="AR225" i="7"/>
  <c r="AR224" i="7"/>
  <c r="AR223" i="7"/>
  <c r="AR222" i="7"/>
  <c r="AR221" i="7"/>
  <c r="AR220" i="7"/>
  <c r="AR219" i="7"/>
  <c r="AR218" i="7"/>
  <c r="AR217" i="7"/>
  <c r="AR216" i="7"/>
  <c r="AR215" i="7"/>
  <c r="AR214" i="7"/>
  <c r="AR213" i="7"/>
  <c r="AR212" i="7"/>
  <c r="AR211" i="7"/>
  <c r="AR210" i="7"/>
  <c r="AR209" i="7"/>
  <c r="AR208" i="7"/>
  <c r="AR207" i="7"/>
  <c r="AR206" i="7"/>
  <c r="AR205" i="7"/>
  <c r="AR204" i="7"/>
  <c r="AR203" i="7"/>
  <c r="AR202" i="7"/>
  <c r="AR201" i="7"/>
  <c r="AR200" i="7"/>
  <c r="AR199" i="7"/>
  <c r="AR198" i="7"/>
  <c r="AR197" i="7"/>
  <c r="AR196" i="7"/>
  <c r="AR195" i="7"/>
  <c r="AR194" i="7"/>
  <c r="AR193" i="7"/>
  <c r="AR192" i="7"/>
  <c r="AR191" i="7"/>
  <c r="AR190" i="7"/>
  <c r="AR189" i="7"/>
  <c r="AR188" i="7"/>
  <c r="AR187" i="7"/>
  <c r="AR186" i="7"/>
  <c r="AR185" i="7"/>
  <c r="AR184" i="7"/>
  <c r="AR183" i="7"/>
  <c r="AR182" i="7"/>
  <c r="AR181" i="7"/>
  <c r="AR180" i="7"/>
  <c r="AR179" i="7"/>
  <c r="AR178" i="7"/>
  <c r="AR177" i="7"/>
  <c r="AR176" i="7"/>
  <c r="AR175" i="7"/>
  <c r="AR174" i="7"/>
  <c r="AR173" i="7"/>
  <c r="AR172" i="7"/>
  <c r="AR171" i="7"/>
  <c r="AR170" i="7"/>
  <c r="AR169" i="7"/>
  <c r="AR168" i="7"/>
  <c r="AR167" i="7"/>
  <c r="AR166" i="7"/>
  <c r="AR165" i="7"/>
  <c r="AR164" i="7"/>
  <c r="AR163" i="7"/>
  <c r="AR162" i="7"/>
  <c r="AR161" i="7"/>
  <c r="AR160" i="7"/>
  <c r="AR159" i="7"/>
  <c r="AR158" i="7"/>
  <c r="AR157" i="7"/>
  <c r="AR156" i="7"/>
  <c r="AR155" i="7"/>
  <c r="AR154" i="7"/>
  <c r="AR153" i="7"/>
  <c r="AR152" i="7"/>
  <c r="AR151" i="7"/>
  <c r="AR150" i="7"/>
  <c r="AR149" i="7"/>
  <c r="AR148" i="7"/>
  <c r="AR147" i="7"/>
  <c r="AR146" i="7"/>
  <c r="AR145" i="7"/>
  <c r="AR144" i="7"/>
  <c r="AR143" i="7"/>
  <c r="AR142" i="7"/>
  <c r="AR141" i="7"/>
  <c r="AR140" i="7"/>
  <c r="AR139" i="7"/>
  <c r="AR138" i="7"/>
  <c r="AR137" i="7"/>
  <c r="AR136" i="7"/>
  <c r="AR135" i="7"/>
  <c r="AR134" i="7"/>
  <c r="AR133" i="7"/>
  <c r="AR132" i="7"/>
  <c r="AR131" i="7"/>
  <c r="AR130" i="7"/>
  <c r="AR129" i="7"/>
  <c r="AR128" i="7"/>
  <c r="AR127" i="7"/>
  <c r="AR126" i="7"/>
  <c r="AR125" i="7"/>
  <c r="AR124" i="7"/>
  <c r="AR123" i="7"/>
  <c r="AR122" i="7"/>
  <c r="AR121" i="7"/>
  <c r="AR120" i="7"/>
  <c r="AR119" i="7"/>
  <c r="AR118" i="7"/>
  <c r="AR117" i="7"/>
  <c r="AR116" i="7"/>
  <c r="AR115" i="7"/>
  <c r="AR114" i="7"/>
  <c r="AR113" i="7"/>
  <c r="AR112" i="7"/>
  <c r="AR111" i="7"/>
  <c r="AR110" i="7"/>
  <c r="AR109" i="7"/>
  <c r="AR108" i="7"/>
  <c r="AR107" i="7"/>
  <c r="AR106" i="7"/>
  <c r="AR105" i="7"/>
  <c r="AR104" i="7"/>
  <c r="AR103" i="7"/>
  <c r="AR102" i="7"/>
  <c r="AR101" i="7"/>
  <c r="AR100" i="7"/>
  <c r="AR99" i="7"/>
  <c r="AR98" i="7"/>
  <c r="AR97" i="7"/>
  <c r="AR96" i="7"/>
  <c r="AR95" i="7"/>
  <c r="AR94" i="7"/>
  <c r="AR93" i="7"/>
  <c r="AR92" i="7"/>
  <c r="AR91" i="7"/>
  <c r="AR90" i="7"/>
  <c r="AR89" i="7"/>
  <c r="AR88" i="7"/>
  <c r="AR87" i="7"/>
  <c r="AR86" i="7"/>
  <c r="AR85" i="7"/>
  <c r="AR84" i="7"/>
  <c r="AR83" i="7"/>
  <c r="AR82" i="7"/>
  <c r="AR81" i="7"/>
  <c r="AR80" i="7"/>
  <c r="AR79" i="7"/>
  <c r="AR78" i="7"/>
  <c r="AR77" i="7"/>
  <c r="AR76" i="7"/>
  <c r="AR75" i="7"/>
  <c r="AR74" i="7"/>
  <c r="AR73" i="7"/>
  <c r="AR72" i="7"/>
  <c r="AR71" i="7"/>
  <c r="AR70" i="7"/>
  <c r="AR69" i="7"/>
  <c r="AR68" i="7"/>
  <c r="AR67" i="7"/>
  <c r="AR66" i="7"/>
  <c r="AR65" i="7"/>
  <c r="AR64" i="7"/>
  <c r="AR63" i="7"/>
  <c r="AR62" i="7"/>
  <c r="AR61" i="7"/>
  <c r="AR60" i="7"/>
  <c r="AR59" i="7"/>
  <c r="AR58" i="7"/>
  <c r="AR57" i="7"/>
  <c r="AR56" i="7"/>
  <c r="AR55" i="7"/>
  <c r="AR54" i="7"/>
  <c r="AR53" i="7"/>
  <c r="AR52" i="7"/>
  <c r="AR51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R35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R13" i="7"/>
  <c r="AR12" i="7"/>
  <c r="AR11" i="7"/>
  <c r="AR10" i="7"/>
  <c r="AR9" i="7"/>
  <c r="AR8" i="7"/>
  <c r="AR7" i="7"/>
  <c r="AR6" i="7"/>
  <c r="AR5" i="7"/>
  <c r="AR4" i="7"/>
  <c r="AR3" i="7"/>
  <c r="AR2" i="7"/>
  <c r="D1" i="7"/>
  <c r="G18" i="6"/>
  <c r="F18" i="6"/>
  <c r="D6236" i="2"/>
  <c r="C6236" i="2"/>
  <c r="D6235" i="2"/>
  <c r="C6235" i="2"/>
  <c r="D6234" i="2"/>
  <c r="C6234" i="2"/>
  <c r="D6233" i="2"/>
  <c r="C6233" i="2"/>
  <c r="D6232" i="2"/>
  <c r="C6232" i="2"/>
  <c r="D6231" i="2"/>
  <c r="C6231" i="2"/>
  <c r="D6230" i="2"/>
  <c r="C6230" i="2"/>
  <c r="D6229" i="2"/>
  <c r="C6229" i="2"/>
  <c r="D6228" i="2"/>
  <c r="C6228" i="2"/>
  <c r="D6227" i="2"/>
  <c r="C6227" i="2"/>
  <c r="D6226" i="2"/>
  <c r="C6226" i="2"/>
  <c r="D6225" i="2"/>
  <c r="C6225" i="2"/>
  <c r="D6224" i="2"/>
  <c r="C6224" i="2"/>
  <c r="D6223" i="2"/>
  <c r="C6223" i="2"/>
  <c r="D6222" i="2"/>
  <c r="C6222" i="2"/>
  <c r="D6221" i="2"/>
  <c r="C6221" i="2"/>
  <c r="D6220" i="2"/>
  <c r="C6220" i="2"/>
  <c r="D6219" i="2"/>
  <c r="C6219" i="2"/>
  <c r="D6218" i="2"/>
  <c r="C6218" i="2"/>
  <c r="D6217" i="2"/>
  <c r="C6217" i="2"/>
  <c r="D6216" i="2"/>
  <c r="C6216" i="2"/>
  <c r="D6215" i="2"/>
  <c r="C6215" i="2"/>
  <c r="D6214" i="2"/>
  <c r="C6214" i="2"/>
  <c r="D6213" i="2"/>
  <c r="C6213" i="2"/>
  <c r="D6212" i="2"/>
  <c r="C6212" i="2"/>
  <c r="D6211" i="2"/>
  <c r="C6211" i="2"/>
  <c r="D6210" i="2"/>
  <c r="C6210" i="2"/>
  <c r="D6209" i="2"/>
  <c r="C6209" i="2"/>
  <c r="D6208" i="2"/>
  <c r="C6208" i="2"/>
  <c r="D6207" i="2"/>
  <c r="C6207" i="2"/>
  <c r="D6206" i="2"/>
  <c r="C6206" i="2"/>
  <c r="D6205" i="2"/>
  <c r="C6205" i="2"/>
  <c r="D6204" i="2"/>
  <c r="C6204" i="2"/>
  <c r="D6203" i="2"/>
  <c r="C6203" i="2"/>
  <c r="D6202" i="2"/>
  <c r="C6202" i="2"/>
  <c r="D6201" i="2"/>
  <c r="C6201" i="2"/>
  <c r="D6200" i="2"/>
  <c r="C6200" i="2"/>
  <c r="D6199" i="2"/>
  <c r="C6199" i="2"/>
  <c r="D6198" i="2"/>
  <c r="C6198" i="2"/>
  <c r="D6197" i="2"/>
  <c r="C6197" i="2"/>
  <c r="D6196" i="2"/>
  <c r="C6196" i="2"/>
  <c r="D6195" i="2"/>
  <c r="C6195" i="2"/>
  <c r="D6194" i="2"/>
  <c r="C6194" i="2"/>
  <c r="D6193" i="2"/>
  <c r="C6193" i="2"/>
  <c r="D6192" i="2"/>
  <c r="C6192" i="2"/>
  <c r="D6191" i="2"/>
  <c r="C6191" i="2"/>
  <c r="D6190" i="2"/>
  <c r="C6190" i="2"/>
  <c r="D6189" i="2"/>
  <c r="C6189" i="2"/>
  <c r="D6188" i="2"/>
  <c r="C6188" i="2"/>
  <c r="D6187" i="2"/>
  <c r="C6187" i="2"/>
  <c r="D6186" i="2"/>
  <c r="C6186" i="2"/>
  <c r="D6185" i="2"/>
  <c r="C6185" i="2"/>
  <c r="D6184" i="2"/>
  <c r="C6184" i="2"/>
  <c r="D6183" i="2"/>
  <c r="C6183" i="2"/>
  <c r="D6182" i="2"/>
  <c r="C6182" i="2"/>
  <c r="D6181" i="2"/>
  <c r="C6181" i="2"/>
  <c r="D6180" i="2"/>
  <c r="C6180" i="2"/>
  <c r="D6179" i="2"/>
  <c r="C6179" i="2"/>
  <c r="D6178" i="2"/>
  <c r="C6178" i="2"/>
  <c r="D6177" i="2"/>
  <c r="C6177" i="2"/>
  <c r="D6176" i="2"/>
  <c r="C6176" i="2"/>
  <c r="D6175" i="2"/>
  <c r="C6175" i="2"/>
  <c r="D6174" i="2"/>
  <c r="C6174" i="2"/>
  <c r="D6173" i="2"/>
  <c r="C6173" i="2"/>
  <c r="D6172" i="2"/>
  <c r="C6172" i="2"/>
  <c r="D6171" i="2"/>
  <c r="C6171" i="2"/>
  <c r="D6170" i="2"/>
  <c r="C6170" i="2"/>
  <c r="D6169" i="2"/>
  <c r="C6169" i="2"/>
  <c r="D6168" i="2"/>
  <c r="C6168" i="2"/>
  <c r="D6167" i="2"/>
  <c r="C6167" i="2"/>
  <c r="D6166" i="2"/>
  <c r="C6166" i="2"/>
  <c r="D6165" i="2"/>
  <c r="C6165" i="2"/>
  <c r="D6164" i="2"/>
  <c r="C6164" i="2"/>
  <c r="D6163" i="2"/>
  <c r="C6163" i="2"/>
  <c r="D6162" i="2"/>
  <c r="C6162" i="2"/>
  <c r="D6161" i="2"/>
  <c r="C6161" i="2"/>
  <c r="D6160" i="2"/>
  <c r="C6160" i="2"/>
  <c r="D6159" i="2"/>
  <c r="C6159" i="2"/>
  <c r="D6158" i="2"/>
  <c r="C6158" i="2"/>
  <c r="D6157" i="2"/>
  <c r="C6157" i="2"/>
  <c r="D6156" i="2"/>
  <c r="C6156" i="2"/>
  <c r="D6155" i="2"/>
  <c r="C6155" i="2"/>
  <c r="D6154" i="2"/>
  <c r="C6154" i="2"/>
  <c r="D6153" i="2"/>
  <c r="C6153" i="2"/>
  <c r="D6152" i="2"/>
  <c r="C6152" i="2"/>
  <c r="D6151" i="2"/>
  <c r="C6151" i="2"/>
  <c r="D6150" i="2"/>
  <c r="C6150" i="2"/>
  <c r="D6149" i="2"/>
  <c r="C6149" i="2"/>
  <c r="D6148" i="2"/>
  <c r="C6148" i="2"/>
  <c r="D6147" i="2"/>
  <c r="C6147" i="2"/>
  <c r="D6146" i="2"/>
  <c r="C6146" i="2"/>
  <c r="D6145" i="2"/>
  <c r="C6145" i="2"/>
  <c r="D6144" i="2"/>
  <c r="C6144" i="2"/>
  <c r="D6143" i="2"/>
  <c r="C6143" i="2"/>
  <c r="D6142" i="2"/>
  <c r="C6142" i="2"/>
  <c r="D6141" i="2"/>
  <c r="C6141" i="2"/>
  <c r="D6140" i="2"/>
  <c r="C6140" i="2"/>
  <c r="D6139" i="2"/>
  <c r="C6139" i="2"/>
  <c r="D6138" i="2"/>
  <c r="C6138" i="2"/>
  <c r="D6137" i="2"/>
  <c r="C6137" i="2"/>
  <c r="D6136" i="2"/>
  <c r="C6136" i="2"/>
  <c r="D6135" i="2"/>
  <c r="C6135" i="2"/>
  <c r="D6134" i="2"/>
  <c r="C6134" i="2"/>
  <c r="D6133" i="2"/>
  <c r="C6133" i="2"/>
  <c r="D6132" i="2"/>
  <c r="C6132" i="2"/>
  <c r="D6131" i="2"/>
  <c r="C6131" i="2"/>
  <c r="D6130" i="2"/>
  <c r="C6130" i="2"/>
  <c r="D6129" i="2"/>
  <c r="C6129" i="2"/>
  <c r="D6128" i="2"/>
  <c r="C6128" i="2"/>
  <c r="D6127" i="2"/>
  <c r="C6127" i="2"/>
  <c r="D6126" i="2"/>
  <c r="C6126" i="2"/>
  <c r="D6125" i="2"/>
  <c r="C6125" i="2"/>
  <c r="D6124" i="2"/>
  <c r="C6124" i="2"/>
  <c r="D6123" i="2"/>
  <c r="C6123" i="2"/>
  <c r="D6122" i="2"/>
  <c r="C6122" i="2"/>
  <c r="D6121" i="2"/>
  <c r="C6121" i="2"/>
  <c r="D6120" i="2"/>
  <c r="C6120" i="2"/>
  <c r="D6119" i="2"/>
  <c r="C6119" i="2"/>
  <c r="D6118" i="2"/>
  <c r="C6118" i="2"/>
  <c r="D6117" i="2"/>
  <c r="C6117" i="2"/>
  <c r="D6116" i="2"/>
  <c r="C6116" i="2"/>
  <c r="D6115" i="2"/>
  <c r="C6115" i="2"/>
  <c r="D6114" i="2"/>
  <c r="C6114" i="2"/>
  <c r="D6113" i="2"/>
  <c r="C6113" i="2"/>
  <c r="D6112" i="2"/>
  <c r="C6112" i="2"/>
  <c r="D6111" i="2"/>
  <c r="C6111" i="2"/>
  <c r="D6110" i="2"/>
  <c r="C6110" i="2"/>
  <c r="D6109" i="2"/>
  <c r="C6109" i="2"/>
  <c r="D6108" i="2"/>
  <c r="C6108" i="2"/>
  <c r="D6107" i="2"/>
  <c r="C6107" i="2"/>
  <c r="D6106" i="2"/>
  <c r="C6106" i="2"/>
  <c r="D6105" i="2"/>
  <c r="C6105" i="2"/>
  <c r="D6104" i="2"/>
  <c r="C6104" i="2"/>
  <c r="D6103" i="2"/>
  <c r="C6103" i="2"/>
  <c r="D6102" i="2"/>
  <c r="C6102" i="2"/>
  <c r="D6101" i="2"/>
  <c r="C6101" i="2"/>
  <c r="D6100" i="2"/>
  <c r="C6100" i="2"/>
  <c r="D6099" i="2"/>
  <c r="C6099" i="2"/>
  <c r="D6098" i="2"/>
  <c r="C6098" i="2"/>
  <c r="D6097" i="2"/>
  <c r="C6097" i="2"/>
  <c r="D6096" i="2"/>
  <c r="C6096" i="2"/>
  <c r="D6095" i="2"/>
  <c r="C6095" i="2"/>
  <c r="D6094" i="2"/>
  <c r="C6094" i="2"/>
  <c r="D6093" i="2"/>
  <c r="C6093" i="2"/>
  <c r="D6092" i="2"/>
  <c r="C6092" i="2"/>
  <c r="D6091" i="2"/>
  <c r="C6091" i="2"/>
  <c r="D6090" i="2"/>
  <c r="C6090" i="2"/>
  <c r="D6089" i="2"/>
  <c r="C6089" i="2"/>
  <c r="D6088" i="2"/>
  <c r="C6088" i="2"/>
  <c r="D6087" i="2"/>
  <c r="C6087" i="2"/>
  <c r="D6086" i="2"/>
  <c r="C6086" i="2"/>
  <c r="D6085" i="2"/>
  <c r="C6085" i="2"/>
  <c r="D6084" i="2"/>
  <c r="C6084" i="2"/>
  <c r="D6083" i="2"/>
  <c r="C6083" i="2"/>
  <c r="D6082" i="2"/>
  <c r="C6082" i="2"/>
  <c r="D6081" i="2"/>
  <c r="C6081" i="2"/>
  <c r="D6080" i="2"/>
  <c r="C6080" i="2"/>
  <c r="D6079" i="2"/>
  <c r="C6079" i="2"/>
  <c r="D6078" i="2"/>
  <c r="C6078" i="2"/>
  <c r="D6077" i="2"/>
  <c r="C6077" i="2"/>
  <c r="D6076" i="2"/>
  <c r="C6076" i="2"/>
  <c r="D6075" i="2"/>
  <c r="C6075" i="2"/>
  <c r="D6074" i="2"/>
  <c r="C6074" i="2"/>
  <c r="D6073" i="2"/>
  <c r="C6073" i="2"/>
  <c r="D6072" i="2"/>
  <c r="C6072" i="2"/>
  <c r="D6071" i="2"/>
  <c r="C6071" i="2"/>
  <c r="D6070" i="2"/>
  <c r="C6070" i="2"/>
  <c r="D6069" i="2"/>
  <c r="C6069" i="2"/>
  <c r="D6068" i="2"/>
  <c r="C6068" i="2"/>
  <c r="D6067" i="2"/>
  <c r="C6067" i="2"/>
  <c r="D6066" i="2"/>
  <c r="C6066" i="2"/>
  <c r="D6065" i="2"/>
  <c r="C6065" i="2"/>
  <c r="D6064" i="2"/>
  <c r="C6064" i="2"/>
  <c r="D6063" i="2"/>
  <c r="C6063" i="2"/>
  <c r="D6062" i="2"/>
  <c r="C6062" i="2"/>
  <c r="D6061" i="2"/>
  <c r="C6061" i="2"/>
  <c r="D6060" i="2"/>
  <c r="C6060" i="2"/>
  <c r="D6059" i="2"/>
  <c r="C6059" i="2"/>
  <c r="D6058" i="2"/>
  <c r="C6058" i="2"/>
  <c r="D6057" i="2"/>
  <c r="C6057" i="2"/>
  <c r="D6056" i="2"/>
  <c r="C6056" i="2"/>
  <c r="D6055" i="2"/>
  <c r="C6055" i="2"/>
  <c r="D6054" i="2"/>
  <c r="C6054" i="2"/>
  <c r="D6053" i="2"/>
  <c r="C6053" i="2"/>
  <c r="D6052" i="2"/>
  <c r="C6052" i="2"/>
  <c r="D6051" i="2"/>
  <c r="C6051" i="2"/>
  <c r="D6050" i="2"/>
  <c r="C6050" i="2"/>
  <c r="D6049" i="2"/>
  <c r="C6049" i="2"/>
  <c r="D6048" i="2"/>
  <c r="C6048" i="2"/>
  <c r="D6047" i="2"/>
  <c r="C6047" i="2"/>
  <c r="D6046" i="2"/>
  <c r="C6046" i="2"/>
  <c r="D6045" i="2"/>
  <c r="C6045" i="2"/>
  <c r="D6044" i="2"/>
  <c r="C6044" i="2"/>
  <c r="D6043" i="2"/>
  <c r="C6043" i="2"/>
  <c r="D6042" i="2"/>
  <c r="C6042" i="2"/>
  <c r="D6041" i="2"/>
  <c r="C6041" i="2"/>
  <c r="D6040" i="2"/>
  <c r="C6040" i="2"/>
  <c r="D6039" i="2"/>
  <c r="C6039" i="2"/>
  <c r="D6038" i="2"/>
  <c r="C6038" i="2"/>
  <c r="D6037" i="2"/>
  <c r="C6037" i="2"/>
  <c r="D6036" i="2"/>
  <c r="C6036" i="2"/>
  <c r="D6035" i="2"/>
  <c r="C6035" i="2"/>
  <c r="D6034" i="2"/>
  <c r="C6034" i="2"/>
  <c r="D6033" i="2"/>
  <c r="C6033" i="2"/>
  <c r="D6032" i="2"/>
  <c r="C6032" i="2"/>
  <c r="D6031" i="2"/>
  <c r="C6031" i="2"/>
  <c r="D6030" i="2"/>
  <c r="C6030" i="2"/>
  <c r="D6029" i="2"/>
  <c r="C6029" i="2"/>
  <c r="D6028" i="2"/>
  <c r="C6028" i="2"/>
  <c r="D6027" i="2"/>
  <c r="C6027" i="2"/>
  <c r="D6026" i="2"/>
  <c r="C6026" i="2"/>
  <c r="D6025" i="2"/>
  <c r="C6025" i="2"/>
  <c r="D6024" i="2"/>
  <c r="C6024" i="2"/>
  <c r="D6023" i="2"/>
  <c r="C6023" i="2"/>
  <c r="D6022" i="2"/>
  <c r="C6022" i="2"/>
  <c r="D6021" i="2"/>
  <c r="C6021" i="2"/>
  <c r="D6020" i="2"/>
  <c r="C6020" i="2"/>
  <c r="D6019" i="2"/>
  <c r="C6019" i="2"/>
  <c r="D6018" i="2"/>
  <c r="C6018" i="2"/>
  <c r="D6017" i="2"/>
  <c r="C6017" i="2"/>
  <c r="D6016" i="2"/>
  <c r="C6016" i="2"/>
  <c r="D6015" i="2"/>
  <c r="C6015" i="2"/>
  <c r="D6014" i="2"/>
  <c r="C6014" i="2"/>
  <c r="D6013" i="2"/>
  <c r="C6013" i="2"/>
  <c r="D6012" i="2"/>
  <c r="C6012" i="2"/>
  <c r="D6011" i="2"/>
  <c r="C6011" i="2"/>
  <c r="D6010" i="2"/>
  <c r="C6010" i="2"/>
  <c r="D6009" i="2"/>
  <c r="C6009" i="2"/>
  <c r="D6008" i="2"/>
  <c r="C6008" i="2"/>
  <c r="D6007" i="2"/>
  <c r="C6007" i="2"/>
  <c r="D6006" i="2"/>
  <c r="C6006" i="2"/>
  <c r="D6005" i="2"/>
  <c r="C6005" i="2"/>
  <c r="D6004" i="2"/>
  <c r="C6004" i="2"/>
  <c r="D6003" i="2"/>
  <c r="C6003" i="2"/>
  <c r="D6002" i="2"/>
  <c r="C6002" i="2"/>
  <c r="D6001" i="2"/>
  <c r="C6001" i="2"/>
  <c r="D6000" i="2"/>
  <c r="C6000" i="2"/>
  <c r="D5999" i="2"/>
  <c r="C5999" i="2"/>
  <c r="D5998" i="2"/>
  <c r="C5998" i="2"/>
  <c r="D5997" i="2"/>
  <c r="C5997" i="2"/>
  <c r="D5996" i="2"/>
  <c r="C5996" i="2"/>
  <c r="D5995" i="2"/>
  <c r="C5995" i="2"/>
  <c r="D5994" i="2"/>
  <c r="C5994" i="2"/>
  <c r="D5993" i="2"/>
  <c r="C5993" i="2"/>
  <c r="D5992" i="2"/>
  <c r="C5992" i="2"/>
  <c r="D5991" i="2"/>
  <c r="C5991" i="2"/>
  <c r="D5990" i="2"/>
  <c r="C5990" i="2"/>
  <c r="D5989" i="2"/>
  <c r="C5989" i="2"/>
  <c r="D5988" i="2"/>
  <c r="C5988" i="2"/>
  <c r="D5987" i="2"/>
  <c r="C5987" i="2"/>
  <c r="D5986" i="2"/>
  <c r="C5986" i="2"/>
  <c r="D5985" i="2"/>
  <c r="C5985" i="2"/>
  <c r="D5984" i="2"/>
  <c r="C5984" i="2"/>
  <c r="D5983" i="2"/>
  <c r="C5983" i="2"/>
  <c r="D5982" i="2"/>
  <c r="C5982" i="2"/>
  <c r="D5981" i="2"/>
  <c r="C5981" i="2"/>
  <c r="D5980" i="2"/>
  <c r="C5980" i="2"/>
  <c r="D5979" i="2"/>
  <c r="C5979" i="2"/>
  <c r="D5978" i="2"/>
  <c r="C5978" i="2"/>
  <c r="D5977" i="2"/>
  <c r="C5977" i="2"/>
  <c r="D5976" i="2"/>
  <c r="C5976" i="2"/>
  <c r="D5975" i="2"/>
  <c r="C5975" i="2"/>
  <c r="D5974" i="2"/>
  <c r="C5974" i="2"/>
  <c r="D5973" i="2"/>
  <c r="C5973" i="2"/>
  <c r="D5972" i="2"/>
  <c r="C5972" i="2"/>
  <c r="D5971" i="2"/>
  <c r="C5971" i="2"/>
  <c r="D5970" i="2"/>
  <c r="C5970" i="2"/>
  <c r="D5969" i="2"/>
  <c r="C5969" i="2"/>
  <c r="D5968" i="2"/>
  <c r="C5968" i="2"/>
  <c r="D5967" i="2"/>
  <c r="C5967" i="2"/>
  <c r="D5966" i="2"/>
  <c r="C5966" i="2"/>
  <c r="D5965" i="2"/>
  <c r="C5965" i="2"/>
  <c r="D5964" i="2"/>
  <c r="C5964" i="2"/>
  <c r="D5963" i="2"/>
  <c r="C5963" i="2"/>
  <c r="D5962" i="2"/>
  <c r="C5962" i="2"/>
  <c r="D5961" i="2"/>
  <c r="C5961" i="2"/>
  <c r="D5960" i="2"/>
  <c r="C5960" i="2"/>
  <c r="D5959" i="2"/>
  <c r="C5959" i="2"/>
  <c r="D5958" i="2"/>
  <c r="C5958" i="2"/>
  <c r="D5957" i="2"/>
  <c r="C5957" i="2"/>
  <c r="D5956" i="2"/>
  <c r="C5956" i="2"/>
  <c r="D5955" i="2"/>
  <c r="C5955" i="2"/>
  <c r="D5954" i="2"/>
  <c r="C5954" i="2"/>
  <c r="D5953" i="2"/>
  <c r="C5953" i="2"/>
  <c r="D5952" i="2"/>
  <c r="C5952" i="2"/>
  <c r="D5951" i="2"/>
  <c r="C5951" i="2"/>
  <c r="D5950" i="2"/>
  <c r="C5950" i="2"/>
  <c r="D5949" i="2"/>
  <c r="C5949" i="2"/>
  <c r="D5948" i="2"/>
  <c r="C5948" i="2"/>
  <c r="D5947" i="2"/>
  <c r="C5947" i="2"/>
  <c r="D5946" i="2"/>
  <c r="C5946" i="2"/>
  <c r="D5945" i="2"/>
  <c r="C5945" i="2"/>
  <c r="D5944" i="2"/>
  <c r="C5944" i="2"/>
  <c r="D5943" i="2"/>
  <c r="C5943" i="2"/>
  <c r="D5942" i="2"/>
  <c r="C5942" i="2"/>
  <c r="D5941" i="2"/>
  <c r="C5941" i="2"/>
  <c r="D5940" i="2"/>
  <c r="C5940" i="2"/>
  <c r="D5939" i="2"/>
  <c r="C5939" i="2"/>
  <c r="D5938" i="2"/>
  <c r="C5938" i="2"/>
  <c r="D5937" i="2"/>
  <c r="C5937" i="2"/>
  <c r="D5936" i="2"/>
  <c r="C5936" i="2"/>
  <c r="D5935" i="2"/>
  <c r="C5935" i="2"/>
  <c r="D5934" i="2"/>
  <c r="C5934" i="2"/>
  <c r="D5933" i="2"/>
  <c r="C5933" i="2"/>
  <c r="D5932" i="2"/>
  <c r="C5932" i="2"/>
  <c r="D5931" i="2"/>
  <c r="C5931" i="2"/>
  <c r="D5930" i="2"/>
  <c r="C5930" i="2"/>
  <c r="D5929" i="2"/>
  <c r="C5929" i="2"/>
  <c r="D5928" i="2"/>
  <c r="C5928" i="2"/>
  <c r="D5927" i="2"/>
  <c r="C5927" i="2"/>
  <c r="D5926" i="2"/>
  <c r="C5926" i="2"/>
  <c r="D5925" i="2"/>
  <c r="C5925" i="2"/>
  <c r="D5924" i="2"/>
  <c r="C5924" i="2"/>
  <c r="D5923" i="2"/>
  <c r="C5923" i="2"/>
  <c r="D5922" i="2"/>
  <c r="C5922" i="2"/>
  <c r="D5921" i="2"/>
  <c r="C5921" i="2"/>
  <c r="D5920" i="2"/>
  <c r="C5920" i="2"/>
  <c r="D5919" i="2"/>
  <c r="C5919" i="2"/>
  <c r="D5918" i="2"/>
  <c r="C5918" i="2"/>
  <c r="D5917" i="2"/>
  <c r="C5917" i="2"/>
  <c r="D5916" i="2"/>
  <c r="C5916" i="2"/>
  <c r="D5915" i="2"/>
  <c r="C5915" i="2"/>
  <c r="D5914" i="2"/>
  <c r="C5914" i="2"/>
  <c r="D5913" i="2"/>
  <c r="C5913" i="2"/>
  <c r="D5912" i="2"/>
  <c r="C5912" i="2"/>
  <c r="D5911" i="2"/>
  <c r="C5911" i="2"/>
  <c r="D5910" i="2"/>
  <c r="C5910" i="2"/>
  <c r="D5909" i="2"/>
  <c r="C5909" i="2"/>
  <c r="D5908" i="2"/>
  <c r="C5908" i="2"/>
  <c r="D5907" i="2"/>
  <c r="C5907" i="2"/>
  <c r="D5906" i="2"/>
  <c r="C5906" i="2"/>
  <c r="D5905" i="2"/>
  <c r="C5905" i="2"/>
  <c r="D5904" i="2"/>
  <c r="C5904" i="2"/>
  <c r="D5903" i="2"/>
  <c r="C5903" i="2"/>
  <c r="D5902" i="2"/>
  <c r="C5902" i="2"/>
  <c r="D5901" i="2"/>
  <c r="C5901" i="2"/>
  <c r="D5900" i="2"/>
  <c r="C5900" i="2"/>
  <c r="D5899" i="2"/>
  <c r="C5899" i="2"/>
  <c r="D5898" i="2"/>
  <c r="C5898" i="2"/>
  <c r="D5897" i="2"/>
  <c r="C5897" i="2"/>
  <c r="D5896" i="2"/>
  <c r="C5896" i="2"/>
  <c r="D5895" i="2"/>
  <c r="C5895" i="2"/>
  <c r="D5894" i="2"/>
  <c r="C5894" i="2"/>
  <c r="D5893" i="2"/>
  <c r="C5893" i="2"/>
  <c r="D5892" i="2"/>
  <c r="C5892" i="2"/>
  <c r="D5891" i="2"/>
  <c r="C5891" i="2"/>
  <c r="D5890" i="2"/>
  <c r="C5890" i="2"/>
  <c r="D5889" i="2"/>
  <c r="C5889" i="2"/>
  <c r="D5888" i="2"/>
  <c r="C5888" i="2"/>
  <c r="D5887" i="2"/>
  <c r="C5887" i="2"/>
  <c r="D5886" i="2"/>
  <c r="C5886" i="2"/>
  <c r="D5885" i="2"/>
  <c r="C5885" i="2"/>
  <c r="D5884" i="2"/>
  <c r="C5884" i="2"/>
  <c r="D5883" i="2"/>
  <c r="C5883" i="2"/>
  <c r="D5882" i="2"/>
  <c r="C5882" i="2"/>
  <c r="D5881" i="2"/>
  <c r="C5881" i="2"/>
  <c r="D5880" i="2"/>
  <c r="C5880" i="2"/>
  <c r="D5879" i="2"/>
  <c r="C5879" i="2"/>
  <c r="D5878" i="2"/>
  <c r="C5878" i="2"/>
  <c r="D5877" i="2"/>
  <c r="C5877" i="2"/>
  <c r="D5876" i="2"/>
  <c r="C5876" i="2"/>
  <c r="D5875" i="2"/>
  <c r="C5875" i="2"/>
  <c r="D5874" i="2"/>
  <c r="C5874" i="2"/>
  <c r="D5873" i="2"/>
  <c r="C5873" i="2"/>
  <c r="D5872" i="2"/>
  <c r="C5872" i="2"/>
  <c r="D5871" i="2"/>
  <c r="C5871" i="2"/>
  <c r="D5870" i="2"/>
  <c r="C5870" i="2"/>
  <c r="D5869" i="2"/>
  <c r="C5869" i="2"/>
  <c r="D5868" i="2"/>
  <c r="C5868" i="2"/>
  <c r="D5867" i="2"/>
  <c r="C5867" i="2"/>
  <c r="D5866" i="2"/>
  <c r="C5866" i="2"/>
  <c r="D5865" i="2"/>
  <c r="C5865" i="2"/>
  <c r="D5864" i="2"/>
  <c r="C5864" i="2"/>
  <c r="D5863" i="2"/>
  <c r="C5863" i="2"/>
  <c r="D5862" i="2"/>
  <c r="C5862" i="2"/>
  <c r="D5861" i="2"/>
  <c r="C5861" i="2"/>
  <c r="D5860" i="2"/>
  <c r="C5860" i="2"/>
  <c r="D5859" i="2"/>
  <c r="C5859" i="2"/>
  <c r="D5858" i="2"/>
  <c r="C5858" i="2"/>
  <c r="D5857" i="2"/>
  <c r="C5857" i="2"/>
  <c r="D5856" i="2"/>
  <c r="C5856" i="2"/>
  <c r="D5855" i="2"/>
  <c r="C5855" i="2"/>
  <c r="D5854" i="2"/>
  <c r="C5854" i="2"/>
  <c r="D5853" i="2"/>
  <c r="C5853" i="2"/>
  <c r="D5852" i="2"/>
  <c r="C5852" i="2"/>
  <c r="D5851" i="2"/>
  <c r="C5851" i="2"/>
  <c r="D5850" i="2"/>
  <c r="C5850" i="2"/>
  <c r="D5849" i="2"/>
  <c r="C5849" i="2"/>
  <c r="D5848" i="2"/>
  <c r="C5848" i="2"/>
  <c r="D5847" i="2"/>
  <c r="C5847" i="2"/>
  <c r="D5846" i="2"/>
  <c r="C5846" i="2"/>
  <c r="D5845" i="2"/>
  <c r="C5845" i="2"/>
  <c r="D5844" i="2"/>
  <c r="C5844" i="2"/>
  <c r="D5843" i="2"/>
  <c r="C5843" i="2"/>
  <c r="D5842" i="2"/>
  <c r="C5842" i="2"/>
  <c r="D5841" i="2"/>
  <c r="C5841" i="2"/>
  <c r="D5840" i="2"/>
  <c r="C5840" i="2"/>
  <c r="D5839" i="2"/>
  <c r="C5839" i="2"/>
  <c r="D5838" i="2"/>
  <c r="C5838" i="2"/>
  <c r="D5837" i="2"/>
  <c r="C5837" i="2"/>
  <c r="D5836" i="2"/>
  <c r="C5836" i="2"/>
  <c r="D5835" i="2"/>
  <c r="C5835" i="2"/>
  <c r="D5834" i="2"/>
  <c r="C5834" i="2"/>
  <c r="D5833" i="2"/>
  <c r="C5833" i="2"/>
  <c r="D5832" i="2"/>
  <c r="C5832" i="2"/>
  <c r="D5831" i="2"/>
  <c r="C5831" i="2"/>
  <c r="D5830" i="2"/>
  <c r="C5830" i="2"/>
  <c r="D5829" i="2"/>
  <c r="C5829" i="2"/>
  <c r="D5828" i="2"/>
  <c r="C5828" i="2"/>
  <c r="D5827" i="2"/>
  <c r="C5827" i="2"/>
  <c r="D5826" i="2"/>
  <c r="C5826" i="2"/>
  <c r="D5825" i="2"/>
  <c r="C5825" i="2"/>
  <c r="D5824" i="2"/>
  <c r="C5824" i="2"/>
  <c r="D5823" i="2"/>
  <c r="C5823" i="2"/>
  <c r="D5822" i="2"/>
  <c r="C5822" i="2"/>
  <c r="D5821" i="2"/>
  <c r="C5821" i="2"/>
  <c r="D5820" i="2"/>
  <c r="C5820" i="2"/>
  <c r="D5819" i="2"/>
  <c r="C5819" i="2"/>
  <c r="D5818" i="2"/>
  <c r="C5818" i="2"/>
  <c r="D5817" i="2"/>
  <c r="C5817" i="2"/>
  <c r="D5816" i="2"/>
  <c r="C5816" i="2"/>
  <c r="D5815" i="2"/>
  <c r="C5815" i="2"/>
  <c r="D5814" i="2"/>
  <c r="C5814" i="2"/>
  <c r="D5813" i="2"/>
  <c r="C5813" i="2"/>
  <c r="D5812" i="2"/>
  <c r="C5812" i="2"/>
  <c r="D5811" i="2"/>
  <c r="C5811" i="2"/>
  <c r="D5810" i="2"/>
  <c r="C5810" i="2"/>
  <c r="D5809" i="2"/>
  <c r="C5809" i="2"/>
  <c r="D5808" i="2"/>
  <c r="C5808" i="2"/>
  <c r="D5807" i="2"/>
  <c r="C5807" i="2"/>
  <c r="D5806" i="2"/>
  <c r="C5806" i="2"/>
  <c r="D5805" i="2"/>
  <c r="C5805" i="2"/>
  <c r="D5804" i="2"/>
  <c r="C5804" i="2"/>
  <c r="D5803" i="2"/>
  <c r="C5803" i="2"/>
  <c r="D5802" i="2"/>
  <c r="C5802" i="2"/>
  <c r="D5801" i="2"/>
  <c r="C5801" i="2"/>
  <c r="D5800" i="2"/>
  <c r="C5800" i="2"/>
  <c r="D5799" i="2"/>
  <c r="C5799" i="2"/>
  <c r="D5798" i="2"/>
  <c r="C5798" i="2"/>
  <c r="D5797" i="2"/>
  <c r="C5797" i="2"/>
  <c r="D5796" i="2"/>
  <c r="C5796" i="2"/>
  <c r="D5795" i="2"/>
  <c r="C5795" i="2"/>
  <c r="D5794" i="2"/>
  <c r="C5794" i="2"/>
  <c r="D5793" i="2"/>
  <c r="C5793" i="2"/>
  <c r="D5792" i="2"/>
  <c r="C5792" i="2"/>
  <c r="D5791" i="2"/>
  <c r="C5791" i="2"/>
  <c r="D5790" i="2"/>
  <c r="C5790" i="2"/>
  <c r="D5789" i="2"/>
  <c r="C5789" i="2"/>
  <c r="D5788" i="2"/>
  <c r="C5788" i="2"/>
  <c r="D5787" i="2"/>
  <c r="C5787" i="2"/>
  <c r="D5786" i="2"/>
  <c r="C5786" i="2"/>
  <c r="D5785" i="2"/>
  <c r="C5785" i="2"/>
  <c r="D5784" i="2"/>
  <c r="C5784" i="2"/>
  <c r="D5783" i="2"/>
  <c r="C5783" i="2"/>
  <c r="D5782" i="2"/>
  <c r="C5782" i="2"/>
  <c r="D5781" i="2"/>
  <c r="C5781" i="2"/>
  <c r="D5780" i="2"/>
  <c r="C5780" i="2"/>
  <c r="D5779" i="2"/>
  <c r="C5779" i="2"/>
  <c r="D5778" i="2"/>
  <c r="C5778" i="2"/>
  <c r="D5777" i="2"/>
  <c r="C5777" i="2"/>
  <c r="D5776" i="2"/>
  <c r="C5776" i="2"/>
  <c r="D5775" i="2"/>
  <c r="C5775" i="2"/>
  <c r="D5774" i="2"/>
  <c r="C5774" i="2"/>
  <c r="D5773" i="2"/>
  <c r="C5773" i="2"/>
  <c r="D5772" i="2"/>
  <c r="C5772" i="2"/>
  <c r="D5771" i="2"/>
  <c r="C5771" i="2"/>
  <c r="D5770" i="2"/>
  <c r="C5770" i="2"/>
  <c r="D5769" i="2"/>
  <c r="C5769" i="2"/>
  <c r="D5768" i="2"/>
  <c r="C5768" i="2"/>
  <c r="D5767" i="2"/>
  <c r="C5767" i="2"/>
  <c r="D5766" i="2"/>
  <c r="C5766" i="2"/>
  <c r="D5765" i="2"/>
  <c r="C5765" i="2"/>
  <c r="D5764" i="2"/>
  <c r="C5764" i="2"/>
  <c r="D5763" i="2"/>
  <c r="C5763" i="2"/>
  <c r="D5762" i="2"/>
  <c r="C5762" i="2"/>
  <c r="D5761" i="2"/>
  <c r="C5761" i="2"/>
  <c r="D5760" i="2"/>
  <c r="C5760" i="2"/>
  <c r="D5759" i="2"/>
  <c r="C5759" i="2"/>
  <c r="D5758" i="2"/>
  <c r="C5758" i="2"/>
  <c r="D5757" i="2"/>
  <c r="C5757" i="2"/>
  <c r="D5756" i="2"/>
  <c r="C5756" i="2"/>
  <c r="D5755" i="2"/>
  <c r="C5755" i="2"/>
  <c r="D5754" i="2"/>
  <c r="C5754" i="2"/>
  <c r="D5753" i="2"/>
  <c r="C5753" i="2"/>
  <c r="D5752" i="2"/>
  <c r="C5752" i="2"/>
  <c r="D5751" i="2"/>
  <c r="C5751" i="2"/>
  <c r="D5750" i="2"/>
  <c r="C5750" i="2"/>
  <c r="D5749" i="2"/>
  <c r="C5749" i="2"/>
  <c r="D5748" i="2"/>
  <c r="C5748" i="2"/>
  <c r="D5747" i="2"/>
  <c r="C5747" i="2"/>
  <c r="D5746" i="2"/>
  <c r="C5746" i="2"/>
  <c r="D5745" i="2"/>
  <c r="C5745" i="2"/>
  <c r="D5744" i="2"/>
  <c r="C5744" i="2"/>
  <c r="D5743" i="2"/>
  <c r="C5743" i="2"/>
  <c r="D5742" i="2"/>
  <c r="C5742" i="2"/>
  <c r="D5741" i="2"/>
  <c r="C5741" i="2"/>
  <c r="D5740" i="2"/>
  <c r="C5740" i="2"/>
  <c r="D5739" i="2"/>
  <c r="C5739" i="2"/>
  <c r="D5738" i="2"/>
  <c r="C5738" i="2"/>
  <c r="D5737" i="2"/>
  <c r="C5737" i="2"/>
  <c r="D5736" i="2"/>
  <c r="C5736" i="2"/>
  <c r="D5735" i="2"/>
  <c r="C5735" i="2"/>
  <c r="D5734" i="2"/>
  <c r="C5734" i="2"/>
  <c r="D5733" i="2"/>
  <c r="C5733" i="2"/>
  <c r="D5732" i="2"/>
  <c r="C5732" i="2"/>
  <c r="D5731" i="2"/>
  <c r="C5731" i="2"/>
  <c r="D5730" i="2"/>
  <c r="C5730" i="2"/>
  <c r="D5729" i="2"/>
  <c r="C5729" i="2"/>
  <c r="D5728" i="2"/>
  <c r="C5728" i="2"/>
  <c r="D5727" i="2"/>
  <c r="C5727" i="2"/>
  <c r="D5726" i="2"/>
  <c r="C5726" i="2"/>
  <c r="D5725" i="2"/>
  <c r="C5725" i="2"/>
  <c r="D5724" i="2"/>
  <c r="C5724" i="2"/>
  <c r="D5723" i="2"/>
  <c r="C5723" i="2"/>
  <c r="D5722" i="2"/>
  <c r="C5722" i="2"/>
  <c r="D5721" i="2"/>
  <c r="C5721" i="2"/>
  <c r="D5720" i="2"/>
  <c r="C5720" i="2"/>
  <c r="D5719" i="2"/>
  <c r="C5719" i="2"/>
  <c r="D5718" i="2"/>
  <c r="C5718" i="2"/>
  <c r="D5717" i="2"/>
  <c r="C5717" i="2"/>
  <c r="D5716" i="2"/>
  <c r="C5716" i="2"/>
  <c r="D5715" i="2"/>
  <c r="C5715" i="2"/>
  <c r="D5714" i="2"/>
  <c r="C5714" i="2"/>
  <c r="D5713" i="2"/>
  <c r="C5713" i="2"/>
  <c r="D5712" i="2"/>
  <c r="C5712" i="2"/>
  <c r="D5711" i="2"/>
  <c r="C5711" i="2"/>
  <c r="D5710" i="2"/>
  <c r="C5710" i="2"/>
  <c r="D5709" i="2"/>
  <c r="C5709" i="2"/>
  <c r="D5708" i="2"/>
  <c r="C5708" i="2"/>
  <c r="D5707" i="2"/>
  <c r="C5707" i="2"/>
  <c r="D5706" i="2"/>
  <c r="C5706" i="2"/>
  <c r="D5705" i="2"/>
  <c r="C5705" i="2"/>
  <c r="D5704" i="2"/>
  <c r="C5704" i="2"/>
  <c r="D5703" i="2"/>
  <c r="C5703" i="2"/>
  <c r="D5702" i="2"/>
  <c r="C5702" i="2"/>
  <c r="D5701" i="2"/>
  <c r="C5701" i="2"/>
  <c r="D5700" i="2"/>
  <c r="C5700" i="2"/>
  <c r="D5699" i="2"/>
  <c r="C5699" i="2"/>
  <c r="D5698" i="2"/>
  <c r="C5698" i="2"/>
  <c r="D5697" i="2"/>
  <c r="C5697" i="2"/>
  <c r="D5696" i="2"/>
  <c r="C5696" i="2"/>
  <c r="D5695" i="2"/>
  <c r="C5695" i="2"/>
  <c r="D5694" i="2"/>
  <c r="C5694" i="2"/>
  <c r="D5693" i="2"/>
  <c r="C5693" i="2"/>
  <c r="D5692" i="2"/>
  <c r="C5692" i="2"/>
  <c r="D5691" i="2"/>
  <c r="C5691" i="2"/>
  <c r="D5690" i="2"/>
  <c r="C5690" i="2"/>
  <c r="D5689" i="2"/>
  <c r="C5689" i="2"/>
  <c r="D5688" i="2"/>
  <c r="C5688" i="2"/>
  <c r="D5687" i="2"/>
  <c r="C5687" i="2"/>
  <c r="D5686" i="2"/>
  <c r="C5686" i="2"/>
  <c r="D5685" i="2"/>
  <c r="C5685" i="2"/>
  <c r="D5684" i="2"/>
  <c r="C5684" i="2"/>
  <c r="D5683" i="2"/>
  <c r="C5683" i="2"/>
  <c r="D5682" i="2"/>
  <c r="C5682" i="2"/>
  <c r="D5681" i="2"/>
  <c r="C5681" i="2"/>
  <c r="D5680" i="2"/>
  <c r="C5680" i="2"/>
  <c r="D5679" i="2"/>
  <c r="C5679" i="2"/>
  <c r="D5678" i="2"/>
  <c r="C5678" i="2"/>
  <c r="D5677" i="2"/>
  <c r="C5677" i="2"/>
  <c r="D5676" i="2"/>
  <c r="C5676" i="2"/>
  <c r="D5675" i="2"/>
  <c r="C5675" i="2"/>
  <c r="D5674" i="2"/>
  <c r="C5674" i="2"/>
  <c r="D5673" i="2"/>
  <c r="C5673" i="2"/>
  <c r="D5672" i="2"/>
  <c r="C5672" i="2"/>
  <c r="D5671" i="2"/>
  <c r="C5671" i="2"/>
  <c r="D5670" i="2"/>
  <c r="C5670" i="2"/>
  <c r="D5669" i="2"/>
  <c r="C5669" i="2"/>
  <c r="D5668" i="2"/>
  <c r="C5668" i="2"/>
  <c r="D5667" i="2"/>
  <c r="C5667" i="2"/>
  <c r="D5666" i="2"/>
  <c r="C5666" i="2"/>
  <c r="D5665" i="2"/>
  <c r="C5665" i="2"/>
  <c r="D5664" i="2"/>
  <c r="C5664" i="2"/>
  <c r="D5663" i="2"/>
  <c r="C5663" i="2"/>
  <c r="D5662" i="2"/>
  <c r="C5662" i="2"/>
  <c r="D5661" i="2"/>
  <c r="C5661" i="2"/>
  <c r="D5660" i="2"/>
  <c r="C5660" i="2"/>
  <c r="D5659" i="2"/>
  <c r="C5659" i="2"/>
  <c r="D5658" i="2"/>
  <c r="C5658" i="2"/>
  <c r="D5657" i="2"/>
  <c r="C5657" i="2"/>
  <c r="D5656" i="2"/>
  <c r="C5656" i="2"/>
  <c r="D5655" i="2"/>
  <c r="C5655" i="2"/>
  <c r="D5654" i="2"/>
  <c r="C5654" i="2"/>
  <c r="D5653" i="2"/>
  <c r="C5653" i="2"/>
  <c r="D5652" i="2"/>
  <c r="C5652" i="2"/>
  <c r="D5651" i="2"/>
  <c r="C5651" i="2"/>
  <c r="D5650" i="2"/>
  <c r="C5650" i="2"/>
  <c r="D5649" i="2"/>
  <c r="C5649" i="2"/>
  <c r="D5648" i="2"/>
  <c r="C5648" i="2"/>
  <c r="D5647" i="2"/>
  <c r="C5647" i="2"/>
  <c r="D5646" i="2"/>
  <c r="C5646" i="2"/>
  <c r="D5645" i="2"/>
  <c r="C5645" i="2"/>
  <c r="D5644" i="2"/>
  <c r="C5644" i="2"/>
  <c r="D5643" i="2"/>
  <c r="C5643" i="2"/>
  <c r="D5642" i="2"/>
  <c r="C5642" i="2"/>
  <c r="D5641" i="2"/>
  <c r="C5641" i="2"/>
  <c r="D5640" i="2"/>
  <c r="C5640" i="2"/>
  <c r="D5639" i="2"/>
  <c r="C5639" i="2"/>
  <c r="D5638" i="2"/>
  <c r="C5638" i="2"/>
  <c r="D5637" i="2"/>
  <c r="C5637" i="2"/>
  <c r="D5636" i="2"/>
  <c r="C5636" i="2"/>
  <c r="D5635" i="2"/>
  <c r="C5635" i="2"/>
  <c r="D5634" i="2"/>
  <c r="C5634" i="2"/>
  <c r="D5633" i="2"/>
  <c r="C5633" i="2"/>
  <c r="D5632" i="2"/>
  <c r="C5632" i="2"/>
  <c r="D5631" i="2"/>
  <c r="C5631" i="2"/>
  <c r="D5630" i="2"/>
  <c r="C5630" i="2"/>
  <c r="D5629" i="2"/>
  <c r="C5629" i="2"/>
  <c r="D5628" i="2"/>
  <c r="C5628" i="2"/>
  <c r="D5627" i="2"/>
  <c r="C5627" i="2"/>
  <c r="D5626" i="2"/>
  <c r="C5626" i="2"/>
  <c r="D5625" i="2"/>
  <c r="C5625" i="2"/>
  <c r="D5624" i="2"/>
  <c r="C5624" i="2"/>
  <c r="D5623" i="2"/>
  <c r="C5623" i="2"/>
  <c r="D5622" i="2"/>
  <c r="C5622" i="2"/>
  <c r="D5621" i="2"/>
  <c r="C5621" i="2"/>
  <c r="D5620" i="2"/>
  <c r="C5620" i="2"/>
  <c r="D5619" i="2"/>
  <c r="C5619" i="2"/>
  <c r="D5618" i="2"/>
  <c r="C5618" i="2"/>
  <c r="D5617" i="2"/>
  <c r="C5617" i="2"/>
  <c r="D5616" i="2"/>
  <c r="C5616" i="2"/>
  <c r="D5615" i="2"/>
  <c r="C5615" i="2"/>
  <c r="D5614" i="2"/>
  <c r="C5614" i="2"/>
  <c r="D5613" i="2"/>
  <c r="C5613" i="2"/>
  <c r="D5612" i="2"/>
  <c r="C5612" i="2"/>
  <c r="D5611" i="2"/>
  <c r="C5611" i="2"/>
  <c r="D5610" i="2"/>
  <c r="C5610" i="2"/>
  <c r="D5609" i="2"/>
  <c r="C5609" i="2"/>
  <c r="D5608" i="2"/>
  <c r="C5608" i="2"/>
  <c r="D5607" i="2"/>
  <c r="C5607" i="2"/>
  <c r="D5606" i="2"/>
  <c r="C5606" i="2"/>
  <c r="D5605" i="2"/>
  <c r="C5605" i="2"/>
  <c r="D5604" i="2"/>
  <c r="C5604" i="2"/>
  <c r="D5603" i="2"/>
  <c r="C5603" i="2"/>
  <c r="D5602" i="2"/>
  <c r="C5602" i="2"/>
  <c r="D5601" i="2"/>
  <c r="C5601" i="2"/>
  <c r="D5600" i="2"/>
  <c r="C5600" i="2"/>
  <c r="D5599" i="2"/>
  <c r="C5599" i="2"/>
  <c r="D5598" i="2"/>
  <c r="C5598" i="2"/>
  <c r="D5597" i="2"/>
  <c r="C5597" i="2"/>
  <c r="D5596" i="2"/>
  <c r="C5596" i="2"/>
  <c r="D5595" i="2"/>
  <c r="C5595" i="2"/>
  <c r="D5594" i="2"/>
  <c r="C5594" i="2"/>
  <c r="D5593" i="2"/>
  <c r="C5593" i="2"/>
  <c r="D5592" i="2"/>
  <c r="C5592" i="2"/>
  <c r="D5591" i="2"/>
  <c r="C5591" i="2"/>
  <c r="D5590" i="2"/>
  <c r="C5590" i="2"/>
  <c r="D5589" i="2"/>
  <c r="C5589" i="2"/>
  <c r="D5588" i="2"/>
  <c r="C5588" i="2"/>
  <c r="D5587" i="2"/>
  <c r="C5587" i="2"/>
  <c r="D5586" i="2"/>
  <c r="C5586" i="2"/>
  <c r="D5585" i="2"/>
  <c r="C5585" i="2"/>
  <c r="D5584" i="2"/>
  <c r="C5584" i="2"/>
  <c r="D5583" i="2"/>
  <c r="C5583" i="2"/>
  <c r="D5582" i="2"/>
  <c r="C5582" i="2"/>
  <c r="D5581" i="2"/>
  <c r="C5581" i="2"/>
  <c r="D5580" i="2"/>
  <c r="C5580" i="2"/>
  <c r="D5579" i="2"/>
  <c r="C5579" i="2"/>
  <c r="D5578" i="2"/>
  <c r="C5578" i="2"/>
  <c r="D5577" i="2"/>
  <c r="C5577" i="2"/>
  <c r="D5576" i="2"/>
  <c r="C5576" i="2"/>
  <c r="D5575" i="2"/>
  <c r="C5575" i="2"/>
  <c r="D5574" i="2"/>
  <c r="C5574" i="2"/>
  <c r="D5573" i="2"/>
  <c r="C5573" i="2"/>
  <c r="D5572" i="2"/>
  <c r="C5572" i="2"/>
  <c r="D5571" i="2"/>
  <c r="C5571" i="2"/>
  <c r="D5570" i="2"/>
  <c r="C5570" i="2"/>
  <c r="D5569" i="2"/>
  <c r="C5569" i="2"/>
  <c r="D5568" i="2"/>
  <c r="C5568" i="2"/>
  <c r="D5567" i="2"/>
  <c r="C5567" i="2"/>
  <c r="D5566" i="2"/>
  <c r="C5566" i="2"/>
  <c r="D5565" i="2"/>
  <c r="C5565" i="2"/>
  <c r="D5564" i="2"/>
  <c r="C5564" i="2"/>
  <c r="D5563" i="2"/>
  <c r="C5563" i="2"/>
  <c r="D5562" i="2"/>
  <c r="C5562" i="2"/>
  <c r="D5561" i="2"/>
  <c r="C5561" i="2"/>
  <c r="D5560" i="2"/>
  <c r="C5560" i="2"/>
  <c r="D5559" i="2"/>
  <c r="C5559" i="2"/>
  <c r="D5558" i="2"/>
  <c r="C5558" i="2"/>
  <c r="D5557" i="2"/>
  <c r="C5557" i="2"/>
  <c r="D5556" i="2"/>
  <c r="C5556" i="2"/>
  <c r="D5555" i="2"/>
  <c r="C5555" i="2"/>
  <c r="D5554" i="2"/>
  <c r="C5554" i="2"/>
  <c r="D5553" i="2"/>
  <c r="C5553" i="2"/>
  <c r="D5552" i="2"/>
  <c r="C5552" i="2"/>
  <c r="D5551" i="2"/>
  <c r="C5551" i="2"/>
  <c r="D5550" i="2"/>
  <c r="C5550" i="2"/>
  <c r="D5549" i="2"/>
  <c r="C5549" i="2"/>
  <c r="D5548" i="2"/>
  <c r="C5548" i="2"/>
  <c r="D5547" i="2"/>
  <c r="C5547" i="2"/>
  <c r="D5546" i="2"/>
  <c r="C5546" i="2"/>
  <c r="D5545" i="2"/>
  <c r="C5545" i="2"/>
  <c r="D5544" i="2"/>
  <c r="C5544" i="2"/>
  <c r="D5543" i="2"/>
  <c r="C5543" i="2"/>
  <c r="D5542" i="2"/>
  <c r="C5542" i="2"/>
  <c r="D5541" i="2"/>
  <c r="C5541" i="2"/>
  <c r="D5540" i="2"/>
  <c r="C5540" i="2"/>
  <c r="D5539" i="2"/>
  <c r="C5539" i="2"/>
  <c r="D5538" i="2"/>
  <c r="C5538" i="2"/>
  <c r="D5537" i="2"/>
  <c r="C5537" i="2"/>
  <c r="D5536" i="2"/>
  <c r="C5536" i="2"/>
  <c r="D5535" i="2"/>
  <c r="C5535" i="2"/>
  <c r="D5534" i="2"/>
  <c r="C5534" i="2"/>
  <c r="D5533" i="2"/>
  <c r="C5533" i="2"/>
  <c r="D5532" i="2"/>
  <c r="C5532" i="2"/>
  <c r="D5531" i="2"/>
  <c r="C5531" i="2"/>
  <c r="D5530" i="2"/>
  <c r="C5530" i="2"/>
  <c r="D5529" i="2"/>
  <c r="C5529" i="2"/>
  <c r="D5528" i="2"/>
  <c r="C5528" i="2"/>
  <c r="D5527" i="2"/>
  <c r="C5527" i="2"/>
  <c r="D5526" i="2"/>
  <c r="C5526" i="2"/>
  <c r="D5525" i="2"/>
  <c r="C5525" i="2"/>
  <c r="D5524" i="2"/>
  <c r="C5524" i="2"/>
  <c r="D5523" i="2"/>
  <c r="C5523" i="2"/>
  <c r="D5522" i="2"/>
  <c r="C5522" i="2"/>
  <c r="D5521" i="2"/>
  <c r="C5521" i="2"/>
  <c r="D5520" i="2"/>
  <c r="C5520" i="2"/>
  <c r="D5519" i="2"/>
  <c r="C5519" i="2"/>
  <c r="D5518" i="2"/>
  <c r="C5518" i="2"/>
  <c r="D5517" i="2"/>
  <c r="C5517" i="2"/>
  <c r="D5516" i="2"/>
  <c r="C5516" i="2"/>
  <c r="D5515" i="2"/>
  <c r="C5515" i="2"/>
  <c r="D5514" i="2"/>
  <c r="C5514" i="2"/>
  <c r="D5513" i="2"/>
  <c r="C5513" i="2"/>
  <c r="D5512" i="2"/>
  <c r="C5512" i="2"/>
  <c r="D5511" i="2"/>
  <c r="C5511" i="2"/>
  <c r="D5510" i="2"/>
  <c r="C5510" i="2"/>
  <c r="D5509" i="2"/>
  <c r="C5509" i="2"/>
  <c r="D5508" i="2"/>
  <c r="C5508" i="2"/>
  <c r="D5507" i="2"/>
  <c r="C5507" i="2"/>
  <c r="D5506" i="2"/>
  <c r="C5506" i="2"/>
  <c r="D5505" i="2"/>
  <c r="C5505" i="2"/>
  <c r="D5504" i="2"/>
  <c r="C5504" i="2"/>
  <c r="D5503" i="2"/>
  <c r="C5503" i="2"/>
  <c r="D5502" i="2"/>
  <c r="C5502" i="2"/>
  <c r="D5501" i="2"/>
  <c r="C5501" i="2"/>
  <c r="D5500" i="2"/>
  <c r="C5500" i="2"/>
  <c r="D5499" i="2"/>
  <c r="C5499" i="2"/>
  <c r="D5498" i="2"/>
  <c r="C5498" i="2"/>
  <c r="D5497" i="2"/>
  <c r="C5497" i="2"/>
  <c r="D5496" i="2"/>
  <c r="C5496" i="2"/>
  <c r="D5495" i="2"/>
  <c r="C5495" i="2"/>
  <c r="D5494" i="2"/>
  <c r="C5494" i="2"/>
  <c r="D5493" i="2"/>
  <c r="C5493" i="2"/>
  <c r="D5492" i="2"/>
  <c r="C5492" i="2"/>
  <c r="D5491" i="2"/>
  <c r="C5491" i="2"/>
  <c r="D5490" i="2"/>
  <c r="C5490" i="2"/>
  <c r="D5489" i="2"/>
  <c r="C5489" i="2"/>
  <c r="D5488" i="2"/>
  <c r="C5488" i="2"/>
  <c r="D5487" i="2"/>
  <c r="C5487" i="2"/>
  <c r="D5486" i="2"/>
  <c r="C5486" i="2"/>
  <c r="D5485" i="2"/>
  <c r="C5485" i="2"/>
  <c r="D5484" i="2"/>
  <c r="C5484" i="2"/>
  <c r="D5483" i="2"/>
  <c r="C5483" i="2"/>
  <c r="D5482" i="2"/>
  <c r="C5482" i="2"/>
  <c r="D5481" i="2"/>
  <c r="C5481" i="2"/>
  <c r="D5480" i="2"/>
  <c r="C5480" i="2"/>
  <c r="D5479" i="2"/>
  <c r="C5479" i="2"/>
  <c r="D5478" i="2"/>
  <c r="C5478" i="2"/>
  <c r="D5477" i="2"/>
  <c r="C5477" i="2"/>
  <c r="D5476" i="2"/>
  <c r="C5476" i="2"/>
  <c r="D5475" i="2"/>
  <c r="C5475" i="2"/>
  <c r="D5474" i="2"/>
  <c r="C5474" i="2"/>
  <c r="D5473" i="2"/>
  <c r="C5473" i="2"/>
  <c r="D5472" i="2"/>
  <c r="C5472" i="2"/>
  <c r="D5471" i="2"/>
  <c r="C5471" i="2"/>
  <c r="D5470" i="2"/>
  <c r="C5470" i="2"/>
  <c r="D5469" i="2"/>
  <c r="C5469" i="2"/>
  <c r="D5468" i="2"/>
  <c r="C5468" i="2"/>
  <c r="D5467" i="2"/>
  <c r="C5467" i="2"/>
  <c r="D5466" i="2"/>
  <c r="C5466" i="2"/>
  <c r="D5465" i="2"/>
  <c r="C5465" i="2"/>
  <c r="D5464" i="2"/>
  <c r="C5464" i="2"/>
  <c r="D5463" i="2"/>
  <c r="C5463" i="2"/>
  <c r="D5462" i="2"/>
  <c r="C5462" i="2"/>
  <c r="D5461" i="2"/>
  <c r="C5461" i="2"/>
  <c r="D5460" i="2"/>
  <c r="C5460" i="2"/>
  <c r="D5459" i="2"/>
  <c r="C5459" i="2"/>
  <c r="D5458" i="2"/>
  <c r="C5458" i="2"/>
  <c r="D5457" i="2"/>
  <c r="C5457" i="2"/>
  <c r="D5456" i="2"/>
  <c r="C5456" i="2"/>
  <c r="D5455" i="2"/>
  <c r="C5455" i="2"/>
  <c r="D5454" i="2"/>
  <c r="C5454" i="2"/>
  <c r="D5453" i="2"/>
  <c r="C5453" i="2"/>
  <c r="D5452" i="2"/>
  <c r="C5452" i="2"/>
  <c r="D5451" i="2"/>
  <c r="C5451" i="2"/>
  <c r="D5450" i="2"/>
  <c r="C5450" i="2"/>
  <c r="D5449" i="2"/>
  <c r="C5449" i="2"/>
  <c r="D5448" i="2"/>
  <c r="C5448" i="2"/>
  <c r="D5447" i="2"/>
  <c r="C5447" i="2"/>
  <c r="D5446" i="2"/>
  <c r="C5446" i="2"/>
  <c r="D5445" i="2"/>
  <c r="C5445" i="2"/>
  <c r="D5444" i="2"/>
  <c r="C5444" i="2"/>
  <c r="D5443" i="2"/>
  <c r="C5443" i="2"/>
  <c r="D5442" i="2"/>
  <c r="C5442" i="2"/>
  <c r="D5441" i="2"/>
  <c r="C5441" i="2"/>
  <c r="D5440" i="2"/>
  <c r="C5440" i="2"/>
  <c r="D5439" i="2"/>
  <c r="C5439" i="2"/>
  <c r="D5438" i="2"/>
  <c r="C5438" i="2"/>
  <c r="D5437" i="2"/>
  <c r="C5437" i="2"/>
  <c r="D5436" i="2"/>
  <c r="C5436" i="2"/>
  <c r="D5435" i="2"/>
  <c r="C5435" i="2"/>
  <c r="D5434" i="2"/>
  <c r="C5434" i="2"/>
  <c r="D5433" i="2"/>
  <c r="C5433" i="2"/>
  <c r="D5432" i="2"/>
  <c r="C5432" i="2"/>
  <c r="D5431" i="2"/>
  <c r="C5431" i="2"/>
  <c r="D5430" i="2"/>
  <c r="C5430" i="2"/>
  <c r="D5429" i="2"/>
  <c r="C5429" i="2"/>
  <c r="D5428" i="2"/>
  <c r="C5428" i="2"/>
  <c r="D5427" i="2"/>
  <c r="C5427" i="2"/>
  <c r="D5426" i="2"/>
  <c r="C5426" i="2"/>
  <c r="D5425" i="2"/>
  <c r="C5425" i="2"/>
  <c r="D5424" i="2"/>
  <c r="C5424" i="2"/>
  <c r="D5423" i="2"/>
  <c r="C5423" i="2"/>
  <c r="D5422" i="2"/>
  <c r="C5422" i="2"/>
  <c r="D5421" i="2"/>
  <c r="C5421" i="2"/>
  <c r="D5420" i="2"/>
  <c r="C5420" i="2"/>
  <c r="D5419" i="2"/>
  <c r="C5419" i="2"/>
  <c r="D5418" i="2"/>
  <c r="C5418" i="2"/>
  <c r="D5417" i="2"/>
  <c r="C5417" i="2"/>
  <c r="D5416" i="2"/>
  <c r="C5416" i="2"/>
  <c r="D5415" i="2"/>
  <c r="C5415" i="2"/>
  <c r="D5414" i="2"/>
  <c r="C5414" i="2"/>
  <c r="D5413" i="2"/>
  <c r="C5413" i="2"/>
  <c r="D5412" i="2"/>
  <c r="C5412" i="2"/>
  <c r="D5411" i="2"/>
  <c r="C5411" i="2"/>
  <c r="D5410" i="2"/>
  <c r="C5410" i="2"/>
  <c r="D5409" i="2"/>
  <c r="C5409" i="2"/>
  <c r="D5408" i="2"/>
  <c r="C5408" i="2"/>
  <c r="D5407" i="2"/>
  <c r="C5407" i="2"/>
  <c r="D5406" i="2"/>
  <c r="C5406" i="2"/>
  <c r="D5405" i="2"/>
  <c r="C5405" i="2"/>
  <c r="D5404" i="2"/>
  <c r="C5404" i="2"/>
  <c r="D5403" i="2"/>
  <c r="C5403" i="2"/>
  <c r="D5402" i="2"/>
  <c r="C5402" i="2"/>
  <c r="D5401" i="2"/>
  <c r="C5401" i="2"/>
  <c r="D5400" i="2"/>
  <c r="C5400" i="2"/>
  <c r="D5399" i="2"/>
  <c r="C5399" i="2"/>
  <c r="D5398" i="2"/>
  <c r="C5398" i="2"/>
  <c r="D5397" i="2"/>
  <c r="C5397" i="2"/>
  <c r="D5396" i="2"/>
  <c r="C5396" i="2"/>
  <c r="D5395" i="2"/>
  <c r="C5395" i="2"/>
  <c r="D5394" i="2"/>
  <c r="C5394" i="2"/>
  <c r="D5393" i="2"/>
  <c r="C5393" i="2"/>
  <c r="D5392" i="2"/>
  <c r="C5392" i="2"/>
  <c r="D5391" i="2"/>
  <c r="C5391" i="2"/>
  <c r="D5390" i="2"/>
  <c r="C5390" i="2"/>
  <c r="D5389" i="2"/>
  <c r="C5389" i="2"/>
  <c r="D5388" i="2"/>
  <c r="C5388" i="2"/>
  <c r="D5387" i="2"/>
  <c r="C5387" i="2"/>
  <c r="D5386" i="2"/>
  <c r="C5386" i="2"/>
  <c r="D5385" i="2"/>
  <c r="C5385" i="2"/>
  <c r="D5384" i="2"/>
  <c r="C5384" i="2"/>
  <c r="D5383" i="2"/>
  <c r="C5383" i="2"/>
  <c r="D5382" i="2"/>
  <c r="C5382" i="2"/>
  <c r="D5381" i="2"/>
  <c r="C5381" i="2"/>
  <c r="D5380" i="2"/>
  <c r="C5380" i="2"/>
  <c r="D5379" i="2"/>
  <c r="C5379" i="2"/>
  <c r="D5378" i="2"/>
  <c r="C5378" i="2"/>
  <c r="D5377" i="2"/>
  <c r="C5377" i="2"/>
  <c r="D5376" i="2"/>
  <c r="C5376" i="2"/>
  <c r="D5375" i="2"/>
  <c r="C5375" i="2"/>
  <c r="D5374" i="2"/>
  <c r="C5374" i="2"/>
  <c r="D5373" i="2"/>
  <c r="C5373" i="2"/>
  <c r="D5372" i="2"/>
  <c r="C5372" i="2"/>
  <c r="D5371" i="2"/>
  <c r="C5371" i="2"/>
  <c r="D5370" i="2"/>
  <c r="C5370" i="2"/>
  <c r="D5369" i="2"/>
  <c r="C5369" i="2"/>
  <c r="D5368" i="2"/>
  <c r="C5368" i="2"/>
  <c r="D5367" i="2"/>
  <c r="C5367" i="2"/>
  <c r="D5366" i="2"/>
  <c r="C5366" i="2"/>
  <c r="D5365" i="2"/>
  <c r="C5365" i="2"/>
  <c r="D5364" i="2"/>
  <c r="C5364" i="2"/>
  <c r="D5363" i="2"/>
  <c r="C5363" i="2"/>
  <c r="D5362" i="2"/>
  <c r="C5362" i="2"/>
  <c r="D5361" i="2"/>
  <c r="C5361" i="2"/>
  <c r="D5360" i="2"/>
  <c r="C5360" i="2"/>
  <c r="D5359" i="2"/>
  <c r="C5359" i="2"/>
  <c r="D5358" i="2"/>
  <c r="C5358" i="2"/>
  <c r="D5357" i="2"/>
  <c r="C5357" i="2"/>
  <c r="D5356" i="2"/>
  <c r="C5356" i="2"/>
  <c r="D5355" i="2"/>
  <c r="C5355" i="2"/>
  <c r="D5354" i="2"/>
  <c r="C5354" i="2"/>
  <c r="D5353" i="2"/>
  <c r="C5353" i="2"/>
  <c r="D5352" i="2"/>
  <c r="C5352" i="2"/>
  <c r="D5351" i="2"/>
  <c r="C5351" i="2"/>
  <c r="D5350" i="2"/>
  <c r="C5350" i="2"/>
  <c r="D5349" i="2"/>
  <c r="C5349" i="2"/>
  <c r="D5348" i="2"/>
  <c r="C5348" i="2"/>
  <c r="D5347" i="2"/>
  <c r="C5347" i="2"/>
  <c r="D5346" i="2"/>
  <c r="C5346" i="2"/>
  <c r="D5345" i="2"/>
  <c r="C5345" i="2"/>
  <c r="D5344" i="2"/>
  <c r="C5344" i="2"/>
  <c r="D5343" i="2"/>
  <c r="C5343" i="2"/>
  <c r="D5342" i="2"/>
  <c r="C5342" i="2"/>
  <c r="D5341" i="2"/>
  <c r="C5341" i="2"/>
  <c r="D5340" i="2"/>
  <c r="C5340" i="2"/>
  <c r="D5339" i="2"/>
  <c r="C5339" i="2"/>
  <c r="D5338" i="2"/>
  <c r="C5338" i="2"/>
  <c r="D5337" i="2"/>
  <c r="C5337" i="2"/>
  <c r="D5336" i="2"/>
  <c r="C5336" i="2"/>
  <c r="D5335" i="2"/>
  <c r="C5335" i="2"/>
  <c r="D5334" i="2"/>
  <c r="C5334" i="2"/>
  <c r="D5333" i="2"/>
  <c r="C5333" i="2"/>
  <c r="D5332" i="2"/>
  <c r="C5332" i="2"/>
  <c r="D5331" i="2"/>
  <c r="C5331" i="2"/>
  <c r="D5330" i="2"/>
  <c r="C5330" i="2"/>
  <c r="D5329" i="2"/>
  <c r="C5329" i="2"/>
  <c r="D5328" i="2"/>
  <c r="C5328" i="2"/>
  <c r="D5327" i="2"/>
  <c r="C5327" i="2"/>
  <c r="D5326" i="2"/>
  <c r="C5326" i="2"/>
  <c r="D5325" i="2"/>
  <c r="C5325" i="2"/>
  <c r="D5324" i="2"/>
  <c r="C5324" i="2"/>
  <c r="D5323" i="2"/>
  <c r="C5323" i="2"/>
  <c r="D5322" i="2"/>
  <c r="C5322" i="2"/>
  <c r="D5321" i="2"/>
  <c r="C5321" i="2"/>
  <c r="D5320" i="2"/>
  <c r="C5320" i="2"/>
  <c r="D5319" i="2"/>
  <c r="C5319" i="2"/>
  <c r="D5318" i="2"/>
  <c r="C5318" i="2"/>
  <c r="D5317" i="2"/>
  <c r="C5317" i="2"/>
  <c r="D5316" i="2"/>
  <c r="C5316" i="2"/>
  <c r="D5315" i="2"/>
  <c r="C5315" i="2"/>
  <c r="D5314" i="2"/>
  <c r="C5314" i="2"/>
  <c r="D5313" i="2"/>
  <c r="C5313" i="2"/>
  <c r="D5312" i="2"/>
  <c r="C5312" i="2"/>
  <c r="D5311" i="2"/>
  <c r="C5311" i="2"/>
  <c r="D5310" i="2"/>
  <c r="C5310" i="2"/>
  <c r="D5309" i="2"/>
  <c r="C5309" i="2"/>
  <c r="D5308" i="2"/>
  <c r="C5308" i="2"/>
  <c r="D5307" i="2"/>
  <c r="C5307" i="2"/>
  <c r="D5306" i="2"/>
  <c r="C5306" i="2"/>
  <c r="D5305" i="2"/>
  <c r="C5305" i="2"/>
  <c r="D5304" i="2"/>
  <c r="C5304" i="2"/>
  <c r="D5303" i="2"/>
  <c r="C5303" i="2"/>
  <c r="D5302" i="2"/>
  <c r="C5302" i="2"/>
  <c r="D5301" i="2"/>
  <c r="C5301" i="2"/>
  <c r="D5300" i="2"/>
  <c r="C5300" i="2"/>
  <c r="D5299" i="2"/>
  <c r="C5299" i="2"/>
  <c r="D5298" i="2"/>
  <c r="C5298" i="2"/>
  <c r="D5297" i="2"/>
  <c r="C5297" i="2"/>
  <c r="D5296" i="2"/>
  <c r="C5296" i="2"/>
  <c r="D5295" i="2"/>
  <c r="C5295" i="2"/>
  <c r="D5294" i="2"/>
  <c r="C5294" i="2"/>
  <c r="D5293" i="2"/>
  <c r="C5293" i="2"/>
  <c r="D5292" i="2"/>
  <c r="C5292" i="2"/>
  <c r="D5291" i="2"/>
  <c r="C5291" i="2"/>
  <c r="D5290" i="2"/>
  <c r="C5290" i="2"/>
  <c r="D5289" i="2"/>
  <c r="C5289" i="2"/>
  <c r="D5288" i="2"/>
  <c r="C5288" i="2"/>
  <c r="D5287" i="2"/>
  <c r="C5287" i="2"/>
  <c r="D5286" i="2"/>
  <c r="C5286" i="2"/>
  <c r="D5285" i="2"/>
  <c r="C5285" i="2"/>
  <c r="D5284" i="2"/>
  <c r="C5284" i="2"/>
  <c r="D5283" i="2"/>
  <c r="C5283" i="2"/>
  <c r="D5282" i="2"/>
  <c r="C5282" i="2"/>
  <c r="D5281" i="2"/>
  <c r="C5281" i="2"/>
  <c r="D5280" i="2"/>
  <c r="C5280" i="2"/>
  <c r="D5279" i="2"/>
  <c r="C5279" i="2"/>
  <c r="D5278" i="2"/>
  <c r="C5278" i="2"/>
  <c r="D5277" i="2"/>
  <c r="C5277" i="2"/>
  <c r="D5276" i="2"/>
  <c r="C5276" i="2"/>
  <c r="D5275" i="2"/>
  <c r="C5275" i="2"/>
  <c r="D5274" i="2"/>
  <c r="C5274" i="2"/>
  <c r="D5273" i="2"/>
  <c r="C5273" i="2"/>
  <c r="D5272" i="2"/>
  <c r="C5272" i="2"/>
  <c r="D5271" i="2"/>
  <c r="C5271" i="2"/>
  <c r="D5270" i="2"/>
  <c r="C5270" i="2"/>
  <c r="D5269" i="2"/>
  <c r="C5269" i="2"/>
  <c r="D5268" i="2"/>
  <c r="C5268" i="2"/>
  <c r="D5267" i="2"/>
  <c r="C5267" i="2"/>
  <c r="D5266" i="2"/>
  <c r="C5266" i="2"/>
  <c r="D5265" i="2"/>
  <c r="C5265" i="2"/>
  <c r="D5264" i="2"/>
  <c r="C5264" i="2"/>
  <c r="D5263" i="2"/>
  <c r="C5263" i="2"/>
  <c r="D5262" i="2"/>
  <c r="C5262" i="2"/>
  <c r="D5261" i="2"/>
  <c r="C5261" i="2"/>
  <c r="D5260" i="2"/>
  <c r="C5260" i="2"/>
  <c r="D5259" i="2"/>
  <c r="C5259" i="2"/>
  <c r="D5258" i="2"/>
  <c r="C5258" i="2"/>
  <c r="D5257" i="2"/>
  <c r="C5257" i="2"/>
  <c r="D5256" i="2"/>
  <c r="C5256" i="2"/>
  <c r="D5255" i="2"/>
  <c r="C5255" i="2"/>
  <c r="D5254" i="2"/>
  <c r="C5254" i="2"/>
  <c r="D5253" i="2"/>
  <c r="C5253" i="2"/>
  <c r="D5252" i="2"/>
  <c r="C5252" i="2"/>
  <c r="D5251" i="2"/>
  <c r="C5251" i="2"/>
  <c r="D5250" i="2"/>
  <c r="C5250" i="2"/>
  <c r="D5249" i="2"/>
  <c r="C5249" i="2"/>
  <c r="D5248" i="2"/>
  <c r="C5248" i="2"/>
  <c r="D5247" i="2"/>
  <c r="C5247" i="2"/>
  <c r="D5246" i="2"/>
  <c r="C5246" i="2"/>
  <c r="D5245" i="2"/>
  <c r="C5245" i="2"/>
  <c r="D5244" i="2"/>
  <c r="C5244" i="2"/>
  <c r="D5243" i="2"/>
  <c r="C5243" i="2"/>
  <c r="D5242" i="2"/>
  <c r="C5242" i="2"/>
  <c r="D5241" i="2"/>
  <c r="C5241" i="2"/>
  <c r="D5240" i="2"/>
  <c r="C5240" i="2"/>
  <c r="D5239" i="2"/>
  <c r="C5239" i="2"/>
  <c r="D5238" i="2"/>
  <c r="C5238" i="2"/>
  <c r="D5237" i="2"/>
  <c r="C5237" i="2"/>
  <c r="D5236" i="2"/>
  <c r="C5236" i="2"/>
  <c r="D5235" i="2"/>
  <c r="C5235" i="2"/>
  <c r="D5234" i="2"/>
  <c r="C5234" i="2"/>
  <c r="D5233" i="2"/>
  <c r="C5233" i="2"/>
  <c r="D5232" i="2"/>
  <c r="C5232" i="2"/>
  <c r="D5231" i="2"/>
  <c r="C5231" i="2"/>
  <c r="D5230" i="2"/>
  <c r="C5230" i="2"/>
  <c r="D5229" i="2"/>
  <c r="C5229" i="2"/>
  <c r="D5228" i="2"/>
  <c r="C5228" i="2"/>
  <c r="D5227" i="2"/>
  <c r="C5227" i="2"/>
  <c r="D5226" i="2"/>
  <c r="C5226" i="2"/>
  <c r="D5225" i="2"/>
  <c r="C5225" i="2"/>
  <c r="D5224" i="2"/>
  <c r="C5224" i="2"/>
  <c r="D5223" i="2"/>
  <c r="C5223" i="2"/>
  <c r="D5222" i="2"/>
  <c r="C5222" i="2"/>
  <c r="D5221" i="2"/>
  <c r="C5221" i="2"/>
  <c r="D5220" i="2"/>
  <c r="C5220" i="2"/>
  <c r="D5219" i="2"/>
  <c r="C5219" i="2"/>
  <c r="D5218" i="2"/>
  <c r="C5218" i="2"/>
  <c r="D5217" i="2"/>
  <c r="C5217" i="2"/>
  <c r="D5216" i="2"/>
  <c r="C5216" i="2"/>
  <c r="D5215" i="2"/>
  <c r="C5215" i="2"/>
  <c r="D5214" i="2"/>
  <c r="C5214" i="2"/>
  <c r="D5213" i="2"/>
  <c r="C5213" i="2"/>
  <c r="D5212" i="2"/>
  <c r="C5212" i="2"/>
  <c r="D5211" i="2"/>
  <c r="C5211" i="2"/>
  <c r="D5210" i="2"/>
  <c r="C5210" i="2"/>
  <c r="D5209" i="2"/>
  <c r="C5209" i="2"/>
  <c r="D5208" i="2"/>
  <c r="C5208" i="2"/>
  <c r="D5207" i="2"/>
  <c r="C5207" i="2"/>
  <c r="D5206" i="2"/>
  <c r="C5206" i="2"/>
  <c r="D5205" i="2"/>
  <c r="C5205" i="2"/>
  <c r="D5204" i="2"/>
  <c r="C5204" i="2"/>
  <c r="D5203" i="2"/>
  <c r="C5203" i="2"/>
  <c r="D5202" i="2"/>
  <c r="C5202" i="2"/>
  <c r="D5201" i="2"/>
  <c r="C5201" i="2"/>
  <c r="D5200" i="2"/>
  <c r="C5200" i="2"/>
  <c r="D5199" i="2"/>
  <c r="C5199" i="2"/>
  <c r="D5198" i="2"/>
  <c r="C5198" i="2"/>
  <c r="D5197" i="2"/>
  <c r="C5197" i="2"/>
  <c r="D5196" i="2"/>
  <c r="C5196" i="2"/>
  <c r="D5195" i="2"/>
  <c r="C5195" i="2"/>
  <c r="D5194" i="2"/>
  <c r="C5194" i="2"/>
  <c r="D5193" i="2"/>
  <c r="C5193" i="2"/>
  <c r="D5192" i="2"/>
  <c r="C5192" i="2"/>
  <c r="D5191" i="2"/>
  <c r="C5191" i="2"/>
  <c r="D5190" i="2"/>
  <c r="C5190" i="2"/>
  <c r="D5189" i="2"/>
  <c r="C5189" i="2"/>
  <c r="D5188" i="2"/>
  <c r="C5188" i="2"/>
  <c r="D5187" i="2"/>
  <c r="C5187" i="2"/>
  <c r="D5186" i="2"/>
  <c r="C5186" i="2"/>
  <c r="D5185" i="2"/>
  <c r="C5185" i="2"/>
  <c r="D5184" i="2"/>
  <c r="C5184" i="2"/>
  <c r="D5183" i="2"/>
  <c r="C5183" i="2"/>
  <c r="D5182" i="2"/>
  <c r="C5182" i="2"/>
  <c r="D5181" i="2"/>
  <c r="C5181" i="2"/>
  <c r="D5180" i="2"/>
  <c r="C5180" i="2"/>
  <c r="D5179" i="2"/>
  <c r="C5179" i="2"/>
  <c r="D5178" i="2"/>
  <c r="C5178" i="2"/>
  <c r="D5177" i="2"/>
  <c r="C5177" i="2"/>
  <c r="D5176" i="2"/>
  <c r="C5176" i="2"/>
  <c r="D5175" i="2"/>
  <c r="C5175" i="2"/>
  <c r="D5174" i="2"/>
  <c r="C5174" i="2"/>
  <c r="D5173" i="2"/>
  <c r="C5173" i="2"/>
  <c r="D5172" i="2"/>
  <c r="C5172" i="2"/>
  <c r="D5171" i="2"/>
  <c r="C5171" i="2"/>
  <c r="D5170" i="2"/>
  <c r="C5170" i="2"/>
  <c r="D5169" i="2"/>
  <c r="C5169" i="2"/>
  <c r="D5168" i="2"/>
  <c r="C5168" i="2"/>
  <c r="D5167" i="2"/>
  <c r="C5167" i="2"/>
  <c r="D5166" i="2"/>
  <c r="C5166" i="2"/>
  <c r="D5165" i="2"/>
  <c r="C5165" i="2"/>
  <c r="D5164" i="2"/>
  <c r="C5164" i="2"/>
  <c r="D5163" i="2"/>
  <c r="C5163" i="2"/>
  <c r="D5162" i="2"/>
  <c r="C5162" i="2"/>
  <c r="D5161" i="2"/>
  <c r="C5161" i="2"/>
  <c r="D5160" i="2"/>
  <c r="C5160" i="2"/>
  <c r="D5159" i="2"/>
  <c r="C5159" i="2"/>
  <c r="D5158" i="2"/>
  <c r="C5158" i="2"/>
  <c r="D5157" i="2"/>
  <c r="C5157" i="2"/>
  <c r="D5156" i="2"/>
  <c r="C5156" i="2"/>
  <c r="D5155" i="2"/>
  <c r="C5155" i="2"/>
  <c r="D5154" i="2"/>
  <c r="C5154" i="2"/>
  <c r="D5153" i="2"/>
  <c r="C5153" i="2"/>
  <c r="D5152" i="2"/>
  <c r="C5152" i="2"/>
  <c r="D5151" i="2"/>
  <c r="C5151" i="2"/>
  <c r="D5150" i="2"/>
  <c r="C5150" i="2"/>
  <c r="D5149" i="2"/>
  <c r="C5149" i="2"/>
  <c r="D5148" i="2"/>
  <c r="C5148" i="2"/>
  <c r="D5147" i="2"/>
  <c r="C5147" i="2"/>
  <c r="D5146" i="2"/>
  <c r="C5146" i="2"/>
  <c r="D5145" i="2"/>
  <c r="C5145" i="2"/>
  <c r="D5144" i="2"/>
  <c r="C5144" i="2"/>
  <c r="D5143" i="2"/>
  <c r="C5143" i="2"/>
  <c r="D5142" i="2"/>
  <c r="C5142" i="2"/>
  <c r="D5141" i="2"/>
  <c r="C5141" i="2"/>
  <c r="D5140" i="2"/>
  <c r="C5140" i="2"/>
  <c r="D5139" i="2"/>
  <c r="C5139" i="2"/>
  <c r="D5138" i="2"/>
  <c r="C5138" i="2"/>
  <c r="D5137" i="2"/>
  <c r="C5137" i="2"/>
  <c r="D5136" i="2"/>
  <c r="C5136" i="2"/>
  <c r="D5135" i="2"/>
  <c r="C5135" i="2"/>
  <c r="D5134" i="2"/>
  <c r="C5134" i="2"/>
  <c r="D5133" i="2"/>
  <c r="C5133" i="2"/>
  <c r="D5132" i="2"/>
  <c r="C5132" i="2"/>
  <c r="D5131" i="2"/>
  <c r="C5131" i="2"/>
  <c r="D5130" i="2"/>
  <c r="C5130" i="2"/>
  <c r="D5129" i="2"/>
  <c r="C5129" i="2"/>
  <c r="D5128" i="2"/>
  <c r="C5128" i="2"/>
  <c r="D5127" i="2"/>
  <c r="C5127" i="2"/>
  <c r="D5126" i="2"/>
  <c r="C5126" i="2"/>
  <c r="D5125" i="2"/>
  <c r="C5125" i="2"/>
  <c r="D5124" i="2"/>
  <c r="C5124" i="2"/>
  <c r="D5123" i="2"/>
  <c r="C5123" i="2"/>
  <c r="D5122" i="2"/>
  <c r="C5122" i="2"/>
  <c r="D5121" i="2"/>
  <c r="C5121" i="2"/>
  <c r="D5120" i="2"/>
  <c r="C5120" i="2"/>
  <c r="D5119" i="2"/>
  <c r="C5119" i="2"/>
  <c r="D5118" i="2"/>
  <c r="C5118" i="2"/>
  <c r="D5117" i="2"/>
  <c r="C5117" i="2"/>
  <c r="D5116" i="2"/>
  <c r="C5116" i="2"/>
  <c r="D5115" i="2"/>
  <c r="C5115" i="2"/>
  <c r="D5114" i="2"/>
  <c r="C5114" i="2"/>
  <c r="D5113" i="2"/>
  <c r="C5113" i="2"/>
  <c r="D5112" i="2"/>
  <c r="C5112" i="2"/>
  <c r="D5111" i="2"/>
  <c r="C5111" i="2"/>
  <c r="D5110" i="2"/>
  <c r="C5110" i="2"/>
  <c r="D5109" i="2"/>
  <c r="C5109" i="2"/>
  <c r="D5108" i="2"/>
  <c r="C5108" i="2"/>
  <c r="D5107" i="2"/>
  <c r="C5107" i="2"/>
  <c r="D5106" i="2"/>
  <c r="C5106" i="2"/>
  <c r="D5105" i="2"/>
  <c r="C5105" i="2"/>
  <c r="D5104" i="2"/>
  <c r="C5104" i="2"/>
  <c r="D5103" i="2"/>
  <c r="C5103" i="2"/>
  <c r="D5102" i="2"/>
  <c r="C5102" i="2"/>
  <c r="D5101" i="2"/>
  <c r="C5101" i="2"/>
  <c r="D5100" i="2"/>
  <c r="C5100" i="2"/>
  <c r="D5099" i="2"/>
  <c r="C5099" i="2"/>
  <c r="D5098" i="2"/>
  <c r="C5098" i="2"/>
  <c r="D5097" i="2"/>
  <c r="C5097" i="2"/>
  <c r="D5096" i="2"/>
  <c r="C5096" i="2"/>
  <c r="D5095" i="2"/>
  <c r="C5095" i="2"/>
  <c r="D5094" i="2"/>
  <c r="C5094" i="2"/>
  <c r="D5093" i="2"/>
  <c r="C5093" i="2"/>
  <c r="D5092" i="2"/>
  <c r="C5092" i="2"/>
  <c r="D5091" i="2"/>
  <c r="C5091" i="2"/>
  <c r="D5090" i="2"/>
  <c r="C5090" i="2"/>
  <c r="D5089" i="2"/>
  <c r="C5089" i="2"/>
  <c r="D5088" i="2"/>
  <c r="C5088" i="2"/>
  <c r="D5087" i="2"/>
  <c r="C5087" i="2"/>
  <c r="D5086" i="2"/>
  <c r="C5086" i="2"/>
  <c r="D5085" i="2"/>
  <c r="C5085" i="2"/>
  <c r="D5084" i="2"/>
  <c r="C5084" i="2"/>
  <c r="D5083" i="2"/>
  <c r="C5083" i="2"/>
  <c r="D5082" i="2"/>
  <c r="C5082" i="2"/>
  <c r="D5081" i="2"/>
  <c r="C5081" i="2"/>
  <c r="D5080" i="2"/>
  <c r="C5080" i="2"/>
  <c r="D5079" i="2"/>
  <c r="C5079" i="2"/>
  <c r="D5078" i="2"/>
  <c r="C5078" i="2"/>
  <c r="D5077" i="2"/>
  <c r="C5077" i="2"/>
  <c r="D5076" i="2"/>
  <c r="C5076" i="2"/>
  <c r="D5075" i="2"/>
  <c r="C5075" i="2"/>
  <c r="D5074" i="2"/>
  <c r="C5074" i="2"/>
  <c r="D5073" i="2"/>
  <c r="C5073" i="2"/>
  <c r="D5072" i="2"/>
  <c r="C5072" i="2"/>
  <c r="D5071" i="2"/>
  <c r="C5071" i="2"/>
  <c r="D5070" i="2"/>
  <c r="C5070" i="2"/>
  <c r="D5069" i="2"/>
  <c r="C5069" i="2"/>
  <c r="D5068" i="2"/>
  <c r="C5068" i="2"/>
  <c r="D5067" i="2"/>
  <c r="C5067" i="2"/>
  <c r="D5066" i="2"/>
  <c r="C5066" i="2"/>
  <c r="D5065" i="2"/>
  <c r="C5065" i="2"/>
  <c r="D5064" i="2"/>
  <c r="C5064" i="2"/>
  <c r="D5063" i="2"/>
  <c r="C5063" i="2"/>
  <c r="D5062" i="2"/>
  <c r="C5062" i="2"/>
  <c r="D5061" i="2"/>
  <c r="C5061" i="2"/>
  <c r="D5060" i="2"/>
  <c r="C5060" i="2"/>
  <c r="D5059" i="2"/>
  <c r="C5059" i="2"/>
  <c r="D5058" i="2"/>
  <c r="C5058" i="2"/>
  <c r="D5057" i="2"/>
  <c r="C5057" i="2"/>
  <c r="D5056" i="2"/>
  <c r="C5056" i="2"/>
  <c r="D5055" i="2"/>
  <c r="C5055" i="2"/>
  <c r="D5054" i="2"/>
  <c r="C5054" i="2"/>
  <c r="D5053" i="2"/>
  <c r="C5053" i="2"/>
  <c r="D5052" i="2"/>
  <c r="C5052" i="2"/>
  <c r="D5051" i="2"/>
  <c r="C5051" i="2"/>
  <c r="D5050" i="2"/>
  <c r="C5050" i="2"/>
  <c r="D5049" i="2"/>
  <c r="C5049" i="2"/>
  <c r="D5048" i="2"/>
  <c r="C5048" i="2"/>
  <c r="D5047" i="2"/>
  <c r="C5047" i="2"/>
  <c r="D5046" i="2"/>
  <c r="C5046" i="2"/>
  <c r="D5045" i="2"/>
  <c r="C5045" i="2"/>
  <c r="D5044" i="2"/>
  <c r="C5044" i="2"/>
  <c r="D5043" i="2"/>
  <c r="C5043" i="2"/>
  <c r="D5042" i="2"/>
  <c r="C5042" i="2"/>
  <c r="D5041" i="2"/>
  <c r="C5041" i="2"/>
  <c r="D5040" i="2"/>
  <c r="C5040" i="2"/>
  <c r="D5039" i="2"/>
  <c r="C5039" i="2"/>
  <c r="D5038" i="2"/>
  <c r="C5038" i="2"/>
  <c r="D5037" i="2"/>
  <c r="C5037" i="2"/>
  <c r="D5036" i="2"/>
  <c r="C5036" i="2"/>
  <c r="D5035" i="2"/>
  <c r="C5035" i="2"/>
  <c r="D5034" i="2"/>
  <c r="C5034" i="2"/>
  <c r="D5033" i="2"/>
  <c r="C5033" i="2"/>
  <c r="D5032" i="2"/>
  <c r="C5032" i="2"/>
  <c r="D5031" i="2"/>
  <c r="C5031" i="2"/>
  <c r="D5030" i="2"/>
  <c r="C5030" i="2"/>
  <c r="D5029" i="2"/>
  <c r="C5029" i="2"/>
  <c r="D5028" i="2"/>
  <c r="C5028" i="2"/>
  <c r="D5027" i="2"/>
  <c r="C5027" i="2"/>
  <c r="D5026" i="2"/>
  <c r="C5026" i="2"/>
  <c r="D5025" i="2"/>
  <c r="C5025" i="2"/>
  <c r="D5024" i="2"/>
  <c r="C5024" i="2"/>
  <c r="D5023" i="2"/>
  <c r="C5023" i="2"/>
  <c r="D5022" i="2"/>
  <c r="C5022" i="2"/>
  <c r="D5021" i="2"/>
  <c r="C5021" i="2"/>
  <c r="D5020" i="2"/>
  <c r="C5020" i="2"/>
  <c r="D5019" i="2"/>
  <c r="C5019" i="2"/>
  <c r="D5018" i="2"/>
  <c r="C5018" i="2"/>
  <c r="D5017" i="2"/>
  <c r="C5017" i="2"/>
  <c r="D5016" i="2"/>
  <c r="C5016" i="2"/>
  <c r="D5015" i="2"/>
  <c r="C5015" i="2"/>
  <c r="D5014" i="2"/>
  <c r="C5014" i="2"/>
  <c r="D5013" i="2"/>
  <c r="C5013" i="2"/>
  <c r="D5012" i="2"/>
  <c r="C5012" i="2"/>
  <c r="D5011" i="2"/>
  <c r="C5011" i="2"/>
  <c r="D5010" i="2"/>
  <c r="C5010" i="2"/>
  <c r="D5009" i="2"/>
  <c r="C5009" i="2"/>
  <c r="D5008" i="2"/>
  <c r="C5008" i="2"/>
  <c r="D5007" i="2"/>
  <c r="C5007" i="2"/>
  <c r="D5006" i="2"/>
  <c r="C5006" i="2"/>
  <c r="D5005" i="2"/>
  <c r="C5005" i="2"/>
  <c r="D5004" i="2"/>
  <c r="C5004" i="2"/>
  <c r="D5003" i="2"/>
  <c r="C5003" i="2"/>
  <c r="D5002" i="2"/>
  <c r="C5002" i="2"/>
  <c r="D5001" i="2"/>
  <c r="C5001" i="2"/>
  <c r="D5000" i="2"/>
  <c r="C5000" i="2"/>
  <c r="D4999" i="2"/>
  <c r="C4999" i="2"/>
  <c r="D4998" i="2"/>
  <c r="C4998" i="2"/>
  <c r="D4997" i="2"/>
  <c r="C4997" i="2"/>
  <c r="D4996" i="2"/>
  <c r="C4996" i="2"/>
  <c r="D4995" i="2"/>
  <c r="C4995" i="2"/>
  <c r="D4994" i="2"/>
  <c r="C4994" i="2"/>
  <c r="D4993" i="2"/>
  <c r="C4993" i="2"/>
  <c r="D4992" i="2"/>
  <c r="C4992" i="2"/>
  <c r="D4991" i="2"/>
  <c r="C4991" i="2"/>
  <c r="D4990" i="2"/>
  <c r="C4990" i="2"/>
  <c r="D4989" i="2"/>
  <c r="C4989" i="2"/>
  <c r="D4988" i="2"/>
  <c r="C4988" i="2"/>
  <c r="D4987" i="2"/>
  <c r="C4987" i="2"/>
  <c r="D4986" i="2"/>
  <c r="C4986" i="2"/>
  <c r="D4985" i="2"/>
  <c r="C4985" i="2"/>
  <c r="D4984" i="2"/>
  <c r="C4984" i="2"/>
  <c r="D4983" i="2"/>
  <c r="C4983" i="2"/>
  <c r="D4982" i="2"/>
  <c r="C4982" i="2"/>
  <c r="D4981" i="2"/>
  <c r="C4981" i="2"/>
  <c r="D4980" i="2"/>
  <c r="C4980" i="2"/>
  <c r="D4979" i="2"/>
  <c r="C4979" i="2"/>
  <c r="D4978" i="2"/>
  <c r="C4978" i="2"/>
  <c r="D4977" i="2"/>
  <c r="C4977" i="2"/>
  <c r="D4976" i="2"/>
  <c r="C4976" i="2"/>
  <c r="D4975" i="2"/>
  <c r="C4975" i="2"/>
  <c r="D4974" i="2"/>
  <c r="C4974" i="2"/>
  <c r="D4973" i="2"/>
  <c r="C4973" i="2"/>
  <c r="D4972" i="2"/>
  <c r="C4972" i="2"/>
  <c r="D4971" i="2"/>
  <c r="C4971" i="2"/>
  <c r="D4970" i="2"/>
  <c r="C4970" i="2"/>
  <c r="D4969" i="2"/>
  <c r="C4969" i="2"/>
  <c r="D4968" i="2"/>
  <c r="C4968" i="2"/>
  <c r="D4967" i="2"/>
  <c r="C4967" i="2"/>
  <c r="D4966" i="2"/>
  <c r="C4966" i="2"/>
  <c r="D4965" i="2"/>
  <c r="C4965" i="2"/>
  <c r="D4964" i="2"/>
  <c r="C4964" i="2"/>
  <c r="D4963" i="2"/>
  <c r="C4963" i="2"/>
  <c r="D4962" i="2"/>
  <c r="C4962" i="2"/>
  <c r="D4961" i="2"/>
  <c r="C4961" i="2"/>
  <c r="D4960" i="2"/>
  <c r="C4960" i="2"/>
  <c r="D4959" i="2"/>
  <c r="C4959" i="2"/>
  <c r="D4958" i="2"/>
  <c r="C4958" i="2"/>
  <c r="D4957" i="2"/>
  <c r="C4957" i="2"/>
  <c r="D4956" i="2"/>
  <c r="C4956" i="2"/>
  <c r="D4955" i="2"/>
  <c r="C4955" i="2"/>
  <c r="D4954" i="2"/>
  <c r="C4954" i="2"/>
  <c r="D4953" i="2"/>
  <c r="C4953" i="2"/>
  <c r="D4952" i="2"/>
  <c r="C4952" i="2"/>
  <c r="D4951" i="2"/>
  <c r="C4951" i="2"/>
  <c r="D4950" i="2"/>
  <c r="C4950" i="2"/>
  <c r="D4949" i="2"/>
  <c r="C4949" i="2"/>
  <c r="D4948" i="2"/>
  <c r="C4948" i="2"/>
  <c r="D4947" i="2"/>
  <c r="C4947" i="2"/>
  <c r="D4946" i="2"/>
  <c r="C4946" i="2"/>
  <c r="D4945" i="2"/>
  <c r="C4945" i="2"/>
  <c r="D4944" i="2"/>
  <c r="C4944" i="2"/>
  <c r="D4943" i="2"/>
  <c r="C4943" i="2"/>
  <c r="D4942" i="2"/>
  <c r="C4942" i="2"/>
  <c r="D4941" i="2"/>
  <c r="C4941" i="2"/>
  <c r="D4940" i="2"/>
  <c r="C4940" i="2"/>
  <c r="D4939" i="2"/>
  <c r="C4939" i="2"/>
  <c r="D4938" i="2"/>
  <c r="C4938" i="2"/>
  <c r="D4937" i="2"/>
  <c r="C4937" i="2"/>
  <c r="D4936" i="2"/>
  <c r="C4936" i="2"/>
  <c r="D4935" i="2"/>
  <c r="C4935" i="2"/>
  <c r="D4934" i="2"/>
  <c r="C4934" i="2"/>
  <c r="D4933" i="2"/>
  <c r="C4933" i="2"/>
  <c r="D4932" i="2"/>
  <c r="C4932" i="2"/>
  <c r="D4931" i="2"/>
  <c r="C4931" i="2"/>
  <c r="D4930" i="2"/>
  <c r="C4930" i="2"/>
  <c r="D4929" i="2"/>
  <c r="C4929" i="2"/>
  <c r="D4928" i="2"/>
  <c r="C4928" i="2"/>
  <c r="D4927" i="2"/>
  <c r="C4927" i="2"/>
  <c r="D4926" i="2"/>
  <c r="C4926" i="2"/>
  <c r="D4925" i="2"/>
  <c r="C4925" i="2"/>
  <c r="D4924" i="2"/>
  <c r="C4924" i="2"/>
  <c r="D4923" i="2"/>
  <c r="C4923" i="2"/>
  <c r="D4922" i="2"/>
  <c r="C4922" i="2"/>
  <c r="D4921" i="2"/>
  <c r="C4921" i="2"/>
  <c r="D4920" i="2"/>
  <c r="C4920" i="2"/>
  <c r="D4919" i="2"/>
  <c r="C4919" i="2"/>
  <c r="D4918" i="2"/>
  <c r="C4918" i="2"/>
  <c r="D4917" i="2"/>
  <c r="C4917" i="2"/>
  <c r="D4916" i="2"/>
  <c r="C4916" i="2"/>
  <c r="D4915" i="2"/>
  <c r="C4915" i="2"/>
  <c r="D4914" i="2"/>
  <c r="C4914" i="2"/>
  <c r="D4913" i="2"/>
  <c r="C4913" i="2"/>
  <c r="D4912" i="2"/>
  <c r="C4912" i="2"/>
  <c r="D4911" i="2"/>
  <c r="C4911" i="2"/>
  <c r="D4910" i="2"/>
  <c r="C4910" i="2"/>
  <c r="D4909" i="2"/>
  <c r="C4909" i="2"/>
  <c r="D4908" i="2"/>
  <c r="C4908" i="2"/>
  <c r="D4907" i="2"/>
  <c r="C4907" i="2"/>
  <c r="D4906" i="2"/>
  <c r="C4906" i="2"/>
  <c r="D4905" i="2"/>
  <c r="C4905" i="2"/>
  <c r="D4904" i="2"/>
  <c r="C4904" i="2"/>
  <c r="D4903" i="2"/>
  <c r="C4903" i="2"/>
  <c r="D4902" i="2"/>
  <c r="C4902" i="2"/>
  <c r="D4901" i="2"/>
  <c r="C4901" i="2"/>
  <c r="D4900" i="2"/>
  <c r="C4900" i="2"/>
  <c r="D4899" i="2"/>
  <c r="C4899" i="2"/>
  <c r="D4898" i="2"/>
  <c r="C4898" i="2"/>
  <c r="D4897" i="2"/>
  <c r="C4897" i="2"/>
  <c r="D4896" i="2"/>
  <c r="C4896" i="2"/>
  <c r="D4895" i="2"/>
  <c r="C4895" i="2"/>
  <c r="D4894" i="2"/>
  <c r="C4894" i="2"/>
  <c r="D4893" i="2"/>
  <c r="C4893" i="2"/>
  <c r="D4892" i="2"/>
  <c r="C4892" i="2"/>
  <c r="D4891" i="2"/>
  <c r="C4891" i="2"/>
  <c r="D4890" i="2"/>
  <c r="C4890" i="2"/>
  <c r="D4889" i="2"/>
  <c r="C4889" i="2"/>
  <c r="D4888" i="2"/>
  <c r="C4888" i="2"/>
  <c r="D4887" i="2"/>
  <c r="C4887" i="2"/>
  <c r="D4886" i="2"/>
  <c r="C4886" i="2"/>
  <c r="D4885" i="2"/>
  <c r="C4885" i="2"/>
  <c r="D4884" i="2"/>
  <c r="C4884" i="2"/>
  <c r="D4883" i="2"/>
  <c r="C4883" i="2"/>
  <c r="D4882" i="2"/>
  <c r="C4882" i="2"/>
  <c r="D4881" i="2"/>
  <c r="C4881" i="2"/>
  <c r="D4880" i="2"/>
  <c r="C4880" i="2"/>
  <c r="D4879" i="2"/>
  <c r="C4879" i="2"/>
  <c r="D4878" i="2"/>
  <c r="C4878" i="2"/>
  <c r="D4877" i="2"/>
  <c r="C4877" i="2"/>
  <c r="D4876" i="2"/>
  <c r="C4876" i="2"/>
  <c r="D4875" i="2"/>
  <c r="C4875" i="2"/>
  <c r="D4874" i="2"/>
  <c r="C4874" i="2"/>
  <c r="D4873" i="2"/>
  <c r="C4873" i="2"/>
  <c r="D4872" i="2"/>
  <c r="C4872" i="2"/>
  <c r="D4871" i="2"/>
  <c r="C4871" i="2"/>
  <c r="D4870" i="2"/>
  <c r="C4870" i="2"/>
  <c r="D4869" i="2"/>
  <c r="C4869" i="2"/>
  <c r="D4868" i="2"/>
  <c r="C4868" i="2"/>
  <c r="D4867" i="2"/>
  <c r="C4867" i="2"/>
  <c r="D4866" i="2"/>
  <c r="C4866" i="2"/>
  <c r="D4865" i="2"/>
  <c r="C4865" i="2"/>
  <c r="D4864" i="2"/>
  <c r="C4864" i="2"/>
  <c r="D4863" i="2"/>
  <c r="C4863" i="2"/>
  <c r="D4862" i="2"/>
  <c r="C4862" i="2"/>
  <c r="D4861" i="2"/>
  <c r="C4861" i="2"/>
  <c r="D4860" i="2"/>
  <c r="C4860" i="2"/>
  <c r="D4859" i="2"/>
  <c r="C4859" i="2"/>
  <c r="D4858" i="2"/>
  <c r="C4858" i="2"/>
  <c r="D4857" i="2"/>
  <c r="C4857" i="2"/>
  <c r="D4856" i="2"/>
  <c r="C4856" i="2"/>
  <c r="D4855" i="2"/>
  <c r="C4855" i="2"/>
  <c r="D4854" i="2"/>
  <c r="C4854" i="2"/>
  <c r="D4853" i="2"/>
  <c r="C4853" i="2"/>
  <c r="D4852" i="2"/>
  <c r="C4852" i="2"/>
  <c r="D4851" i="2"/>
  <c r="C4851" i="2"/>
  <c r="D4850" i="2"/>
  <c r="C4850" i="2"/>
  <c r="D4849" i="2"/>
  <c r="C4849" i="2"/>
  <c r="D4848" i="2"/>
  <c r="C4848" i="2"/>
  <c r="D4847" i="2"/>
  <c r="C4847" i="2"/>
  <c r="D4846" i="2"/>
  <c r="C4846" i="2"/>
  <c r="D4845" i="2"/>
  <c r="C4845" i="2"/>
  <c r="D4844" i="2"/>
  <c r="C4844" i="2"/>
  <c r="D4843" i="2"/>
  <c r="C4843" i="2"/>
  <c r="D4842" i="2"/>
  <c r="C4842" i="2"/>
  <c r="D4841" i="2"/>
  <c r="C4841" i="2"/>
  <c r="D4840" i="2"/>
  <c r="C4840" i="2"/>
  <c r="D4839" i="2"/>
  <c r="C4839" i="2"/>
  <c r="D4838" i="2"/>
  <c r="C4838" i="2"/>
  <c r="D4837" i="2"/>
  <c r="C4837" i="2"/>
  <c r="D4836" i="2"/>
  <c r="C4836" i="2"/>
  <c r="D4835" i="2"/>
  <c r="C4835" i="2"/>
  <c r="D4834" i="2"/>
  <c r="C4834" i="2"/>
  <c r="D4833" i="2"/>
  <c r="C4833" i="2"/>
  <c r="D4832" i="2"/>
  <c r="C4832" i="2"/>
  <c r="D4831" i="2"/>
  <c r="C4831" i="2"/>
  <c r="D4830" i="2"/>
  <c r="C4830" i="2"/>
  <c r="D4829" i="2"/>
  <c r="C4829" i="2"/>
  <c r="D4828" i="2"/>
  <c r="C4828" i="2"/>
  <c r="D4827" i="2"/>
  <c r="C4827" i="2"/>
  <c r="D4826" i="2"/>
  <c r="C4826" i="2"/>
  <c r="D4825" i="2"/>
  <c r="C4825" i="2"/>
  <c r="D4824" i="2"/>
  <c r="C4824" i="2"/>
  <c r="D4823" i="2"/>
  <c r="C4823" i="2"/>
  <c r="D4822" i="2"/>
  <c r="C4822" i="2"/>
  <c r="D4821" i="2"/>
  <c r="C4821" i="2"/>
  <c r="D4820" i="2"/>
  <c r="C4820" i="2"/>
  <c r="D4819" i="2"/>
  <c r="C4819" i="2"/>
  <c r="D4818" i="2"/>
  <c r="C4818" i="2"/>
  <c r="D4817" i="2"/>
  <c r="C4817" i="2"/>
  <c r="D4816" i="2"/>
  <c r="C4816" i="2"/>
  <c r="D4815" i="2"/>
  <c r="C4815" i="2"/>
  <c r="D4814" i="2"/>
  <c r="C4814" i="2"/>
  <c r="D4813" i="2"/>
  <c r="C4813" i="2"/>
  <c r="D4812" i="2"/>
  <c r="C4812" i="2"/>
  <c r="D4811" i="2"/>
  <c r="C4811" i="2"/>
  <c r="D4810" i="2"/>
  <c r="C4810" i="2"/>
  <c r="D4809" i="2"/>
  <c r="C4809" i="2"/>
  <c r="D4808" i="2"/>
  <c r="C4808" i="2"/>
  <c r="D4807" i="2"/>
  <c r="C4807" i="2"/>
  <c r="D4806" i="2"/>
  <c r="C4806" i="2"/>
  <c r="D4805" i="2"/>
  <c r="C4805" i="2"/>
  <c r="D4804" i="2"/>
  <c r="C4804" i="2"/>
  <c r="D4803" i="2"/>
  <c r="C4803" i="2"/>
  <c r="D4802" i="2"/>
  <c r="C4802" i="2"/>
  <c r="D4801" i="2"/>
  <c r="C4801" i="2"/>
  <c r="D4800" i="2"/>
  <c r="C4800" i="2"/>
  <c r="D4799" i="2"/>
  <c r="C4799" i="2"/>
  <c r="D4798" i="2"/>
  <c r="C4798" i="2"/>
  <c r="D4797" i="2"/>
  <c r="C4797" i="2"/>
  <c r="D4796" i="2"/>
  <c r="C4796" i="2"/>
  <c r="D4795" i="2"/>
  <c r="C4795" i="2"/>
  <c r="D4794" i="2"/>
  <c r="C4794" i="2"/>
  <c r="D4793" i="2"/>
  <c r="C4793" i="2"/>
  <c r="D4792" i="2"/>
  <c r="C4792" i="2"/>
  <c r="D4791" i="2"/>
  <c r="C4791" i="2"/>
  <c r="D4790" i="2"/>
  <c r="C4790" i="2"/>
  <c r="D4789" i="2"/>
  <c r="C4789" i="2"/>
  <c r="D4788" i="2"/>
  <c r="C4788" i="2"/>
  <c r="D4787" i="2"/>
  <c r="C4787" i="2"/>
  <c r="D4786" i="2"/>
  <c r="C4786" i="2"/>
  <c r="D4785" i="2"/>
  <c r="C4785" i="2"/>
  <c r="D4784" i="2"/>
  <c r="C4784" i="2"/>
  <c r="D4783" i="2"/>
  <c r="C4783" i="2"/>
  <c r="D4782" i="2"/>
  <c r="C4782" i="2"/>
  <c r="D4781" i="2"/>
  <c r="C4781" i="2"/>
  <c r="D4780" i="2"/>
  <c r="C4780" i="2"/>
  <c r="D4779" i="2"/>
  <c r="C4779" i="2"/>
  <c r="D4778" i="2"/>
  <c r="C4778" i="2"/>
  <c r="D4777" i="2"/>
  <c r="C4777" i="2"/>
  <c r="D4776" i="2"/>
  <c r="C4776" i="2"/>
  <c r="D4775" i="2"/>
  <c r="C4775" i="2"/>
  <c r="D4774" i="2"/>
  <c r="C4774" i="2"/>
  <c r="D4773" i="2"/>
  <c r="C4773" i="2"/>
  <c r="D4772" i="2"/>
  <c r="C4772" i="2"/>
  <c r="D4771" i="2"/>
  <c r="C4771" i="2"/>
  <c r="D4770" i="2"/>
  <c r="C4770" i="2"/>
  <c r="D4769" i="2"/>
  <c r="C4769" i="2"/>
  <c r="D4768" i="2"/>
  <c r="C4768" i="2"/>
  <c r="D4767" i="2"/>
  <c r="C4767" i="2"/>
  <c r="D4766" i="2"/>
  <c r="C4766" i="2"/>
  <c r="D4765" i="2"/>
  <c r="C4765" i="2"/>
  <c r="D4764" i="2"/>
  <c r="C4764" i="2"/>
  <c r="D4763" i="2"/>
  <c r="C4763" i="2"/>
  <c r="D4762" i="2"/>
  <c r="C4762" i="2"/>
  <c r="D4761" i="2"/>
  <c r="C4761" i="2"/>
  <c r="D4760" i="2"/>
  <c r="C4760" i="2"/>
  <c r="D4759" i="2"/>
  <c r="C4759" i="2"/>
  <c r="D4758" i="2"/>
  <c r="C4758" i="2"/>
  <c r="D4757" i="2"/>
  <c r="C4757" i="2"/>
  <c r="D4756" i="2"/>
  <c r="C4756" i="2"/>
  <c r="D4755" i="2"/>
  <c r="C4755" i="2"/>
  <c r="D4754" i="2"/>
  <c r="C4754" i="2"/>
  <c r="D4753" i="2"/>
  <c r="C4753" i="2"/>
  <c r="D4752" i="2"/>
  <c r="C4752" i="2"/>
  <c r="D4751" i="2"/>
  <c r="C4751" i="2"/>
  <c r="D4750" i="2"/>
  <c r="C4750" i="2"/>
  <c r="D4749" i="2"/>
  <c r="C4749" i="2"/>
  <c r="D4748" i="2"/>
  <c r="C4748" i="2"/>
  <c r="D4747" i="2"/>
  <c r="C4747" i="2"/>
  <c r="D4746" i="2"/>
  <c r="C4746" i="2"/>
  <c r="D4745" i="2"/>
  <c r="C4745" i="2"/>
  <c r="D4744" i="2"/>
  <c r="C4744" i="2"/>
  <c r="D4743" i="2"/>
  <c r="C4743" i="2"/>
  <c r="D4742" i="2"/>
  <c r="C4742" i="2"/>
  <c r="D4741" i="2"/>
  <c r="C4741" i="2"/>
  <c r="D4740" i="2"/>
  <c r="C4740" i="2"/>
  <c r="D4739" i="2"/>
  <c r="C4739" i="2"/>
  <c r="D4738" i="2"/>
  <c r="C4738" i="2"/>
  <c r="D4737" i="2"/>
  <c r="C4737" i="2"/>
  <c r="D4736" i="2"/>
  <c r="C4736" i="2"/>
  <c r="D4735" i="2"/>
  <c r="C4735" i="2"/>
  <c r="D4734" i="2"/>
  <c r="C4734" i="2"/>
  <c r="D4733" i="2"/>
  <c r="C4733" i="2"/>
  <c r="D4732" i="2"/>
  <c r="C4732" i="2"/>
  <c r="D4731" i="2"/>
  <c r="C4731" i="2"/>
  <c r="D4730" i="2"/>
  <c r="C4730" i="2"/>
  <c r="D4729" i="2"/>
  <c r="C4729" i="2"/>
  <c r="D4728" i="2"/>
  <c r="C4728" i="2"/>
  <c r="D4727" i="2"/>
  <c r="C4727" i="2"/>
  <c r="D4726" i="2"/>
  <c r="C4726" i="2"/>
  <c r="D4725" i="2"/>
  <c r="C4725" i="2"/>
  <c r="D4724" i="2"/>
  <c r="C4724" i="2"/>
  <c r="D4723" i="2"/>
  <c r="C4723" i="2"/>
  <c r="D4722" i="2"/>
  <c r="C4722" i="2"/>
  <c r="D4721" i="2"/>
  <c r="C4721" i="2"/>
  <c r="D4720" i="2"/>
  <c r="C4720" i="2"/>
  <c r="D4719" i="2"/>
  <c r="C4719" i="2"/>
  <c r="D4718" i="2"/>
  <c r="C4718" i="2"/>
  <c r="D4717" i="2"/>
  <c r="C4717" i="2"/>
  <c r="D4716" i="2"/>
  <c r="C4716" i="2"/>
  <c r="D4715" i="2"/>
  <c r="C4715" i="2"/>
  <c r="D4714" i="2"/>
  <c r="C4714" i="2"/>
  <c r="D4713" i="2"/>
  <c r="C4713" i="2"/>
  <c r="D4712" i="2"/>
  <c r="C4712" i="2"/>
  <c r="D4711" i="2"/>
  <c r="C4711" i="2"/>
  <c r="D4710" i="2"/>
  <c r="C4710" i="2"/>
  <c r="D4709" i="2"/>
  <c r="C4709" i="2"/>
  <c r="D4708" i="2"/>
  <c r="C4708" i="2"/>
  <c r="D4707" i="2"/>
  <c r="C4707" i="2"/>
  <c r="D4706" i="2"/>
  <c r="C4706" i="2"/>
  <c r="D4705" i="2"/>
  <c r="C4705" i="2"/>
  <c r="D4704" i="2"/>
  <c r="C4704" i="2"/>
  <c r="D4703" i="2"/>
  <c r="C4703" i="2"/>
  <c r="D4702" i="2"/>
  <c r="C4702" i="2"/>
  <c r="D4701" i="2"/>
  <c r="C4701" i="2"/>
  <c r="D4700" i="2"/>
  <c r="C4700" i="2"/>
  <c r="D4699" i="2"/>
  <c r="C4699" i="2"/>
  <c r="D4698" i="2"/>
  <c r="C4698" i="2"/>
  <c r="D4697" i="2"/>
  <c r="C4697" i="2"/>
  <c r="D4696" i="2"/>
  <c r="C4696" i="2"/>
  <c r="D4695" i="2"/>
  <c r="C4695" i="2"/>
  <c r="D4694" i="2"/>
  <c r="C4694" i="2"/>
  <c r="D4693" i="2"/>
  <c r="C4693" i="2"/>
  <c r="D4692" i="2"/>
  <c r="C4692" i="2"/>
  <c r="D4691" i="2"/>
  <c r="C4691" i="2"/>
  <c r="D4690" i="2"/>
  <c r="C4690" i="2"/>
  <c r="D4689" i="2"/>
  <c r="C4689" i="2"/>
  <c r="D4688" i="2"/>
  <c r="C4688" i="2"/>
  <c r="D4687" i="2"/>
  <c r="C4687" i="2"/>
  <c r="D4686" i="2"/>
  <c r="C4686" i="2"/>
  <c r="D4685" i="2"/>
  <c r="C4685" i="2"/>
  <c r="D4684" i="2"/>
  <c r="C4684" i="2"/>
  <c r="D4683" i="2"/>
  <c r="C4683" i="2"/>
  <c r="D4682" i="2"/>
  <c r="C4682" i="2"/>
  <c r="D4681" i="2"/>
  <c r="C4681" i="2"/>
  <c r="D4680" i="2"/>
  <c r="C4680" i="2"/>
  <c r="D4679" i="2"/>
  <c r="C4679" i="2"/>
  <c r="D4678" i="2"/>
  <c r="C4678" i="2"/>
  <c r="D4677" i="2"/>
  <c r="C4677" i="2"/>
  <c r="D4676" i="2"/>
  <c r="C4676" i="2"/>
  <c r="D4675" i="2"/>
  <c r="C4675" i="2"/>
  <c r="D4674" i="2"/>
  <c r="C4674" i="2"/>
  <c r="D4673" i="2"/>
  <c r="C4673" i="2"/>
  <c r="D4672" i="2"/>
  <c r="C4672" i="2"/>
  <c r="D4671" i="2"/>
  <c r="C4671" i="2"/>
  <c r="D4670" i="2"/>
  <c r="C4670" i="2"/>
  <c r="D4669" i="2"/>
  <c r="C4669" i="2"/>
  <c r="D4668" i="2"/>
  <c r="C4668" i="2"/>
  <c r="D4667" i="2"/>
  <c r="C4667" i="2"/>
  <c r="L9" i="2"/>
  <c r="K9" i="2"/>
  <c r="J9" i="2"/>
  <c r="G9" i="2"/>
  <c r="E9" i="2"/>
  <c r="D9" i="2"/>
  <c r="C9" i="2"/>
  <c r="L8" i="2"/>
  <c r="K8" i="2"/>
  <c r="J8" i="2"/>
  <c r="G8" i="2"/>
  <c r="E8" i="2"/>
  <c r="D8" i="2"/>
  <c r="C8" i="2"/>
  <c r="L7" i="2"/>
  <c r="K7" i="2"/>
  <c r="J7" i="2"/>
  <c r="G7" i="2"/>
  <c r="E7" i="2"/>
  <c r="D7" i="2"/>
  <c r="C7" i="2"/>
  <c r="L6" i="2"/>
  <c r="K6" i="2"/>
  <c r="J6" i="2"/>
  <c r="G6" i="2"/>
  <c r="E6" i="2"/>
  <c r="D6" i="2"/>
  <c r="C6" i="2"/>
  <c r="L5" i="2"/>
  <c r="K5" i="2"/>
  <c r="J5" i="2"/>
  <c r="G5" i="2"/>
  <c r="E5" i="2"/>
  <c r="D5" i="2"/>
  <c r="C5" i="2"/>
  <c r="I2" i="2"/>
  <c r="H2" i="2"/>
  <c r="G2" i="2"/>
  <c r="F2" i="2"/>
  <c r="E2" i="2"/>
</calcChain>
</file>

<file path=xl/sharedStrings.xml><?xml version="1.0" encoding="utf-8"?>
<sst xmlns="http://schemas.openxmlformats.org/spreadsheetml/2006/main" count="10492" uniqueCount="4870">
  <si>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</si>
  <si>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</si>
  <si>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</si>
  <si>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</si>
  <si>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</si>
  <si>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</si>
  <si>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</si>
  <si>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</si>
  <si>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</si>
  <si>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</si>
  <si>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</si>
  <si>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</si>
  <si>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</si>
  <si>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</si>
  <si>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</si>
  <si>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</si>
  <si>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</si>
  <si>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</si>
  <si>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</si>
  <si>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</si>
  <si>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</si>
  <si>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</si>
  <si>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</si>
  <si>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</si>
  <si>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</si>
  <si>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</si>
  <si>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</si>
  <si>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</si>
  <si>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</si>
  <si>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</si>
  <si>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</si>
  <si>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</si>
  <si>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</si>
  <si>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</si>
  <si>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</si>
  <si>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</si>
  <si>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</si>
  <si>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</si>
  <si>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</si>
  <si>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</si>
  <si>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</si>
  <si>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</si>
  <si>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</si>
  <si>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</si>
  <si>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</si>
  <si>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</si>
  <si>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</si>
  <si>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</si>
  <si>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</si>
  <si>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</si>
  <si>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</si>
  <si>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</si>
  <si>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</si>
  <si>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</si>
  <si>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</si>
  <si>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</si>
  <si>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</si>
  <si>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</si>
  <si>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</si>
  <si>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</si>
  <si>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</si>
  <si>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</si>
  <si>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</si>
  <si>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</si>
  <si>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</si>
  <si>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</si>
  <si>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</si>
  <si>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</si>
  <si>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</si>
  <si>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</si>
  <si>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</si>
  <si>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</si>
  <si>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</si>
  <si>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</si>
  <si>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</si>
  <si>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</si>
  <si>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</si>
  <si>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</si>
  <si>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</si>
  <si>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</si>
  <si>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</si>
  <si>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</si>
  <si>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</si>
  <si>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</si>
  <si>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</si>
  <si>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</si>
  <si>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</si>
  <si>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</si>
  <si>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</si>
  <si>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</si>
  <si>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</si>
  <si>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</si>
  <si>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</si>
  <si>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</si>
  <si>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</si>
  <si>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</si>
  <si>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</si>
  <si>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</si>
  <si>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</si>
  <si>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</si>
  <si>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</si>
  <si>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</si>
  <si>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</si>
  <si>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</si>
  <si>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</si>
  <si>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</si>
  <si>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</si>
  <si>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</si>
  <si>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</si>
  <si>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</si>
  <si>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</si>
  <si>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</si>
  <si>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</si>
  <si>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</si>
  <si>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</si>
  <si>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</si>
  <si>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</si>
  <si>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</si>
  <si>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</si>
  <si>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</si>
  <si>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</si>
  <si>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</si>
  <si>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</si>
  <si>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</si>
  <si>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</si>
  <si>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</si>
  <si>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</si>
  <si>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</si>
  <si>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</si>
  <si>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</si>
  <si>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</si>
  <si>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</si>
  <si>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</si>
  <si>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</si>
  <si>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</si>
  <si>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</si>
  <si>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</si>
  <si>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</si>
  <si>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</si>
  <si>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</si>
  <si>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</si>
  <si>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</si>
  <si>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</si>
  <si>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</si>
  <si>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</si>
  <si>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</si>
  <si>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</si>
  <si>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</si>
  <si>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</si>
  <si>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</si>
  <si>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</si>
  <si>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</si>
  <si>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</si>
  <si>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</si>
  <si>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</si>
  <si>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</si>
  <si>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</si>
  <si>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</si>
  <si>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</si>
  <si>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</si>
  <si>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</si>
  <si>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</si>
  <si>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</si>
  <si>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</si>
  <si>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</si>
  <si>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</si>
  <si>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</si>
  <si>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</si>
  <si>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</si>
  <si>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</si>
  <si>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</si>
  <si>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</si>
  <si>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</si>
  <si>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</si>
  <si>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</si>
  <si>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</si>
  <si>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</si>
  <si>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</si>
  <si>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</si>
  <si>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</si>
  <si>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</si>
  <si>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</si>
  <si>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</si>
  <si>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</si>
  <si>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</si>
  <si>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</si>
  <si>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</si>
  <si>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</si>
  <si>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</si>
  <si>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</si>
  <si>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</si>
  <si>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</si>
  <si>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</si>
  <si>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</si>
  <si>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</si>
  <si>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</si>
  <si>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</si>
  <si>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</si>
  <si>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</si>
  <si>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</si>
  <si>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</si>
  <si>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</si>
  <si>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</si>
  <si>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</si>
  <si>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</si>
  <si>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</si>
  <si>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</si>
  <si>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</si>
  <si>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</si>
  <si>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</si>
  <si>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</si>
  <si>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</si>
  <si>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</si>
  <si>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</si>
  <si>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</si>
  <si>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</si>
  <si>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</si>
  <si>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</si>
  <si>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</si>
  <si>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</si>
  <si>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</si>
  <si>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</si>
  <si>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</si>
  <si>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</si>
  <si>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</si>
  <si>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</si>
  <si>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</si>
  <si>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</si>
  <si>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</si>
  <si>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</si>
  <si>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</si>
  <si>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</si>
  <si>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</si>
  <si>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</si>
  <si>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</si>
  <si>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</si>
  <si>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</si>
  <si>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</si>
  <si>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</si>
  <si>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</si>
  <si>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</si>
  <si>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</si>
  <si>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</si>
  <si>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</si>
  <si>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</si>
  <si>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</si>
  <si>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</si>
  <si>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</si>
  <si>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</si>
  <si>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</si>
  <si>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</si>
  <si>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</si>
  <si>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</si>
  <si>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</si>
  <si>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</si>
  <si>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</si>
  <si>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</si>
  <si>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</si>
  <si>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</si>
  <si>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</si>
  <si>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</si>
  <si>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</si>
  <si>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</si>
  <si>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</si>
  <si>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</si>
  <si>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</si>
  <si>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</si>
  <si>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</si>
  <si>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</si>
  <si>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</si>
  <si>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</si>
  <si>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</si>
  <si>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</si>
  <si>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</si>
  <si>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</si>
  <si>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</si>
  <si>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</si>
  <si>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</si>
  <si>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</si>
  <si>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</si>
  <si>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</si>
  <si>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</si>
  <si>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</si>
  <si>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</si>
  <si>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</si>
  <si>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</si>
  <si>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</si>
  <si>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</si>
  <si>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</si>
  <si>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</si>
  <si>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</si>
  <si>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</si>
  <si>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</si>
  <si>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</si>
  <si>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</si>
  <si>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</si>
  <si>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</si>
  <si>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</si>
  <si>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</si>
  <si>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</si>
  <si>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</si>
  <si>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</si>
  <si>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</si>
  <si>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</si>
  <si>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</si>
  <si>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</si>
  <si>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</si>
  <si>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</si>
  <si>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</si>
  <si>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</si>
  <si>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</si>
  <si>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</si>
  <si>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</si>
  <si>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</si>
  <si>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</si>
  <si>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</si>
  <si>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</si>
  <si>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</si>
  <si>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</si>
  <si>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</si>
  <si>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</si>
  <si>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</si>
  <si>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</si>
  <si>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</si>
  <si>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</si>
  <si>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</si>
  <si>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</si>
  <si>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</si>
  <si>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</si>
  <si>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</si>
  <si>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</si>
  <si>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</si>
  <si>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</si>
  <si>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</si>
  <si>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</si>
  <si>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</si>
  <si>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</si>
  <si>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</si>
  <si>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</si>
  <si>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</si>
  <si>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</si>
  <si>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</si>
  <si>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</si>
  <si>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</si>
  <si>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</si>
  <si>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</si>
  <si>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</si>
  <si>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</si>
  <si>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</si>
  <si>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</si>
  <si>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</si>
  <si>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</si>
  <si>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</si>
  <si>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</si>
  <si>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</si>
  <si>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</si>
  <si>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</si>
  <si>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</si>
  <si>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</si>
  <si>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</si>
  <si>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</si>
  <si>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</si>
  <si>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</si>
  <si>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</si>
  <si>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</si>
  <si>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</si>
  <si>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</si>
  <si>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</si>
  <si>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</si>
  <si>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</si>
  <si>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</si>
  <si>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</si>
  <si>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</si>
  <si>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</si>
  <si>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</si>
  <si>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</si>
  <si>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</si>
  <si>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</si>
  <si>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</si>
  <si>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</si>
  <si>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</si>
  <si>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</si>
  <si>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</si>
  <si>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</si>
  <si>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</si>
  <si>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</si>
  <si>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</si>
  <si>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</si>
  <si>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</si>
  <si>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</si>
  <si>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</si>
  <si>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</si>
  <si>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</si>
  <si>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</si>
  <si>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</si>
  <si>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</si>
  <si>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</si>
  <si>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</si>
  <si>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</si>
  <si>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</si>
  <si>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</si>
  <si>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</si>
  <si>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</si>
  <si>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</si>
  <si>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</si>
  <si>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</si>
  <si>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</si>
  <si>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</si>
  <si>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</si>
  <si>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</si>
  <si>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</si>
  <si>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</si>
  <si>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</si>
  <si>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</si>
  <si>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</si>
  <si>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</si>
  <si>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</si>
  <si>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</si>
  <si>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</si>
  <si>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</si>
  <si>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</si>
  <si>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</si>
  <si>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</si>
  <si>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</si>
  <si>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</si>
  <si>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</si>
  <si>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</si>
  <si>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</si>
  <si>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</si>
  <si>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</si>
  <si>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</si>
  <si>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</si>
  <si>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</si>
  <si>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</si>
  <si>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</si>
  <si>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</si>
  <si>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</si>
  <si>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</si>
  <si>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</si>
  <si>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</si>
  <si>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</si>
  <si>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</si>
  <si>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</si>
  <si>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</si>
  <si>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</si>
  <si>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</si>
  <si>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</si>
  <si>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</si>
  <si>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</si>
  <si>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</si>
  <si>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</si>
  <si>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</si>
  <si>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</si>
  <si>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</si>
  <si>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</si>
  <si>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</si>
  <si>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</si>
  <si>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</si>
  <si>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</si>
  <si>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</si>
  <si>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</si>
  <si>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</si>
  <si>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</si>
  <si>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</si>
  <si>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</si>
  <si>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</si>
  <si>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</si>
  <si>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</si>
  <si>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</si>
  <si>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</si>
  <si>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</si>
  <si>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</si>
  <si>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</si>
  <si>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</si>
  <si>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</si>
  <si>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</si>
  <si>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</si>
  <si>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</si>
  <si>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</si>
  <si>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</si>
  <si>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</si>
  <si>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</si>
  <si>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</si>
  <si>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</si>
  <si>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</si>
  <si>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</si>
  <si>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</si>
  <si>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</si>
  <si>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</si>
  <si>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</si>
  <si>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</si>
  <si>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</si>
  <si>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</si>
  <si>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</si>
  <si>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</si>
  <si>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</si>
  <si>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</si>
  <si>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</si>
  <si>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</si>
  <si>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</si>
  <si>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</si>
  <si>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</si>
  <si>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</si>
  <si>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</si>
  <si>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</si>
  <si>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</si>
  <si>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</si>
  <si>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</si>
  <si>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</si>
  <si>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</si>
  <si>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</si>
  <si>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</si>
  <si>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</si>
  <si>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</si>
  <si>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</si>
  <si>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</si>
  <si>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</si>
  <si>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</si>
  <si>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</si>
  <si>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</si>
  <si>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</si>
  <si>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</si>
  <si>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</si>
  <si>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</si>
  <si>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</si>
  <si>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</si>
  <si>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</si>
  <si>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</si>
  <si>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</si>
  <si>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</si>
  <si>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</si>
  <si>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</si>
  <si>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</si>
  <si>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</si>
  <si>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</si>
  <si>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</si>
  <si>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</si>
  <si>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</si>
  <si>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</si>
  <si>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</si>
  <si>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</si>
  <si>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</si>
  <si>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</si>
  <si>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</si>
  <si>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</si>
  <si>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</si>
  <si>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</si>
  <si>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</si>
  <si>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</si>
  <si>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</si>
  <si>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</si>
  <si>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</si>
  <si>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</si>
  <si>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</si>
  <si>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</si>
  <si>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</si>
  <si>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</si>
  <si>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</si>
  <si>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</si>
  <si>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</si>
  <si>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</si>
  <si>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</si>
  <si>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</si>
  <si>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</si>
  <si>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</si>
  <si>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</si>
  <si>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</si>
  <si>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</si>
  <si>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</si>
  <si>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</si>
  <si>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</si>
  <si>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</si>
  <si>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</si>
  <si>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</si>
  <si>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</si>
  <si>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</si>
  <si>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</si>
  <si>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</si>
  <si>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</si>
  <si>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</si>
  <si>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</si>
  <si>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</si>
  <si>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</si>
  <si>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</si>
  <si>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</si>
  <si>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</si>
  <si>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</si>
  <si>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</si>
  <si>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</si>
  <si>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</si>
  <si>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</si>
  <si>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</si>
  <si>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</si>
  <si>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</si>
  <si>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</si>
  <si>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</si>
  <si>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</si>
  <si>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</si>
  <si>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</si>
  <si>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</si>
  <si>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</si>
  <si>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</si>
  <si>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</si>
  <si>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</si>
  <si>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</si>
  <si>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</si>
  <si>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</si>
  <si>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</si>
  <si>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</si>
  <si>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</si>
  <si>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</si>
  <si>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</si>
  <si>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</si>
  <si>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</si>
  <si>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</si>
  <si>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</si>
  <si>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</si>
  <si>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</si>
  <si>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</si>
  <si>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</si>
  <si>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</si>
  <si>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</si>
  <si>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</si>
  <si>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</si>
  <si>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</si>
  <si>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</si>
  <si>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</si>
  <si>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</si>
  <si>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</si>
  <si>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</si>
  <si>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</si>
  <si>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</si>
  <si>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</si>
  <si>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</si>
  <si>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</si>
  <si>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</si>
  <si>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</si>
  <si>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</si>
  <si>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</si>
  <si>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</si>
  <si>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</si>
  <si>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</si>
  <si>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</si>
  <si>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</si>
  <si>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</si>
  <si>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</si>
  <si>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</si>
  <si>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</si>
  <si>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</si>
  <si>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</si>
  <si>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</si>
  <si>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</si>
  <si>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</si>
  <si>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</si>
  <si>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</si>
  <si>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</si>
  <si>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</si>
  <si>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</si>
  <si>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</si>
  <si>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</si>
  <si>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</si>
  <si>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</si>
  <si>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</si>
  <si>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</si>
  <si>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</si>
  <si>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</si>
  <si>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</si>
  <si>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</si>
  <si>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</si>
  <si>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</si>
  <si>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</si>
  <si>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</si>
  <si>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</si>
  <si>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</si>
  <si>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</si>
  <si>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</si>
  <si>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</si>
  <si>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</si>
  <si>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</si>
  <si>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</si>
  <si>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</si>
  <si>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</si>
  <si>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</si>
  <si>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</si>
  <si>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</si>
  <si>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</si>
  <si>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</si>
  <si>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</si>
  <si>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</si>
  <si>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</si>
  <si>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</si>
  <si>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</si>
  <si>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</si>
  <si>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</si>
  <si>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</si>
  <si>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</si>
  <si>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</si>
  <si>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</si>
  <si>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</si>
  <si>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</si>
  <si>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</si>
  <si>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</si>
  <si>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</si>
  <si>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</si>
  <si>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</si>
  <si>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</si>
  <si>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</si>
  <si>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</si>
  <si>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</si>
  <si>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</si>
  <si>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</si>
  <si>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</si>
  <si>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</si>
  <si>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</si>
  <si>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</si>
  <si>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</si>
  <si>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</si>
  <si>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</si>
  <si>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</si>
  <si>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</si>
  <si>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</si>
  <si>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</si>
  <si>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</si>
  <si>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</si>
  <si>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</si>
  <si>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</si>
  <si>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</si>
  <si>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</si>
  <si>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</si>
  <si>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</si>
  <si>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</si>
  <si>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</si>
  <si>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</si>
  <si>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</si>
  <si>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</si>
  <si>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</si>
  <si>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</si>
  <si>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</si>
  <si>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</si>
  <si>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</si>
  <si>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</si>
  <si>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</si>
  <si>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</si>
  <si>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</si>
  <si>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</si>
  <si>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</si>
  <si>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</si>
  <si>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</si>
  <si>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</si>
  <si>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</si>
  <si>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</si>
  <si>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</si>
  <si>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</si>
  <si>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</si>
  <si>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</si>
  <si>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</si>
  <si>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</si>
  <si>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</si>
  <si>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</si>
  <si>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</si>
  <si>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</si>
  <si>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</si>
  <si>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</si>
  <si>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</si>
  <si>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</si>
  <si>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</si>
  <si>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</si>
  <si>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</si>
  <si>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</si>
  <si>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</si>
  <si>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</si>
  <si>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</si>
  <si>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</si>
  <si>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</si>
  <si>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</si>
  <si>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</si>
  <si>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</si>
  <si>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</si>
  <si>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</si>
  <si>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</si>
  <si>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</si>
  <si>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</si>
  <si>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</si>
  <si>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</si>
  <si>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</si>
  <si>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</si>
  <si>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</si>
  <si>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</si>
  <si>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</si>
  <si>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</si>
  <si>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</si>
  <si>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</si>
  <si>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</si>
  <si>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</si>
  <si>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</si>
  <si>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</si>
  <si>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</si>
  <si>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</si>
  <si>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</si>
  <si>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</si>
  <si>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</si>
  <si>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</si>
  <si>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</si>
  <si>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</si>
  <si>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</si>
  <si>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</si>
  <si>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</si>
  <si>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</si>
  <si>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</si>
  <si>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</si>
  <si>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</si>
  <si>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</si>
  <si>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</si>
  <si>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</si>
  <si>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</si>
  <si>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</si>
  <si>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</si>
  <si>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</si>
  <si>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</si>
  <si>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</si>
  <si>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</si>
  <si>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</si>
  <si>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</si>
  <si>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</si>
  <si>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</si>
  <si>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</si>
  <si>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</si>
  <si>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</si>
  <si>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</si>
  <si>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</si>
  <si>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</si>
  <si>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</si>
  <si>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</si>
  <si>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</si>
  <si>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</si>
  <si>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</si>
  <si>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</si>
  <si>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</si>
  <si>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</si>
  <si>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</si>
  <si>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</si>
  <si>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</si>
  <si>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</si>
  <si>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</si>
  <si>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</si>
  <si>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</si>
  <si>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</si>
  <si>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</si>
  <si>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</si>
  <si>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</si>
  <si>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</si>
  <si>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</si>
  <si>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</si>
  <si>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</si>
  <si>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</si>
  <si>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</si>
  <si>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</si>
  <si>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</si>
  <si>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</si>
  <si>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</si>
  <si>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</si>
  <si>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</si>
  <si>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</si>
  <si>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</si>
  <si>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</si>
  <si>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</si>
  <si>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</si>
  <si>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</si>
  <si>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</si>
  <si>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</si>
  <si>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</si>
  <si>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</si>
  <si>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</si>
  <si>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</si>
  <si>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</si>
  <si>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</si>
  <si>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</si>
  <si>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</si>
  <si>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</si>
  <si>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</si>
  <si>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</si>
  <si>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</si>
  <si>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</si>
  <si>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</si>
  <si>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</si>
  <si>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</si>
  <si>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</si>
  <si>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</si>
  <si>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</si>
  <si>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</si>
  <si>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</si>
  <si>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</si>
  <si>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</si>
  <si>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</si>
  <si>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</si>
  <si>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</si>
  <si>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</si>
  <si>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</si>
  <si>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</si>
  <si>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</si>
  <si>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</si>
  <si>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</si>
  <si>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</si>
  <si>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</si>
  <si>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</si>
  <si>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</si>
  <si>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</si>
  <si>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</si>
  <si>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</si>
  <si>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</si>
  <si>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</si>
  <si>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</si>
  <si>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</si>
  <si>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</si>
  <si>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</si>
  <si>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</si>
  <si>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</si>
  <si>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</si>
  <si>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</si>
  <si>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</si>
  <si>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</si>
  <si>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</si>
  <si>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</si>
  <si>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</si>
  <si>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</si>
  <si>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</si>
  <si>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</si>
  <si>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</si>
  <si>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</si>
  <si>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</si>
  <si>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</si>
  <si>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</si>
  <si>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</si>
  <si>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</si>
  <si>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</si>
  <si>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</si>
  <si>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</si>
  <si>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</si>
  <si>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</si>
  <si>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</si>
  <si>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</si>
  <si>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</si>
  <si>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</si>
  <si>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</si>
  <si>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</si>
  <si>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</si>
  <si>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</si>
  <si>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</si>
  <si>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</si>
  <si>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</si>
  <si>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</si>
  <si>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</si>
  <si>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</si>
  <si>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</si>
  <si>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</si>
  <si>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</si>
  <si>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</si>
  <si>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</si>
  <si>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</si>
  <si>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</si>
  <si>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</si>
  <si>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</si>
  <si>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</si>
  <si>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</si>
  <si>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</si>
  <si>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</si>
  <si>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</si>
  <si>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</si>
  <si>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</si>
  <si>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</si>
  <si>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</si>
  <si>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</si>
  <si>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</si>
  <si>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</si>
  <si>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</si>
  <si>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</si>
  <si>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</si>
  <si>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</si>
  <si>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</si>
  <si>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</si>
  <si>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</si>
  <si>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</si>
  <si>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</si>
  <si>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</si>
  <si>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</si>
  <si>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</si>
  <si>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</si>
  <si>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</si>
  <si>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</si>
  <si>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</si>
  <si>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</si>
  <si>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</si>
  <si>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</si>
  <si>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</si>
  <si>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</si>
  <si>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</si>
  <si>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</si>
  <si>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</si>
  <si>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</si>
  <si>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</si>
  <si>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</si>
  <si>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</si>
  <si>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</si>
  <si>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</si>
  <si>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</si>
  <si>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</si>
  <si>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</si>
  <si>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</si>
  <si>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</si>
  <si>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</si>
  <si>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</si>
  <si>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</si>
  <si>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</si>
  <si>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</si>
  <si>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</si>
  <si>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</si>
  <si>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</si>
  <si>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</si>
  <si>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</si>
  <si>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</si>
  <si>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</si>
  <si>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</si>
  <si>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</si>
  <si>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</si>
  <si>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</si>
  <si>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</si>
  <si>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</si>
  <si>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</si>
  <si>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</si>
  <si>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</si>
  <si>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</si>
  <si>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</si>
  <si>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</si>
  <si>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</si>
  <si>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</si>
  <si>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</si>
  <si>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</si>
  <si>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</si>
  <si>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</si>
  <si>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</si>
  <si>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</si>
  <si>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</si>
  <si>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</si>
  <si>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</si>
  <si>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</si>
  <si>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</si>
  <si>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</si>
  <si>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</si>
  <si>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</si>
  <si>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</si>
  <si>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</si>
  <si>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</si>
  <si>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</si>
  <si>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</si>
  <si>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</si>
  <si>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</si>
  <si>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</si>
  <si>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</si>
  <si>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</si>
  <si>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</si>
  <si>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</si>
  <si>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</si>
  <si>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</si>
  <si>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</si>
  <si>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</si>
  <si>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</si>
  <si>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</si>
  <si>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</si>
  <si>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</si>
  <si>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</si>
  <si>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</si>
  <si>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</si>
  <si>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</si>
  <si>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</si>
  <si>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</si>
  <si>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</si>
  <si>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</si>
  <si>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</si>
  <si>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</si>
  <si>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</si>
  <si>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</si>
  <si>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</si>
  <si>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</si>
  <si>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</si>
  <si>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</si>
  <si>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</si>
  <si>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</si>
  <si>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</si>
  <si>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</si>
  <si>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</si>
  <si>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</si>
  <si>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</si>
  <si>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</si>
  <si>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</si>
  <si>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</si>
  <si>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</si>
  <si>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</si>
  <si>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</si>
  <si>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</si>
  <si>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</si>
  <si>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</si>
  <si>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</si>
  <si>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</si>
  <si>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</si>
  <si>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</si>
  <si>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</si>
  <si>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</si>
  <si>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</si>
  <si>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</si>
  <si>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</si>
  <si>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</si>
  <si>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</si>
  <si>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</si>
  <si>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</si>
  <si>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</si>
  <si>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</si>
  <si>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</si>
  <si>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</si>
  <si>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</si>
  <si>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</si>
  <si>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</si>
  <si>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</si>
  <si>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</si>
  <si>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</si>
  <si>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</si>
  <si>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</si>
  <si>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</si>
  <si>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</si>
  <si>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</si>
  <si>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</si>
  <si>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</si>
  <si>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</si>
  <si>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</si>
  <si>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</si>
  <si>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</si>
  <si>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</si>
  <si>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</si>
  <si>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</si>
  <si>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</si>
  <si>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</si>
  <si>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</si>
  <si>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</si>
  <si>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</si>
  <si>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</si>
  <si>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</si>
  <si>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</si>
  <si>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</si>
  <si>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</si>
  <si>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</si>
  <si>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</si>
  <si>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</si>
  <si>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</si>
  <si>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</si>
  <si>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</si>
  <si>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</si>
  <si>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</si>
  <si>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</si>
  <si>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</si>
  <si>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</si>
  <si>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</si>
  <si>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</si>
  <si>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</si>
  <si>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</si>
  <si>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</si>
  <si>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</si>
  <si>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</si>
  <si>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</si>
  <si>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</si>
  <si>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</si>
  <si>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</si>
  <si>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</si>
  <si>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</si>
  <si>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</si>
  <si>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</si>
  <si>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</si>
  <si>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</si>
  <si>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</si>
  <si>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</si>
  <si>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</si>
  <si>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</si>
  <si>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</si>
  <si>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</si>
  <si>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</si>
  <si>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</si>
  <si>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</si>
  <si>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</si>
  <si>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</si>
  <si>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</si>
  <si>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</si>
  <si>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</si>
  <si>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</si>
  <si>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</si>
  <si>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</si>
  <si>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</si>
  <si>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</si>
  <si>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</si>
  <si>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</si>
  <si>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</si>
  <si>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</si>
  <si>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</si>
  <si>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</si>
  <si>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</si>
  <si>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</si>
  <si>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</si>
  <si>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</si>
  <si>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</si>
  <si>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</si>
  <si>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</si>
  <si>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</si>
  <si>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</si>
  <si>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</si>
  <si>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</si>
  <si>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</si>
  <si>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</si>
  <si>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</si>
  <si>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</si>
  <si>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</si>
  <si>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</si>
  <si>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</si>
  <si>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</si>
  <si>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</si>
  <si>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</si>
  <si>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</si>
  <si>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</si>
  <si>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</si>
  <si>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</si>
  <si>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</si>
  <si>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</si>
  <si>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</si>
  <si>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</si>
  <si>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</si>
  <si>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</si>
  <si>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</si>
  <si>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</si>
  <si>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</si>
  <si>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</si>
  <si>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</si>
  <si>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</si>
  <si>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</si>
  <si>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</si>
  <si>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</si>
  <si>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</si>
  <si>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</si>
  <si>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</si>
  <si>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</si>
  <si>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</si>
  <si>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</si>
  <si>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</si>
  <si>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</si>
  <si>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</si>
  <si>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</si>
  <si>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</si>
  <si>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</si>
  <si>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</si>
  <si>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</si>
  <si>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</si>
  <si>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</si>
  <si>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</si>
  <si>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</si>
  <si>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</si>
  <si>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</si>
  <si>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</si>
  <si>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</si>
  <si>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</si>
  <si>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</si>
  <si>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</si>
  <si>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</si>
  <si>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</si>
  <si>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</si>
  <si>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</si>
  <si>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</si>
  <si>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</si>
  <si>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</si>
  <si>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</si>
  <si>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</si>
  <si>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</si>
  <si>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</si>
  <si>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</si>
  <si>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</si>
  <si>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</si>
  <si>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</si>
  <si>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</si>
  <si>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</si>
  <si>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</si>
  <si>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</si>
  <si>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</si>
  <si>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</si>
  <si>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</si>
  <si>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</si>
  <si>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</si>
  <si>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</si>
  <si>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</si>
  <si>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</si>
  <si>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</si>
  <si>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</si>
  <si>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</si>
  <si>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</si>
  <si>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</si>
  <si>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</si>
  <si>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</si>
  <si>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</si>
  <si>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</si>
  <si>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</si>
  <si>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</si>
  <si>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</si>
  <si>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</si>
  <si>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</si>
  <si>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</si>
  <si>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</si>
  <si>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</si>
  <si>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</si>
  <si>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</si>
  <si>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</si>
  <si>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</si>
  <si>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</si>
  <si>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</si>
  <si>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</si>
  <si>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</si>
  <si>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</si>
  <si>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</si>
  <si>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</si>
  <si>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</si>
  <si>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</si>
  <si>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</si>
  <si>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</si>
  <si>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</si>
  <si>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</si>
  <si>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</si>
  <si>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</si>
  <si>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</si>
  <si>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</si>
  <si>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</si>
  <si>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</si>
  <si>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</si>
  <si>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</si>
  <si>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</si>
  <si>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</si>
  <si>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</si>
  <si>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</si>
  <si>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</si>
  <si>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</si>
  <si>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</si>
  <si>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</si>
  <si>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</si>
  <si>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</si>
  <si>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</si>
  <si>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</si>
  <si>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</si>
  <si>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</si>
  <si>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</si>
  <si>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</si>
  <si>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</si>
  <si>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</si>
  <si>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</si>
  <si>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</si>
  <si>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</si>
  <si>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</si>
  <si>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</si>
  <si>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</si>
  <si>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</si>
  <si>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</si>
  <si>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</si>
  <si>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</si>
  <si>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</si>
  <si>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</si>
  <si>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</si>
  <si>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</si>
  <si>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</si>
  <si>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</si>
  <si>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</si>
  <si>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</si>
  <si>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</si>
  <si>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</si>
  <si>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</si>
  <si>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</si>
  <si>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</si>
  <si>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</si>
  <si>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</si>
  <si>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</si>
  <si>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</si>
  <si>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</si>
  <si>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</si>
  <si>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</si>
  <si>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</si>
  <si>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</si>
  <si>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</si>
  <si>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</si>
  <si>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</si>
  <si>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</si>
  <si>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</si>
  <si>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</si>
  <si>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</si>
  <si>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</si>
  <si>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</si>
  <si>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</si>
  <si>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</si>
  <si>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</si>
  <si>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</si>
  <si>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</si>
  <si>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</si>
  <si>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</si>
  <si>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</si>
  <si>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</si>
  <si>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</si>
  <si>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</si>
  <si>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</si>
  <si>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</si>
  <si>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</si>
  <si>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</si>
  <si>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</si>
  <si>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</si>
  <si>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</si>
  <si>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</si>
  <si>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</si>
  <si>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</si>
  <si>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</si>
  <si>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</si>
  <si>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</si>
  <si>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</si>
  <si>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</si>
  <si>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</si>
  <si>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</si>
  <si>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</si>
  <si>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</si>
  <si>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</si>
  <si>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</si>
  <si>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</si>
  <si>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</si>
  <si>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</si>
  <si>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</si>
  <si>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</si>
  <si>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</si>
  <si>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</si>
  <si>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</si>
  <si>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</si>
  <si>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</si>
  <si>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</si>
  <si>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</si>
  <si>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</si>
  <si>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</si>
  <si>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</si>
  <si>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</si>
  <si>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</si>
  <si>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</si>
  <si>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</si>
  <si>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</si>
  <si>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</si>
  <si>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</si>
  <si>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</si>
  <si>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</si>
  <si>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</si>
  <si>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</si>
  <si>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</si>
  <si>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</si>
  <si>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</si>
  <si>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</si>
  <si>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</si>
  <si>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</si>
  <si>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</si>
  <si>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</si>
  <si>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</si>
  <si>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</si>
  <si>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</si>
  <si>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</si>
  <si>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</si>
  <si>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</si>
  <si>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</si>
  <si>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</si>
  <si>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</si>
  <si>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</si>
  <si>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</si>
  <si>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</si>
  <si>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</si>
  <si>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</si>
  <si>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</si>
  <si>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</si>
  <si>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</si>
  <si>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</si>
  <si>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</si>
  <si>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</si>
  <si>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</si>
  <si>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</si>
  <si>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</si>
  <si>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</si>
  <si>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</si>
  <si>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</si>
  <si>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</si>
  <si>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</si>
  <si>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</si>
  <si>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</si>
  <si>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</si>
  <si>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</si>
  <si>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</si>
  <si>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</si>
  <si>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</si>
  <si>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</si>
  <si>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</si>
  <si>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</si>
  <si>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</si>
  <si>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</si>
  <si>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</si>
  <si>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</si>
  <si>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</si>
  <si>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</si>
  <si>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</si>
  <si>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</si>
  <si>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</si>
  <si>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</si>
  <si>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</si>
  <si>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</si>
  <si>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</si>
  <si>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</si>
  <si>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</si>
  <si>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</si>
  <si>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</si>
  <si>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</si>
  <si>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</si>
  <si>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</si>
  <si>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</si>
  <si>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</si>
  <si>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</si>
  <si>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</si>
  <si>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</si>
  <si>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</si>
  <si>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</si>
  <si>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</si>
  <si>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</si>
  <si>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</si>
  <si>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</si>
  <si>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</si>
  <si>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</si>
  <si>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</si>
  <si>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</si>
  <si>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</si>
  <si>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</si>
  <si>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</si>
  <si>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</si>
  <si>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</si>
  <si>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</si>
  <si>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</si>
  <si>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</si>
  <si>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</si>
  <si>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</si>
  <si>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</si>
  <si>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</si>
  <si>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</si>
  <si>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</si>
  <si>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</si>
  <si>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</si>
  <si>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</si>
  <si>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</si>
  <si>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</si>
  <si>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</si>
  <si>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</si>
  <si>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</si>
  <si>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</si>
  <si>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</si>
  <si>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</si>
  <si>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</si>
  <si>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</si>
  <si>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</si>
  <si>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</si>
  <si>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</si>
  <si>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</si>
  <si>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</si>
  <si>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</si>
  <si>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</si>
  <si>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</si>
  <si>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</si>
  <si>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</si>
  <si>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</si>
  <si>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</si>
  <si>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</si>
  <si>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</si>
  <si>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</si>
  <si>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</si>
  <si>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</si>
  <si>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</si>
  <si>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</si>
  <si>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</si>
  <si>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</si>
  <si>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</si>
  <si>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</si>
  <si>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</si>
  <si>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</si>
  <si>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</si>
  <si>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</si>
  <si>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</si>
  <si>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</si>
  <si>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</si>
  <si>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</si>
  <si>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</si>
  <si>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</si>
  <si>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</si>
  <si>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</si>
  <si>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</si>
  <si>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</si>
  <si>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</si>
  <si>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</si>
  <si>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</si>
  <si>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</si>
  <si>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</si>
  <si>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</si>
  <si>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</si>
  <si>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</si>
  <si>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</si>
  <si>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</si>
  <si>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</si>
  <si>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</si>
  <si>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</si>
  <si>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</si>
  <si>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</si>
  <si>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</si>
  <si>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</si>
  <si>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</si>
  <si>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</si>
  <si>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</si>
  <si>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</si>
  <si>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</si>
  <si>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</si>
  <si>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</si>
  <si>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</si>
  <si>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</si>
  <si>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</si>
  <si>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</si>
  <si>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</si>
  <si>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</si>
  <si>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</si>
  <si>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</si>
  <si>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</si>
  <si>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</si>
  <si>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</si>
  <si>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</si>
  <si>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</si>
  <si>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</si>
  <si>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</si>
  <si>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</si>
  <si>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</si>
  <si>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</si>
  <si>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</si>
  <si>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</si>
  <si>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</si>
  <si>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</si>
  <si>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</si>
  <si>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</si>
  <si>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</si>
  <si>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</si>
  <si>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</si>
  <si>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</si>
  <si>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</si>
  <si>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</si>
  <si>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</si>
  <si>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</si>
  <si>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</si>
  <si>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</si>
  <si>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</si>
  <si>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</si>
  <si>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</si>
  <si>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</si>
  <si>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</si>
  <si>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</si>
  <si>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</si>
  <si>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</si>
  <si>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</si>
  <si>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</si>
  <si>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</si>
  <si>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</si>
  <si>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</si>
  <si>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</si>
  <si>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</si>
  <si>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</si>
  <si>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</si>
  <si>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</si>
  <si>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</si>
  <si>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</si>
  <si>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</si>
  <si>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</si>
  <si>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</si>
  <si>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</si>
  <si>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</si>
  <si>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</si>
  <si>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</si>
  <si>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</si>
  <si>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</si>
  <si>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</si>
  <si>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</si>
  <si>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</si>
  <si>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</si>
  <si>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</si>
  <si>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</si>
  <si>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</si>
  <si>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</si>
  <si>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</si>
  <si>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</si>
  <si>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</si>
  <si>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</si>
  <si>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</si>
  <si>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</si>
  <si>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</si>
  <si>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</si>
  <si>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</si>
  <si>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</si>
  <si>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</si>
  <si>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</si>
  <si>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</si>
  <si>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</si>
  <si>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</si>
  <si>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</si>
  <si>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</si>
  <si>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</si>
  <si>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</si>
  <si>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</si>
  <si>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</si>
  <si>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</si>
  <si>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</si>
  <si>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</si>
  <si>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</si>
  <si>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</si>
  <si>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</si>
  <si>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</si>
  <si>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</si>
  <si>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</si>
  <si>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</si>
  <si>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</si>
  <si>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</si>
  <si>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</si>
  <si>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</si>
  <si>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</si>
  <si>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</si>
  <si>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</si>
  <si>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</si>
  <si>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</si>
  <si>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</si>
  <si>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</si>
  <si>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</si>
  <si>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</si>
  <si>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</si>
  <si>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</si>
  <si>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</si>
  <si>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</si>
  <si>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</si>
  <si>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</si>
  <si>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</si>
  <si>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</si>
  <si>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</si>
  <si>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</si>
  <si>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</si>
  <si>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</si>
  <si>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</si>
  <si>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</si>
  <si>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</si>
  <si>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</si>
  <si>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</si>
  <si>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</si>
  <si>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</si>
  <si>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</si>
  <si>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</si>
  <si>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</si>
  <si>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</si>
  <si>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</si>
  <si>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</si>
  <si>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</si>
  <si>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</si>
  <si>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</si>
  <si>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</si>
  <si>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</si>
  <si>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</si>
  <si>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</si>
  <si>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</si>
  <si>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</si>
  <si>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</si>
  <si>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</si>
  <si>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</si>
  <si>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</si>
  <si>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</si>
  <si>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</si>
  <si>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</si>
  <si>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</si>
  <si>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</si>
  <si>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</si>
  <si>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</si>
  <si>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</si>
  <si>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</si>
  <si>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</si>
  <si>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</si>
  <si>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</si>
  <si>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</si>
  <si>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</si>
  <si>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</si>
  <si>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</si>
  <si>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</si>
  <si>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</si>
  <si>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</si>
  <si>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</si>
  <si>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</si>
  <si>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</si>
  <si>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</si>
  <si>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</si>
  <si>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</si>
  <si>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</si>
  <si>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</si>
  <si>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</si>
  <si>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</si>
  <si>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</si>
  <si>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</si>
  <si>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</si>
  <si>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</si>
  <si>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</si>
  <si>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</si>
  <si>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</si>
  <si>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</si>
  <si>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</si>
  <si>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</si>
  <si>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</si>
  <si>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</si>
  <si>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</si>
  <si>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</si>
  <si>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</si>
  <si>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</si>
  <si>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</si>
  <si>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</si>
  <si>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</si>
  <si>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</si>
  <si>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</si>
  <si>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</si>
  <si>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</si>
  <si>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</si>
  <si>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</si>
  <si>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</si>
  <si>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</si>
  <si>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</si>
  <si>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</si>
  <si>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</si>
  <si>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</si>
  <si>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</si>
  <si>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</si>
  <si>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</si>
  <si>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</si>
  <si>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</si>
  <si>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</si>
  <si>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</si>
  <si>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</si>
  <si>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</si>
  <si>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</si>
  <si>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</si>
  <si>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</si>
  <si>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</si>
  <si>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</si>
  <si>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</si>
  <si>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</si>
  <si>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</si>
  <si>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</si>
  <si>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</si>
  <si>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</si>
  <si>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</si>
  <si>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</si>
  <si>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</si>
  <si>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</si>
  <si>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</si>
  <si>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</si>
  <si>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</si>
  <si>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</si>
  <si>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</si>
  <si>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</si>
  <si>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</si>
  <si>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</si>
  <si>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</si>
  <si>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</si>
  <si>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</si>
  <si>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</si>
  <si>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</si>
  <si>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</si>
  <si>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</si>
  <si>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</si>
  <si>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</si>
  <si>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</si>
  <si>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</si>
  <si>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</si>
  <si>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</si>
  <si>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</si>
  <si>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</si>
  <si>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</si>
  <si>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</si>
  <si>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</si>
  <si>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</si>
  <si>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</si>
  <si>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</si>
  <si>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</si>
  <si>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</si>
  <si>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</si>
  <si>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</si>
  <si>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</si>
  <si>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</si>
  <si>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</si>
  <si>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</si>
  <si>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</si>
  <si>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</si>
  <si>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</si>
  <si>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</si>
  <si>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</si>
  <si>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</si>
  <si>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</si>
  <si>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</si>
  <si>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</si>
  <si>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</si>
  <si>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</si>
  <si>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</si>
  <si>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</si>
  <si>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</si>
  <si>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</si>
  <si>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</si>
  <si>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</si>
  <si>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</si>
  <si>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</si>
  <si>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</si>
  <si>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</si>
  <si>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</si>
  <si>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</si>
  <si>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</si>
  <si>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</si>
  <si>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</si>
  <si>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</si>
  <si>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</si>
  <si>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</si>
  <si>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</si>
  <si>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</si>
  <si>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</si>
  <si>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</si>
  <si>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</si>
  <si>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</si>
  <si>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</si>
  <si>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</si>
  <si>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</si>
  <si>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</si>
  <si>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</si>
  <si>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</si>
  <si>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</si>
  <si>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</si>
  <si>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</si>
  <si>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</si>
  <si>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</si>
  <si>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</si>
  <si>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</si>
  <si>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</si>
  <si>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</si>
  <si>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</si>
  <si>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</si>
  <si>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</si>
  <si>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</si>
  <si>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</si>
  <si>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</si>
  <si>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</si>
  <si>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</si>
  <si>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</si>
  <si>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</si>
  <si>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</si>
  <si>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</si>
  <si>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</si>
  <si>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</si>
  <si>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</si>
  <si>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</si>
  <si>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</si>
  <si>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</si>
  <si>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</si>
  <si>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</si>
  <si>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</si>
  <si>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</si>
  <si>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</si>
  <si>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</si>
  <si>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</si>
  <si>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</si>
  <si>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</si>
  <si>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</si>
  <si>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</si>
  <si>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</si>
  <si>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</si>
  <si>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</si>
  <si>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</si>
  <si>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</si>
  <si>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</si>
  <si>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</si>
  <si>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</si>
  <si>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</si>
  <si>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</si>
  <si>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</si>
  <si>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</si>
  <si>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</si>
  <si>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</si>
  <si>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</si>
  <si>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</si>
  <si>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</si>
  <si>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</si>
  <si>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</si>
  <si>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</si>
  <si>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</si>
  <si>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</si>
  <si>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</si>
  <si>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</si>
  <si>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</si>
  <si>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</si>
  <si>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</si>
  <si>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</si>
  <si>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</si>
  <si>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</si>
  <si>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</si>
  <si>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</si>
  <si>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</si>
  <si>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</si>
  <si>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</si>
  <si>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</si>
  <si>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</si>
  <si>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</si>
  <si>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</si>
  <si>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</si>
  <si>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</si>
  <si>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</si>
  <si>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</si>
  <si>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</si>
  <si>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</si>
  <si>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</si>
  <si>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</si>
  <si>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</si>
  <si>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</si>
  <si>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</si>
  <si>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</si>
  <si>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</si>
  <si>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</si>
  <si>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</si>
  <si>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</si>
  <si>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</si>
  <si>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</si>
  <si>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</si>
  <si>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</si>
  <si>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</si>
  <si>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</si>
  <si>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</si>
  <si>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</si>
  <si>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</si>
  <si>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</si>
  <si>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</si>
  <si>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</si>
  <si>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</si>
  <si>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</si>
  <si>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</si>
  <si>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</si>
  <si>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</si>
  <si>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</si>
  <si>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</si>
  <si>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</si>
  <si>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</si>
  <si>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</si>
  <si>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</si>
  <si>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</si>
  <si>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</si>
  <si>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</si>
  <si>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</si>
  <si>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</si>
  <si>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</si>
  <si>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</si>
  <si>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</si>
  <si>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</si>
  <si>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</si>
  <si>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</si>
  <si>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</si>
  <si>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</si>
  <si>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</si>
  <si>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</si>
  <si>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</si>
  <si>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</si>
  <si>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</si>
  <si>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</si>
  <si>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</si>
  <si>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</si>
  <si>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</si>
  <si>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</si>
  <si>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</si>
  <si>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</si>
  <si>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</si>
  <si>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</si>
  <si>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</si>
  <si>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</si>
  <si>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</si>
  <si>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</si>
  <si>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</si>
  <si>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</si>
  <si>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</si>
  <si>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</si>
  <si>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</si>
  <si>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</si>
  <si>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</si>
  <si>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</si>
  <si>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</si>
  <si>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</si>
  <si>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</si>
  <si>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</si>
  <si>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</si>
  <si>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</si>
  <si>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</si>
  <si>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</si>
  <si>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</si>
  <si>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</si>
  <si>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</si>
  <si>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</si>
  <si>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</si>
  <si>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</si>
  <si>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</si>
  <si>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</si>
  <si>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</si>
  <si>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</si>
  <si>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</si>
  <si>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</si>
  <si>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</si>
  <si>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</si>
  <si>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</si>
  <si>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</si>
  <si>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</si>
  <si>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</si>
  <si>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</si>
  <si>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</si>
  <si>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</si>
  <si>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</si>
  <si>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</si>
  <si>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</si>
  <si>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</si>
  <si>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</si>
  <si>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</si>
  <si>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</si>
  <si>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</si>
  <si>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</si>
  <si>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</si>
  <si>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</si>
  <si>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</si>
  <si>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</si>
  <si>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</si>
  <si>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</si>
  <si>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</si>
  <si>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</si>
  <si>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</si>
  <si>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</si>
  <si>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</si>
  <si>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</si>
  <si>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</si>
  <si>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</si>
  <si>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</si>
  <si>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</si>
  <si>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</si>
  <si>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</si>
  <si>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</si>
  <si>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</si>
  <si>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</si>
  <si>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</si>
  <si>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</si>
  <si>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</si>
  <si>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</si>
  <si>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</si>
  <si>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</si>
  <si>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</si>
  <si>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</si>
  <si>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</si>
  <si>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</si>
  <si>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</si>
  <si>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</si>
  <si>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</si>
  <si>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</si>
  <si>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</si>
  <si>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</si>
  <si>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</si>
  <si>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</si>
  <si>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</si>
  <si>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</si>
  <si>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</si>
  <si>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</si>
  <si>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</si>
  <si>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</si>
  <si>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</si>
  <si>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</si>
  <si>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</si>
  <si>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</si>
  <si>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</si>
  <si>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</si>
  <si>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</si>
  <si>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</si>
  <si>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</si>
  <si>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</si>
  <si>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</si>
  <si>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</si>
  <si>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</si>
  <si>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</si>
  <si>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</si>
  <si>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</si>
  <si>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</si>
  <si>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</si>
  <si>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</si>
  <si>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</si>
  <si>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</si>
  <si>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</si>
  <si>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</si>
  <si>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</si>
  <si>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</si>
  <si>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</si>
  <si>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</si>
  <si>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</si>
  <si>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</si>
  <si>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</si>
  <si>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</si>
  <si>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</si>
  <si>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</si>
  <si>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</si>
  <si>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</si>
  <si>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</si>
  <si>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</si>
  <si>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</si>
  <si>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</si>
  <si>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</si>
  <si>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</si>
  <si>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</si>
  <si>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</si>
  <si>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</si>
  <si>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</si>
  <si>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</si>
  <si>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</si>
  <si>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</si>
  <si>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</si>
  <si>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</si>
  <si>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</si>
  <si>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</si>
  <si>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</si>
  <si>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</si>
  <si>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</si>
  <si>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</si>
  <si>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</si>
  <si>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</si>
  <si>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</si>
  <si>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</si>
  <si>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</si>
  <si>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</si>
  <si>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</si>
  <si>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</si>
  <si>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</si>
  <si>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</si>
  <si>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</si>
  <si>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</si>
  <si>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</si>
  <si>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</si>
  <si>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</si>
  <si>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</si>
  <si>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</si>
  <si>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</si>
  <si>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</si>
  <si>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</si>
  <si>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</si>
  <si>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</si>
  <si>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</si>
  <si>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</si>
  <si>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</si>
  <si>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</si>
  <si>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</si>
  <si>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</si>
  <si>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</si>
  <si>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</si>
  <si>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</si>
  <si>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</si>
  <si>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</si>
  <si>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</si>
  <si>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</si>
  <si>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</si>
  <si>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</si>
  <si>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</si>
  <si>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</si>
  <si>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</si>
  <si>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</si>
  <si>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</si>
  <si>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</si>
  <si>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</si>
  <si>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</si>
  <si>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</si>
  <si>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</si>
  <si>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</si>
  <si>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</si>
  <si>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</si>
  <si>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</si>
  <si>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</si>
  <si>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</si>
  <si>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</si>
  <si>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</si>
  <si>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</si>
  <si>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</si>
  <si>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</si>
  <si>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</si>
  <si>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</si>
  <si>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</si>
  <si>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</si>
  <si>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</si>
  <si>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</si>
  <si>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</si>
  <si>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</si>
  <si>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</si>
  <si>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</si>
  <si>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</si>
  <si>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</si>
  <si>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</si>
  <si>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</si>
  <si>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</si>
  <si>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</si>
  <si>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</si>
  <si>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</si>
  <si>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</si>
  <si>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</si>
  <si>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</si>
  <si>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</si>
  <si>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</si>
  <si>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</si>
  <si>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</si>
  <si>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</si>
  <si>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</si>
  <si>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</si>
  <si>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</si>
  <si>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</si>
  <si>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</si>
  <si>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</si>
  <si>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</si>
  <si>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</si>
  <si>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</si>
  <si>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</si>
  <si>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</si>
  <si>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</si>
  <si>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</si>
  <si>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</si>
  <si>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</si>
  <si>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</si>
  <si>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</si>
  <si>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</si>
  <si>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</si>
  <si>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</si>
  <si>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</si>
  <si>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</si>
  <si>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</si>
  <si>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</si>
  <si>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</si>
  <si>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</si>
  <si>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</si>
  <si>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</si>
  <si>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</si>
  <si>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</si>
  <si>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</si>
  <si>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</si>
  <si>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</si>
  <si>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</si>
  <si>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</si>
  <si>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</si>
  <si>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</si>
  <si>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</si>
  <si>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</si>
  <si>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</si>
  <si>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</si>
  <si>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</si>
  <si>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</si>
  <si>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</si>
  <si>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</si>
  <si>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</si>
  <si>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</si>
  <si>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</si>
  <si>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</si>
  <si>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</si>
  <si>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</si>
  <si>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</si>
  <si>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</si>
  <si>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</si>
  <si>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</si>
  <si>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</si>
  <si>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</si>
  <si>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</si>
  <si>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</si>
  <si>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</si>
  <si>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</si>
  <si>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</si>
  <si>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</si>
  <si>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</si>
  <si>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</si>
  <si>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</si>
  <si>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</si>
  <si>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</si>
  <si>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</si>
  <si>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</si>
  <si>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</si>
  <si>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</si>
  <si>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</si>
  <si>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</si>
  <si>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</si>
  <si>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</si>
  <si>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</si>
  <si>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</si>
  <si>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</si>
  <si>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</si>
  <si>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</si>
  <si>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</si>
  <si>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</si>
  <si>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</si>
  <si>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</si>
  <si>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</si>
  <si>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</si>
  <si>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</si>
  <si>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</si>
  <si>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</si>
  <si>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</si>
  <si>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</si>
  <si>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</si>
  <si>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</si>
  <si>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</si>
  <si>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</si>
  <si>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</si>
  <si>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</si>
  <si>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</si>
  <si>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</si>
  <si>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</si>
  <si>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</si>
  <si>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</si>
  <si>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</si>
  <si>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</si>
  <si>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</si>
  <si>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</si>
  <si>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</si>
  <si>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</si>
  <si>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</si>
  <si>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</si>
  <si>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</si>
  <si>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</si>
  <si>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</si>
  <si>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</si>
  <si>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</si>
  <si>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</si>
  <si>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</si>
  <si>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</si>
  <si>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</si>
  <si>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</si>
  <si>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</si>
  <si>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</si>
  <si>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</si>
  <si>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</si>
  <si>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</si>
  <si>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</si>
  <si>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</si>
  <si>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</si>
  <si>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</si>
  <si>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</si>
  <si>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</si>
  <si>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</si>
  <si>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</si>
  <si>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</si>
  <si>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</si>
  <si>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</si>
  <si>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</si>
  <si>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</si>
  <si>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</si>
  <si>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</si>
  <si>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</si>
  <si>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</si>
  <si>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</si>
  <si>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</si>
  <si>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</si>
  <si>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</si>
  <si>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</si>
  <si>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</si>
  <si>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</si>
  <si>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</si>
  <si>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</si>
  <si>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</si>
  <si>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</si>
  <si>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</si>
  <si>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</si>
  <si>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</si>
  <si>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</si>
  <si>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</si>
  <si>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</si>
  <si>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</si>
  <si>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</si>
  <si>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</si>
  <si>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</si>
  <si>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</si>
  <si>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</si>
  <si>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</si>
  <si>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</si>
  <si>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</si>
  <si>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</si>
  <si>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</si>
  <si>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</si>
  <si>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</si>
  <si>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</si>
  <si>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</si>
  <si>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</si>
  <si>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</si>
  <si>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</si>
  <si>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</si>
  <si>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</si>
  <si>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</si>
  <si>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</si>
  <si>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</si>
  <si>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</si>
  <si>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</si>
  <si>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</si>
  <si>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</si>
  <si>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</si>
  <si>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</si>
  <si>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</si>
  <si>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</si>
  <si>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</si>
  <si>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</si>
  <si>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</si>
  <si>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</si>
  <si>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</si>
  <si>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</si>
  <si>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</si>
  <si>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</si>
  <si>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</si>
  <si>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</si>
  <si>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</si>
  <si>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</si>
  <si>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</si>
  <si>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</si>
  <si>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</si>
  <si>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</si>
  <si>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</si>
  <si>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</si>
  <si>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</si>
  <si>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</si>
  <si>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</si>
  <si>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</si>
  <si>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</si>
  <si>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</si>
  <si>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</si>
  <si>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</si>
  <si>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</si>
  <si>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</si>
  <si>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</si>
  <si>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</si>
  <si>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</si>
  <si>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</si>
  <si>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</si>
  <si>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</si>
  <si>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</si>
  <si>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</si>
  <si>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</si>
  <si>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</si>
  <si>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</si>
  <si>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</si>
  <si>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</si>
  <si>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</si>
  <si>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</si>
  <si>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</si>
  <si>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</si>
  <si>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</si>
  <si>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</si>
  <si>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</si>
  <si>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</si>
  <si>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</si>
  <si>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</si>
  <si>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</si>
  <si>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</si>
  <si>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</si>
  <si>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</si>
  <si>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</si>
  <si>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</si>
  <si>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</si>
  <si>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</si>
  <si>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</si>
  <si>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</si>
  <si>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</si>
  <si>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</si>
  <si>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</si>
  <si>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</si>
  <si>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</si>
  <si>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</si>
  <si>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</si>
  <si>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</si>
  <si>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</si>
  <si>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</si>
  <si>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</si>
  <si>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</si>
  <si>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</si>
  <si>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</si>
  <si>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</si>
  <si>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</si>
  <si>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</si>
  <si>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</si>
  <si>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</si>
  <si>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</si>
  <si>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</si>
  <si>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</si>
  <si>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</si>
  <si>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</si>
  <si>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</si>
  <si>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</si>
  <si>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</si>
  <si>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</si>
  <si>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</si>
  <si>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</si>
  <si>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</si>
  <si>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</si>
  <si>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</si>
  <si>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</si>
  <si>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</si>
  <si>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</si>
  <si>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</si>
  <si>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</si>
  <si>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</si>
  <si>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</si>
  <si>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</si>
  <si>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</si>
  <si>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</si>
  <si>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</si>
  <si>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</si>
  <si>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</si>
  <si>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</si>
  <si>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</si>
  <si>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</si>
  <si>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</si>
  <si>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</si>
  <si>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</si>
  <si>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</si>
  <si>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</si>
  <si>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</si>
  <si>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</si>
  <si>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</si>
  <si>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</si>
  <si>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</si>
  <si>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</si>
  <si>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</si>
  <si>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</si>
  <si>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</si>
  <si>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</si>
  <si>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</si>
  <si>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</si>
  <si>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</si>
  <si>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</si>
  <si>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</si>
  <si>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</si>
  <si>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</si>
  <si>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</si>
  <si>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</si>
  <si>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</si>
  <si>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</si>
  <si>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</si>
  <si>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</si>
  <si>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</si>
  <si>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</si>
  <si>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</si>
  <si>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</si>
  <si>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</si>
  <si>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</si>
  <si>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</si>
  <si>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</si>
  <si>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</si>
  <si>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</si>
  <si>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</si>
  <si>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</si>
  <si>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</si>
  <si>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</si>
  <si>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</si>
  <si>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</si>
  <si>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</si>
  <si>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</si>
  <si>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</si>
  <si>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</si>
  <si>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</si>
  <si>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</si>
  <si>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</si>
  <si>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</si>
  <si>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</si>
  <si>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</si>
  <si>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</si>
  <si>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</si>
  <si>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</si>
  <si>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</si>
  <si>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</si>
  <si>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</si>
  <si>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</si>
  <si>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</si>
  <si>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</si>
  <si>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</si>
  <si>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</si>
  <si>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</si>
  <si>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</si>
  <si>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</si>
  <si>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</si>
  <si>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</si>
  <si>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</si>
  <si>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</si>
  <si>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</si>
  <si>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</si>
  <si>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</si>
  <si>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</si>
  <si>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</si>
  <si>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</si>
  <si>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</si>
  <si>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</si>
  <si>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</si>
  <si>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</si>
  <si>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</si>
  <si>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</si>
  <si>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</si>
  <si>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</si>
  <si>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</si>
  <si>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</si>
  <si>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</si>
  <si>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</si>
  <si>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</si>
  <si>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</si>
  <si>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</si>
  <si>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</si>
  <si>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</si>
  <si>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</si>
  <si>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</si>
  <si>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</si>
  <si>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</si>
  <si>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</si>
  <si>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</si>
  <si>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</si>
  <si>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</si>
  <si>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</si>
  <si>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</si>
  <si>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</si>
  <si>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</si>
  <si>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</si>
  <si>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</si>
  <si>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</si>
  <si>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</si>
  <si>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</si>
  <si>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</si>
  <si>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</si>
  <si>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</si>
  <si>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</si>
  <si>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</si>
  <si>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</si>
  <si>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</si>
  <si>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</si>
  <si>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</si>
  <si>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</si>
  <si>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</si>
  <si>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</si>
  <si>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</si>
  <si>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</si>
  <si>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</si>
  <si>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</si>
  <si>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</si>
  <si>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</si>
  <si>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</si>
  <si>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</si>
  <si>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</si>
  <si>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</si>
  <si>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</si>
  <si>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</si>
  <si>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</si>
  <si>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</si>
  <si>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</si>
  <si>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</si>
  <si>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</si>
  <si>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</si>
  <si>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</si>
  <si>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</si>
  <si>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</si>
  <si>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</si>
  <si>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</si>
  <si>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</si>
  <si>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</si>
  <si>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</si>
  <si>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</si>
  <si>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</si>
  <si>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</si>
  <si>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</si>
  <si>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</si>
  <si>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</si>
  <si>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</si>
  <si>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</si>
  <si>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</si>
  <si>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</si>
  <si>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</si>
  <si>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</si>
  <si>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</si>
  <si>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</si>
  <si>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</si>
  <si>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</si>
  <si>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</si>
  <si>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</si>
  <si>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</si>
  <si>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</si>
  <si>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</si>
  <si>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</si>
  <si>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</si>
  <si>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</si>
  <si>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</si>
  <si>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</si>
  <si>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</si>
  <si>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</si>
  <si>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</si>
  <si>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</si>
  <si>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</si>
  <si>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</si>
  <si>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</si>
  <si>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</si>
  <si>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</si>
  <si>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</si>
  <si>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</si>
  <si>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</si>
  <si>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</si>
  <si>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</si>
  <si>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</si>
  <si>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</si>
  <si>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</si>
  <si>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</si>
  <si>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</si>
  <si>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</si>
  <si>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</si>
  <si>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</si>
  <si>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</si>
  <si>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</si>
  <si>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</si>
  <si>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</si>
  <si>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</si>
  <si>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</si>
  <si>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</si>
  <si>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</si>
  <si>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</si>
  <si>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</si>
  <si>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</si>
  <si>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</si>
  <si>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</si>
  <si>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</si>
  <si>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</si>
  <si>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</si>
  <si>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</si>
  <si>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</si>
  <si>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</si>
  <si>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</si>
  <si>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</si>
  <si>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</si>
  <si>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</si>
  <si>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</si>
  <si>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</si>
  <si>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</si>
  <si>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</si>
  <si>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</si>
  <si>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</si>
  <si>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</si>
  <si>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</si>
  <si>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</si>
  <si>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</si>
  <si>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</si>
  <si>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</si>
  <si>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</si>
  <si>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</si>
  <si>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</si>
  <si>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</si>
  <si>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</si>
  <si>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</si>
  <si>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</si>
  <si>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</si>
  <si>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</si>
  <si>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</si>
  <si>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</si>
  <si>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</si>
  <si>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</si>
  <si>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</si>
  <si>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</si>
  <si>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</si>
  <si>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</si>
  <si>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</si>
  <si>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</si>
  <si>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</si>
  <si>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</si>
  <si>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</si>
  <si>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</si>
  <si>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</si>
  <si>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</si>
  <si>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</si>
  <si>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</si>
  <si>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</si>
  <si>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</si>
  <si>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</si>
  <si>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</si>
  <si>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</si>
  <si>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</si>
  <si>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</si>
  <si>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</si>
  <si>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</si>
  <si>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</si>
  <si>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</si>
  <si>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</si>
  <si>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</si>
  <si>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</si>
  <si>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</si>
  <si>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</si>
  <si>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</si>
  <si>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</si>
  <si>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</si>
  <si>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</si>
  <si>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</si>
  <si>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</si>
  <si>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</si>
  <si>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</si>
  <si>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</si>
  <si>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</si>
  <si>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</si>
  <si>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</si>
  <si>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</si>
  <si>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</si>
  <si>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</si>
  <si>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</si>
  <si>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</si>
  <si>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</si>
  <si>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</si>
  <si>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</si>
  <si>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</si>
  <si>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</si>
  <si>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</si>
  <si>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</si>
  <si>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</si>
  <si>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</si>
  <si>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</si>
  <si>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</si>
  <si>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</si>
  <si>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</si>
  <si>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</si>
  <si>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</si>
  <si>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</si>
  <si>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</si>
  <si>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</si>
  <si>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</si>
  <si>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</si>
  <si>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</si>
  <si>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</si>
  <si>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</si>
  <si>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</si>
  <si>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</si>
  <si>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</si>
  <si>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</si>
  <si>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</si>
  <si>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</si>
  <si>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</si>
  <si>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</si>
  <si>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</si>
  <si>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</si>
  <si>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</si>
  <si>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</si>
  <si>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</si>
  <si>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</si>
  <si>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</si>
  <si>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</si>
  <si>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</si>
  <si>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</si>
  <si>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</si>
  <si>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</si>
  <si>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</si>
  <si>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</si>
  <si>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</si>
  <si>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</si>
  <si>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</si>
  <si>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</si>
  <si>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</si>
  <si>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</si>
  <si>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</si>
  <si>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</si>
  <si>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</si>
  <si>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</si>
  <si>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</si>
  <si>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</si>
  <si>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</si>
  <si>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</si>
  <si>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</si>
  <si>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</si>
  <si>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</si>
  <si>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</si>
  <si>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</si>
  <si>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</si>
  <si>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</si>
  <si>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</si>
  <si>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</si>
  <si>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</si>
  <si>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</si>
  <si>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</si>
  <si>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</si>
  <si>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</si>
  <si>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</si>
  <si>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</si>
  <si>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</si>
  <si>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</si>
  <si>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</si>
  <si>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</si>
  <si>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</si>
  <si>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</si>
  <si>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</si>
  <si>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</si>
  <si>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</si>
  <si>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</si>
  <si>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</si>
  <si>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</si>
  <si>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</si>
  <si>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</si>
  <si>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</si>
  <si>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</si>
  <si>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</si>
  <si>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</si>
  <si>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</si>
  <si>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</si>
  <si>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</si>
  <si>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</si>
  <si>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</si>
  <si>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</si>
  <si>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</si>
  <si>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</si>
  <si>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</si>
  <si>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</si>
  <si>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</si>
  <si>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</si>
  <si>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</si>
  <si>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</si>
  <si>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</si>
  <si>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</si>
  <si>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</si>
  <si>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</si>
  <si>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</si>
  <si>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</si>
  <si>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</si>
  <si>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</si>
  <si>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</si>
  <si>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</si>
  <si>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</si>
  <si>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</si>
  <si>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</si>
  <si>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</si>
  <si>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</si>
  <si>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</si>
  <si>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</si>
  <si>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</si>
  <si>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</si>
  <si>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</si>
  <si>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</si>
  <si>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</si>
  <si>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</si>
  <si>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</si>
  <si>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</si>
  <si>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</si>
  <si>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</si>
  <si>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</si>
  <si>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</si>
  <si>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</si>
  <si>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</si>
  <si>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</si>
  <si>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</si>
  <si>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</si>
  <si>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</si>
  <si>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</si>
  <si>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</si>
  <si>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</si>
  <si>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</si>
  <si>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</si>
  <si>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</si>
  <si>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</si>
  <si>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</si>
  <si>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</si>
  <si>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</si>
  <si>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</si>
  <si>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</si>
  <si>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</si>
  <si>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</si>
  <si>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</si>
  <si>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</si>
  <si>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</si>
  <si>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</si>
  <si>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</si>
  <si>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</si>
  <si>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</si>
  <si>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</si>
  <si>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</si>
  <si>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</si>
  <si>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</si>
  <si>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</si>
  <si>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</si>
  <si>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</si>
  <si>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</si>
  <si>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</si>
  <si>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</si>
  <si>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</si>
  <si>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</si>
  <si>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</si>
  <si>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</si>
  <si>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</si>
  <si>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</si>
  <si>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</si>
  <si>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</si>
  <si>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</si>
  <si>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</si>
  <si>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</si>
  <si>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</si>
  <si>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</si>
  <si>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</si>
  <si>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</si>
  <si>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</si>
  <si>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</si>
  <si>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</si>
  <si>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</si>
  <si>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</si>
  <si>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</si>
  <si>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</si>
  <si>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</si>
  <si>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</si>
  <si>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</si>
  <si>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</si>
  <si>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</si>
  <si>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</si>
  <si>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</si>
  <si>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</si>
  <si>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</si>
  <si>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</si>
  <si>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</si>
  <si>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</si>
  <si>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</si>
  <si>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</si>
  <si>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</si>
  <si>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</si>
  <si>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</si>
  <si>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</si>
  <si>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</si>
  <si>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</si>
  <si>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</si>
  <si>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</si>
  <si>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</si>
  <si>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</si>
  <si>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</si>
  <si>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</si>
  <si>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</si>
  <si>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</si>
  <si>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</si>
  <si>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</si>
  <si>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</si>
  <si>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</si>
  <si>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</si>
  <si>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</si>
  <si>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</si>
  <si>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</si>
  <si>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</si>
  <si>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</si>
  <si>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</si>
  <si>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</si>
  <si>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</si>
  <si>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</si>
  <si>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</si>
  <si>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</si>
  <si>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</si>
  <si>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</si>
  <si>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</si>
  <si>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</si>
  <si>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</si>
  <si>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</si>
  <si>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</si>
  <si>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</si>
  <si>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</si>
  <si>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</si>
  <si>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</si>
  <si>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</si>
  <si>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</si>
  <si>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</si>
  <si>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</si>
  <si>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</si>
  <si>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</si>
  <si>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</si>
  <si>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</si>
  <si>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</si>
  <si>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</si>
  <si>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</si>
  <si>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</si>
  <si>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</si>
  <si>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</si>
  <si>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</si>
  <si>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</si>
  <si>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</si>
  <si>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</si>
  <si>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</si>
  <si>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</si>
  <si>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</si>
  <si>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</si>
  <si>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</si>
  <si>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</si>
  <si>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</si>
  <si>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</si>
  <si>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</si>
  <si>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</si>
  <si>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</si>
  <si>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</si>
  <si>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</si>
  <si>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</si>
  <si>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</si>
  <si>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</si>
  <si>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</si>
  <si>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</si>
  <si>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</si>
  <si>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</si>
  <si>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</si>
  <si>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</si>
  <si>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</si>
  <si>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</si>
  <si>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</si>
  <si>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</si>
  <si>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</si>
  <si>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</si>
  <si>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</si>
  <si>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</si>
  <si>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</si>
  <si>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</si>
  <si>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</si>
  <si>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</si>
  <si>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</si>
  <si>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</si>
  <si>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</si>
  <si>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</si>
  <si>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</si>
  <si>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</si>
  <si>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</si>
  <si>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</si>
  <si>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</si>
  <si>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</si>
  <si>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</si>
  <si>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</si>
  <si>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</si>
  <si>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</si>
  <si>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</si>
  <si>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</si>
  <si>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</si>
  <si>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</si>
  <si>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</si>
  <si>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</si>
  <si>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</si>
  <si>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</si>
  <si>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</si>
  <si>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</si>
  <si>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</si>
  <si>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</si>
  <si>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</si>
  <si>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</si>
  <si>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</si>
  <si>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</si>
  <si>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</si>
  <si>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</si>
  <si>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</si>
  <si>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</si>
  <si>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</si>
  <si>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</si>
  <si>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</si>
  <si>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</si>
  <si>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</si>
  <si>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</si>
  <si>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</si>
  <si>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</si>
  <si>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</si>
  <si>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</si>
  <si>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</si>
  <si>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</si>
  <si>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</si>
  <si>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</si>
  <si>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</si>
  <si>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</si>
  <si>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</si>
  <si>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</si>
  <si>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</si>
  <si>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</si>
  <si>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</si>
  <si>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</si>
  <si>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</si>
  <si>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</si>
  <si>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</si>
  <si>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</si>
  <si>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</si>
  <si>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</si>
  <si>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</si>
  <si>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</si>
  <si>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</si>
  <si>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</si>
  <si>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</si>
  <si>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</si>
  <si>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</si>
  <si>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</si>
  <si>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</si>
  <si>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</si>
  <si>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</si>
  <si>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</si>
  <si>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</si>
  <si>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</si>
  <si>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</si>
  <si>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</si>
  <si>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</si>
  <si>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</si>
  <si>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</si>
  <si>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</si>
  <si>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</si>
  <si>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</si>
  <si>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</si>
  <si>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</si>
  <si>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</si>
  <si>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</si>
  <si>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</si>
  <si>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</si>
  <si>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</si>
  <si>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</si>
  <si>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</si>
  <si>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</si>
  <si>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</si>
  <si>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</si>
  <si>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</si>
  <si>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</si>
  <si>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</si>
  <si>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</si>
  <si>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</si>
  <si>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</si>
  <si>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</si>
  <si>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</si>
  <si>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</si>
  <si>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</si>
  <si>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</si>
  <si>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</si>
  <si>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</si>
  <si>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</si>
  <si>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</si>
  <si>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</si>
  <si>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</si>
  <si>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</si>
  <si>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</si>
  <si>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</si>
  <si>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</si>
  <si>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</si>
  <si>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</si>
  <si>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</si>
  <si>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</si>
  <si>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</si>
  <si>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</si>
  <si>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</si>
  <si>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</si>
  <si>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</si>
  <si>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</si>
  <si>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</si>
  <si>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</si>
  <si>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</si>
  <si>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</si>
  <si>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</si>
  <si>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</si>
  <si>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</si>
  <si>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</si>
  <si>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</si>
  <si>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</si>
  <si>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</si>
  <si>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</si>
  <si>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</si>
  <si>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</si>
  <si>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</si>
  <si>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</si>
  <si>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</si>
  <si>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</si>
  <si>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</si>
  <si>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</si>
  <si>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</si>
  <si>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</si>
  <si>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</si>
  <si>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</si>
  <si>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</si>
  <si>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</si>
  <si>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</si>
  <si>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</si>
  <si>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</si>
  <si>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</si>
  <si>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</si>
  <si>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</si>
  <si>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</si>
  <si>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</si>
  <si>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</si>
  <si>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</si>
  <si>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</si>
  <si>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</si>
  <si>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</si>
  <si>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</si>
  <si>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</si>
  <si>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</si>
  <si>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</si>
  <si>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</si>
  <si>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</si>
  <si>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</si>
  <si>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</si>
  <si>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</si>
  <si>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</si>
  <si>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</si>
  <si>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</si>
  <si>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</si>
  <si>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</si>
  <si>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</si>
  <si>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</si>
  <si>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</si>
  <si>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</si>
  <si>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</si>
  <si>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</si>
  <si>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</si>
  <si>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</si>
  <si>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</si>
  <si>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</si>
  <si>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</si>
  <si>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</si>
  <si>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</si>
  <si>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</si>
  <si>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</si>
  <si>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</si>
  <si>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</si>
  <si>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</si>
  <si>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</si>
  <si>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</si>
  <si>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</si>
  <si>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</si>
  <si>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</si>
  <si>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</si>
  <si>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</si>
  <si>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</si>
  <si>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</si>
  <si>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</si>
  <si>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</si>
  <si>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</si>
  <si>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</si>
  <si>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</si>
  <si>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</si>
  <si>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</si>
  <si>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</si>
  <si>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</si>
  <si>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</si>
  <si>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</si>
  <si>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</si>
  <si>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</si>
  <si>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</si>
  <si>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</si>
  <si>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</si>
  <si>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</si>
  <si>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</si>
  <si>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</si>
  <si>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</si>
  <si>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</si>
  <si>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</si>
  <si>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</si>
  <si>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</si>
  <si>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</si>
  <si>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</si>
  <si>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</si>
  <si>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</si>
  <si>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</si>
  <si>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</si>
  <si>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</si>
  <si>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</si>
  <si>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</si>
  <si>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</si>
  <si>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</si>
  <si>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</si>
  <si>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</si>
  <si>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</si>
  <si>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</si>
  <si>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</si>
  <si>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</si>
  <si>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</si>
  <si>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</si>
  <si>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</si>
  <si>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</si>
  <si>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</si>
  <si>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</si>
  <si>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</si>
  <si>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</si>
  <si>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</si>
  <si>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</si>
  <si>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</si>
  <si>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</si>
  <si>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</si>
  <si>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</si>
  <si>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</si>
  <si>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</si>
  <si>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</si>
  <si>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</si>
  <si>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</si>
  <si>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</si>
  <si>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</si>
  <si>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</si>
  <si>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</si>
  <si>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</si>
  <si>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</si>
  <si>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</si>
  <si>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</si>
  <si>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</si>
  <si>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</si>
  <si>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</si>
  <si>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</si>
  <si>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</si>
  <si>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</si>
  <si>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</si>
  <si>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</si>
  <si>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</si>
  <si>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</si>
  <si>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</si>
  <si>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</si>
  <si>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</si>
  <si>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</si>
  <si>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</si>
  <si>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</si>
  <si>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</si>
  <si>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</si>
  <si>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</si>
  <si>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</si>
  <si>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</si>
  <si>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</si>
  <si>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</si>
  <si>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</si>
  <si>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</si>
  <si>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</si>
  <si>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</si>
  <si>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</si>
  <si>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</si>
  <si>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</si>
  <si>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</si>
  <si>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</si>
  <si>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</si>
  <si>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</si>
  <si>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</si>
  <si>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</si>
  <si>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</si>
  <si>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</si>
  <si>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</si>
  <si>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</si>
  <si>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</si>
  <si>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</si>
  <si>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</si>
  <si>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</si>
  <si>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</si>
  <si>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</si>
  <si>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</si>
  <si>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</si>
  <si>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</si>
  <si>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</si>
  <si>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</si>
  <si>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</si>
  <si>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</si>
  <si>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</si>
  <si>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</si>
  <si>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</si>
  <si>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</si>
  <si>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</si>
  <si>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</si>
  <si>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</si>
  <si>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</si>
  <si>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</si>
  <si>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</si>
  <si>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</si>
  <si>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</si>
  <si>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</si>
  <si>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</si>
  <si>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</si>
  <si>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</si>
  <si>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</si>
  <si>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</si>
  <si>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</si>
  <si>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</si>
  <si>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</si>
  <si>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</si>
  <si>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</si>
  <si>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</si>
  <si>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</si>
  <si>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</si>
  <si>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</si>
  <si>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</si>
  <si>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</si>
  <si>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</si>
  <si>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</si>
  <si>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</si>
  <si>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</si>
  <si>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</si>
  <si>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</si>
  <si>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</si>
  <si>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</si>
  <si>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</si>
  <si>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</si>
  <si>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</si>
  <si>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</si>
  <si>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</si>
  <si>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</si>
  <si>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</si>
  <si>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</si>
  <si>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</si>
  <si>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</si>
  <si>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</si>
  <si>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</si>
  <si>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</si>
  <si>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</si>
  <si>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</si>
  <si>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</si>
  <si>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</si>
  <si>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</si>
  <si>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</si>
  <si>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</si>
  <si>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</si>
  <si>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</si>
  <si>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</si>
  <si>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</si>
  <si>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</si>
  <si>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</si>
  <si>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</si>
  <si>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</si>
  <si>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</si>
  <si>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</si>
  <si>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</si>
  <si>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</si>
  <si>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</si>
  <si>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</si>
  <si>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</si>
  <si>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</si>
  <si>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</si>
  <si>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</si>
  <si>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</si>
  <si>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</si>
  <si>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</si>
  <si>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</si>
  <si>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</si>
  <si>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</si>
  <si>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</si>
  <si>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</si>
  <si>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</si>
  <si>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</si>
  <si>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</si>
  <si>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</si>
  <si>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</si>
  <si>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</si>
  <si>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</si>
  <si>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</si>
  <si>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</si>
  <si>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</si>
  <si>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</si>
  <si>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</si>
  <si>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</si>
  <si>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</si>
  <si>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</si>
  <si>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</si>
  <si>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</si>
  <si>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</si>
  <si>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</si>
  <si>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</si>
  <si>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</si>
  <si>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</si>
  <si>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</si>
  <si>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</si>
  <si>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</si>
  <si>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</si>
  <si>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</si>
  <si>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</si>
  <si>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</si>
  <si>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</si>
  <si>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</si>
  <si>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</si>
  <si>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</si>
  <si>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</si>
  <si>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</si>
  <si>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</si>
  <si>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</si>
  <si>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</si>
  <si>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</si>
  <si>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</si>
  <si>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</si>
  <si>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</si>
  <si>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</si>
  <si>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</si>
  <si>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</si>
  <si>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</si>
  <si>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</si>
  <si>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</si>
  <si>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</si>
  <si>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</si>
  <si>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</si>
  <si>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</si>
  <si>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</si>
  <si>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</si>
  <si>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</si>
  <si>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</si>
  <si>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</si>
  <si>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</si>
  <si>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</si>
  <si>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</si>
  <si>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</si>
  <si>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</si>
  <si>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</si>
  <si>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</si>
  <si>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</si>
  <si>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</si>
  <si>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</si>
  <si>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</si>
  <si>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</si>
  <si>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</si>
  <si>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</si>
  <si>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</si>
  <si>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</si>
  <si>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</si>
  <si>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</si>
  <si>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</si>
  <si>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</si>
  <si>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</si>
  <si>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</si>
  <si>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</si>
  <si>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</si>
  <si>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</si>
  <si>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</si>
  <si>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</si>
  <si>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</si>
  <si>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</si>
  <si>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</si>
  <si>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</si>
  <si>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</si>
  <si>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</si>
  <si>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</si>
  <si>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</si>
  <si>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</si>
  <si>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</si>
  <si>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</si>
  <si>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</si>
  <si>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</si>
  <si>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</si>
  <si>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</si>
  <si>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</si>
  <si>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</si>
  <si>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</si>
  <si>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</si>
  <si>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</si>
  <si>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</si>
  <si>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</si>
  <si>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</si>
  <si>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</si>
  <si>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</si>
  <si>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</si>
  <si>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</si>
  <si>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</si>
  <si>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</si>
  <si>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</si>
  <si>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</si>
  <si>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</si>
  <si>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</si>
  <si>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</si>
  <si>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</si>
  <si>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</si>
  <si>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</si>
  <si>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</si>
  <si>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</si>
  <si>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</si>
  <si>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</si>
  <si>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</si>
  <si>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</si>
  <si>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</si>
  <si>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</si>
  <si>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</si>
  <si>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</si>
  <si>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</si>
  <si>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</si>
  <si>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</si>
  <si>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</si>
  <si>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</si>
  <si>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</si>
  <si>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</si>
  <si>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</si>
  <si>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</si>
  <si>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</si>
  <si>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</si>
  <si>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</si>
  <si>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</si>
  <si>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</si>
  <si>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</si>
  <si>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</si>
  <si>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</si>
  <si>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</si>
  <si>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</si>
  <si>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</si>
  <si>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</si>
  <si>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</si>
  <si>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</si>
  <si>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</si>
  <si>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</si>
  <si>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</si>
  <si>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</si>
  <si>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</si>
  <si>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</si>
  <si>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</si>
  <si>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</si>
  <si>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</si>
  <si>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</si>
  <si>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</si>
  <si>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</si>
  <si>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</si>
  <si>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</si>
  <si>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</si>
  <si>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</si>
  <si>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</si>
  <si>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</si>
  <si>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</si>
  <si>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</si>
  <si>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</si>
  <si>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</si>
  <si>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</si>
  <si>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</si>
  <si>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</si>
  <si>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</si>
  <si>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</si>
  <si>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</si>
  <si>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</si>
  <si>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</si>
  <si>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</si>
  <si>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</si>
  <si>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</si>
  <si>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</si>
  <si>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</si>
  <si>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</si>
  <si>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</si>
  <si>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</si>
  <si>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</si>
  <si>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</si>
  <si>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</si>
  <si>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</si>
  <si>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</si>
  <si>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</si>
  <si>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</si>
  <si>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</si>
  <si>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</si>
  <si>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</si>
  <si>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</si>
  <si>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</si>
  <si>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</si>
  <si>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</si>
  <si>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</si>
  <si>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</si>
  <si>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</si>
  <si>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</si>
  <si>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</si>
  <si>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</si>
  <si>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</si>
  <si>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</si>
  <si>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</si>
  <si>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</si>
  <si>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</si>
  <si>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</si>
  <si>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</si>
  <si>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</si>
  <si>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</si>
  <si>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</si>
  <si>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</si>
  <si>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</si>
  <si>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</si>
  <si>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</si>
  <si>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</si>
  <si>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</si>
  <si>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</si>
  <si>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</si>
  <si>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</si>
  <si>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</si>
  <si>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</si>
  <si>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</si>
  <si>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</si>
  <si>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</si>
  <si>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</si>
  <si>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</si>
  <si>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</si>
  <si>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</si>
  <si>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</si>
  <si>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</si>
  <si>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</si>
  <si>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</si>
  <si>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</si>
  <si>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</si>
  <si>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</si>
  <si>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</si>
  <si>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</si>
  <si>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</si>
  <si>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</si>
  <si>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</si>
  <si>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</si>
  <si>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</si>
  <si>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</si>
  <si>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</si>
  <si>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</si>
  <si>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</si>
  <si>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</si>
  <si>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</si>
  <si>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</si>
  <si>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</si>
  <si>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</si>
  <si>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</si>
  <si>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</si>
  <si>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</si>
  <si>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</si>
  <si>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</si>
  <si>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</si>
  <si>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</si>
  <si>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</si>
  <si>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</si>
  <si>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</si>
  <si>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</si>
  <si>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</si>
  <si>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</si>
  <si>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</si>
  <si>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</si>
  <si>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</si>
  <si>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</si>
  <si>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</si>
  <si>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</si>
  <si>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</si>
  <si>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</si>
  <si>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</si>
  <si>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</si>
  <si>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</si>
  <si>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</si>
  <si>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</si>
  <si>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</si>
  <si>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</si>
  <si>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</si>
  <si>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</si>
  <si>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</si>
  <si>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</si>
  <si>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</si>
  <si>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</si>
  <si>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</si>
  <si>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</si>
  <si>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</si>
  <si>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</si>
  <si>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</si>
  <si>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</si>
  <si>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</si>
  <si>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</si>
  <si>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</si>
  <si>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</si>
  <si>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</si>
  <si>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</si>
  <si>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</si>
  <si>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</si>
  <si>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</si>
  <si>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</si>
  <si>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</si>
  <si>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</si>
  <si>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</si>
  <si>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</si>
  <si>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</si>
  <si>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</si>
  <si>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</si>
  <si>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</si>
  <si>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</si>
  <si>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</si>
  <si>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</si>
  <si>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</si>
  <si>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</si>
  <si>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</si>
  <si>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</si>
  <si>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</si>
  <si>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</si>
  <si>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</si>
  <si>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</si>
  <si>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</si>
  <si>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</si>
  <si>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</si>
  <si>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</si>
  <si>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</si>
  <si>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</si>
  <si>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</si>
  <si>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</si>
  <si>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</si>
  <si>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</si>
  <si>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</si>
  <si>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</si>
  <si>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</si>
  <si>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</si>
  <si>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</si>
  <si>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</si>
  <si>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</si>
  <si>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</si>
  <si>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</si>
  <si>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</si>
  <si>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</si>
  <si>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</si>
  <si>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</si>
  <si>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</si>
  <si>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</si>
  <si>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</si>
  <si>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</si>
  <si>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</si>
  <si>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</si>
  <si>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</si>
  <si>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</si>
  <si>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</si>
  <si>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</si>
  <si>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</si>
  <si>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</si>
  <si>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</si>
  <si>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</si>
  <si>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</si>
  <si>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</si>
  <si>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</si>
  <si>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</si>
  <si>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</si>
  <si>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</si>
  <si>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</si>
  <si>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</si>
  <si>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</si>
  <si>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</si>
  <si>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</si>
  <si>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</si>
  <si>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</si>
  <si>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</si>
  <si>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</si>
  <si>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</si>
  <si>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</si>
  <si>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</si>
  <si>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</si>
  <si>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</si>
  <si>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</si>
  <si>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</si>
  <si>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</si>
  <si>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</si>
  <si>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</si>
  <si>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</si>
  <si>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</si>
  <si>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</si>
  <si>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</si>
  <si>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</si>
  <si>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</si>
  <si>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</si>
  <si>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</si>
  <si>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</si>
  <si>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</si>
  <si>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</si>
  <si>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</si>
  <si>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</si>
  <si>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</si>
  <si>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</si>
  <si>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</si>
  <si>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</si>
  <si>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</si>
  <si>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</si>
  <si>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</si>
  <si>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</si>
  <si>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</si>
  <si>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</si>
  <si>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</si>
  <si>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</si>
  <si>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</si>
  <si>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</si>
  <si>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</si>
  <si>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</si>
  <si>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</si>
  <si>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</si>
  <si>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</si>
  <si>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</si>
  <si>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</si>
  <si>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</si>
  <si>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</si>
  <si>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</si>
  <si>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</si>
  <si>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</si>
  <si>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</si>
  <si>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</si>
  <si>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</si>
  <si>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</si>
  <si>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</si>
  <si>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</si>
  <si>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</si>
  <si>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</si>
  <si>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</si>
  <si>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</si>
  <si>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</si>
  <si>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</si>
  <si>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</si>
  <si>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</si>
  <si>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</si>
  <si>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</si>
  <si>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</si>
  <si>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</si>
  <si>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</si>
  <si>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</si>
  <si>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</si>
  <si>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</si>
  <si>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</si>
  <si>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</si>
  <si>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</si>
  <si>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</si>
  <si>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</si>
  <si>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</si>
  <si>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</si>
  <si>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</si>
  <si>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</si>
  <si>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</si>
  <si>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</si>
  <si>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</si>
  <si>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</si>
  <si>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</si>
  <si>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</si>
  <si>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</si>
  <si>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</si>
  <si>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</si>
  <si>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</si>
  <si>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</si>
  <si>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</si>
  <si>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</si>
  <si>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</si>
  <si>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</si>
  <si>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</si>
  <si>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</si>
  <si>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</si>
  <si>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</si>
  <si>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</si>
  <si>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</si>
  <si>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</si>
  <si>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</si>
  <si>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</si>
  <si>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</si>
  <si>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</si>
  <si>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</si>
  <si>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</si>
  <si>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</si>
  <si>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</si>
  <si>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</si>
  <si>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</si>
  <si>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</si>
  <si>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</si>
  <si>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</si>
  <si>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</si>
  <si>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</si>
  <si>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</si>
  <si>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</si>
  <si>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</si>
  <si>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</si>
  <si>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</si>
  <si>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</si>
  <si>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</si>
  <si>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</si>
  <si>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</si>
  <si>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</si>
  <si>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</si>
  <si>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</si>
  <si>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</si>
  <si>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</si>
  <si>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</si>
  <si>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</si>
  <si>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</si>
  <si>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</si>
  <si>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</si>
  <si>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</si>
  <si>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</si>
  <si>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</si>
  <si>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</si>
  <si>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</si>
  <si>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</si>
  <si>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</si>
  <si>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</si>
  <si>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</si>
  <si>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</si>
  <si>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</si>
  <si>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</si>
  <si>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</si>
  <si>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</si>
  <si>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</si>
  <si>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</si>
  <si>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</si>
  <si>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</si>
  <si>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</si>
  <si>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</si>
  <si>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</si>
  <si>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</si>
  <si>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</si>
  <si>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</si>
  <si>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</si>
  <si>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</si>
  <si>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</si>
  <si>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</si>
  <si>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</si>
  <si>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</si>
  <si>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</si>
  <si>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</si>
  <si>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</si>
  <si>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</si>
  <si>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</si>
  <si>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</si>
  <si>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</si>
  <si>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</si>
  <si>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</si>
  <si>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</si>
  <si>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</si>
  <si>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</si>
  <si>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</si>
  <si>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</si>
  <si>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</si>
  <si>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</si>
  <si>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</si>
  <si>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</si>
  <si>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</si>
  <si>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</si>
  <si>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</si>
  <si>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</si>
  <si>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</si>
  <si>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</si>
  <si>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</si>
  <si>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</si>
  <si>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</si>
  <si>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</si>
  <si>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</si>
  <si>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</si>
  <si>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</si>
  <si>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</si>
  <si>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</si>
  <si>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</si>
  <si>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</si>
  <si>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</si>
  <si>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</si>
  <si>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</si>
  <si>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</si>
  <si>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</si>
  <si>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</si>
  <si>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</si>
  <si>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</si>
  <si>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</si>
  <si>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</si>
  <si>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</si>
  <si>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</si>
  <si>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</si>
  <si>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</si>
  <si>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</si>
  <si>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</si>
  <si>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</si>
  <si>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</si>
  <si>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</si>
  <si>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</si>
  <si>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</si>
  <si>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</si>
  <si>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</si>
  <si>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</si>
  <si>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</si>
  <si>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</si>
  <si>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</si>
  <si>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</si>
  <si>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</si>
  <si>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</si>
  <si>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</si>
  <si>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</si>
  <si>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</si>
  <si>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</si>
  <si>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</si>
  <si>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</si>
  <si>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</si>
  <si>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</si>
  <si>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</si>
  <si>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</si>
  <si>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</si>
  <si>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</si>
  <si>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</si>
  <si>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</si>
  <si>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</si>
  <si>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</si>
  <si>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</si>
  <si>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</si>
  <si>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</si>
  <si>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</si>
  <si>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</si>
  <si>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</si>
  <si>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</si>
  <si>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</si>
  <si>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</si>
  <si>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</si>
  <si>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</si>
  <si>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</si>
  <si>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</si>
  <si>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</si>
  <si>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</si>
  <si>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</si>
  <si>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</si>
  <si>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</si>
  <si>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</si>
  <si>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</si>
  <si>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</si>
  <si>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</si>
  <si>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</si>
  <si>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</si>
  <si>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</si>
  <si>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</si>
  <si>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</si>
  <si>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</si>
  <si>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</si>
  <si>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</si>
  <si>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</si>
  <si>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</si>
  <si>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</si>
  <si>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</si>
  <si>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</si>
  <si>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</si>
  <si>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</si>
  <si>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</si>
  <si>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</si>
  <si>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</si>
  <si>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</si>
  <si>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</si>
  <si>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</si>
  <si>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</si>
  <si>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</si>
  <si>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</si>
  <si>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</si>
  <si>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</si>
  <si>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</si>
  <si>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</si>
  <si>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</si>
  <si>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</si>
  <si>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</si>
  <si>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</si>
  <si>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</si>
  <si>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</si>
  <si>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</si>
  <si>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</si>
  <si>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</si>
  <si>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</si>
  <si>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</si>
  <si>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</si>
  <si>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</si>
  <si>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</si>
  <si>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</si>
  <si>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</si>
  <si>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</si>
  <si>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</si>
  <si>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</si>
  <si>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</si>
  <si>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</si>
  <si>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</si>
  <si>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</si>
  <si>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</si>
  <si>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</si>
  <si>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</si>
  <si>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</si>
  <si>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</si>
  <si>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</si>
  <si>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</si>
  <si>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</si>
  <si>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</si>
  <si>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</si>
  <si>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</si>
  <si>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</si>
  <si>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</si>
  <si>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</si>
  <si>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</si>
  <si>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</si>
  <si>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</si>
  <si>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</si>
  <si>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</si>
  <si>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</si>
  <si>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</si>
  <si>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</si>
  <si>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</si>
  <si>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</si>
  <si>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</si>
  <si>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</si>
  <si>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</si>
  <si>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</si>
  <si>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</si>
  <si>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</si>
  <si>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</si>
  <si>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</si>
  <si>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</si>
  <si>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</si>
  <si>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</si>
  <si>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</si>
  <si>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</si>
  <si>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</si>
  <si>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</si>
  <si>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</si>
  <si>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</si>
  <si>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</si>
  <si>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</si>
  <si>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</si>
  <si>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</si>
  <si>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</si>
  <si>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</si>
  <si>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</si>
  <si>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</si>
  <si>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</si>
  <si>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</si>
  <si>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</si>
  <si>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</si>
  <si>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</si>
  <si>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</si>
  <si>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</si>
  <si>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</si>
  <si>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</si>
  <si>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</si>
  <si>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</si>
  <si>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</si>
  <si>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</si>
  <si>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</si>
  <si>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</si>
  <si>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</si>
  <si>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</si>
  <si>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</si>
  <si>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</si>
  <si>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</si>
  <si>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</si>
  <si>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</si>
  <si>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</si>
  <si>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</si>
  <si>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</si>
  <si>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</si>
  <si>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</si>
  <si>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</si>
  <si>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</si>
  <si>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</si>
  <si>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</si>
  <si>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</si>
  <si>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</si>
  <si>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</si>
  <si>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</si>
  <si>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</si>
  <si>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</si>
  <si>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</si>
  <si>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</si>
  <si>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</si>
  <si>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</si>
  <si>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</si>
  <si>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</si>
  <si>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</si>
  <si>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</si>
  <si>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</si>
  <si>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</si>
  <si>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</si>
  <si>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</si>
  <si>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</si>
  <si>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</si>
  <si>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</si>
  <si>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</si>
  <si>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</si>
  <si>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</si>
  <si>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</si>
  <si>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</si>
  <si>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</si>
  <si>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</si>
  <si>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</si>
  <si>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</si>
  <si>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</si>
  <si>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</si>
  <si>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</si>
  <si>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</si>
  <si>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</si>
  <si>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</si>
  <si>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</si>
  <si>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</si>
  <si>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</si>
  <si>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</si>
  <si>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</si>
  <si>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</si>
  <si>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</si>
  <si>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</si>
  <si>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</si>
  <si>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</si>
  <si>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</si>
  <si>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</si>
  <si>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</si>
  <si>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</si>
  <si>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</si>
  <si>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</si>
  <si>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</si>
  <si>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</si>
  <si>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</si>
  <si>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</si>
  <si>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</si>
  <si>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</si>
  <si>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</si>
  <si>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</si>
  <si>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</si>
  <si>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</si>
  <si>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</si>
  <si>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</si>
  <si>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</si>
  <si>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</si>
  <si>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</si>
  <si>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</si>
  <si>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</si>
  <si>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</si>
  <si>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</si>
  <si>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</si>
  <si>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</si>
  <si>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</si>
  <si>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</si>
  <si>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</si>
  <si>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</si>
  <si>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</si>
  <si>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</si>
  <si>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</si>
  <si>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</si>
  <si>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</si>
  <si>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</si>
  <si>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</si>
  <si>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</si>
  <si>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</si>
  <si>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</si>
  <si>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</si>
  <si>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</si>
  <si>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</si>
  <si>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</si>
  <si>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</si>
  <si>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</si>
  <si>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</si>
  <si>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</si>
  <si>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</si>
  <si>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</si>
  <si>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</si>
  <si>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</si>
  <si>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</si>
  <si>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</si>
  <si>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</si>
  <si>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</si>
  <si>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</si>
  <si>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</si>
  <si>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</si>
  <si>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</si>
  <si>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</si>
  <si>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</si>
  <si>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</si>
  <si>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</si>
  <si>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</si>
  <si>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</si>
  <si>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</si>
  <si>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</si>
  <si>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</si>
  <si>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</si>
  <si>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</si>
  <si>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</si>
  <si>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</si>
  <si>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</si>
  <si>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</si>
  <si>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</si>
  <si>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</si>
  <si>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</si>
  <si>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</si>
  <si>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</si>
  <si>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</si>
  <si>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</si>
  <si>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</si>
  <si>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</si>
  <si>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</si>
  <si>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</si>
  <si>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</si>
  <si>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</si>
  <si>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</si>
  <si>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</si>
  <si>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</si>
  <si>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</si>
  <si>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</si>
  <si>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</si>
  <si>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</si>
  <si>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</si>
  <si>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</si>
  <si>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</si>
  <si>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</si>
  <si>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</si>
  <si>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</si>
  <si>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</si>
  <si>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</si>
  <si>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</si>
  <si>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</si>
  <si>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</si>
  <si>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</si>
  <si>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</si>
  <si>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</si>
  <si>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</si>
  <si>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</si>
  <si>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</si>
  <si>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</si>
  <si>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</si>
  <si>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</si>
  <si>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</si>
  <si>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</si>
  <si>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</si>
  <si>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</si>
  <si>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</si>
  <si>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</si>
  <si>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</si>
  <si>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</si>
  <si>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</si>
  <si>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</si>
  <si>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</si>
  <si>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</si>
  <si>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</si>
  <si>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</si>
  <si>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</si>
  <si>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</si>
  <si>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</si>
  <si>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</si>
  <si>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</si>
  <si>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</si>
  <si>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</si>
  <si>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</si>
  <si>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</si>
  <si>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</si>
  <si>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</si>
  <si>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</si>
  <si>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</si>
  <si>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</si>
  <si>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</si>
  <si>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</si>
  <si>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</si>
  <si>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</si>
  <si>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</si>
  <si>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</si>
  <si>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</si>
  <si>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</si>
  <si>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</si>
  <si>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</si>
  <si>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</si>
  <si>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</si>
  <si>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</si>
  <si>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</si>
  <si>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</si>
  <si>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</si>
  <si>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</si>
  <si>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</si>
  <si>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</si>
  <si>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</si>
  <si>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</si>
  <si>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</si>
  <si>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</si>
  <si>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</si>
  <si>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</si>
  <si>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</si>
  <si>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</si>
  <si>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</si>
  <si>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</si>
  <si>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</si>
  <si>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</si>
  <si>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</si>
  <si>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</si>
  <si>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</si>
  <si>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</si>
  <si>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</si>
  <si>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</si>
  <si>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</si>
  <si>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</si>
  <si>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</si>
  <si>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</si>
  <si>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</si>
  <si>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</si>
  <si>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</si>
  <si>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</si>
  <si>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</si>
  <si>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</si>
  <si>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</si>
  <si>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</si>
  <si>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</si>
  <si>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</si>
  <si>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</si>
  <si>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</si>
  <si>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</si>
  <si>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</si>
  <si>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</si>
  <si>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</si>
  <si>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</si>
  <si>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</si>
  <si>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</si>
  <si>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</si>
  <si>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</si>
  <si>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</si>
  <si>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</si>
  <si>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</si>
  <si>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</si>
  <si>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</si>
  <si>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</si>
  <si>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</si>
  <si>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</si>
  <si>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</si>
  <si>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</si>
  <si>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</si>
  <si>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</si>
  <si>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</si>
  <si>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</si>
  <si>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</si>
  <si>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</si>
  <si>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</si>
  <si>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</si>
  <si>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</si>
  <si>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</si>
  <si>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</si>
  <si>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</si>
  <si>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</si>
  <si>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</si>
  <si>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</si>
  <si>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</si>
  <si>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</si>
  <si>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</si>
  <si>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</si>
  <si>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</si>
  <si>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</si>
  <si>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</si>
  <si>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</si>
  <si>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</si>
  <si>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</si>
  <si>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</si>
  <si>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</si>
  <si>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</si>
  <si>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</si>
  <si>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</si>
  <si>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</si>
  <si>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</si>
  <si>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</si>
  <si>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</si>
  <si>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</si>
  <si>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</si>
  <si>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</si>
  <si>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</si>
  <si>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</si>
  <si>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</si>
  <si>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</si>
  <si>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</si>
  <si>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</si>
  <si>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</si>
  <si>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</si>
  <si>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</si>
  <si>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</si>
  <si>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</si>
  <si>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</si>
  <si>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</si>
  <si>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</si>
  <si>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</si>
  <si>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</si>
  <si>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</si>
  <si>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</si>
  <si>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</si>
  <si>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</si>
  <si>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</si>
  <si>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</si>
  <si>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</si>
  <si>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</si>
  <si>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</si>
  <si>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</si>
  <si>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</si>
  <si>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</si>
  <si>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</si>
  <si>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</si>
  <si>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</si>
  <si>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</si>
  <si>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</si>
  <si>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</si>
  <si>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</si>
  <si>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</si>
  <si>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</si>
  <si>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</si>
  <si>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</si>
  <si>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</si>
  <si>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</si>
  <si>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</si>
  <si>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</si>
  <si>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</si>
  <si>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</si>
  <si>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</si>
  <si>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</si>
  <si>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</si>
  <si>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</si>
  <si>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</si>
  <si>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</si>
  <si>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</si>
  <si>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</si>
  <si>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</si>
  <si>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</si>
  <si>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</si>
  <si>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</si>
  <si>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</si>
  <si>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</si>
  <si>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</si>
  <si>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</si>
  <si>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</si>
  <si>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</si>
  <si>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</si>
  <si>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</si>
  <si>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</si>
  <si>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</si>
  <si>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</si>
  <si>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</si>
  <si>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</si>
  <si>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</si>
  <si>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</si>
  <si>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VWAP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</si>
  <si>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</si>
  <si>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</si>
  <si>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</si>
  <si>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</si>
  <si>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</si>
  <si>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</si>
  <si>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</si>
  <si>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</si>
  <si>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</si>
  <si>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</si>
  <si>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</si>
  <si>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</si>
  <si>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</si>
  <si>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</si>
  <si>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</si>
  <si>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</si>
  <si>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</si>
  <si>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</si>
  <si>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</si>
  <si>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</si>
  <si>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</si>
  <si>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</si>
  <si>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</si>
  <si>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</si>
  <si>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Time</t>
  </si>
  <si>
    <t>Qty</t>
  </si>
  <si>
    <t>5 Min</t>
  </si>
  <si>
    <t>seconds</t>
  </si>
  <si>
    <t>Minute</t>
  </si>
  <si>
    <t>Hours</t>
  </si>
  <si>
    <t>Day</t>
  </si>
  <si>
    <t>Interval</t>
  </si>
  <si>
    <t>Difference</t>
  </si>
  <si>
    <t>Major Units</t>
  </si>
  <si>
    <t>Minor Units</t>
  </si>
  <si>
    <t>Bounds</t>
  </si>
  <si>
    <t>Minimum</t>
  </si>
  <si>
    <t>Maximum</t>
  </si>
  <si>
    <t>Units</t>
  </si>
  <si>
    <t>Major</t>
  </si>
  <si>
    <t>Minor</t>
  </si>
  <si>
    <t>Formatted Date &amp; Time</t>
  </si>
  <si>
    <t>Start Export Row</t>
  </si>
  <si>
    <t>Miscelleneous</t>
  </si>
  <si>
    <t>Open</t>
  </si>
  <si>
    <t>Increase</t>
  </si>
  <si>
    <t>Percentage Increase</t>
  </si>
  <si>
    <t>End Export Row</t>
  </si>
  <si>
    <t xml:space="preserve">
SUCCESS-;-UNITECH</t>
  </si>
  <si>
    <t>N</t>
  </si>
  <si>
    <t>-</t>
  </si>
  <si>
    <t xml:space="preserve">
</t>
  </si>
  <si>
    <t>03-AUG-2018 13;07;50</t>
  </si>
  <si>
    <t>03-AUG-2018 13;09;50</t>
  </si>
  <si>
    <t>03-AUG-2018 13;14;51</t>
  </si>
  <si>
    <t>03-AUG-2018 13;16;51</t>
  </si>
  <si>
    <t>03-AUG-2018 13;19;51</t>
  </si>
  <si>
    <t>03-AUG-2018 13;21;21</t>
  </si>
  <si>
    <t>03-AUG-2018 13;23;21</t>
  </si>
  <si>
    <t>03-AUG-2018 13;26;21</t>
  </si>
  <si>
    <t>03-AUG-2018 13;29;21</t>
  </si>
  <si>
    <t>03-AUG-2018 13;32;51</t>
  </si>
  <si>
    <t>03-AUG-2018 13;34;51</t>
  </si>
  <si>
    <t>03-AUG-2018 13;37;51</t>
  </si>
  <si>
    <t>03-AUG-2018 13;40;21</t>
  </si>
  <si>
    <t>03-AUG-2018 13;41;51</t>
  </si>
  <si>
    <t>03-AUG-2018 13;44;22</t>
  </si>
  <si>
    <t>03-AUG-2018 13;47;22</t>
  </si>
  <si>
    <t>03-AUG-2018 13;49;22</t>
  </si>
  <si>
    <t>03-AUG-2018 13;52;22</t>
  </si>
  <si>
    <t>03-AUG-2018 13;53;52</t>
  </si>
  <si>
    <t>03-AUG-2018 13;57;22</t>
  </si>
  <si>
    <t>03-AUG-2018 13;59;22</t>
  </si>
  <si>
    <t>03-AUG-2018 14;02;22</t>
  </si>
  <si>
    <t>03-AUG-2018 14;04;22</t>
  </si>
  <si>
    <t>03-AUG-2018 14;06;22</t>
  </si>
  <si>
    <t>03-AUG-2018 14;09;22</t>
  </si>
  <si>
    <t>03-AUG-2018 14;13;22</t>
  </si>
  <si>
    <t>03-AUG-2018 14;16;22</t>
  </si>
  <si>
    <t>03-AUG-2018 14;20;23</t>
  </si>
  <si>
    <t>03-AUG-2018 14;24;23</t>
  </si>
  <si>
    <t>03-AUG-2018 14;27;23</t>
  </si>
  <si>
    <t>03-AUG-2018 14;29;23</t>
  </si>
  <si>
    <t>03-AUG-2018 14;31;23</t>
  </si>
  <si>
    <t>03-AUG-2018 14;34;53</t>
  </si>
  <si>
    <t>03-AUG-2018 14;36;53</t>
  </si>
  <si>
    <t>03-AUG-2018 14;40;23</t>
  </si>
  <si>
    <t>03-AUG-2018 14;41;23</t>
  </si>
  <si>
    <t>03-AUG-2018 14;45;23</t>
  </si>
  <si>
    <t>03-AUG-2018 14;46;23</t>
  </si>
  <si>
    <t>03-AUG-2018 14;50;54</t>
  </si>
  <si>
    <t>03-AUG-2018 14;52;24</t>
  </si>
  <si>
    <t>03-AUG-2018 14;55;24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</si>
</sst>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67" formatCode="_(* #,##0.000000_);_(* \(#,##0.000000\);_(* &quot;-&quot;??_);_(@_)"/>
    <numFmt numFmtId="168" formatCode="_(* #,##0.000000000000_);_(* \(#,##0.000000000000\);_(* &quot;-&quot;??_);_(@_)"/>
    <numFmt numFmtId="169" formatCode="[$-409]dd/mm/yyyy\ hh:mm:ss"/>
    <numFmt numFmtId="170" formatCode="0.0000000000"/>
    <numFmt numFmtId="171" formatCode="0.000"/>
    <numFmt numFmtId="172" formatCode="_(* #,##0.00000000_);_(* \(#,##0.00000000\);_(* &quot;-&quot;??_);_(@_)"/>
    <numFmt numFmtId="173" formatCode="[h]:mm:ss;@"/>
    <numFmt numFmtId="174" formatCode="0.0000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91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  <xf numFmtId="0" fontId="6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8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/>
    </xf>
    <xf numFmtId="3" fontId="0" fillId="0" borderId="4" xfId="0" applyNumberFormat="1" applyBorder="1" applyAlignment="1">
      <alignment vertical="center"/>
    </xf>
    <xf numFmtId="164" fontId="0" fillId="0" borderId="4" xfId="1" applyNumberFormat="1" applyFont="1" applyBorder="1" applyAlignment="1">
      <alignment vertical="center"/>
    </xf>
    <xf numFmtId="15" fontId="0" fillId="0" borderId="4" xfId="0" applyNumberFormat="1" applyBorder="1" applyAlignment="1">
      <alignment vertical="center"/>
    </xf>
    <xf numFmtId="22" fontId="0" fillId="0" borderId="4" xfId="0" applyNumberFormat="1" applyBorder="1" applyAlignment="1">
      <alignment vertical="center"/>
    </xf>
    <xf numFmtId="0" fontId="8" fillId="6" borderId="4" xfId="0" applyFont="1" applyFill="1" applyBorder="1" applyAlignment="1">
      <alignment vertical="center" wrapText="1"/>
    </xf>
    <xf numFmtId="165" fontId="0" fillId="0" borderId="0" xfId="1" applyNumberFormat="1" applyFont="1"/>
    <xf numFmtId="166" fontId="0" fillId="0" borderId="0" xfId="0" applyNumberFormat="1" applyBorder="1" applyAlignment="1"/>
    <xf numFmtId="43" fontId="0" fillId="0" borderId="0" xfId="1" applyFont="1"/>
    <xf numFmtId="167" fontId="0" fillId="0" borderId="0" xfId="0" applyNumberFormat="1"/>
    <xf numFmtId="167" fontId="0" fillId="6" borderId="0" xfId="0" applyNumberFormat="1" applyFill="1"/>
    <xf numFmtId="168" fontId="0" fillId="6" borderId="0" xfId="1" applyNumberFormat="1" applyFont="1" applyFill="1"/>
    <xf numFmtId="169" fontId="0" fillId="6" borderId="0" xfId="0" applyNumberFormat="1" applyFill="1"/>
    <xf numFmtId="170" fontId="0" fillId="0" borderId="0" xfId="0" applyNumberFormat="1"/>
    <xf numFmtId="171" fontId="0" fillId="0" borderId="0" xfId="0" applyNumberFormat="1"/>
    <xf numFmtId="0" fontId="0" fillId="6" borderId="0" xfId="0" applyFill="1"/>
    <xf numFmtId="168" fontId="0" fillId="0" borderId="0" xfId="1" applyNumberFormat="1" applyFont="1"/>
    <xf numFmtId="169" fontId="0" fillId="0" borderId="0" xfId="0" applyNumberFormat="1"/>
    <xf numFmtId="172" fontId="0" fillId="0" borderId="0" xfId="1" applyNumberFormat="1" applyFont="1"/>
    <xf numFmtId="22" fontId="0" fillId="0" borderId="4" xfId="0" applyNumberForma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6" fillId="7" borderId="0" xfId="0" applyFont="1" applyFill="1" applyAlignment="1">
      <alignment horizontal="center" wrapText="1"/>
    </xf>
    <xf numFmtId="0" fontId="6" fillId="7" borderId="0" xfId="0" applyFont="1" applyFill="1" applyAlignment="1">
      <alignment horizontal="center" vertical="center" wrapText="1"/>
    </xf>
    <xf numFmtId="173" fontId="6" fillId="7" borderId="0" xfId="0" applyNumberFormat="1" applyFont="1" applyFill="1" applyAlignment="1">
      <alignment horizontal="center" vertical="center" wrapText="1"/>
    </xf>
    <xf numFmtId="0" fontId="9" fillId="0" borderId="4" xfId="0" applyFont="1" applyBorder="1"/>
    <xf numFmtId="174" fontId="0" fillId="0" borderId="4" xfId="0" applyNumberFormat="1" applyBorder="1"/>
    <xf numFmtId="2" fontId="8" fillId="6" borderId="4" xfId="0" applyNumberFormat="1" applyFont="1" applyFill="1" applyBorder="1" applyAlignment="1">
      <alignment vertical="center" wrapText="1"/>
    </xf>
    <xf numFmtId="2" fontId="0" fillId="0" borderId="4" xfId="0" applyNumberFormat="1" applyBorder="1" applyAlignment="1">
      <alignment vertical="center"/>
    </xf>
    <xf numFmtId="2" fontId="0" fillId="0" borderId="4" xfId="1" applyNumberFormat="1" applyFont="1" applyBorder="1" applyAlignment="1">
      <alignment vertical="center"/>
    </xf>
    <xf numFmtId="2" fontId="0" fillId="0" borderId="4" xfId="0" applyNumberFormat="1" applyBorder="1" applyAlignment="1">
      <alignment vertical="center" wrapText="1"/>
    </xf>
    <xf numFmtId="2" fontId="8" fillId="0" borderId="4" xfId="0" applyNumberFormat="1" applyFont="1" applyBorder="1" applyAlignment="1">
      <alignment vertical="center" wrapText="1"/>
    </xf>
    <xf numFmtId="0" fontId="8" fillId="0" borderId="4" xfId="0" applyFont="1" applyFill="1" applyBorder="1" applyAlignment="1">
      <alignment vertical="center" wrapText="1"/>
    </xf>
    <xf numFmtId="0" fontId="9" fillId="7" borderId="19" xfId="0" applyFont="1" applyFill="1" applyBorder="1" applyAlignment="1">
      <alignment horizontal="center"/>
    </xf>
    <xf numFmtId="0" fontId="9" fillId="7" borderId="20" xfId="0" applyFont="1" applyFill="1" applyBorder="1" applyAlignment="1">
      <alignment horizontal="center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0753376223225E-2"/>
          <c:y val="7.794275718099998E-2"/>
          <c:w val="0.89986328321462661"/>
          <c:h val="0.74748272840272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Data'!$AR$2:$AR$350</c:f>
              <c:numCache>
                <c:formatCode>m/d/yyyy\ h:mm</c:formatCode>
                <c:ptCount val="349"/>
                <c:pt idx="0">
                  <c:v>43315.547106481485</c:v>
                </c:pt>
                <c:pt idx="1">
                  <c:v>43315.547106481485</c:v>
                </c:pt>
                <c:pt idx="2">
                  <c:v>43315.547106481485</c:v>
                </c:pt>
                <c:pt idx="3">
                  <c:v>43315.548495370371</c:v>
                </c:pt>
                <c:pt idx="4">
                  <c:v>43315.548495370371</c:v>
                </c:pt>
                <c:pt idx="5">
                  <c:v>43315.551979166667</c:v>
                </c:pt>
                <c:pt idx="6">
                  <c:v>43315.551979166667</c:v>
                </c:pt>
                <c:pt idx="7">
                  <c:v>43315.551979166667</c:v>
                </c:pt>
                <c:pt idx="8">
                  <c:v>43315.553368055553</c:v>
                </c:pt>
                <c:pt idx="9">
                  <c:v>43315.553368055553</c:v>
                </c:pt>
                <c:pt idx="10">
                  <c:v>43315.553368055553</c:v>
                </c:pt>
                <c:pt idx="11">
                  <c:v>43315.555451388886</c:v>
                </c:pt>
                <c:pt idx="12">
                  <c:v>43315.555451388886</c:v>
                </c:pt>
                <c:pt idx="13">
                  <c:v>43315.556493055556</c:v>
                </c:pt>
                <c:pt idx="14">
                  <c:v>43315.556493055556</c:v>
                </c:pt>
                <c:pt idx="15">
                  <c:v>43315.557881944442</c:v>
                </c:pt>
                <c:pt idx="16">
                  <c:v>43315.557881944442</c:v>
                </c:pt>
                <c:pt idx="17">
                  <c:v>43315.557881944442</c:v>
                </c:pt>
                <c:pt idx="18">
                  <c:v>43315.559965277775</c:v>
                </c:pt>
                <c:pt idx="19">
                  <c:v>43315.559965277775</c:v>
                </c:pt>
                <c:pt idx="20">
                  <c:v>43315.559965277775</c:v>
                </c:pt>
                <c:pt idx="21">
                  <c:v>0</c:v>
                </c:pt>
                <c:pt idx="22">
                  <c:v>43315.562048611115</c:v>
                </c:pt>
                <c:pt idx="23">
                  <c:v>43315.562048611115</c:v>
                </c:pt>
                <c:pt idx="24">
                  <c:v>43315.562048611115</c:v>
                </c:pt>
                <c:pt idx="25">
                  <c:v>43315.564479166664</c:v>
                </c:pt>
                <c:pt idx="26">
                  <c:v>43315.564479166664</c:v>
                </c:pt>
                <c:pt idx="27">
                  <c:v>43315.564479166664</c:v>
                </c:pt>
                <c:pt idx="28">
                  <c:v>43315.564479166664</c:v>
                </c:pt>
                <c:pt idx="29">
                  <c:v>43315.565868055557</c:v>
                </c:pt>
                <c:pt idx="30">
                  <c:v>43315.565868055557</c:v>
                </c:pt>
                <c:pt idx="31">
                  <c:v>43315.56795138889</c:v>
                </c:pt>
                <c:pt idx="32">
                  <c:v>43315.56795138889</c:v>
                </c:pt>
                <c:pt idx="33">
                  <c:v>43315.56795138889</c:v>
                </c:pt>
                <c:pt idx="34">
                  <c:v>43315.56795138889</c:v>
                </c:pt>
                <c:pt idx="35">
                  <c:v>43315.569687499999</c:v>
                </c:pt>
                <c:pt idx="36">
                  <c:v>43315.569687499999</c:v>
                </c:pt>
                <c:pt idx="37">
                  <c:v>43315.570729166669</c:v>
                </c:pt>
                <c:pt idx="38">
                  <c:v>43315.570729166669</c:v>
                </c:pt>
                <c:pt idx="39">
                  <c:v>43315.572476851848</c:v>
                </c:pt>
                <c:pt idx="40">
                  <c:v>43315.572476851848</c:v>
                </c:pt>
                <c:pt idx="41">
                  <c:v>43315.572476851848</c:v>
                </c:pt>
                <c:pt idx="42">
                  <c:v>43315.572476851848</c:v>
                </c:pt>
                <c:pt idx="43">
                  <c:v>43315.574560185189</c:v>
                </c:pt>
                <c:pt idx="44">
                  <c:v>43315.574560185189</c:v>
                </c:pt>
                <c:pt idx="45">
                  <c:v>43315.575949074075</c:v>
                </c:pt>
                <c:pt idx="46">
                  <c:v>43315.575949074075</c:v>
                </c:pt>
                <c:pt idx="47">
                  <c:v>43315.578032407408</c:v>
                </c:pt>
                <c:pt idx="48">
                  <c:v>43315.578032407408</c:v>
                </c:pt>
                <c:pt idx="49">
                  <c:v>43315.578032407408</c:v>
                </c:pt>
                <c:pt idx="50">
                  <c:v>43315.578032407408</c:v>
                </c:pt>
                <c:pt idx="51">
                  <c:v>43315.579074074078</c:v>
                </c:pt>
                <c:pt idx="52">
                  <c:v>43315.579074074078</c:v>
                </c:pt>
                <c:pt idx="53">
                  <c:v>43315.581504629627</c:v>
                </c:pt>
                <c:pt idx="54">
                  <c:v>43315.581504629627</c:v>
                </c:pt>
                <c:pt idx="55">
                  <c:v>43315.581504629627</c:v>
                </c:pt>
                <c:pt idx="56">
                  <c:v>43315.581504629627</c:v>
                </c:pt>
                <c:pt idx="57">
                  <c:v>43315.58289351852</c:v>
                </c:pt>
                <c:pt idx="58">
                  <c:v>43315.58289351852</c:v>
                </c:pt>
                <c:pt idx="59">
                  <c:v>43315.584976851853</c:v>
                </c:pt>
                <c:pt idx="60">
                  <c:v>43315.584976851853</c:v>
                </c:pt>
                <c:pt idx="61">
                  <c:v>43315.584976851853</c:v>
                </c:pt>
                <c:pt idx="62">
                  <c:v>43315.584976851853</c:v>
                </c:pt>
                <c:pt idx="63">
                  <c:v>43315.586365740739</c:v>
                </c:pt>
                <c:pt idx="64">
                  <c:v>43315.586365740739</c:v>
                </c:pt>
                <c:pt idx="65">
                  <c:v>43315.587754629632</c:v>
                </c:pt>
                <c:pt idx="66">
                  <c:v>43315.587754629632</c:v>
                </c:pt>
                <c:pt idx="67">
                  <c:v>43315.589837962965</c:v>
                </c:pt>
                <c:pt idx="68">
                  <c:v>43315.589837962965</c:v>
                </c:pt>
                <c:pt idx="69">
                  <c:v>43315.589837962965</c:v>
                </c:pt>
                <c:pt idx="70">
                  <c:v>43315.589837962965</c:v>
                </c:pt>
                <c:pt idx="71">
                  <c:v>43315.592615740738</c:v>
                </c:pt>
                <c:pt idx="72">
                  <c:v>43315.592615740738</c:v>
                </c:pt>
                <c:pt idx="73">
                  <c:v>43315.592615740738</c:v>
                </c:pt>
                <c:pt idx="74">
                  <c:v>43315.592615740738</c:v>
                </c:pt>
                <c:pt idx="75">
                  <c:v>43315.594699074078</c:v>
                </c:pt>
                <c:pt idx="76">
                  <c:v>43315.594699074078</c:v>
                </c:pt>
                <c:pt idx="77">
                  <c:v>43315.594699074078</c:v>
                </c:pt>
                <c:pt idx="78">
                  <c:v>43315.594699074078</c:v>
                </c:pt>
                <c:pt idx="79">
                  <c:v>43315.597488425927</c:v>
                </c:pt>
                <c:pt idx="80">
                  <c:v>43315.597488425927</c:v>
                </c:pt>
                <c:pt idx="81">
                  <c:v>43315.597488425927</c:v>
                </c:pt>
                <c:pt idx="82">
                  <c:v>43315.597488425927</c:v>
                </c:pt>
                <c:pt idx="83">
                  <c:v>43315.600266203706</c:v>
                </c:pt>
                <c:pt idx="84">
                  <c:v>43315.600266203706</c:v>
                </c:pt>
                <c:pt idx="85">
                  <c:v>43315.600266203706</c:v>
                </c:pt>
                <c:pt idx="86">
                  <c:v>43315.600266203706</c:v>
                </c:pt>
                <c:pt idx="87">
                  <c:v>43315.602349537039</c:v>
                </c:pt>
                <c:pt idx="88">
                  <c:v>43315.602349537039</c:v>
                </c:pt>
                <c:pt idx="89">
                  <c:v>43315.602349537039</c:v>
                </c:pt>
                <c:pt idx="90">
                  <c:v>43315.603738425925</c:v>
                </c:pt>
                <c:pt idx="91">
                  <c:v>43315.603738425925</c:v>
                </c:pt>
                <c:pt idx="92">
                  <c:v>43315.603738425925</c:v>
                </c:pt>
                <c:pt idx="93">
                  <c:v>43315.605127314811</c:v>
                </c:pt>
                <c:pt idx="94">
                  <c:v>43315.605127314811</c:v>
                </c:pt>
                <c:pt idx="95">
                  <c:v>43315.607557870368</c:v>
                </c:pt>
                <c:pt idx="96">
                  <c:v>43315.607557870368</c:v>
                </c:pt>
                <c:pt idx="97">
                  <c:v>43315.607557870368</c:v>
                </c:pt>
                <c:pt idx="98">
                  <c:v>43315.608946759261</c:v>
                </c:pt>
                <c:pt idx="99">
                  <c:v>43315.608946759261</c:v>
                </c:pt>
                <c:pt idx="100">
                  <c:v>43315.608946759261</c:v>
                </c:pt>
                <c:pt idx="101">
                  <c:v>43315.611377314817</c:v>
                </c:pt>
                <c:pt idx="102">
                  <c:v>43315.611377314817</c:v>
                </c:pt>
                <c:pt idx="103">
                  <c:v>43315.611377314817</c:v>
                </c:pt>
                <c:pt idx="104">
                  <c:v>43315.611377314817</c:v>
                </c:pt>
                <c:pt idx="105">
                  <c:v>43315.612071759257</c:v>
                </c:pt>
                <c:pt idx="106">
                  <c:v>43315.612071759257</c:v>
                </c:pt>
                <c:pt idx="107">
                  <c:v>43315.614849537036</c:v>
                </c:pt>
                <c:pt idx="108">
                  <c:v>43315.614849537036</c:v>
                </c:pt>
                <c:pt idx="109">
                  <c:v>43315.615543981483</c:v>
                </c:pt>
                <c:pt idx="110">
                  <c:v>43315.615543981483</c:v>
                </c:pt>
                <c:pt idx="111">
                  <c:v>43315.615543981483</c:v>
                </c:pt>
                <c:pt idx="112">
                  <c:v>43315.615543981483</c:v>
                </c:pt>
                <c:pt idx="113">
                  <c:v>43315.618680555555</c:v>
                </c:pt>
                <c:pt idx="114">
                  <c:v>43315.618680555555</c:v>
                </c:pt>
                <c:pt idx="115">
                  <c:v>43315.618680555555</c:v>
                </c:pt>
                <c:pt idx="116">
                  <c:v>43315.618680555555</c:v>
                </c:pt>
                <c:pt idx="117">
                  <c:v>43315.619722222225</c:v>
                </c:pt>
                <c:pt idx="118">
                  <c:v>43315.619722222225</c:v>
                </c:pt>
                <c:pt idx="119">
                  <c:v>43315.621805555558</c:v>
                </c:pt>
                <c:pt idx="120">
                  <c:v>43315.621805555558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</c:numCache>
            </c:numRef>
          </c:xVal>
          <c:yVal>
            <c:numRef>
              <c:f>'Export Data'!$AM$2:$AM$350</c:f>
              <c:numCache>
                <c:formatCode>_(* #,##0_);_(* \(#,##0\);_(* "-"??_);_(@_)</c:formatCode>
                <c:ptCount val="349"/>
                <c:pt idx="0">
                  <c:v>10773323</c:v>
                </c:pt>
                <c:pt idx="1">
                  <c:v>10773323</c:v>
                </c:pt>
                <c:pt idx="2">
                  <c:v>10773323</c:v>
                </c:pt>
                <c:pt idx="3">
                  <c:v>10823606</c:v>
                </c:pt>
                <c:pt idx="4">
                  <c:v>10823606</c:v>
                </c:pt>
                <c:pt idx="5">
                  <c:v>6421284</c:v>
                </c:pt>
                <c:pt idx="6">
                  <c:v>6421284</c:v>
                </c:pt>
                <c:pt idx="7">
                  <c:v>6421284</c:v>
                </c:pt>
                <c:pt idx="8">
                  <c:v>6447594</c:v>
                </c:pt>
                <c:pt idx="9">
                  <c:v>6447594</c:v>
                </c:pt>
                <c:pt idx="10">
                  <c:v>6447594</c:v>
                </c:pt>
                <c:pt idx="11">
                  <c:v>6443242</c:v>
                </c:pt>
                <c:pt idx="12">
                  <c:v>6443242</c:v>
                </c:pt>
                <c:pt idx="13">
                  <c:v>6451078</c:v>
                </c:pt>
                <c:pt idx="14">
                  <c:v>6451078</c:v>
                </c:pt>
                <c:pt idx="15">
                  <c:v>6458799</c:v>
                </c:pt>
                <c:pt idx="16">
                  <c:v>6458799</c:v>
                </c:pt>
                <c:pt idx="17">
                  <c:v>6458799</c:v>
                </c:pt>
                <c:pt idx="18">
                  <c:v>6515964</c:v>
                </c:pt>
                <c:pt idx="19">
                  <c:v>6515964</c:v>
                </c:pt>
                <c:pt idx="20">
                  <c:v>6515964</c:v>
                </c:pt>
                <c:pt idx="22">
                  <c:v>6502881</c:v>
                </c:pt>
                <c:pt idx="23">
                  <c:v>6502881</c:v>
                </c:pt>
                <c:pt idx="24">
                  <c:v>6502881</c:v>
                </c:pt>
                <c:pt idx="25">
                  <c:v>6516563</c:v>
                </c:pt>
                <c:pt idx="26">
                  <c:v>6516563</c:v>
                </c:pt>
                <c:pt idx="27">
                  <c:v>6516563</c:v>
                </c:pt>
                <c:pt idx="28">
                  <c:v>6516563</c:v>
                </c:pt>
                <c:pt idx="29">
                  <c:v>6534997</c:v>
                </c:pt>
                <c:pt idx="30">
                  <c:v>6534997</c:v>
                </c:pt>
                <c:pt idx="31">
                  <c:v>6643615</c:v>
                </c:pt>
                <c:pt idx="32">
                  <c:v>6643615</c:v>
                </c:pt>
                <c:pt idx="33">
                  <c:v>6643615</c:v>
                </c:pt>
                <c:pt idx="34">
                  <c:v>6643615</c:v>
                </c:pt>
                <c:pt idx="35">
                  <c:v>6628507</c:v>
                </c:pt>
                <c:pt idx="36">
                  <c:v>6628507</c:v>
                </c:pt>
                <c:pt idx="37">
                  <c:v>6598732</c:v>
                </c:pt>
                <c:pt idx="38">
                  <c:v>6598732</c:v>
                </c:pt>
                <c:pt idx="39">
                  <c:v>6612395</c:v>
                </c:pt>
                <c:pt idx="40">
                  <c:v>6612395</c:v>
                </c:pt>
                <c:pt idx="41">
                  <c:v>6612395</c:v>
                </c:pt>
                <c:pt idx="42">
                  <c:v>6612395</c:v>
                </c:pt>
                <c:pt idx="43">
                  <c:v>6599133</c:v>
                </c:pt>
                <c:pt idx="44">
                  <c:v>6599133</c:v>
                </c:pt>
                <c:pt idx="45">
                  <c:v>6593692</c:v>
                </c:pt>
                <c:pt idx="46">
                  <c:v>6593692</c:v>
                </c:pt>
                <c:pt idx="47">
                  <c:v>6603791</c:v>
                </c:pt>
                <c:pt idx="48">
                  <c:v>6603791</c:v>
                </c:pt>
                <c:pt idx="49">
                  <c:v>6603791</c:v>
                </c:pt>
                <c:pt idx="50">
                  <c:v>6603791</c:v>
                </c:pt>
                <c:pt idx="51">
                  <c:v>6603679</c:v>
                </c:pt>
                <c:pt idx="52">
                  <c:v>6603679</c:v>
                </c:pt>
                <c:pt idx="53">
                  <c:v>6606179</c:v>
                </c:pt>
                <c:pt idx="54">
                  <c:v>6606179</c:v>
                </c:pt>
                <c:pt idx="55">
                  <c:v>6606179</c:v>
                </c:pt>
                <c:pt idx="56">
                  <c:v>6606179</c:v>
                </c:pt>
                <c:pt idx="57">
                  <c:v>6709239</c:v>
                </c:pt>
                <c:pt idx="58">
                  <c:v>6709239</c:v>
                </c:pt>
                <c:pt idx="59">
                  <c:v>6744763</c:v>
                </c:pt>
                <c:pt idx="60">
                  <c:v>6744763</c:v>
                </c:pt>
                <c:pt idx="61">
                  <c:v>6744763</c:v>
                </c:pt>
                <c:pt idx="62">
                  <c:v>6744763</c:v>
                </c:pt>
                <c:pt idx="63">
                  <c:v>6757621</c:v>
                </c:pt>
                <c:pt idx="64">
                  <c:v>6757621</c:v>
                </c:pt>
                <c:pt idx="65">
                  <c:v>6785766</c:v>
                </c:pt>
                <c:pt idx="66">
                  <c:v>6785766</c:v>
                </c:pt>
                <c:pt idx="67">
                  <c:v>6786149</c:v>
                </c:pt>
                <c:pt idx="68">
                  <c:v>6786149</c:v>
                </c:pt>
                <c:pt idx="69">
                  <c:v>6786149</c:v>
                </c:pt>
                <c:pt idx="70">
                  <c:v>6786149</c:v>
                </c:pt>
                <c:pt idx="71">
                  <c:v>6784691</c:v>
                </c:pt>
                <c:pt idx="72">
                  <c:v>6784691</c:v>
                </c:pt>
                <c:pt idx="73">
                  <c:v>6784691</c:v>
                </c:pt>
                <c:pt idx="74">
                  <c:v>6784691</c:v>
                </c:pt>
                <c:pt idx="75">
                  <c:v>6771243</c:v>
                </c:pt>
                <c:pt idx="76">
                  <c:v>6771243</c:v>
                </c:pt>
                <c:pt idx="77">
                  <c:v>6771243</c:v>
                </c:pt>
                <c:pt idx="78">
                  <c:v>6771243</c:v>
                </c:pt>
                <c:pt idx="79">
                  <c:v>6785441</c:v>
                </c:pt>
                <c:pt idx="80">
                  <c:v>6785441</c:v>
                </c:pt>
                <c:pt idx="81">
                  <c:v>6785441</c:v>
                </c:pt>
                <c:pt idx="82">
                  <c:v>6785441</c:v>
                </c:pt>
                <c:pt idx="83">
                  <c:v>6778348</c:v>
                </c:pt>
                <c:pt idx="84">
                  <c:v>6778348</c:v>
                </c:pt>
                <c:pt idx="85">
                  <c:v>6778348</c:v>
                </c:pt>
                <c:pt idx="86">
                  <c:v>6778348</c:v>
                </c:pt>
                <c:pt idx="87">
                  <c:v>6753643</c:v>
                </c:pt>
                <c:pt idx="88">
                  <c:v>6753643</c:v>
                </c:pt>
                <c:pt idx="89">
                  <c:v>6753643</c:v>
                </c:pt>
                <c:pt idx="90">
                  <c:v>6765746</c:v>
                </c:pt>
                <c:pt idx="91">
                  <c:v>6765746</c:v>
                </c:pt>
                <c:pt idx="92">
                  <c:v>6765746</c:v>
                </c:pt>
                <c:pt idx="93">
                  <c:v>6611356</c:v>
                </c:pt>
                <c:pt idx="94">
                  <c:v>6611356</c:v>
                </c:pt>
                <c:pt idx="95">
                  <c:v>6626496</c:v>
                </c:pt>
                <c:pt idx="96">
                  <c:v>6626496</c:v>
                </c:pt>
                <c:pt idx="97">
                  <c:v>6626496</c:v>
                </c:pt>
                <c:pt idx="98">
                  <c:v>6628801</c:v>
                </c:pt>
                <c:pt idx="99">
                  <c:v>6628801</c:v>
                </c:pt>
                <c:pt idx="100">
                  <c:v>6628801</c:v>
                </c:pt>
                <c:pt idx="101">
                  <c:v>6647965</c:v>
                </c:pt>
                <c:pt idx="102">
                  <c:v>6647965</c:v>
                </c:pt>
                <c:pt idx="103">
                  <c:v>6647965</c:v>
                </c:pt>
                <c:pt idx="104">
                  <c:v>6647965</c:v>
                </c:pt>
                <c:pt idx="105">
                  <c:v>6645725</c:v>
                </c:pt>
                <c:pt idx="106">
                  <c:v>6645725</c:v>
                </c:pt>
                <c:pt idx="107">
                  <c:v>8151568</c:v>
                </c:pt>
                <c:pt idx="108">
                  <c:v>8151568</c:v>
                </c:pt>
                <c:pt idx="109">
                  <c:v>8152070</c:v>
                </c:pt>
                <c:pt idx="110">
                  <c:v>8152070</c:v>
                </c:pt>
                <c:pt idx="111">
                  <c:v>8152070</c:v>
                </c:pt>
                <c:pt idx="112">
                  <c:v>8152070</c:v>
                </c:pt>
                <c:pt idx="113">
                  <c:v>7854574</c:v>
                </c:pt>
                <c:pt idx="114">
                  <c:v>7854574</c:v>
                </c:pt>
                <c:pt idx="115">
                  <c:v>7854574</c:v>
                </c:pt>
                <c:pt idx="116">
                  <c:v>7854574</c:v>
                </c:pt>
                <c:pt idx="117">
                  <c:v>7754812</c:v>
                </c:pt>
                <c:pt idx="118">
                  <c:v>7754812</c:v>
                </c:pt>
                <c:pt idx="119">
                  <c:v>6484019</c:v>
                </c:pt>
                <c:pt idx="120">
                  <c:v>6484019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Data'!$AR$2:$AR$350</c:f>
              <c:numCache>
                <c:formatCode>m/d/yyyy\ h:mm</c:formatCode>
                <c:ptCount val="349"/>
                <c:pt idx="0">
                  <c:v>43315.547106481485</c:v>
                </c:pt>
                <c:pt idx="1">
                  <c:v>43315.547106481485</c:v>
                </c:pt>
                <c:pt idx="2">
                  <c:v>43315.547106481485</c:v>
                </c:pt>
                <c:pt idx="3">
                  <c:v>43315.548495370371</c:v>
                </c:pt>
                <c:pt idx="4">
                  <c:v>43315.548495370371</c:v>
                </c:pt>
                <c:pt idx="5">
                  <c:v>43315.551979166667</c:v>
                </c:pt>
                <c:pt idx="6">
                  <c:v>43315.551979166667</c:v>
                </c:pt>
                <c:pt idx="7">
                  <c:v>43315.551979166667</c:v>
                </c:pt>
                <c:pt idx="8">
                  <c:v>43315.553368055553</c:v>
                </c:pt>
                <c:pt idx="9">
                  <c:v>43315.553368055553</c:v>
                </c:pt>
                <c:pt idx="10">
                  <c:v>43315.553368055553</c:v>
                </c:pt>
                <c:pt idx="11">
                  <c:v>43315.555451388886</c:v>
                </c:pt>
                <c:pt idx="12">
                  <c:v>43315.555451388886</c:v>
                </c:pt>
                <c:pt idx="13">
                  <c:v>43315.556493055556</c:v>
                </c:pt>
                <c:pt idx="14">
                  <c:v>43315.556493055556</c:v>
                </c:pt>
                <c:pt idx="15">
                  <c:v>43315.557881944442</c:v>
                </c:pt>
                <c:pt idx="16">
                  <c:v>43315.557881944442</c:v>
                </c:pt>
                <c:pt idx="17">
                  <c:v>43315.557881944442</c:v>
                </c:pt>
                <c:pt idx="18">
                  <c:v>43315.559965277775</c:v>
                </c:pt>
                <c:pt idx="19">
                  <c:v>43315.559965277775</c:v>
                </c:pt>
                <c:pt idx="20">
                  <c:v>43315.559965277775</c:v>
                </c:pt>
                <c:pt idx="21">
                  <c:v>0</c:v>
                </c:pt>
                <c:pt idx="22">
                  <c:v>43315.562048611115</c:v>
                </c:pt>
                <c:pt idx="23">
                  <c:v>43315.562048611115</c:v>
                </c:pt>
                <c:pt idx="24">
                  <c:v>43315.562048611115</c:v>
                </c:pt>
                <c:pt idx="25">
                  <c:v>43315.564479166664</c:v>
                </c:pt>
                <c:pt idx="26">
                  <c:v>43315.564479166664</c:v>
                </c:pt>
                <c:pt idx="27">
                  <c:v>43315.564479166664</c:v>
                </c:pt>
                <c:pt idx="28">
                  <c:v>43315.564479166664</c:v>
                </c:pt>
                <c:pt idx="29">
                  <c:v>43315.565868055557</c:v>
                </c:pt>
                <c:pt idx="30">
                  <c:v>43315.565868055557</c:v>
                </c:pt>
                <c:pt idx="31">
                  <c:v>43315.56795138889</c:v>
                </c:pt>
                <c:pt idx="32">
                  <c:v>43315.56795138889</c:v>
                </c:pt>
                <c:pt idx="33">
                  <c:v>43315.56795138889</c:v>
                </c:pt>
                <c:pt idx="34">
                  <c:v>43315.56795138889</c:v>
                </c:pt>
                <c:pt idx="35">
                  <c:v>43315.569687499999</c:v>
                </c:pt>
                <c:pt idx="36">
                  <c:v>43315.569687499999</c:v>
                </c:pt>
                <c:pt idx="37">
                  <c:v>43315.570729166669</c:v>
                </c:pt>
                <c:pt idx="38">
                  <c:v>43315.570729166669</c:v>
                </c:pt>
                <c:pt idx="39">
                  <c:v>43315.572476851848</c:v>
                </c:pt>
                <c:pt idx="40">
                  <c:v>43315.572476851848</c:v>
                </c:pt>
                <c:pt idx="41">
                  <c:v>43315.572476851848</c:v>
                </c:pt>
                <c:pt idx="42">
                  <c:v>43315.572476851848</c:v>
                </c:pt>
                <c:pt idx="43">
                  <c:v>43315.574560185189</c:v>
                </c:pt>
                <c:pt idx="44">
                  <c:v>43315.574560185189</c:v>
                </c:pt>
                <c:pt idx="45">
                  <c:v>43315.575949074075</c:v>
                </c:pt>
                <c:pt idx="46">
                  <c:v>43315.575949074075</c:v>
                </c:pt>
                <c:pt idx="47">
                  <c:v>43315.578032407408</c:v>
                </c:pt>
                <c:pt idx="48">
                  <c:v>43315.578032407408</c:v>
                </c:pt>
                <c:pt idx="49">
                  <c:v>43315.578032407408</c:v>
                </c:pt>
                <c:pt idx="50">
                  <c:v>43315.578032407408</c:v>
                </c:pt>
                <c:pt idx="51">
                  <c:v>43315.579074074078</c:v>
                </c:pt>
                <c:pt idx="52">
                  <c:v>43315.579074074078</c:v>
                </c:pt>
                <c:pt idx="53">
                  <c:v>43315.581504629627</c:v>
                </c:pt>
                <c:pt idx="54">
                  <c:v>43315.581504629627</c:v>
                </c:pt>
                <c:pt idx="55">
                  <c:v>43315.581504629627</c:v>
                </c:pt>
                <c:pt idx="56">
                  <c:v>43315.581504629627</c:v>
                </c:pt>
                <c:pt idx="57">
                  <c:v>43315.58289351852</c:v>
                </c:pt>
                <c:pt idx="58">
                  <c:v>43315.58289351852</c:v>
                </c:pt>
                <c:pt idx="59">
                  <c:v>43315.584976851853</c:v>
                </c:pt>
                <c:pt idx="60">
                  <c:v>43315.584976851853</c:v>
                </c:pt>
                <c:pt idx="61">
                  <c:v>43315.584976851853</c:v>
                </c:pt>
                <c:pt idx="62">
                  <c:v>43315.584976851853</c:v>
                </c:pt>
                <c:pt idx="63">
                  <c:v>43315.586365740739</c:v>
                </c:pt>
                <c:pt idx="64">
                  <c:v>43315.586365740739</c:v>
                </c:pt>
                <c:pt idx="65">
                  <c:v>43315.587754629632</c:v>
                </c:pt>
                <c:pt idx="66">
                  <c:v>43315.587754629632</c:v>
                </c:pt>
                <c:pt idx="67">
                  <c:v>43315.589837962965</c:v>
                </c:pt>
                <c:pt idx="68">
                  <c:v>43315.589837962965</c:v>
                </c:pt>
                <c:pt idx="69">
                  <c:v>43315.589837962965</c:v>
                </c:pt>
                <c:pt idx="70">
                  <c:v>43315.589837962965</c:v>
                </c:pt>
                <c:pt idx="71">
                  <c:v>43315.592615740738</c:v>
                </c:pt>
                <c:pt idx="72">
                  <c:v>43315.592615740738</c:v>
                </c:pt>
                <c:pt idx="73">
                  <c:v>43315.592615740738</c:v>
                </c:pt>
                <c:pt idx="74">
                  <c:v>43315.592615740738</c:v>
                </c:pt>
                <c:pt idx="75">
                  <c:v>43315.594699074078</c:v>
                </c:pt>
                <c:pt idx="76">
                  <c:v>43315.594699074078</c:v>
                </c:pt>
                <c:pt idx="77">
                  <c:v>43315.594699074078</c:v>
                </c:pt>
                <c:pt idx="78">
                  <c:v>43315.594699074078</c:v>
                </c:pt>
                <c:pt idx="79">
                  <c:v>43315.597488425927</c:v>
                </c:pt>
                <c:pt idx="80">
                  <c:v>43315.597488425927</c:v>
                </c:pt>
                <c:pt idx="81">
                  <c:v>43315.597488425927</c:v>
                </c:pt>
                <c:pt idx="82">
                  <c:v>43315.597488425927</c:v>
                </c:pt>
                <c:pt idx="83">
                  <c:v>43315.600266203706</c:v>
                </c:pt>
                <c:pt idx="84">
                  <c:v>43315.600266203706</c:v>
                </c:pt>
                <c:pt idx="85">
                  <c:v>43315.600266203706</c:v>
                </c:pt>
                <c:pt idx="86">
                  <c:v>43315.600266203706</c:v>
                </c:pt>
                <c:pt idx="87">
                  <c:v>43315.602349537039</c:v>
                </c:pt>
                <c:pt idx="88">
                  <c:v>43315.602349537039</c:v>
                </c:pt>
                <c:pt idx="89">
                  <c:v>43315.602349537039</c:v>
                </c:pt>
                <c:pt idx="90">
                  <c:v>43315.603738425925</c:v>
                </c:pt>
                <c:pt idx="91">
                  <c:v>43315.603738425925</c:v>
                </c:pt>
                <c:pt idx="92">
                  <c:v>43315.603738425925</c:v>
                </c:pt>
                <c:pt idx="93">
                  <c:v>43315.605127314811</c:v>
                </c:pt>
                <c:pt idx="94">
                  <c:v>43315.605127314811</c:v>
                </c:pt>
                <c:pt idx="95">
                  <c:v>43315.607557870368</c:v>
                </c:pt>
                <c:pt idx="96">
                  <c:v>43315.607557870368</c:v>
                </c:pt>
                <c:pt idx="97">
                  <c:v>43315.607557870368</c:v>
                </c:pt>
                <c:pt idx="98">
                  <c:v>43315.608946759261</c:v>
                </c:pt>
                <c:pt idx="99">
                  <c:v>43315.608946759261</c:v>
                </c:pt>
                <c:pt idx="100">
                  <c:v>43315.608946759261</c:v>
                </c:pt>
                <c:pt idx="101">
                  <c:v>43315.611377314817</c:v>
                </c:pt>
                <c:pt idx="102">
                  <c:v>43315.611377314817</c:v>
                </c:pt>
                <c:pt idx="103">
                  <c:v>43315.611377314817</c:v>
                </c:pt>
                <c:pt idx="104">
                  <c:v>43315.611377314817</c:v>
                </c:pt>
                <c:pt idx="105">
                  <c:v>43315.612071759257</c:v>
                </c:pt>
                <c:pt idx="106">
                  <c:v>43315.612071759257</c:v>
                </c:pt>
                <c:pt idx="107">
                  <c:v>43315.614849537036</c:v>
                </c:pt>
                <c:pt idx="108">
                  <c:v>43315.614849537036</c:v>
                </c:pt>
                <c:pt idx="109">
                  <c:v>43315.615543981483</c:v>
                </c:pt>
                <c:pt idx="110">
                  <c:v>43315.615543981483</c:v>
                </c:pt>
                <c:pt idx="111">
                  <c:v>43315.615543981483</c:v>
                </c:pt>
                <c:pt idx="112">
                  <c:v>43315.615543981483</c:v>
                </c:pt>
                <c:pt idx="113">
                  <c:v>43315.618680555555</c:v>
                </c:pt>
                <c:pt idx="114">
                  <c:v>43315.618680555555</c:v>
                </c:pt>
                <c:pt idx="115">
                  <c:v>43315.618680555555</c:v>
                </c:pt>
                <c:pt idx="116">
                  <c:v>43315.618680555555</c:v>
                </c:pt>
                <c:pt idx="117">
                  <c:v>43315.619722222225</c:v>
                </c:pt>
                <c:pt idx="118">
                  <c:v>43315.619722222225</c:v>
                </c:pt>
                <c:pt idx="119">
                  <c:v>43315.621805555558</c:v>
                </c:pt>
                <c:pt idx="120">
                  <c:v>43315.621805555558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</c:numCache>
            </c:numRef>
          </c:xVal>
          <c:yVal>
            <c:numRef>
              <c:f>'Export Data'!$AN$2:$AN$350</c:f>
              <c:numCache>
                <c:formatCode>_(* #,##0_);_(* \(#,##0\);_(* "-"??_);_(@_)</c:formatCode>
                <c:ptCount val="349"/>
                <c:pt idx="0">
                  <c:v>5907457</c:v>
                </c:pt>
                <c:pt idx="1">
                  <c:v>5907457</c:v>
                </c:pt>
                <c:pt idx="2">
                  <c:v>5907457</c:v>
                </c:pt>
                <c:pt idx="3">
                  <c:v>5905406</c:v>
                </c:pt>
                <c:pt idx="4">
                  <c:v>5905406</c:v>
                </c:pt>
                <c:pt idx="5">
                  <c:v>7016468</c:v>
                </c:pt>
                <c:pt idx="6">
                  <c:v>7016468</c:v>
                </c:pt>
                <c:pt idx="7">
                  <c:v>7016468</c:v>
                </c:pt>
                <c:pt idx="8">
                  <c:v>7004457</c:v>
                </c:pt>
                <c:pt idx="9">
                  <c:v>7004457</c:v>
                </c:pt>
                <c:pt idx="10">
                  <c:v>7004457</c:v>
                </c:pt>
                <c:pt idx="11">
                  <c:v>6940809</c:v>
                </c:pt>
                <c:pt idx="12">
                  <c:v>6940809</c:v>
                </c:pt>
                <c:pt idx="13">
                  <c:v>6938109</c:v>
                </c:pt>
                <c:pt idx="14">
                  <c:v>6938109</c:v>
                </c:pt>
                <c:pt idx="15">
                  <c:v>6919358</c:v>
                </c:pt>
                <c:pt idx="16">
                  <c:v>6919358</c:v>
                </c:pt>
                <c:pt idx="17">
                  <c:v>6919358</c:v>
                </c:pt>
                <c:pt idx="18">
                  <c:v>7953706</c:v>
                </c:pt>
                <c:pt idx="19">
                  <c:v>7953706</c:v>
                </c:pt>
                <c:pt idx="20">
                  <c:v>7953706</c:v>
                </c:pt>
                <c:pt idx="22">
                  <c:v>7960245</c:v>
                </c:pt>
                <c:pt idx="23">
                  <c:v>7960245</c:v>
                </c:pt>
                <c:pt idx="24">
                  <c:v>7960245</c:v>
                </c:pt>
                <c:pt idx="25">
                  <c:v>7982948</c:v>
                </c:pt>
                <c:pt idx="26">
                  <c:v>7982948</c:v>
                </c:pt>
                <c:pt idx="27">
                  <c:v>7982948</c:v>
                </c:pt>
                <c:pt idx="28">
                  <c:v>7982948</c:v>
                </c:pt>
                <c:pt idx="29">
                  <c:v>7978723</c:v>
                </c:pt>
                <c:pt idx="30">
                  <c:v>7978723</c:v>
                </c:pt>
                <c:pt idx="31">
                  <c:v>7975247</c:v>
                </c:pt>
                <c:pt idx="32">
                  <c:v>7975247</c:v>
                </c:pt>
                <c:pt idx="33">
                  <c:v>7975247</c:v>
                </c:pt>
                <c:pt idx="34">
                  <c:v>7975247</c:v>
                </c:pt>
                <c:pt idx="35">
                  <c:v>7980846</c:v>
                </c:pt>
                <c:pt idx="36">
                  <c:v>7980846</c:v>
                </c:pt>
                <c:pt idx="37">
                  <c:v>7980881</c:v>
                </c:pt>
                <c:pt idx="38">
                  <c:v>7980881</c:v>
                </c:pt>
                <c:pt idx="39">
                  <c:v>7903365</c:v>
                </c:pt>
                <c:pt idx="40">
                  <c:v>7903365</c:v>
                </c:pt>
                <c:pt idx="41">
                  <c:v>7903365</c:v>
                </c:pt>
                <c:pt idx="42">
                  <c:v>7903365</c:v>
                </c:pt>
                <c:pt idx="43">
                  <c:v>7896608</c:v>
                </c:pt>
                <c:pt idx="44">
                  <c:v>7896608</c:v>
                </c:pt>
                <c:pt idx="45">
                  <c:v>7877304</c:v>
                </c:pt>
                <c:pt idx="46">
                  <c:v>7877304</c:v>
                </c:pt>
                <c:pt idx="47">
                  <c:v>7852854</c:v>
                </c:pt>
                <c:pt idx="48">
                  <c:v>7852854</c:v>
                </c:pt>
                <c:pt idx="49">
                  <c:v>7852854</c:v>
                </c:pt>
                <c:pt idx="50">
                  <c:v>7852854</c:v>
                </c:pt>
                <c:pt idx="51">
                  <c:v>8207053</c:v>
                </c:pt>
                <c:pt idx="52">
                  <c:v>8207053</c:v>
                </c:pt>
                <c:pt idx="53">
                  <c:v>8209558</c:v>
                </c:pt>
                <c:pt idx="54">
                  <c:v>8209558</c:v>
                </c:pt>
                <c:pt idx="55">
                  <c:v>8209558</c:v>
                </c:pt>
                <c:pt idx="56">
                  <c:v>8209558</c:v>
                </c:pt>
                <c:pt idx="57">
                  <c:v>8202048</c:v>
                </c:pt>
                <c:pt idx="58">
                  <c:v>8202048</c:v>
                </c:pt>
                <c:pt idx="59">
                  <c:v>8193596</c:v>
                </c:pt>
                <c:pt idx="60">
                  <c:v>8193596</c:v>
                </c:pt>
                <c:pt idx="61">
                  <c:v>8193596</c:v>
                </c:pt>
                <c:pt idx="62">
                  <c:v>8193596</c:v>
                </c:pt>
                <c:pt idx="63">
                  <c:v>8178707</c:v>
                </c:pt>
                <c:pt idx="64">
                  <c:v>8178707</c:v>
                </c:pt>
                <c:pt idx="65">
                  <c:v>8160706</c:v>
                </c:pt>
                <c:pt idx="66">
                  <c:v>8160706</c:v>
                </c:pt>
                <c:pt idx="67">
                  <c:v>8171726</c:v>
                </c:pt>
                <c:pt idx="68">
                  <c:v>8171726</c:v>
                </c:pt>
                <c:pt idx="69">
                  <c:v>8171726</c:v>
                </c:pt>
                <c:pt idx="70">
                  <c:v>8171726</c:v>
                </c:pt>
                <c:pt idx="71">
                  <c:v>8160547</c:v>
                </c:pt>
                <c:pt idx="72">
                  <c:v>8160547</c:v>
                </c:pt>
                <c:pt idx="73">
                  <c:v>8160547</c:v>
                </c:pt>
                <c:pt idx="74">
                  <c:v>8160547</c:v>
                </c:pt>
                <c:pt idx="75">
                  <c:v>8162569</c:v>
                </c:pt>
                <c:pt idx="76">
                  <c:v>8162569</c:v>
                </c:pt>
                <c:pt idx="77">
                  <c:v>8162569</c:v>
                </c:pt>
                <c:pt idx="78">
                  <c:v>8162569</c:v>
                </c:pt>
                <c:pt idx="79">
                  <c:v>8157954</c:v>
                </c:pt>
                <c:pt idx="80">
                  <c:v>8157954</c:v>
                </c:pt>
                <c:pt idx="81">
                  <c:v>8157954</c:v>
                </c:pt>
                <c:pt idx="82">
                  <c:v>8157954</c:v>
                </c:pt>
                <c:pt idx="83">
                  <c:v>8137362</c:v>
                </c:pt>
                <c:pt idx="84">
                  <c:v>8137362</c:v>
                </c:pt>
                <c:pt idx="85">
                  <c:v>8137362</c:v>
                </c:pt>
                <c:pt idx="86">
                  <c:v>8137362</c:v>
                </c:pt>
                <c:pt idx="87">
                  <c:v>8110120</c:v>
                </c:pt>
                <c:pt idx="88">
                  <c:v>8110120</c:v>
                </c:pt>
                <c:pt idx="89">
                  <c:v>8110120</c:v>
                </c:pt>
                <c:pt idx="90">
                  <c:v>8109930</c:v>
                </c:pt>
                <c:pt idx="91">
                  <c:v>8109930</c:v>
                </c:pt>
                <c:pt idx="92">
                  <c:v>8109930</c:v>
                </c:pt>
                <c:pt idx="93">
                  <c:v>8118130</c:v>
                </c:pt>
                <c:pt idx="94">
                  <c:v>8118130</c:v>
                </c:pt>
                <c:pt idx="95">
                  <c:v>8114021</c:v>
                </c:pt>
                <c:pt idx="96">
                  <c:v>8114021</c:v>
                </c:pt>
                <c:pt idx="97">
                  <c:v>8114021</c:v>
                </c:pt>
                <c:pt idx="98">
                  <c:v>8439598</c:v>
                </c:pt>
                <c:pt idx="99">
                  <c:v>8439598</c:v>
                </c:pt>
                <c:pt idx="100">
                  <c:v>8439598</c:v>
                </c:pt>
                <c:pt idx="101">
                  <c:v>8325945</c:v>
                </c:pt>
                <c:pt idx="102">
                  <c:v>8325945</c:v>
                </c:pt>
                <c:pt idx="103">
                  <c:v>8325945</c:v>
                </c:pt>
                <c:pt idx="104">
                  <c:v>8325945</c:v>
                </c:pt>
                <c:pt idx="105">
                  <c:v>8325326</c:v>
                </c:pt>
                <c:pt idx="106">
                  <c:v>8325326</c:v>
                </c:pt>
                <c:pt idx="107">
                  <c:v>5754743</c:v>
                </c:pt>
                <c:pt idx="108">
                  <c:v>5754743</c:v>
                </c:pt>
                <c:pt idx="109">
                  <c:v>5743668</c:v>
                </c:pt>
                <c:pt idx="110">
                  <c:v>5743668</c:v>
                </c:pt>
                <c:pt idx="111">
                  <c:v>5743668</c:v>
                </c:pt>
                <c:pt idx="112">
                  <c:v>5743668</c:v>
                </c:pt>
                <c:pt idx="113">
                  <c:v>5765127</c:v>
                </c:pt>
                <c:pt idx="114">
                  <c:v>5765127</c:v>
                </c:pt>
                <c:pt idx="115">
                  <c:v>5765127</c:v>
                </c:pt>
                <c:pt idx="116">
                  <c:v>5765127</c:v>
                </c:pt>
                <c:pt idx="117">
                  <c:v>5761221</c:v>
                </c:pt>
                <c:pt idx="118">
                  <c:v>5761221</c:v>
                </c:pt>
                <c:pt idx="119">
                  <c:v>7037475</c:v>
                </c:pt>
                <c:pt idx="120">
                  <c:v>7037475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'Export Data'!$Q$1</c:f>
              <c:strCache>
                <c:ptCount val="1"/>
                <c:pt idx="0">
                  <c:v>Traded Volume (shares)</c:v>
                </c:pt>
              </c:strCache>
            </c:strRef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Data'!$AR$2:$AR$350</c:f>
              <c:numCache>
                <c:formatCode>m/d/yyyy\ h:mm</c:formatCode>
                <c:ptCount val="349"/>
                <c:pt idx="0">
                  <c:v>43315.547106481485</c:v>
                </c:pt>
                <c:pt idx="1">
                  <c:v>43315.547106481485</c:v>
                </c:pt>
                <c:pt idx="2">
                  <c:v>43315.547106481485</c:v>
                </c:pt>
                <c:pt idx="3">
                  <c:v>43315.548495370371</c:v>
                </c:pt>
                <c:pt idx="4">
                  <c:v>43315.548495370371</c:v>
                </c:pt>
                <c:pt idx="5">
                  <c:v>43315.551979166667</c:v>
                </c:pt>
                <c:pt idx="6">
                  <c:v>43315.551979166667</c:v>
                </c:pt>
                <c:pt idx="7">
                  <c:v>43315.551979166667</c:v>
                </c:pt>
                <c:pt idx="8">
                  <c:v>43315.553368055553</c:v>
                </c:pt>
                <c:pt idx="9">
                  <c:v>43315.553368055553</c:v>
                </c:pt>
                <c:pt idx="10">
                  <c:v>43315.553368055553</c:v>
                </c:pt>
                <c:pt idx="11">
                  <c:v>43315.555451388886</c:v>
                </c:pt>
                <c:pt idx="12">
                  <c:v>43315.555451388886</c:v>
                </c:pt>
                <c:pt idx="13">
                  <c:v>43315.556493055556</c:v>
                </c:pt>
                <c:pt idx="14">
                  <c:v>43315.556493055556</c:v>
                </c:pt>
                <c:pt idx="15">
                  <c:v>43315.557881944442</c:v>
                </c:pt>
                <c:pt idx="16">
                  <c:v>43315.557881944442</c:v>
                </c:pt>
                <c:pt idx="17">
                  <c:v>43315.557881944442</c:v>
                </c:pt>
                <c:pt idx="18">
                  <c:v>43315.559965277775</c:v>
                </c:pt>
                <c:pt idx="19">
                  <c:v>43315.559965277775</c:v>
                </c:pt>
                <c:pt idx="20">
                  <c:v>43315.559965277775</c:v>
                </c:pt>
                <c:pt idx="21">
                  <c:v>0</c:v>
                </c:pt>
                <c:pt idx="22">
                  <c:v>43315.562048611115</c:v>
                </c:pt>
                <c:pt idx="23">
                  <c:v>43315.562048611115</c:v>
                </c:pt>
                <c:pt idx="24">
                  <c:v>43315.562048611115</c:v>
                </c:pt>
                <c:pt idx="25">
                  <c:v>43315.564479166664</c:v>
                </c:pt>
                <c:pt idx="26">
                  <c:v>43315.564479166664</c:v>
                </c:pt>
                <c:pt idx="27">
                  <c:v>43315.564479166664</c:v>
                </c:pt>
                <c:pt idx="28">
                  <c:v>43315.564479166664</c:v>
                </c:pt>
                <c:pt idx="29">
                  <c:v>43315.565868055557</c:v>
                </c:pt>
                <c:pt idx="30">
                  <c:v>43315.565868055557</c:v>
                </c:pt>
                <c:pt idx="31">
                  <c:v>43315.56795138889</c:v>
                </c:pt>
                <c:pt idx="32">
                  <c:v>43315.56795138889</c:v>
                </c:pt>
                <c:pt idx="33">
                  <c:v>43315.56795138889</c:v>
                </c:pt>
                <c:pt idx="34">
                  <c:v>43315.56795138889</c:v>
                </c:pt>
                <c:pt idx="35">
                  <c:v>43315.569687499999</c:v>
                </c:pt>
                <c:pt idx="36">
                  <c:v>43315.569687499999</c:v>
                </c:pt>
                <c:pt idx="37">
                  <c:v>43315.570729166669</c:v>
                </c:pt>
                <c:pt idx="38">
                  <c:v>43315.570729166669</c:v>
                </c:pt>
                <c:pt idx="39">
                  <c:v>43315.572476851848</c:v>
                </c:pt>
                <c:pt idx="40">
                  <c:v>43315.572476851848</c:v>
                </c:pt>
                <c:pt idx="41">
                  <c:v>43315.572476851848</c:v>
                </c:pt>
                <c:pt idx="42">
                  <c:v>43315.572476851848</c:v>
                </c:pt>
                <c:pt idx="43">
                  <c:v>43315.574560185189</c:v>
                </c:pt>
                <c:pt idx="44">
                  <c:v>43315.574560185189</c:v>
                </c:pt>
                <c:pt idx="45">
                  <c:v>43315.575949074075</c:v>
                </c:pt>
                <c:pt idx="46">
                  <c:v>43315.575949074075</c:v>
                </c:pt>
                <c:pt idx="47">
                  <c:v>43315.578032407408</c:v>
                </c:pt>
                <c:pt idx="48">
                  <c:v>43315.578032407408</c:v>
                </c:pt>
                <c:pt idx="49">
                  <c:v>43315.578032407408</c:v>
                </c:pt>
                <c:pt idx="50">
                  <c:v>43315.578032407408</c:v>
                </c:pt>
                <c:pt idx="51">
                  <c:v>43315.579074074078</c:v>
                </c:pt>
                <c:pt idx="52">
                  <c:v>43315.579074074078</c:v>
                </c:pt>
                <c:pt idx="53">
                  <c:v>43315.581504629627</c:v>
                </c:pt>
                <c:pt idx="54">
                  <c:v>43315.581504629627</c:v>
                </c:pt>
                <c:pt idx="55">
                  <c:v>43315.581504629627</c:v>
                </c:pt>
                <c:pt idx="56">
                  <c:v>43315.581504629627</c:v>
                </c:pt>
                <c:pt idx="57">
                  <c:v>43315.58289351852</c:v>
                </c:pt>
                <c:pt idx="58">
                  <c:v>43315.58289351852</c:v>
                </c:pt>
                <c:pt idx="59">
                  <c:v>43315.584976851853</c:v>
                </c:pt>
                <c:pt idx="60">
                  <c:v>43315.584976851853</c:v>
                </c:pt>
                <c:pt idx="61">
                  <c:v>43315.584976851853</c:v>
                </c:pt>
                <c:pt idx="62">
                  <c:v>43315.584976851853</c:v>
                </c:pt>
                <c:pt idx="63">
                  <c:v>43315.586365740739</c:v>
                </c:pt>
                <c:pt idx="64">
                  <c:v>43315.586365740739</c:v>
                </c:pt>
                <c:pt idx="65">
                  <c:v>43315.587754629632</c:v>
                </c:pt>
                <c:pt idx="66">
                  <c:v>43315.587754629632</c:v>
                </c:pt>
                <c:pt idx="67">
                  <c:v>43315.589837962965</c:v>
                </c:pt>
                <c:pt idx="68">
                  <c:v>43315.589837962965</c:v>
                </c:pt>
                <c:pt idx="69">
                  <c:v>43315.589837962965</c:v>
                </c:pt>
                <c:pt idx="70">
                  <c:v>43315.589837962965</c:v>
                </c:pt>
                <c:pt idx="71">
                  <c:v>43315.592615740738</c:v>
                </c:pt>
                <c:pt idx="72">
                  <c:v>43315.592615740738</c:v>
                </c:pt>
                <c:pt idx="73">
                  <c:v>43315.592615740738</c:v>
                </c:pt>
                <c:pt idx="74">
                  <c:v>43315.592615740738</c:v>
                </c:pt>
                <c:pt idx="75">
                  <c:v>43315.594699074078</c:v>
                </c:pt>
                <c:pt idx="76">
                  <c:v>43315.594699074078</c:v>
                </c:pt>
                <c:pt idx="77">
                  <c:v>43315.594699074078</c:v>
                </c:pt>
                <c:pt idx="78">
                  <c:v>43315.594699074078</c:v>
                </c:pt>
                <c:pt idx="79">
                  <c:v>43315.597488425927</c:v>
                </c:pt>
                <c:pt idx="80">
                  <c:v>43315.597488425927</c:v>
                </c:pt>
                <c:pt idx="81">
                  <c:v>43315.597488425927</c:v>
                </c:pt>
                <c:pt idx="82">
                  <c:v>43315.597488425927</c:v>
                </c:pt>
                <c:pt idx="83">
                  <c:v>43315.600266203706</c:v>
                </c:pt>
                <c:pt idx="84">
                  <c:v>43315.600266203706</c:v>
                </c:pt>
                <c:pt idx="85">
                  <c:v>43315.600266203706</c:v>
                </c:pt>
                <c:pt idx="86">
                  <c:v>43315.600266203706</c:v>
                </c:pt>
                <c:pt idx="87">
                  <c:v>43315.602349537039</c:v>
                </c:pt>
                <c:pt idx="88">
                  <c:v>43315.602349537039</c:v>
                </c:pt>
                <c:pt idx="89">
                  <c:v>43315.602349537039</c:v>
                </c:pt>
                <c:pt idx="90">
                  <c:v>43315.603738425925</c:v>
                </c:pt>
                <c:pt idx="91">
                  <c:v>43315.603738425925</c:v>
                </c:pt>
                <c:pt idx="92">
                  <c:v>43315.603738425925</c:v>
                </c:pt>
                <c:pt idx="93">
                  <c:v>43315.605127314811</c:v>
                </c:pt>
                <c:pt idx="94">
                  <c:v>43315.605127314811</c:v>
                </c:pt>
                <c:pt idx="95">
                  <c:v>43315.607557870368</c:v>
                </c:pt>
                <c:pt idx="96">
                  <c:v>43315.607557870368</c:v>
                </c:pt>
                <c:pt idx="97">
                  <c:v>43315.607557870368</c:v>
                </c:pt>
                <c:pt idx="98">
                  <c:v>43315.608946759261</c:v>
                </c:pt>
                <c:pt idx="99">
                  <c:v>43315.608946759261</c:v>
                </c:pt>
                <c:pt idx="100">
                  <c:v>43315.608946759261</c:v>
                </c:pt>
                <c:pt idx="101">
                  <c:v>43315.611377314817</c:v>
                </c:pt>
                <c:pt idx="102">
                  <c:v>43315.611377314817</c:v>
                </c:pt>
                <c:pt idx="103">
                  <c:v>43315.611377314817</c:v>
                </c:pt>
                <c:pt idx="104">
                  <c:v>43315.611377314817</c:v>
                </c:pt>
                <c:pt idx="105">
                  <c:v>43315.612071759257</c:v>
                </c:pt>
                <c:pt idx="106">
                  <c:v>43315.612071759257</c:v>
                </c:pt>
                <c:pt idx="107">
                  <c:v>43315.614849537036</c:v>
                </c:pt>
                <c:pt idx="108">
                  <c:v>43315.614849537036</c:v>
                </c:pt>
                <c:pt idx="109">
                  <c:v>43315.615543981483</c:v>
                </c:pt>
                <c:pt idx="110">
                  <c:v>43315.615543981483</c:v>
                </c:pt>
                <c:pt idx="111">
                  <c:v>43315.615543981483</c:v>
                </c:pt>
                <c:pt idx="112">
                  <c:v>43315.615543981483</c:v>
                </c:pt>
                <c:pt idx="113">
                  <c:v>43315.618680555555</c:v>
                </c:pt>
                <c:pt idx="114">
                  <c:v>43315.618680555555</c:v>
                </c:pt>
                <c:pt idx="115">
                  <c:v>43315.618680555555</c:v>
                </c:pt>
                <c:pt idx="116">
                  <c:v>43315.618680555555</c:v>
                </c:pt>
                <c:pt idx="117">
                  <c:v>43315.619722222225</c:v>
                </c:pt>
                <c:pt idx="118">
                  <c:v>43315.619722222225</c:v>
                </c:pt>
                <c:pt idx="119">
                  <c:v>43315.621805555558</c:v>
                </c:pt>
                <c:pt idx="120">
                  <c:v>43315.621805555558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</c:numCache>
            </c:numRef>
          </c:xVal>
          <c:yVal>
            <c:numRef>
              <c:f>'Export Data'!$Q$2:$Q$350</c:f>
              <c:numCache>
                <c:formatCode>#,##0</c:formatCode>
                <c:ptCount val="349"/>
                <c:pt idx="0">
                  <c:v>3503475</c:v>
                </c:pt>
                <c:pt idx="1">
                  <c:v>3503475</c:v>
                </c:pt>
                <c:pt idx="2">
                  <c:v>3503475</c:v>
                </c:pt>
                <c:pt idx="3">
                  <c:v>3519944</c:v>
                </c:pt>
                <c:pt idx="4">
                  <c:v>3519944</c:v>
                </c:pt>
                <c:pt idx="5">
                  <c:v>4090792</c:v>
                </c:pt>
                <c:pt idx="6">
                  <c:v>4090792</c:v>
                </c:pt>
                <c:pt idx="7">
                  <c:v>4090792</c:v>
                </c:pt>
                <c:pt idx="8">
                  <c:v>4126303</c:v>
                </c:pt>
                <c:pt idx="9">
                  <c:v>4126303</c:v>
                </c:pt>
                <c:pt idx="10">
                  <c:v>4126303</c:v>
                </c:pt>
                <c:pt idx="11">
                  <c:v>4149798</c:v>
                </c:pt>
                <c:pt idx="12">
                  <c:v>4149798</c:v>
                </c:pt>
                <c:pt idx="13">
                  <c:v>4150798</c:v>
                </c:pt>
                <c:pt idx="14">
                  <c:v>4150798</c:v>
                </c:pt>
                <c:pt idx="15">
                  <c:v>4170564</c:v>
                </c:pt>
                <c:pt idx="16">
                  <c:v>4170564</c:v>
                </c:pt>
                <c:pt idx="17">
                  <c:v>4170564</c:v>
                </c:pt>
                <c:pt idx="18">
                  <c:v>4183785</c:v>
                </c:pt>
                <c:pt idx="19">
                  <c:v>4183785</c:v>
                </c:pt>
                <c:pt idx="20">
                  <c:v>4183785</c:v>
                </c:pt>
                <c:pt idx="22">
                  <c:v>4187139</c:v>
                </c:pt>
                <c:pt idx="23">
                  <c:v>4187139</c:v>
                </c:pt>
                <c:pt idx="24">
                  <c:v>4187139</c:v>
                </c:pt>
                <c:pt idx="25">
                  <c:v>4204199</c:v>
                </c:pt>
                <c:pt idx="26">
                  <c:v>4204199</c:v>
                </c:pt>
                <c:pt idx="27">
                  <c:v>4204199</c:v>
                </c:pt>
                <c:pt idx="28">
                  <c:v>4204199</c:v>
                </c:pt>
                <c:pt idx="29">
                  <c:v>4208425</c:v>
                </c:pt>
                <c:pt idx="30">
                  <c:v>4208425</c:v>
                </c:pt>
                <c:pt idx="31">
                  <c:v>4232123</c:v>
                </c:pt>
                <c:pt idx="32">
                  <c:v>4232123</c:v>
                </c:pt>
                <c:pt idx="33">
                  <c:v>4232123</c:v>
                </c:pt>
                <c:pt idx="34">
                  <c:v>4232123</c:v>
                </c:pt>
                <c:pt idx="35">
                  <c:v>4276663</c:v>
                </c:pt>
                <c:pt idx="36">
                  <c:v>4276663</c:v>
                </c:pt>
                <c:pt idx="37">
                  <c:v>4277863</c:v>
                </c:pt>
                <c:pt idx="38">
                  <c:v>4277863</c:v>
                </c:pt>
                <c:pt idx="39">
                  <c:v>4312666</c:v>
                </c:pt>
                <c:pt idx="40">
                  <c:v>4312666</c:v>
                </c:pt>
                <c:pt idx="41">
                  <c:v>4312666</c:v>
                </c:pt>
                <c:pt idx="42">
                  <c:v>4312666</c:v>
                </c:pt>
                <c:pt idx="43">
                  <c:v>4350069</c:v>
                </c:pt>
                <c:pt idx="44">
                  <c:v>4350069</c:v>
                </c:pt>
                <c:pt idx="45">
                  <c:v>4369185</c:v>
                </c:pt>
                <c:pt idx="46">
                  <c:v>4369185</c:v>
                </c:pt>
                <c:pt idx="47">
                  <c:v>4401524</c:v>
                </c:pt>
                <c:pt idx="48">
                  <c:v>4401524</c:v>
                </c:pt>
                <c:pt idx="49">
                  <c:v>4401524</c:v>
                </c:pt>
                <c:pt idx="50">
                  <c:v>4401524</c:v>
                </c:pt>
                <c:pt idx="51">
                  <c:v>4407226</c:v>
                </c:pt>
                <c:pt idx="52">
                  <c:v>4407226</c:v>
                </c:pt>
                <c:pt idx="53">
                  <c:v>4417727</c:v>
                </c:pt>
                <c:pt idx="54">
                  <c:v>4417727</c:v>
                </c:pt>
                <c:pt idx="55">
                  <c:v>4417727</c:v>
                </c:pt>
                <c:pt idx="56">
                  <c:v>4417727</c:v>
                </c:pt>
                <c:pt idx="57">
                  <c:v>4428467</c:v>
                </c:pt>
                <c:pt idx="58">
                  <c:v>4428467</c:v>
                </c:pt>
                <c:pt idx="59">
                  <c:v>4444545</c:v>
                </c:pt>
                <c:pt idx="60">
                  <c:v>4444545</c:v>
                </c:pt>
                <c:pt idx="61">
                  <c:v>4444545</c:v>
                </c:pt>
                <c:pt idx="62">
                  <c:v>4444545</c:v>
                </c:pt>
                <c:pt idx="63">
                  <c:v>4459307</c:v>
                </c:pt>
                <c:pt idx="64">
                  <c:v>4459307</c:v>
                </c:pt>
                <c:pt idx="65">
                  <c:v>4476968</c:v>
                </c:pt>
                <c:pt idx="66">
                  <c:v>4476968</c:v>
                </c:pt>
                <c:pt idx="67">
                  <c:v>4477250</c:v>
                </c:pt>
                <c:pt idx="68">
                  <c:v>4477250</c:v>
                </c:pt>
                <c:pt idx="69">
                  <c:v>4477250</c:v>
                </c:pt>
                <c:pt idx="70">
                  <c:v>4477250</c:v>
                </c:pt>
                <c:pt idx="71">
                  <c:v>4489390</c:v>
                </c:pt>
                <c:pt idx="72">
                  <c:v>4489390</c:v>
                </c:pt>
                <c:pt idx="73">
                  <c:v>4489390</c:v>
                </c:pt>
                <c:pt idx="74">
                  <c:v>4489390</c:v>
                </c:pt>
                <c:pt idx="75">
                  <c:v>4509093</c:v>
                </c:pt>
                <c:pt idx="76">
                  <c:v>4509093</c:v>
                </c:pt>
                <c:pt idx="77">
                  <c:v>4509093</c:v>
                </c:pt>
                <c:pt idx="78">
                  <c:v>4509093</c:v>
                </c:pt>
                <c:pt idx="79">
                  <c:v>4513797</c:v>
                </c:pt>
                <c:pt idx="80">
                  <c:v>4513797</c:v>
                </c:pt>
                <c:pt idx="81">
                  <c:v>4513797</c:v>
                </c:pt>
                <c:pt idx="82">
                  <c:v>4513797</c:v>
                </c:pt>
                <c:pt idx="83">
                  <c:v>4526527</c:v>
                </c:pt>
                <c:pt idx="84">
                  <c:v>4526527</c:v>
                </c:pt>
                <c:pt idx="85">
                  <c:v>4526527</c:v>
                </c:pt>
                <c:pt idx="86">
                  <c:v>4526527</c:v>
                </c:pt>
                <c:pt idx="87">
                  <c:v>4553869</c:v>
                </c:pt>
                <c:pt idx="88">
                  <c:v>4553869</c:v>
                </c:pt>
                <c:pt idx="89">
                  <c:v>4553869</c:v>
                </c:pt>
                <c:pt idx="90">
                  <c:v>4554756</c:v>
                </c:pt>
                <c:pt idx="91">
                  <c:v>4554756</c:v>
                </c:pt>
                <c:pt idx="92">
                  <c:v>4554756</c:v>
                </c:pt>
                <c:pt idx="93">
                  <c:v>4567966</c:v>
                </c:pt>
                <c:pt idx="94">
                  <c:v>4567966</c:v>
                </c:pt>
                <c:pt idx="95">
                  <c:v>4598075</c:v>
                </c:pt>
                <c:pt idx="96">
                  <c:v>4598075</c:v>
                </c:pt>
                <c:pt idx="97">
                  <c:v>4598075</c:v>
                </c:pt>
                <c:pt idx="98">
                  <c:v>4625536</c:v>
                </c:pt>
                <c:pt idx="99">
                  <c:v>4625536</c:v>
                </c:pt>
                <c:pt idx="100">
                  <c:v>4625536</c:v>
                </c:pt>
                <c:pt idx="101">
                  <c:v>4635752</c:v>
                </c:pt>
                <c:pt idx="102">
                  <c:v>4635752</c:v>
                </c:pt>
                <c:pt idx="103">
                  <c:v>4635752</c:v>
                </c:pt>
                <c:pt idx="104">
                  <c:v>4635752</c:v>
                </c:pt>
                <c:pt idx="105">
                  <c:v>4636371</c:v>
                </c:pt>
                <c:pt idx="106">
                  <c:v>4636371</c:v>
                </c:pt>
                <c:pt idx="107">
                  <c:v>5079894</c:v>
                </c:pt>
                <c:pt idx="108">
                  <c:v>5079894</c:v>
                </c:pt>
                <c:pt idx="109">
                  <c:v>5079894</c:v>
                </c:pt>
                <c:pt idx="110">
                  <c:v>5079894</c:v>
                </c:pt>
                <c:pt idx="111">
                  <c:v>5079894</c:v>
                </c:pt>
                <c:pt idx="112">
                  <c:v>5079894</c:v>
                </c:pt>
                <c:pt idx="113">
                  <c:v>5165952</c:v>
                </c:pt>
                <c:pt idx="114">
                  <c:v>5165952</c:v>
                </c:pt>
                <c:pt idx="115">
                  <c:v>5165952</c:v>
                </c:pt>
                <c:pt idx="116">
                  <c:v>5165952</c:v>
                </c:pt>
                <c:pt idx="117">
                  <c:v>5267065</c:v>
                </c:pt>
                <c:pt idx="118">
                  <c:v>5267065</c:v>
                </c:pt>
                <c:pt idx="119">
                  <c:v>5508952</c:v>
                </c:pt>
                <c:pt idx="120">
                  <c:v>5508952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735056"/>
        <c:axId val="76673561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'Export Data'!$AP$1</c15:sqref>
                        </c15:formulaRef>
                      </c:ext>
                    </c:extLst>
                    <c:strCache>
                      <c:ptCount val="1"/>
                      <c:pt idx="0">
                        <c:v>Date &amp; Time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'Export Data'!$AR$2:$AR$350</c15:sqref>
                        </c15:formulaRef>
                      </c:ext>
                    </c:extLst>
                    <c:numCache>
                      <c:formatCode>m/d/yyyy\ h:mm</c:formatCode>
                      <c:ptCount val="349"/>
                      <c:pt idx="0">
                        <c:v>43315.547106481485</c:v>
                      </c:pt>
                      <c:pt idx="1">
                        <c:v>43315.547106481485</c:v>
                      </c:pt>
                      <c:pt idx="2">
                        <c:v>43315.547106481485</c:v>
                      </c:pt>
                      <c:pt idx="3">
                        <c:v>43315.548495370371</c:v>
                      </c:pt>
                      <c:pt idx="4">
                        <c:v>43315.548495370371</c:v>
                      </c:pt>
                      <c:pt idx="5">
                        <c:v>43315.551979166667</c:v>
                      </c:pt>
                      <c:pt idx="6">
                        <c:v>43315.551979166667</c:v>
                      </c:pt>
                      <c:pt idx="7">
                        <c:v>43315.551979166667</c:v>
                      </c:pt>
                      <c:pt idx="8">
                        <c:v>43315.553368055553</c:v>
                      </c:pt>
                      <c:pt idx="9">
                        <c:v>43315.553368055553</c:v>
                      </c:pt>
                      <c:pt idx="10">
                        <c:v>43315.553368055553</c:v>
                      </c:pt>
                      <c:pt idx="11">
                        <c:v>43315.555451388886</c:v>
                      </c:pt>
                      <c:pt idx="12">
                        <c:v>43315.555451388886</c:v>
                      </c:pt>
                      <c:pt idx="13">
                        <c:v>43315.556493055556</c:v>
                      </c:pt>
                      <c:pt idx="14">
                        <c:v>43315.556493055556</c:v>
                      </c:pt>
                      <c:pt idx="15">
                        <c:v>43315.557881944442</c:v>
                      </c:pt>
                      <c:pt idx="16">
                        <c:v>43315.557881944442</c:v>
                      </c:pt>
                      <c:pt idx="17">
                        <c:v>43315.557881944442</c:v>
                      </c:pt>
                      <c:pt idx="18">
                        <c:v>43315.559965277775</c:v>
                      </c:pt>
                      <c:pt idx="19">
                        <c:v>43315.559965277775</c:v>
                      </c:pt>
                      <c:pt idx="20">
                        <c:v>43315.559965277775</c:v>
                      </c:pt>
                      <c:pt idx="21">
                        <c:v>0</c:v>
                      </c:pt>
                      <c:pt idx="22">
                        <c:v>43315.562048611115</c:v>
                      </c:pt>
                      <c:pt idx="23">
                        <c:v>43315.562048611115</c:v>
                      </c:pt>
                      <c:pt idx="24">
                        <c:v>43315.562048611115</c:v>
                      </c:pt>
                      <c:pt idx="25">
                        <c:v>43315.564479166664</c:v>
                      </c:pt>
                      <c:pt idx="26">
                        <c:v>43315.564479166664</c:v>
                      </c:pt>
                      <c:pt idx="27">
                        <c:v>43315.564479166664</c:v>
                      </c:pt>
                      <c:pt idx="28">
                        <c:v>43315.564479166664</c:v>
                      </c:pt>
                      <c:pt idx="29">
                        <c:v>43315.565868055557</c:v>
                      </c:pt>
                      <c:pt idx="30">
                        <c:v>43315.565868055557</c:v>
                      </c:pt>
                      <c:pt idx="31">
                        <c:v>43315.56795138889</c:v>
                      </c:pt>
                      <c:pt idx="32">
                        <c:v>43315.56795138889</c:v>
                      </c:pt>
                      <c:pt idx="33">
                        <c:v>43315.56795138889</c:v>
                      </c:pt>
                      <c:pt idx="34">
                        <c:v>43315.56795138889</c:v>
                      </c:pt>
                      <c:pt idx="35">
                        <c:v>43315.569687499999</c:v>
                      </c:pt>
                      <c:pt idx="36">
                        <c:v>43315.569687499999</c:v>
                      </c:pt>
                      <c:pt idx="37">
                        <c:v>43315.570729166669</c:v>
                      </c:pt>
                      <c:pt idx="38">
                        <c:v>43315.570729166669</c:v>
                      </c:pt>
                      <c:pt idx="39">
                        <c:v>43315.572476851848</c:v>
                      </c:pt>
                      <c:pt idx="40">
                        <c:v>43315.572476851848</c:v>
                      </c:pt>
                      <c:pt idx="41">
                        <c:v>43315.572476851848</c:v>
                      </c:pt>
                      <c:pt idx="42">
                        <c:v>43315.572476851848</c:v>
                      </c:pt>
                      <c:pt idx="43">
                        <c:v>43315.574560185189</c:v>
                      </c:pt>
                      <c:pt idx="44">
                        <c:v>43315.574560185189</c:v>
                      </c:pt>
                      <c:pt idx="45">
                        <c:v>43315.575949074075</c:v>
                      </c:pt>
                      <c:pt idx="46">
                        <c:v>43315.575949074075</c:v>
                      </c:pt>
                      <c:pt idx="47">
                        <c:v>43315.578032407408</c:v>
                      </c:pt>
                      <c:pt idx="48">
                        <c:v>43315.578032407408</c:v>
                      </c:pt>
                      <c:pt idx="49">
                        <c:v>43315.578032407408</c:v>
                      </c:pt>
                      <c:pt idx="50">
                        <c:v>43315.578032407408</c:v>
                      </c:pt>
                      <c:pt idx="51">
                        <c:v>43315.579074074078</c:v>
                      </c:pt>
                      <c:pt idx="52">
                        <c:v>43315.579074074078</c:v>
                      </c:pt>
                      <c:pt idx="53">
                        <c:v>43315.581504629627</c:v>
                      </c:pt>
                      <c:pt idx="54">
                        <c:v>43315.581504629627</c:v>
                      </c:pt>
                      <c:pt idx="55">
                        <c:v>43315.581504629627</c:v>
                      </c:pt>
                      <c:pt idx="56">
                        <c:v>43315.581504629627</c:v>
                      </c:pt>
                      <c:pt idx="57">
                        <c:v>43315.58289351852</c:v>
                      </c:pt>
                      <c:pt idx="58">
                        <c:v>43315.58289351852</c:v>
                      </c:pt>
                      <c:pt idx="59">
                        <c:v>43315.584976851853</c:v>
                      </c:pt>
                      <c:pt idx="60">
                        <c:v>43315.584976851853</c:v>
                      </c:pt>
                      <c:pt idx="61">
                        <c:v>43315.584976851853</c:v>
                      </c:pt>
                      <c:pt idx="62">
                        <c:v>43315.584976851853</c:v>
                      </c:pt>
                      <c:pt idx="63">
                        <c:v>43315.586365740739</c:v>
                      </c:pt>
                      <c:pt idx="64">
                        <c:v>43315.586365740739</c:v>
                      </c:pt>
                      <c:pt idx="65">
                        <c:v>43315.587754629632</c:v>
                      </c:pt>
                      <c:pt idx="66">
                        <c:v>43315.587754629632</c:v>
                      </c:pt>
                      <c:pt idx="67">
                        <c:v>43315.589837962965</c:v>
                      </c:pt>
                      <c:pt idx="68">
                        <c:v>43315.589837962965</c:v>
                      </c:pt>
                      <c:pt idx="69">
                        <c:v>43315.589837962965</c:v>
                      </c:pt>
                      <c:pt idx="70">
                        <c:v>43315.589837962965</c:v>
                      </c:pt>
                      <c:pt idx="71">
                        <c:v>43315.592615740738</c:v>
                      </c:pt>
                      <c:pt idx="72">
                        <c:v>43315.592615740738</c:v>
                      </c:pt>
                      <c:pt idx="73">
                        <c:v>43315.592615740738</c:v>
                      </c:pt>
                      <c:pt idx="74">
                        <c:v>43315.592615740738</c:v>
                      </c:pt>
                      <c:pt idx="75">
                        <c:v>43315.594699074078</c:v>
                      </c:pt>
                      <c:pt idx="76">
                        <c:v>43315.594699074078</c:v>
                      </c:pt>
                      <c:pt idx="77">
                        <c:v>43315.594699074078</c:v>
                      </c:pt>
                      <c:pt idx="78">
                        <c:v>43315.594699074078</c:v>
                      </c:pt>
                      <c:pt idx="79">
                        <c:v>43315.597488425927</c:v>
                      </c:pt>
                      <c:pt idx="80">
                        <c:v>43315.597488425927</c:v>
                      </c:pt>
                      <c:pt idx="81">
                        <c:v>43315.597488425927</c:v>
                      </c:pt>
                      <c:pt idx="82">
                        <c:v>43315.597488425927</c:v>
                      </c:pt>
                      <c:pt idx="83">
                        <c:v>43315.600266203706</c:v>
                      </c:pt>
                      <c:pt idx="84">
                        <c:v>43315.600266203706</c:v>
                      </c:pt>
                      <c:pt idx="85">
                        <c:v>43315.600266203706</c:v>
                      </c:pt>
                      <c:pt idx="86">
                        <c:v>43315.600266203706</c:v>
                      </c:pt>
                      <c:pt idx="87">
                        <c:v>43315.602349537039</c:v>
                      </c:pt>
                      <c:pt idx="88">
                        <c:v>43315.602349537039</c:v>
                      </c:pt>
                      <c:pt idx="89">
                        <c:v>43315.602349537039</c:v>
                      </c:pt>
                      <c:pt idx="90">
                        <c:v>43315.603738425925</c:v>
                      </c:pt>
                      <c:pt idx="91">
                        <c:v>43315.603738425925</c:v>
                      </c:pt>
                      <c:pt idx="92">
                        <c:v>43315.603738425925</c:v>
                      </c:pt>
                      <c:pt idx="93">
                        <c:v>43315.605127314811</c:v>
                      </c:pt>
                      <c:pt idx="94">
                        <c:v>43315.605127314811</c:v>
                      </c:pt>
                      <c:pt idx="95">
                        <c:v>43315.607557870368</c:v>
                      </c:pt>
                      <c:pt idx="96">
                        <c:v>43315.607557870368</c:v>
                      </c:pt>
                      <c:pt idx="97">
                        <c:v>43315.607557870368</c:v>
                      </c:pt>
                      <c:pt idx="98">
                        <c:v>43315.608946759261</c:v>
                      </c:pt>
                      <c:pt idx="99">
                        <c:v>43315.608946759261</c:v>
                      </c:pt>
                      <c:pt idx="100">
                        <c:v>43315.608946759261</c:v>
                      </c:pt>
                      <c:pt idx="101">
                        <c:v>43315.611377314817</c:v>
                      </c:pt>
                      <c:pt idx="102">
                        <c:v>43315.611377314817</c:v>
                      </c:pt>
                      <c:pt idx="103">
                        <c:v>43315.611377314817</c:v>
                      </c:pt>
                      <c:pt idx="104">
                        <c:v>43315.611377314817</c:v>
                      </c:pt>
                      <c:pt idx="105">
                        <c:v>43315.612071759257</c:v>
                      </c:pt>
                      <c:pt idx="106">
                        <c:v>43315.612071759257</c:v>
                      </c:pt>
                      <c:pt idx="107">
                        <c:v>43315.614849537036</c:v>
                      </c:pt>
                      <c:pt idx="108">
                        <c:v>43315.614849537036</c:v>
                      </c:pt>
                      <c:pt idx="109">
                        <c:v>43315.615543981483</c:v>
                      </c:pt>
                      <c:pt idx="110">
                        <c:v>43315.615543981483</c:v>
                      </c:pt>
                      <c:pt idx="111">
                        <c:v>43315.615543981483</c:v>
                      </c:pt>
                      <c:pt idx="112">
                        <c:v>43315.615543981483</c:v>
                      </c:pt>
                      <c:pt idx="113">
                        <c:v>43315.618680555555</c:v>
                      </c:pt>
                      <c:pt idx="114">
                        <c:v>43315.618680555555</c:v>
                      </c:pt>
                      <c:pt idx="115">
                        <c:v>43315.618680555555</c:v>
                      </c:pt>
                      <c:pt idx="116">
                        <c:v>43315.618680555555</c:v>
                      </c:pt>
                      <c:pt idx="117">
                        <c:v>43315.619722222225</c:v>
                      </c:pt>
                      <c:pt idx="118">
                        <c:v>43315.619722222225</c:v>
                      </c:pt>
                      <c:pt idx="119">
                        <c:v>43315.621805555558</c:v>
                      </c:pt>
                      <c:pt idx="120">
                        <c:v>43315.621805555558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'Export Data'!$AP$2:$AP$350</c15:sqref>
                        </c15:formulaRef>
                      </c:ext>
                    </c:extLst>
                    <c:numCache>
                      <c:formatCode>m/d/yyyy\ h:mm</c:formatCode>
                      <c:ptCount val="3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  <c:pt idx="71" formatCode="General">
                        <c:v>0</c:v>
                      </c:pt>
                      <c:pt idx="72" formatCode="General">
                        <c:v>0</c:v>
                      </c:pt>
                      <c:pt idx="73" formatCode="General">
                        <c:v>0</c:v>
                      </c:pt>
                      <c:pt idx="74" formatCode="General">
                        <c:v>0</c:v>
                      </c:pt>
                      <c:pt idx="75" formatCode="General">
                        <c:v>0</c:v>
                      </c:pt>
                      <c:pt idx="76" formatCode="General">
                        <c:v>0</c:v>
                      </c:pt>
                      <c:pt idx="77" formatCode="General">
                        <c:v>0</c:v>
                      </c:pt>
                      <c:pt idx="78" formatCode="General">
                        <c:v>0</c:v>
                      </c:pt>
                      <c:pt idx="79" formatCode="General">
                        <c:v>0</c:v>
                      </c:pt>
                      <c:pt idx="80" formatCode="General">
                        <c:v>0</c:v>
                      </c:pt>
                      <c:pt idx="81" formatCode="General">
                        <c:v>0</c:v>
                      </c:pt>
                      <c:pt idx="82" formatCode="General">
                        <c:v>0</c:v>
                      </c:pt>
                      <c:pt idx="83" formatCode="General">
                        <c:v>0</c:v>
                      </c:pt>
                      <c:pt idx="84" formatCode="General">
                        <c:v>0</c:v>
                      </c:pt>
                      <c:pt idx="85" formatCode="General">
                        <c:v>0</c:v>
                      </c:pt>
                      <c:pt idx="86" formatCode="General">
                        <c:v>0</c:v>
                      </c:pt>
                      <c:pt idx="87" formatCode="General">
                        <c:v>0</c:v>
                      </c:pt>
                      <c:pt idx="88" formatCode="General">
                        <c:v>0</c:v>
                      </c:pt>
                      <c:pt idx="89" formatCode="0.00">
                        <c:v>0</c:v>
                      </c:pt>
                      <c:pt idx="90" formatCode="0.00">
                        <c:v>0</c:v>
                      </c:pt>
                      <c:pt idx="91" formatCode="0.00">
                        <c:v>0</c:v>
                      </c:pt>
                      <c:pt idx="92" formatCode="General">
                        <c:v>0</c:v>
                      </c:pt>
                      <c:pt idx="93" formatCode="General">
                        <c:v>0</c:v>
                      </c:pt>
                      <c:pt idx="94" formatCode="General">
                        <c:v>0</c:v>
                      </c:pt>
                      <c:pt idx="95" formatCode="General">
                        <c:v>0</c:v>
                      </c:pt>
                      <c:pt idx="96" formatCode="General">
                        <c:v>0</c:v>
                      </c:pt>
                      <c:pt idx="97" formatCode="General">
                        <c:v>0</c:v>
                      </c:pt>
                      <c:pt idx="98" formatCode="General">
                        <c:v>0</c:v>
                      </c:pt>
                      <c:pt idx="99" formatCode="General">
                        <c:v>0</c:v>
                      </c:pt>
                      <c:pt idx="100" formatCode="General">
                        <c:v>0</c:v>
                      </c:pt>
                      <c:pt idx="101" formatCode="General">
                        <c:v>0</c:v>
                      </c:pt>
                      <c:pt idx="102" formatCode="General">
                        <c:v>0</c:v>
                      </c:pt>
                      <c:pt idx="103" formatCode="General">
                        <c:v>0</c:v>
                      </c:pt>
                      <c:pt idx="104" formatCode="General">
                        <c:v>0</c:v>
                      </c:pt>
                      <c:pt idx="105" formatCode="General">
                        <c:v>0</c:v>
                      </c:pt>
                      <c:pt idx="106" formatCode="General">
                        <c:v>0</c:v>
                      </c:pt>
                      <c:pt idx="107" formatCode="General">
                        <c:v>0</c:v>
                      </c:pt>
                      <c:pt idx="108" formatCode="General">
                        <c:v>0</c:v>
                      </c:pt>
                      <c:pt idx="109" formatCode="General">
                        <c:v>0</c:v>
                      </c:pt>
                      <c:pt idx="110" formatCode="General">
                        <c:v>0</c:v>
                      </c:pt>
                      <c:pt idx="111" formatCode="General">
                        <c:v>0</c:v>
                      </c:pt>
                      <c:pt idx="112" formatCode="General">
                        <c:v>0</c:v>
                      </c:pt>
                      <c:pt idx="113" formatCode="General">
                        <c:v>0</c:v>
                      </c:pt>
                      <c:pt idx="114" formatCode="General">
                        <c:v>0</c:v>
                      </c:pt>
                      <c:pt idx="115" formatCode="General">
                        <c:v>0</c:v>
                      </c:pt>
                      <c:pt idx="116" formatCode="General">
                        <c:v>0</c:v>
                      </c:pt>
                      <c:pt idx="117" formatCode="General">
                        <c:v>0</c:v>
                      </c:pt>
                      <c:pt idx="118" formatCode="General">
                        <c:v>0</c:v>
                      </c:pt>
                      <c:pt idx="119" formatCode="General">
                        <c:v>0</c:v>
                      </c:pt>
                      <c:pt idx="120" formatCode="General">
                        <c:v>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'Export Data'!$N$1</c:f>
              <c:strCache>
                <c:ptCount val="1"/>
                <c:pt idx="0">
                  <c:v>CMP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2460000" spcFirstLastPara="1" vertOverflow="ellipsis" vert="horz" wrap="square" lIns="91440" tIns="0" rIns="91440" bIns="548640" anchor="b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'Export Data'!$AR$2:$AR$350</c:f>
              <c:numCache>
                <c:formatCode>m/d/yyyy\ h:mm</c:formatCode>
                <c:ptCount val="349"/>
                <c:pt idx="0">
                  <c:v>43315.547106481485</c:v>
                </c:pt>
                <c:pt idx="1">
                  <c:v>43315.547106481485</c:v>
                </c:pt>
                <c:pt idx="2">
                  <c:v>43315.547106481485</c:v>
                </c:pt>
                <c:pt idx="3">
                  <c:v>43315.548495370371</c:v>
                </c:pt>
                <c:pt idx="4">
                  <c:v>43315.548495370371</c:v>
                </c:pt>
                <c:pt idx="5">
                  <c:v>43315.551979166667</c:v>
                </c:pt>
                <c:pt idx="6">
                  <c:v>43315.551979166667</c:v>
                </c:pt>
                <c:pt idx="7">
                  <c:v>43315.551979166667</c:v>
                </c:pt>
                <c:pt idx="8">
                  <c:v>43315.553368055553</c:v>
                </c:pt>
                <c:pt idx="9">
                  <c:v>43315.553368055553</c:v>
                </c:pt>
                <c:pt idx="10">
                  <c:v>43315.553368055553</c:v>
                </c:pt>
                <c:pt idx="11">
                  <c:v>43315.555451388886</c:v>
                </c:pt>
                <c:pt idx="12">
                  <c:v>43315.555451388886</c:v>
                </c:pt>
                <c:pt idx="13">
                  <c:v>43315.556493055556</c:v>
                </c:pt>
                <c:pt idx="14">
                  <c:v>43315.556493055556</c:v>
                </c:pt>
                <c:pt idx="15">
                  <c:v>43315.557881944442</c:v>
                </c:pt>
                <c:pt idx="16">
                  <c:v>43315.557881944442</c:v>
                </c:pt>
                <c:pt idx="17">
                  <c:v>43315.557881944442</c:v>
                </c:pt>
                <c:pt idx="18">
                  <c:v>43315.559965277775</c:v>
                </c:pt>
                <c:pt idx="19">
                  <c:v>43315.559965277775</c:v>
                </c:pt>
                <c:pt idx="20">
                  <c:v>43315.559965277775</c:v>
                </c:pt>
                <c:pt idx="21">
                  <c:v>0</c:v>
                </c:pt>
                <c:pt idx="22">
                  <c:v>43315.562048611115</c:v>
                </c:pt>
                <c:pt idx="23">
                  <c:v>43315.562048611115</c:v>
                </c:pt>
                <c:pt idx="24">
                  <c:v>43315.562048611115</c:v>
                </c:pt>
                <c:pt idx="25">
                  <c:v>43315.564479166664</c:v>
                </c:pt>
                <c:pt idx="26">
                  <c:v>43315.564479166664</c:v>
                </c:pt>
                <c:pt idx="27">
                  <c:v>43315.564479166664</c:v>
                </c:pt>
                <c:pt idx="28">
                  <c:v>43315.564479166664</c:v>
                </c:pt>
                <c:pt idx="29">
                  <c:v>43315.565868055557</c:v>
                </c:pt>
                <c:pt idx="30">
                  <c:v>43315.565868055557</c:v>
                </c:pt>
                <c:pt idx="31">
                  <c:v>43315.56795138889</c:v>
                </c:pt>
                <c:pt idx="32">
                  <c:v>43315.56795138889</c:v>
                </c:pt>
                <c:pt idx="33">
                  <c:v>43315.56795138889</c:v>
                </c:pt>
                <c:pt idx="34">
                  <c:v>43315.56795138889</c:v>
                </c:pt>
                <c:pt idx="35">
                  <c:v>43315.569687499999</c:v>
                </c:pt>
                <c:pt idx="36">
                  <c:v>43315.569687499999</c:v>
                </c:pt>
                <c:pt idx="37">
                  <c:v>43315.570729166669</c:v>
                </c:pt>
                <c:pt idx="38">
                  <c:v>43315.570729166669</c:v>
                </c:pt>
                <c:pt idx="39">
                  <c:v>43315.572476851848</c:v>
                </c:pt>
                <c:pt idx="40">
                  <c:v>43315.572476851848</c:v>
                </c:pt>
                <c:pt idx="41">
                  <c:v>43315.572476851848</c:v>
                </c:pt>
                <c:pt idx="42">
                  <c:v>43315.572476851848</c:v>
                </c:pt>
                <c:pt idx="43">
                  <c:v>43315.574560185189</c:v>
                </c:pt>
                <c:pt idx="44">
                  <c:v>43315.574560185189</c:v>
                </c:pt>
                <c:pt idx="45">
                  <c:v>43315.575949074075</c:v>
                </c:pt>
                <c:pt idx="46">
                  <c:v>43315.575949074075</c:v>
                </c:pt>
                <c:pt idx="47">
                  <c:v>43315.578032407408</c:v>
                </c:pt>
                <c:pt idx="48">
                  <c:v>43315.578032407408</c:v>
                </c:pt>
                <c:pt idx="49">
                  <c:v>43315.578032407408</c:v>
                </c:pt>
                <c:pt idx="50">
                  <c:v>43315.578032407408</c:v>
                </c:pt>
                <c:pt idx="51">
                  <c:v>43315.579074074078</c:v>
                </c:pt>
                <c:pt idx="52">
                  <c:v>43315.579074074078</c:v>
                </c:pt>
                <c:pt idx="53">
                  <c:v>43315.581504629627</c:v>
                </c:pt>
                <c:pt idx="54">
                  <c:v>43315.581504629627</c:v>
                </c:pt>
                <c:pt idx="55">
                  <c:v>43315.581504629627</c:v>
                </c:pt>
                <c:pt idx="56">
                  <c:v>43315.581504629627</c:v>
                </c:pt>
                <c:pt idx="57">
                  <c:v>43315.58289351852</c:v>
                </c:pt>
                <c:pt idx="58">
                  <c:v>43315.58289351852</c:v>
                </c:pt>
                <c:pt idx="59">
                  <c:v>43315.584976851853</c:v>
                </c:pt>
                <c:pt idx="60">
                  <c:v>43315.584976851853</c:v>
                </c:pt>
                <c:pt idx="61">
                  <c:v>43315.584976851853</c:v>
                </c:pt>
                <c:pt idx="62">
                  <c:v>43315.584976851853</c:v>
                </c:pt>
                <c:pt idx="63">
                  <c:v>43315.586365740739</c:v>
                </c:pt>
                <c:pt idx="64">
                  <c:v>43315.586365740739</c:v>
                </c:pt>
                <c:pt idx="65">
                  <c:v>43315.587754629632</c:v>
                </c:pt>
                <c:pt idx="66">
                  <c:v>43315.587754629632</c:v>
                </c:pt>
                <c:pt idx="67">
                  <c:v>43315.589837962965</c:v>
                </c:pt>
                <c:pt idx="68">
                  <c:v>43315.589837962965</c:v>
                </c:pt>
                <c:pt idx="69">
                  <c:v>43315.589837962965</c:v>
                </c:pt>
                <c:pt idx="70">
                  <c:v>43315.589837962965</c:v>
                </c:pt>
                <c:pt idx="71">
                  <c:v>43315.592615740738</c:v>
                </c:pt>
                <c:pt idx="72">
                  <c:v>43315.592615740738</c:v>
                </c:pt>
                <c:pt idx="73">
                  <c:v>43315.592615740738</c:v>
                </c:pt>
                <c:pt idx="74">
                  <c:v>43315.592615740738</c:v>
                </c:pt>
                <c:pt idx="75">
                  <c:v>43315.594699074078</c:v>
                </c:pt>
                <c:pt idx="76">
                  <c:v>43315.594699074078</c:v>
                </c:pt>
                <c:pt idx="77">
                  <c:v>43315.594699074078</c:v>
                </c:pt>
                <c:pt idx="78">
                  <c:v>43315.594699074078</c:v>
                </c:pt>
                <c:pt idx="79">
                  <c:v>43315.597488425927</c:v>
                </c:pt>
                <c:pt idx="80">
                  <c:v>43315.597488425927</c:v>
                </c:pt>
                <c:pt idx="81">
                  <c:v>43315.597488425927</c:v>
                </c:pt>
                <c:pt idx="82">
                  <c:v>43315.597488425927</c:v>
                </c:pt>
                <c:pt idx="83">
                  <c:v>43315.600266203706</c:v>
                </c:pt>
                <c:pt idx="84">
                  <c:v>43315.600266203706</c:v>
                </c:pt>
                <c:pt idx="85">
                  <c:v>43315.600266203706</c:v>
                </c:pt>
                <c:pt idx="86">
                  <c:v>43315.600266203706</c:v>
                </c:pt>
                <c:pt idx="87">
                  <c:v>43315.602349537039</c:v>
                </c:pt>
                <c:pt idx="88">
                  <c:v>43315.602349537039</c:v>
                </c:pt>
                <c:pt idx="89">
                  <c:v>43315.602349537039</c:v>
                </c:pt>
                <c:pt idx="90">
                  <c:v>43315.603738425925</c:v>
                </c:pt>
                <c:pt idx="91">
                  <c:v>43315.603738425925</c:v>
                </c:pt>
                <c:pt idx="92">
                  <c:v>43315.603738425925</c:v>
                </c:pt>
                <c:pt idx="93">
                  <c:v>43315.605127314811</c:v>
                </c:pt>
                <c:pt idx="94">
                  <c:v>43315.605127314811</c:v>
                </c:pt>
                <c:pt idx="95">
                  <c:v>43315.607557870368</c:v>
                </c:pt>
                <c:pt idx="96">
                  <c:v>43315.607557870368</c:v>
                </c:pt>
                <c:pt idx="97">
                  <c:v>43315.607557870368</c:v>
                </c:pt>
                <c:pt idx="98">
                  <c:v>43315.608946759261</c:v>
                </c:pt>
                <c:pt idx="99">
                  <c:v>43315.608946759261</c:v>
                </c:pt>
                <c:pt idx="100">
                  <c:v>43315.608946759261</c:v>
                </c:pt>
                <c:pt idx="101">
                  <c:v>43315.611377314817</c:v>
                </c:pt>
                <c:pt idx="102">
                  <c:v>43315.611377314817</c:v>
                </c:pt>
                <c:pt idx="103">
                  <c:v>43315.611377314817</c:v>
                </c:pt>
                <c:pt idx="104">
                  <c:v>43315.611377314817</c:v>
                </c:pt>
                <c:pt idx="105">
                  <c:v>43315.612071759257</c:v>
                </c:pt>
                <c:pt idx="106">
                  <c:v>43315.612071759257</c:v>
                </c:pt>
                <c:pt idx="107">
                  <c:v>43315.614849537036</c:v>
                </c:pt>
                <c:pt idx="108">
                  <c:v>43315.614849537036</c:v>
                </c:pt>
                <c:pt idx="109">
                  <c:v>43315.615543981483</c:v>
                </c:pt>
                <c:pt idx="110">
                  <c:v>43315.615543981483</c:v>
                </c:pt>
                <c:pt idx="111">
                  <c:v>43315.615543981483</c:v>
                </c:pt>
                <c:pt idx="112">
                  <c:v>43315.615543981483</c:v>
                </c:pt>
                <c:pt idx="113">
                  <c:v>43315.618680555555</c:v>
                </c:pt>
                <c:pt idx="114">
                  <c:v>43315.618680555555</c:v>
                </c:pt>
                <c:pt idx="115">
                  <c:v>43315.618680555555</c:v>
                </c:pt>
                <c:pt idx="116">
                  <c:v>43315.618680555555</c:v>
                </c:pt>
                <c:pt idx="117">
                  <c:v>43315.619722222225</c:v>
                </c:pt>
                <c:pt idx="118">
                  <c:v>43315.619722222225</c:v>
                </c:pt>
                <c:pt idx="119">
                  <c:v>43315.621805555558</c:v>
                </c:pt>
                <c:pt idx="120">
                  <c:v>43315.621805555558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</c:numCache>
            </c:numRef>
          </c:xVal>
          <c:yVal>
            <c:numRef>
              <c:f>'Export Data'!$N$2:$N$350</c:f>
              <c:numCache>
                <c:formatCode>General</c:formatCode>
                <c:ptCount val="349"/>
                <c:pt idx="0">
                  <c:v>4.1500000000000004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4.1500000000000004</c:v>
                </c:pt>
                <c:pt idx="4">
                  <c:v>4.1500000000000004</c:v>
                </c:pt>
                <c:pt idx="5">
                  <c:v>4.1500000000000004</c:v>
                </c:pt>
                <c:pt idx="6">
                  <c:v>4.1500000000000004</c:v>
                </c:pt>
                <c:pt idx="7">
                  <c:v>4.1500000000000004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4.1500000000000004</c:v>
                </c:pt>
                <c:pt idx="12">
                  <c:v>4.1500000000000004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4.1500000000000004</c:v>
                </c:pt>
                <c:pt idx="16">
                  <c:v>4.1500000000000004</c:v>
                </c:pt>
                <c:pt idx="17">
                  <c:v>4.1500000000000004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2">
                  <c:v>4.1500000000000004</c:v>
                </c:pt>
                <c:pt idx="23">
                  <c:v>4.1500000000000004</c:v>
                </c:pt>
                <c:pt idx="24">
                  <c:v>4.1500000000000004</c:v>
                </c:pt>
                <c:pt idx="25">
                  <c:v>4.1500000000000004</c:v>
                </c:pt>
                <c:pt idx="26">
                  <c:v>4.1500000000000004</c:v>
                </c:pt>
                <c:pt idx="27">
                  <c:v>4.1500000000000004</c:v>
                </c:pt>
                <c:pt idx="28">
                  <c:v>4.1500000000000004</c:v>
                </c:pt>
                <c:pt idx="29">
                  <c:v>4.1500000000000004</c:v>
                </c:pt>
                <c:pt idx="30">
                  <c:v>4.1500000000000004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4.0999999999999996</c:v>
                </c:pt>
                <c:pt idx="37">
                  <c:v>4.0999999999999996</c:v>
                </c:pt>
                <c:pt idx="38">
                  <c:v>4.0999999999999996</c:v>
                </c:pt>
                <c:pt idx="39">
                  <c:v>4.1500000000000004</c:v>
                </c:pt>
                <c:pt idx="40">
                  <c:v>4.1500000000000004</c:v>
                </c:pt>
                <c:pt idx="41">
                  <c:v>4.1500000000000004</c:v>
                </c:pt>
                <c:pt idx="42">
                  <c:v>4.1500000000000004</c:v>
                </c:pt>
                <c:pt idx="43">
                  <c:v>4.1500000000000004</c:v>
                </c:pt>
                <c:pt idx="44">
                  <c:v>4.1500000000000004</c:v>
                </c:pt>
                <c:pt idx="45">
                  <c:v>4.1500000000000004</c:v>
                </c:pt>
                <c:pt idx="46">
                  <c:v>4.1500000000000004</c:v>
                </c:pt>
                <c:pt idx="47">
                  <c:v>4.1500000000000004</c:v>
                </c:pt>
                <c:pt idx="48">
                  <c:v>4.1500000000000004</c:v>
                </c:pt>
                <c:pt idx="49">
                  <c:v>4.1500000000000004</c:v>
                </c:pt>
                <c:pt idx="50">
                  <c:v>4.1500000000000004</c:v>
                </c:pt>
                <c:pt idx="51">
                  <c:v>4.0999999999999996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4.0999999999999996</c:v>
                </c:pt>
                <c:pt idx="56">
                  <c:v>4.0999999999999996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4.0999999999999996</c:v>
                </c:pt>
                <c:pt idx="61">
                  <c:v>4.0999999999999996</c:v>
                </c:pt>
                <c:pt idx="62">
                  <c:v>4.0999999999999996</c:v>
                </c:pt>
                <c:pt idx="63">
                  <c:v>4.1500000000000004</c:v>
                </c:pt>
                <c:pt idx="64">
                  <c:v>4.1500000000000004</c:v>
                </c:pt>
                <c:pt idx="65">
                  <c:v>4.0999999999999996</c:v>
                </c:pt>
                <c:pt idx="66">
                  <c:v>4.0999999999999996</c:v>
                </c:pt>
                <c:pt idx="67">
                  <c:v>4.1500000000000004</c:v>
                </c:pt>
                <c:pt idx="68">
                  <c:v>4.1500000000000004</c:v>
                </c:pt>
                <c:pt idx="69">
                  <c:v>4.1500000000000004</c:v>
                </c:pt>
                <c:pt idx="70">
                  <c:v>4.1500000000000004</c:v>
                </c:pt>
                <c:pt idx="71">
                  <c:v>4.1500000000000004</c:v>
                </c:pt>
                <c:pt idx="72">
                  <c:v>4.1500000000000004</c:v>
                </c:pt>
                <c:pt idx="73">
                  <c:v>4.1500000000000004</c:v>
                </c:pt>
                <c:pt idx="74">
                  <c:v>4.1500000000000004</c:v>
                </c:pt>
                <c:pt idx="75">
                  <c:v>4.0999999999999996</c:v>
                </c:pt>
                <c:pt idx="76">
                  <c:v>4.0999999999999996</c:v>
                </c:pt>
                <c:pt idx="77">
                  <c:v>4.0999999999999996</c:v>
                </c:pt>
                <c:pt idx="78">
                  <c:v>4.0999999999999996</c:v>
                </c:pt>
                <c:pt idx="79">
                  <c:v>4.1500000000000004</c:v>
                </c:pt>
                <c:pt idx="80">
                  <c:v>4.1500000000000004</c:v>
                </c:pt>
                <c:pt idx="81">
                  <c:v>4.1500000000000004</c:v>
                </c:pt>
                <c:pt idx="82">
                  <c:v>4.1500000000000004</c:v>
                </c:pt>
                <c:pt idx="83">
                  <c:v>4.1500000000000004</c:v>
                </c:pt>
                <c:pt idx="84">
                  <c:v>4.1500000000000004</c:v>
                </c:pt>
                <c:pt idx="85">
                  <c:v>4.1500000000000004</c:v>
                </c:pt>
                <c:pt idx="86">
                  <c:v>4.1500000000000004</c:v>
                </c:pt>
                <c:pt idx="87">
                  <c:v>4.1500000000000004</c:v>
                </c:pt>
                <c:pt idx="88">
                  <c:v>4.1500000000000004</c:v>
                </c:pt>
                <c:pt idx="89" formatCode="0.00">
                  <c:v>4.1500000000000004</c:v>
                </c:pt>
                <c:pt idx="90" formatCode="0.00">
                  <c:v>4.1500000000000004</c:v>
                </c:pt>
                <c:pt idx="91" formatCode="0.00">
                  <c:v>4.1500000000000004</c:v>
                </c:pt>
                <c:pt idx="92">
                  <c:v>4.1500000000000004</c:v>
                </c:pt>
                <c:pt idx="93">
                  <c:v>4.0999999999999996</c:v>
                </c:pt>
                <c:pt idx="94">
                  <c:v>4.0999999999999996</c:v>
                </c:pt>
                <c:pt idx="95">
                  <c:v>4.1500000000000004</c:v>
                </c:pt>
                <c:pt idx="96">
                  <c:v>4.1500000000000004</c:v>
                </c:pt>
                <c:pt idx="97">
                  <c:v>4.1500000000000004</c:v>
                </c:pt>
                <c:pt idx="98">
                  <c:v>4.0999999999999996</c:v>
                </c:pt>
                <c:pt idx="99">
                  <c:v>4.0999999999999996</c:v>
                </c:pt>
                <c:pt idx="100">
                  <c:v>4.0999999999999996</c:v>
                </c:pt>
                <c:pt idx="101">
                  <c:v>4.0999999999999996</c:v>
                </c:pt>
                <c:pt idx="102">
                  <c:v>4.0999999999999996</c:v>
                </c:pt>
                <c:pt idx="103">
                  <c:v>4.0999999999999996</c:v>
                </c:pt>
                <c:pt idx="104">
                  <c:v>4.0999999999999996</c:v>
                </c:pt>
                <c:pt idx="105">
                  <c:v>4.1500000000000004</c:v>
                </c:pt>
                <c:pt idx="106">
                  <c:v>4.1500000000000004</c:v>
                </c:pt>
                <c:pt idx="107">
                  <c:v>4.1500000000000004</c:v>
                </c:pt>
                <c:pt idx="108">
                  <c:v>4.1500000000000004</c:v>
                </c:pt>
                <c:pt idx="109">
                  <c:v>4.1500000000000004</c:v>
                </c:pt>
                <c:pt idx="110">
                  <c:v>4.1500000000000004</c:v>
                </c:pt>
                <c:pt idx="111">
                  <c:v>4.1500000000000004</c:v>
                </c:pt>
                <c:pt idx="112">
                  <c:v>4.1500000000000004</c:v>
                </c:pt>
                <c:pt idx="113">
                  <c:v>4.1500000000000004</c:v>
                </c:pt>
                <c:pt idx="114">
                  <c:v>4.1500000000000004</c:v>
                </c:pt>
                <c:pt idx="115">
                  <c:v>4.1500000000000004</c:v>
                </c:pt>
                <c:pt idx="116">
                  <c:v>4.1500000000000004</c:v>
                </c:pt>
                <c:pt idx="117">
                  <c:v>4.1500000000000004</c:v>
                </c:pt>
                <c:pt idx="118">
                  <c:v>4.1500000000000004</c:v>
                </c:pt>
                <c:pt idx="119">
                  <c:v>4.1500000000000004</c:v>
                </c:pt>
                <c:pt idx="120">
                  <c:v>4.1500000000000004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736736"/>
        <c:axId val="766736176"/>
      </c:scatterChart>
      <c:valAx>
        <c:axId val="766735056"/>
        <c:scaling>
          <c:orientation val="minMax"/>
          <c:max val="43315.666666666701"/>
          <c:min val="43315.3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hh:mm:ss\ dd/mmm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5616"/>
        <c:crosses val="autoZero"/>
        <c:crossBetween val="midCat"/>
        <c:majorUnit val="1.0416666666666701E-2"/>
      </c:valAx>
      <c:valAx>
        <c:axId val="76673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5056"/>
        <c:crosses val="autoZero"/>
        <c:crossBetween val="midCat"/>
      </c:valAx>
      <c:valAx>
        <c:axId val="766736176"/>
        <c:scaling>
          <c:orientation val="minMax"/>
          <c:max val="5"/>
          <c:min val="3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6736"/>
        <c:crosses val="max"/>
        <c:crossBetween val="midCat"/>
      </c:valAx>
      <c:valAx>
        <c:axId val="76673673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76673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'Rough Calculation'!$F$13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'Rough Calculation'!$E$14:$E$24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'Rough Calculation'!$F$14:$F$24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739536"/>
        <c:axId val="766740096"/>
      </c:scatterChart>
      <c:valAx>
        <c:axId val="766739536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40096"/>
        <c:crosses val="autoZero"/>
        <c:crossBetween val="midCat"/>
        <c:majorUnit val="2.0900000000000005E-2"/>
      </c:valAx>
      <c:valAx>
        <c:axId val="76674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>
    <tabColor theme="6" tint="0.39997558519241921"/>
  </sheetPr>
  <sheetViews>
    <sheetView tabSelected="1" zoomScale="145" workbookViewId="0"/>
  </sheetViews>
  <pageMargins left="0.7" right="0.7" top="0.75" bottom="0.75" header="0.3" footer="0.3"/>
  <pageSetup paperSize="8"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1" max="30000" page="10" val="105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388620</xdr:rowOff>
        </xdr:from>
        <xdr:to>
          <xdr:col>1</xdr:col>
          <xdr:colOff>60960</xdr:colOff>
          <xdr:row>0</xdr:row>
          <xdr:rowOff>678180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396240</xdr:rowOff>
        </xdr:from>
        <xdr:to>
          <xdr:col>2</xdr:col>
          <xdr:colOff>571500</xdr:colOff>
          <xdr:row>0</xdr:row>
          <xdr:rowOff>685800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716280</xdr:rowOff>
        </xdr:from>
        <xdr:to>
          <xdr:col>0</xdr:col>
          <xdr:colOff>784860</xdr:colOff>
          <xdr:row>0</xdr:row>
          <xdr:rowOff>1089660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731520</xdr:rowOff>
        </xdr:from>
        <xdr:to>
          <xdr:col>2</xdr:col>
          <xdr:colOff>236220</xdr:colOff>
          <xdr:row>0</xdr:row>
          <xdr:rowOff>1089660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0</xdr:row>
          <xdr:rowOff>716280</xdr:rowOff>
        </xdr:from>
        <xdr:to>
          <xdr:col>3</xdr:col>
          <xdr:colOff>7620</xdr:colOff>
          <xdr:row>0</xdr:row>
          <xdr:rowOff>1219200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68580</xdr:rowOff>
        </xdr:from>
        <xdr:to>
          <xdr:col>1</xdr:col>
          <xdr:colOff>327660</xdr:colOff>
          <xdr:row>0</xdr:row>
          <xdr:rowOff>350520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Pause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487680</xdr:colOff>
          <xdr:row>0</xdr:row>
          <xdr:rowOff>68580</xdr:rowOff>
        </xdr:from>
        <xdr:to>
          <xdr:col>3</xdr:col>
          <xdr:colOff>403860</xdr:colOff>
          <xdr:row>0</xdr:row>
          <xdr:rowOff>350520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726886" cy="9198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E12" sqref="E12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>
      <selection activeCell="A2" sqref="A2:A3"/>
    </sheetView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BA361"/>
  <sheetViews>
    <sheetView zoomScale="70" zoomScaleNormal="70" workbookViewId="0">
      <pane xSplit="4" ySplit="1" topLeftCell="E2" activePane="bottomRight" state="frozen"/>
      <selection activeCell="J36" sqref="J36"/>
      <selection pane="topRight" activeCell="J36" sqref="J36"/>
      <selection pane="bottomLeft" activeCell="J36" sqref="J36"/>
      <selection pane="bottomRight" activeCell="B8" sqref="B8"/>
    </sheetView>
  </sheetViews>
  <sheetFormatPr defaultRowHeight="14.4" x14ac:dyDescent="0.3"/>
  <cols>
    <col min="1" max="1" width="11.88671875" customWidth="1"/>
    <col min="4" max="4" width="12.777343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1" max="41" width="11.44140625" customWidth="1"/>
    <col min="42" max="42" width="19" customWidth="1"/>
    <col min="43" max="44" width="14.5546875" customWidth="1"/>
    <col min="45" max="45" width="12.33203125" bestFit="1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53" ht="105.6" customHeight="1" x14ac:dyDescent="0.35">
      <c r="A1" s="78" t="s">
        <v>4767</v>
      </c>
      <c r="B1" s="78" t="s">
        <v>4768</v>
      </c>
      <c r="C1" s="79">
        <v>105</v>
      </c>
      <c r="D1" s="80">
        <f>C1/86400</f>
        <v>1.2152777777777778E-3</v>
      </c>
      <c r="E1" s="52"/>
      <c r="F1" s="52"/>
      <c r="G1" s="53" t="s">
        <v>4769</v>
      </c>
      <c r="H1" s="53" t="s">
        <v>4770</v>
      </c>
      <c r="I1" s="52" t="s">
        <v>4773</v>
      </c>
      <c r="J1" s="52" t="s">
        <v>4821</v>
      </c>
      <c r="K1" s="52" t="s">
        <v>4774</v>
      </c>
      <c r="L1" s="52" t="s">
        <v>4775</v>
      </c>
      <c r="M1" s="52" t="s">
        <v>4776</v>
      </c>
      <c r="N1" s="52" t="s">
        <v>4772</v>
      </c>
      <c r="O1" s="52" t="s">
        <v>4822</v>
      </c>
      <c r="P1" s="52" t="s">
        <v>4823</v>
      </c>
      <c r="Q1" s="52" t="s">
        <v>4799</v>
      </c>
      <c r="R1" s="52" t="s">
        <v>4800</v>
      </c>
      <c r="S1" s="52" t="s">
        <v>4796</v>
      </c>
      <c r="T1" s="52" t="s">
        <v>4771</v>
      </c>
      <c r="U1" s="52" t="s">
        <v>4797</v>
      </c>
      <c r="V1" s="52" t="s">
        <v>4798</v>
      </c>
      <c r="W1" s="52" t="s">
        <v>4792</v>
      </c>
      <c r="X1" s="52" t="s">
        <v>4793</v>
      </c>
      <c r="Y1" s="52" t="s">
        <v>4794</v>
      </c>
      <c r="Z1" s="52" t="s">
        <v>4795</v>
      </c>
      <c r="AA1" s="52" t="s">
        <v>4788</v>
      </c>
      <c r="AB1" s="52" t="s">
        <v>4789</v>
      </c>
      <c r="AC1" s="52" t="s">
        <v>4790</v>
      </c>
      <c r="AD1" s="52" t="s">
        <v>4791</v>
      </c>
      <c r="AE1" s="52" t="s">
        <v>4784</v>
      </c>
      <c r="AF1" s="52" t="s">
        <v>4785</v>
      </c>
      <c r="AG1" s="52" t="s">
        <v>4786</v>
      </c>
      <c r="AH1" s="52" t="s">
        <v>4787</v>
      </c>
      <c r="AI1" s="52" t="s">
        <v>4783</v>
      </c>
      <c r="AJ1" s="52" t="s">
        <v>4782</v>
      </c>
      <c r="AK1" s="52" t="s">
        <v>4781</v>
      </c>
      <c r="AL1" s="52" t="s">
        <v>4780</v>
      </c>
      <c r="AM1" s="52" t="s">
        <v>4777</v>
      </c>
      <c r="AN1" s="52" t="s">
        <v>4778</v>
      </c>
      <c r="AO1" s="52"/>
      <c r="AP1" s="52" t="s">
        <v>4779</v>
      </c>
      <c r="AQ1" s="52"/>
      <c r="AR1" s="52" t="s">
        <v>4818</v>
      </c>
    </row>
    <row r="2" spans="1:53" ht="47.4" customHeight="1" x14ac:dyDescent="0.3">
      <c r="A2" s="56" t="s">
        <v>4825</v>
      </c>
      <c r="B2" s="57" t="s">
        <v>2658</v>
      </c>
      <c r="C2" s="57" t="s">
        <v>4826</v>
      </c>
      <c r="D2" s="57">
        <v>1</v>
      </c>
      <c r="E2" s="57" t="s">
        <v>4827</v>
      </c>
      <c r="F2" s="57" t="s">
        <v>4827</v>
      </c>
      <c r="G2" s="57">
        <v>12.25</v>
      </c>
      <c r="H2" s="57">
        <v>3.95</v>
      </c>
      <c r="I2" s="57">
        <v>4.0999999999999996</v>
      </c>
      <c r="J2" s="57">
        <v>4.1500000000000004</v>
      </c>
      <c r="K2" s="57">
        <v>4.2</v>
      </c>
      <c r="L2" s="57">
        <v>4.0999999999999996</v>
      </c>
      <c r="M2" s="57">
        <v>4.1500000000000004</v>
      </c>
      <c r="N2" s="57">
        <v>4.1500000000000004</v>
      </c>
      <c r="O2" s="57">
        <v>0.05</v>
      </c>
      <c r="P2" s="57">
        <v>1.22</v>
      </c>
      <c r="Q2" s="58">
        <v>3503475</v>
      </c>
      <c r="R2" s="57">
        <v>145.38999999999999</v>
      </c>
      <c r="S2" s="59">
        <v>1384320</v>
      </c>
      <c r="T2" s="57">
        <v>4.1500000000000004</v>
      </c>
      <c r="U2" s="57">
        <v>4.2</v>
      </c>
      <c r="V2" s="59">
        <v>1278705</v>
      </c>
      <c r="W2" s="59">
        <v>4460432</v>
      </c>
      <c r="X2" s="57">
        <v>4.0999999999999996</v>
      </c>
      <c r="Y2" s="57">
        <v>4.25</v>
      </c>
      <c r="Z2" s="59">
        <v>1756662</v>
      </c>
      <c r="AA2" s="59">
        <v>2534947</v>
      </c>
      <c r="AB2" s="57">
        <v>4.05</v>
      </c>
      <c r="AC2" s="57">
        <v>4.3</v>
      </c>
      <c r="AD2" s="59">
        <v>470760</v>
      </c>
      <c r="AE2" s="59">
        <v>1186027</v>
      </c>
      <c r="AF2" s="57">
        <v>4</v>
      </c>
      <c r="AG2" s="57">
        <v>4.3499999999999996</v>
      </c>
      <c r="AH2" s="59">
        <v>332894</v>
      </c>
      <c r="AI2" s="59">
        <v>415232</v>
      </c>
      <c r="AJ2" s="57">
        <v>3.95</v>
      </c>
      <c r="AK2" s="57">
        <v>4.4000000000000004</v>
      </c>
      <c r="AL2" s="59">
        <v>257915</v>
      </c>
      <c r="AM2" s="59">
        <v>10773323</v>
      </c>
      <c r="AN2" s="59">
        <v>5907457</v>
      </c>
      <c r="AO2" s="60">
        <v>43314</v>
      </c>
      <c r="AP2" s="61" t="s">
        <v>4829</v>
      </c>
      <c r="AQ2" s="76" t="s">
        <v>4828</v>
      </c>
      <c r="AR2" s="76">
        <f>DATEVALUE(SUBSTITUTE(AP2,";",":"))+TIMEVALUE(SUBSTITUTE(AP2,";",":"))</f>
        <v>43315.547106481485</v>
      </c>
      <c r="AY2" s="63"/>
      <c r="AZ2" s="63"/>
      <c r="BA2" s="51"/>
    </row>
    <row r="3" spans="1:53" ht="28.2" customHeight="1" x14ac:dyDescent="0.3">
      <c r="A3" s="88" t="s">
        <v>4825</v>
      </c>
      <c r="B3" s="57" t="s">
        <v>2658</v>
      </c>
      <c r="C3" s="57" t="s">
        <v>4826</v>
      </c>
      <c r="D3" s="57">
        <v>1</v>
      </c>
      <c r="E3" s="57" t="s">
        <v>4827</v>
      </c>
      <c r="F3" s="57" t="s">
        <v>4827</v>
      </c>
      <c r="G3" s="57">
        <v>12.25</v>
      </c>
      <c r="H3" s="57">
        <v>3.95</v>
      </c>
      <c r="I3" s="57">
        <v>4.0999999999999996</v>
      </c>
      <c r="J3" s="57">
        <v>4.1500000000000004</v>
      </c>
      <c r="K3" s="57">
        <v>4.2</v>
      </c>
      <c r="L3" s="57">
        <v>4.0999999999999996</v>
      </c>
      <c r="M3" s="57">
        <v>4.1500000000000004</v>
      </c>
      <c r="N3" s="57">
        <v>4.1500000000000004</v>
      </c>
      <c r="O3" s="57">
        <v>0.05</v>
      </c>
      <c r="P3" s="57">
        <v>1.22</v>
      </c>
      <c r="Q3" s="58">
        <v>3503475</v>
      </c>
      <c r="R3" s="57">
        <v>145.38999999999999</v>
      </c>
      <c r="S3" s="59">
        <v>1384320</v>
      </c>
      <c r="T3" s="57">
        <v>4.1500000000000004</v>
      </c>
      <c r="U3" s="57">
        <v>4.2</v>
      </c>
      <c r="V3" s="59">
        <v>1278705</v>
      </c>
      <c r="W3" s="59">
        <v>4460432</v>
      </c>
      <c r="X3" s="57">
        <v>4.0999999999999996</v>
      </c>
      <c r="Y3" s="57">
        <v>4.25</v>
      </c>
      <c r="Z3" s="59">
        <v>1756662</v>
      </c>
      <c r="AA3" s="59">
        <v>2534947</v>
      </c>
      <c r="AB3" s="57">
        <v>4.05</v>
      </c>
      <c r="AC3" s="57">
        <v>4.3</v>
      </c>
      <c r="AD3" s="59">
        <v>470760</v>
      </c>
      <c r="AE3" s="59">
        <v>1186027</v>
      </c>
      <c r="AF3" s="57">
        <v>4</v>
      </c>
      <c r="AG3" s="57">
        <v>4.3499999999999996</v>
      </c>
      <c r="AH3" s="59">
        <v>332894</v>
      </c>
      <c r="AI3" s="59">
        <v>415232</v>
      </c>
      <c r="AJ3" s="57">
        <v>3.95</v>
      </c>
      <c r="AK3" s="57">
        <v>4.4000000000000004</v>
      </c>
      <c r="AL3" s="59">
        <v>257915</v>
      </c>
      <c r="AM3" s="59">
        <v>10773323</v>
      </c>
      <c r="AN3" s="59">
        <v>5907457</v>
      </c>
      <c r="AO3" s="60">
        <v>43314</v>
      </c>
      <c r="AP3" s="61" t="s">
        <v>4829</v>
      </c>
      <c r="AQ3" s="76" t="s">
        <v>4828</v>
      </c>
      <c r="AR3" s="76">
        <f t="shared" ref="AR3:AR66" si="0">DATEVALUE(SUBSTITUTE(AP3,";",":"))+TIMEVALUE(SUBSTITUTE(AP3,";",":"))</f>
        <v>43315.547106481485</v>
      </c>
      <c r="AY3" s="63"/>
      <c r="AZ3" s="63"/>
      <c r="BA3" s="64"/>
    </row>
    <row r="4" spans="1:53" ht="40.799999999999997" x14ac:dyDescent="0.3">
      <c r="A4" s="88" t="s">
        <v>4825</v>
      </c>
      <c r="B4" s="57" t="s">
        <v>2658</v>
      </c>
      <c r="C4" s="57" t="s">
        <v>4826</v>
      </c>
      <c r="D4" s="57">
        <v>1</v>
      </c>
      <c r="E4" s="57" t="s">
        <v>4827</v>
      </c>
      <c r="F4" s="57" t="s">
        <v>4827</v>
      </c>
      <c r="G4" s="57">
        <v>12.25</v>
      </c>
      <c r="H4" s="57">
        <v>3.95</v>
      </c>
      <c r="I4" s="57">
        <v>4.0999999999999996</v>
      </c>
      <c r="J4" s="57">
        <v>4.1500000000000004</v>
      </c>
      <c r="K4" s="57">
        <v>4.2</v>
      </c>
      <c r="L4" s="57">
        <v>4.0999999999999996</v>
      </c>
      <c r="M4" s="57">
        <v>4.1500000000000004</v>
      </c>
      <c r="N4" s="57">
        <v>4.1500000000000004</v>
      </c>
      <c r="O4" s="57">
        <v>0.05</v>
      </c>
      <c r="P4" s="57">
        <v>1.22</v>
      </c>
      <c r="Q4" s="58">
        <v>3503475</v>
      </c>
      <c r="R4" s="57">
        <v>145.38999999999999</v>
      </c>
      <c r="S4" s="59">
        <v>1384320</v>
      </c>
      <c r="T4" s="57">
        <v>4.1500000000000004</v>
      </c>
      <c r="U4" s="57">
        <v>4.2</v>
      </c>
      <c r="V4" s="59">
        <v>1278705</v>
      </c>
      <c r="W4" s="59">
        <v>4460432</v>
      </c>
      <c r="X4" s="57">
        <v>4.0999999999999996</v>
      </c>
      <c r="Y4" s="57">
        <v>4.25</v>
      </c>
      <c r="Z4" s="59">
        <v>1756662</v>
      </c>
      <c r="AA4" s="59">
        <v>2534947</v>
      </c>
      <c r="AB4" s="57">
        <v>4.05</v>
      </c>
      <c r="AC4" s="57">
        <v>4.3</v>
      </c>
      <c r="AD4" s="59">
        <v>470760</v>
      </c>
      <c r="AE4" s="59">
        <v>1186027</v>
      </c>
      <c r="AF4" s="57">
        <v>4</v>
      </c>
      <c r="AG4" s="57">
        <v>4.3499999999999996</v>
      </c>
      <c r="AH4" s="59">
        <v>332894</v>
      </c>
      <c r="AI4" s="59">
        <v>415232</v>
      </c>
      <c r="AJ4" s="57">
        <v>3.95</v>
      </c>
      <c r="AK4" s="57">
        <v>4.4000000000000004</v>
      </c>
      <c r="AL4" s="59">
        <v>257915</v>
      </c>
      <c r="AM4" s="59">
        <v>10773323</v>
      </c>
      <c r="AN4" s="59">
        <v>5907457</v>
      </c>
      <c r="AO4" s="60">
        <v>43314</v>
      </c>
      <c r="AP4" s="61" t="s">
        <v>4829</v>
      </c>
      <c r="AQ4" s="76" t="s">
        <v>4828</v>
      </c>
      <c r="AR4" s="76">
        <f t="shared" si="0"/>
        <v>43315.547106481485</v>
      </c>
      <c r="AY4" s="63"/>
      <c r="AZ4" s="63"/>
      <c r="BA4" s="64"/>
    </row>
    <row r="5" spans="1:53" ht="40.799999999999997" x14ac:dyDescent="0.3">
      <c r="A5" s="88" t="s">
        <v>4825</v>
      </c>
      <c r="B5" s="57" t="s">
        <v>2658</v>
      </c>
      <c r="C5" s="57" t="s">
        <v>4826</v>
      </c>
      <c r="D5" s="57">
        <v>1</v>
      </c>
      <c r="E5" s="57" t="s">
        <v>4827</v>
      </c>
      <c r="F5" s="57" t="s">
        <v>4827</v>
      </c>
      <c r="G5" s="57">
        <v>12.25</v>
      </c>
      <c r="H5" s="57">
        <v>3.95</v>
      </c>
      <c r="I5" s="57">
        <v>4.0999999999999996</v>
      </c>
      <c r="J5" s="57">
        <v>4.1500000000000004</v>
      </c>
      <c r="K5" s="57">
        <v>4.2</v>
      </c>
      <c r="L5" s="57">
        <v>4.0999999999999996</v>
      </c>
      <c r="M5" s="57">
        <v>4.1500000000000004</v>
      </c>
      <c r="N5" s="57">
        <v>4.1500000000000004</v>
      </c>
      <c r="O5" s="57">
        <v>0.05</v>
      </c>
      <c r="P5" s="57">
        <v>1.22</v>
      </c>
      <c r="Q5" s="58">
        <v>3519944</v>
      </c>
      <c r="R5" s="57">
        <v>146.08000000000001</v>
      </c>
      <c r="S5" s="59">
        <v>1427852</v>
      </c>
      <c r="T5" s="57">
        <v>4.1500000000000004</v>
      </c>
      <c r="U5" s="57">
        <v>4.2</v>
      </c>
      <c r="V5" s="59">
        <v>1273754</v>
      </c>
      <c r="W5" s="59">
        <v>4467182</v>
      </c>
      <c r="X5" s="57">
        <v>4.0999999999999996</v>
      </c>
      <c r="Y5" s="57">
        <v>4.25</v>
      </c>
      <c r="Z5" s="59">
        <v>1757562</v>
      </c>
      <c r="AA5" s="59">
        <v>2535947</v>
      </c>
      <c r="AB5" s="57">
        <v>4.05</v>
      </c>
      <c r="AC5" s="57">
        <v>4.3</v>
      </c>
      <c r="AD5" s="59">
        <v>470760</v>
      </c>
      <c r="AE5" s="59">
        <v>1185028</v>
      </c>
      <c r="AF5" s="57">
        <v>4</v>
      </c>
      <c r="AG5" s="57">
        <v>4.3499999999999996</v>
      </c>
      <c r="AH5" s="59">
        <v>332894</v>
      </c>
      <c r="AI5" s="59">
        <v>415232</v>
      </c>
      <c r="AJ5" s="57">
        <v>3.95</v>
      </c>
      <c r="AK5" s="57">
        <v>4.4000000000000004</v>
      </c>
      <c r="AL5" s="59">
        <v>257915</v>
      </c>
      <c r="AM5" s="59">
        <v>10823606</v>
      </c>
      <c r="AN5" s="59">
        <v>5905406</v>
      </c>
      <c r="AO5" s="60">
        <v>43314</v>
      </c>
      <c r="AP5" s="61" t="s">
        <v>4830</v>
      </c>
      <c r="AQ5" s="76" t="s">
        <v>4828</v>
      </c>
      <c r="AR5" s="76">
        <f t="shared" si="0"/>
        <v>43315.548495370371</v>
      </c>
      <c r="AY5" s="63"/>
      <c r="BA5" s="64"/>
    </row>
    <row r="6" spans="1:53" ht="40.799999999999997" x14ac:dyDescent="0.3">
      <c r="A6" s="88" t="s">
        <v>4825</v>
      </c>
      <c r="B6" s="57" t="s">
        <v>2658</v>
      </c>
      <c r="C6" s="57" t="s">
        <v>4826</v>
      </c>
      <c r="D6" s="57">
        <v>1</v>
      </c>
      <c r="E6" s="57" t="s">
        <v>4827</v>
      </c>
      <c r="F6" s="57" t="s">
        <v>4827</v>
      </c>
      <c r="G6" s="57">
        <v>12.25</v>
      </c>
      <c r="H6" s="57">
        <v>3.95</v>
      </c>
      <c r="I6" s="57">
        <v>4.0999999999999996</v>
      </c>
      <c r="J6" s="57">
        <v>4.1500000000000004</v>
      </c>
      <c r="K6" s="57">
        <v>4.2</v>
      </c>
      <c r="L6" s="57">
        <v>4.0999999999999996</v>
      </c>
      <c r="M6" s="57">
        <v>4.1500000000000004</v>
      </c>
      <c r="N6" s="57">
        <v>4.1500000000000004</v>
      </c>
      <c r="O6" s="57">
        <v>0.05</v>
      </c>
      <c r="P6" s="57">
        <v>1.22</v>
      </c>
      <c r="Q6" s="58">
        <v>3519944</v>
      </c>
      <c r="R6" s="57">
        <v>146.08000000000001</v>
      </c>
      <c r="S6" s="59">
        <v>1427852</v>
      </c>
      <c r="T6" s="57">
        <v>4.1500000000000004</v>
      </c>
      <c r="U6" s="57">
        <v>4.2</v>
      </c>
      <c r="V6" s="59">
        <v>1273754</v>
      </c>
      <c r="W6" s="59">
        <v>4467182</v>
      </c>
      <c r="X6" s="57">
        <v>4.0999999999999996</v>
      </c>
      <c r="Y6" s="57">
        <v>4.25</v>
      </c>
      <c r="Z6" s="59">
        <v>1757562</v>
      </c>
      <c r="AA6" s="59">
        <v>2535947</v>
      </c>
      <c r="AB6" s="57">
        <v>4.05</v>
      </c>
      <c r="AC6" s="57">
        <v>4.3</v>
      </c>
      <c r="AD6" s="59">
        <v>470760</v>
      </c>
      <c r="AE6" s="59">
        <v>1185028</v>
      </c>
      <c r="AF6" s="57">
        <v>4</v>
      </c>
      <c r="AG6" s="57">
        <v>4.3499999999999996</v>
      </c>
      <c r="AH6" s="59">
        <v>332894</v>
      </c>
      <c r="AI6" s="59">
        <v>415232</v>
      </c>
      <c r="AJ6" s="57">
        <v>3.95</v>
      </c>
      <c r="AK6" s="57">
        <v>4.4000000000000004</v>
      </c>
      <c r="AL6" s="59">
        <v>257915</v>
      </c>
      <c r="AM6" s="59">
        <v>10823606</v>
      </c>
      <c r="AN6" s="59">
        <v>5905406</v>
      </c>
      <c r="AO6" s="60">
        <v>43314</v>
      </c>
      <c r="AP6" s="61" t="s">
        <v>4830</v>
      </c>
      <c r="AQ6" s="76" t="s">
        <v>4828</v>
      </c>
      <c r="AR6" s="76">
        <f t="shared" si="0"/>
        <v>43315.548495370371</v>
      </c>
      <c r="AY6" s="63"/>
      <c r="BA6" s="64"/>
    </row>
    <row r="7" spans="1:53" ht="40.799999999999997" x14ac:dyDescent="0.3">
      <c r="A7" s="88" t="s">
        <v>4825</v>
      </c>
      <c r="B7" s="57" t="s">
        <v>2658</v>
      </c>
      <c r="C7" s="57" t="s">
        <v>4826</v>
      </c>
      <c r="D7" s="57">
        <v>1</v>
      </c>
      <c r="E7" s="57" t="s">
        <v>4827</v>
      </c>
      <c r="F7" s="57" t="s">
        <v>4827</v>
      </c>
      <c r="G7" s="57">
        <v>12.25</v>
      </c>
      <c r="H7" s="57">
        <v>3.95</v>
      </c>
      <c r="I7" s="57">
        <v>4.0999999999999996</v>
      </c>
      <c r="J7" s="57">
        <v>4.1500000000000004</v>
      </c>
      <c r="K7" s="57">
        <v>4.2</v>
      </c>
      <c r="L7" s="57">
        <v>4.0999999999999996</v>
      </c>
      <c r="M7" s="57">
        <v>4.1500000000000004</v>
      </c>
      <c r="N7" s="57">
        <v>4.1500000000000004</v>
      </c>
      <c r="O7" s="57">
        <v>0.05</v>
      </c>
      <c r="P7" s="57">
        <v>1.22</v>
      </c>
      <c r="Q7" s="58">
        <v>4090792</v>
      </c>
      <c r="R7" s="57">
        <v>169.77</v>
      </c>
      <c r="S7" s="59">
        <v>2975712</v>
      </c>
      <c r="T7" s="57">
        <v>4.0999999999999996</v>
      </c>
      <c r="U7" s="57">
        <v>4.1500000000000004</v>
      </c>
      <c r="V7" s="59">
        <v>1297781</v>
      </c>
      <c r="W7" s="59">
        <v>1039947</v>
      </c>
      <c r="X7" s="57">
        <v>4.05</v>
      </c>
      <c r="Y7" s="57">
        <v>4.2</v>
      </c>
      <c r="Z7" s="59">
        <v>1241078</v>
      </c>
      <c r="AA7" s="59">
        <v>1198328</v>
      </c>
      <c r="AB7" s="57">
        <v>4</v>
      </c>
      <c r="AC7" s="57">
        <v>4.25</v>
      </c>
      <c r="AD7" s="59">
        <v>1761519</v>
      </c>
      <c r="AE7" s="59">
        <v>415232</v>
      </c>
      <c r="AF7" s="57">
        <v>3.95</v>
      </c>
      <c r="AG7" s="57">
        <v>4.3</v>
      </c>
      <c r="AH7" s="59">
        <v>469760</v>
      </c>
      <c r="AI7" s="59">
        <v>278056</v>
      </c>
      <c r="AJ7" s="57">
        <v>3.9</v>
      </c>
      <c r="AK7" s="57">
        <v>4.3499999999999996</v>
      </c>
      <c r="AL7" s="59">
        <v>180394</v>
      </c>
      <c r="AM7" s="59">
        <v>6421284</v>
      </c>
      <c r="AN7" s="59">
        <v>7016468</v>
      </c>
      <c r="AO7" s="60">
        <v>43314</v>
      </c>
      <c r="AP7" s="61" t="s">
        <v>4831</v>
      </c>
      <c r="AQ7" s="76" t="s">
        <v>4828</v>
      </c>
      <c r="AR7" s="76">
        <f t="shared" si="0"/>
        <v>43315.551979166667</v>
      </c>
      <c r="AY7" s="63"/>
      <c r="BA7" s="64"/>
    </row>
    <row r="8" spans="1:53" ht="40.799999999999997" x14ac:dyDescent="0.3">
      <c r="A8" s="56" t="s">
        <v>4825</v>
      </c>
      <c r="B8" s="57" t="s">
        <v>2658</v>
      </c>
      <c r="C8" s="57" t="s">
        <v>4826</v>
      </c>
      <c r="D8" s="57">
        <v>1</v>
      </c>
      <c r="E8" s="57" t="s">
        <v>4827</v>
      </c>
      <c r="F8" s="57" t="s">
        <v>4827</v>
      </c>
      <c r="G8" s="57">
        <v>12.25</v>
      </c>
      <c r="H8" s="57">
        <v>3.95</v>
      </c>
      <c r="I8" s="57">
        <v>4.0999999999999996</v>
      </c>
      <c r="J8" s="57">
        <v>4.1500000000000004</v>
      </c>
      <c r="K8" s="57">
        <v>4.2</v>
      </c>
      <c r="L8" s="57">
        <v>4.0999999999999996</v>
      </c>
      <c r="M8" s="57">
        <v>4.1500000000000004</v>
      </c>
      <c r="N8" s="57">
        <v>4.1500000000000004</v>
      </c>
      <c r="O8" s="57">
        <v>0.05</v>
      </c>
      <c r="P8" s="57">
        <v>1.22</v>
      </c>
      <c r="Q8" s="58">
        <v>4090792</v>
      </c>
      <c r="R8" s="57">
        <v>169.77</v>
      </c>
      <c r="S8" s="59">
        <v>2975712</v>
      </c>
      <c r="T8" s="57">
        <v>4.0999999999999996</v>
      </c>
      <c r="U8" s="57">
        <v>4.1500000000000004</v>
      </c>
      <c r="V8" s="59">
        <v>1297781</v>
      </c>
      <c r="W8" s="59">
        <v>1039947</v>
      </c>
      <c r="X8" s="57">
        <v>4.05</v>
      </c>
      <c r="Y8" s="57">
        <v>4.2</v>
      </c>
      <c r="Z8" s="59">
        <v>1241078</v>
      </c>
      <c r="AA8" s="59">
        <v>1198328</v>
      </c>
      <c r="AB8" s="57">
        <v>4</v>
      </c>
      <c r="AC8" s="57">
        <v>4.25</v>
      </c>
      <c r="AD8" s="59">
        <v>1761519</v>
      </c>
      <c r="AE8" s="59">
        <v>415232</v>
      </c>
      <c r="AF8" s="57">
        <v>3.95</v>
      </c>
      <c r="AG8" s="57">
        <v>4.3</v>
      </c>
      <c r="AH8" s="59">
        <v>469760</v>
      </c>
      <c r="AI8" s="59">
        <v>278056</v>
      </c>
      <c r="AJ8" s="57">
        <v>3.9</v>
      </c>
      <c r="AK8" s="57">
        <v>4.3499999999999996</v>
      </c>
      <c r="AL8" s="59">
        <v>180394</v>
      </c>
      <c r="AM8" s="59">
        <v>6421284</v>
      </c>
      <c r="AN8" s="59">
        <v>7016468</v>
      </c>
      <c r="AO8" s="60">
        <v>43314</v>
      </c>
      <c r="AP8" s="61" t="s">
        <v>4831</v>
      </c>
      <c r="AQ8" s="76" t="s">
        <v>4828</v>
      </c>
      <c r="AR8" s="76">
        <f t="shared" si="0"/>
        <v>43315.551979166667</v>
      </c>
      <c r="AY8" s="63"/>
      <c r="BA8" s="64"/>
    </row>
    <row r="9" spans="1:53" ht="40.799999999999997" x14ac:dyDescent="0.3">
      <c r="A9" s="56" t="s">
        <v>4825</v>
      </c>
      <c r="B9" s="57" t="s">
        <v>2658</v>
      </c>
      <c r="C9" s="57" t="s">
        <v>4826</v>
      </c>
      <c r="D9" s="57">
        <v>1</v>
      </c>
      <c r="E9" s="57" t="s">
        <v>4827</v>
      </c>
      <c r="F9" s="57" t="s">
        <v>4827</v>
      </c>
      <c r="G9" s="57">
        <v>12.25</v>
      </c>
      <c r="H9" s="57">
        <v>3.95</v>
      </c>
      <c r="I9" s="57">
        <v>4.0999999999999996</v>
      </c>
      <c r="J9" s="57">
        <v>4.1500000000000004</v>
      </c>
      <c r="K9" s="57">
        <v>4.2</v>
      </c>
      <c r="L9" s="57">
        <v>4.0999999999999996</v>
      </c>
      <c r="M9" s="57">
        <v>4.1500000000000004</v>
      </c>
      <c r="N9" s="57">
        <v>4.1500000000000004</v>
      </c>
      <c r="O9" s="57">
        <v>0.05</v>
      </c>
      <c r="P9" s="57">
        <v>1.22</v>
      </c>
      <c r="Q9" s="58">
        <v>4090792</v>
      </c>
      <c r="R9" s="57">
        <v>169.77</v>
      </c>
      <c r="S9" s="59">
        <v>2975712</v>
      </c>
      <c r="T9" s="57">
        <v>4.0999999999999996</v>
      </c>
      <c r="U9" s="57">
        <v>4.1500000000000004</v>
      </c>
      <c r="V9" s="59">
        <v>1297781</v>
      </c>
      <c r="W9" s="59">
        <v>1039947</v>
      </c>
      <c r="X9" s="57">
        <v>4.05</v>
      </c>
      <c r="Y9" s="57">
        <v>4.2</v>
      </c>
      <c r="Z9" s="59">
        <v>1241078</v>
      </c>
      <c r="AA9" s="59">
        <v>1198328</v>
      </c>
      <c r="AB9" s="57">
        <v>4</v>
      </c>
      <c r="AC9" s="57">
        <v>4.25</v>
      </c>
      <c r="AD9" s="59">
        <v>1761519</v>
      </c>
      <c r="AE9" s="59">
        <v>415232</v>
      </c>
      <c r="AF9" s="57">
        <v>3.95</v>
      </c>
      <c r="AG9" s="57">
        <v>4.3</v>
      </c>
      <c r="AH9" s="59">
        <v>469760</v>
      </c>
      <c r="AI9" s="59">
        <v>278056</v>
      </c>
      <c r="AJ9" s="57">
        <v>3.9</v>
      </c>
      <c r="AK9" s="57">
        <v>4.3499999999999996</v>
      </c>
      <c r="AL9" s="59">
        <v>180394</v>
      </c>
      <c r="AM9" s="59">
        <v>6421284</v>
      </c>
      <c r="AN9" s="59">
        <v>7016468</v>
      </c>
      <c r="AO9" s="60">
        <v>43314</v>
      </c>
      <c r="AP9" s="61" t="s">
        <v>4831</v>
      </c>
      <c r="AQ9" s="76" t="s">
        <v>4828</v>
      </c>
      <c r="AR9" s="76">
        <f t="shared" si="0"/>
        <v>43315.551979166667</v>
      </c>
      <c r="AY9" s="63"/>
      <c r="BA9" s="64"/>
    </row>
    <row r="10" spans="1:53" ht="40.799999999999997" x14ac:dyDescent="0.3">
      <c r="A10" s="56" t="s">
        <v>4825</v>
      </c>
      <c r="B10" s="57" t="s">
        <v>2658</v>
      </c>
      <c r="C10" s="57" t="s">
        <v>4826</v>
      </c>
      <c r="D10" s="57">
        <v>1</v>
      </c>
      <c r="E10" s="57" t="s">
        <v>4827</v>
      </c>
      <c r="F10" s="57" t="s">
        <v>4827</v>
      </c>
      <c r="G10" s="57">
        <v>12.25</v>
      </c>
      <c r="H10" s="57">
        <v>3.95</v>
      </c>
      <c r="I10" s="57">
        <v>4.0999999999999996</v>
      </c>
      <c r="J10" s="57">
        <v>4.1500000000000004</v>
      </c>
      <c r="K10" s="57">
        <v>4.2</v>
      </c>
      <c r="L10" s="57">
        <v>4.0999999999999996</v>
      </c>
      <c r="M10" s="57">
        <v>4.1500000000000004</v>
      </c>
      <c r="N10" s="57">
        <v>4.0999999999999996</v>
      </c>
      <c r="O10" s="57" t="s">
        <v>4827</v>
      </c>
      <c r="P10" s="57">
        <v>0</v>
      </c>
      <c r="Q10" s="58">
        <v>4126303</v>
      </c>
      <c r="R10" s="57">
        <v>171.24</v>
      </c>
      <c r="S10" s="59">
        <v>2997482</v>
      </c>
      <c r="T10" s="57">
        <v>4.0999999999999996</v>
      </c>
      <c r="U10" s="57">
        <v>4.1500000000000004</v>
      </c>
      <c r="V10" s="59">
        <v>1266270</v>
      </c>
      <c r="W10" s="59">
        <v>1043487</v>
      </c>
      <c r="X10" s="57">
        <v>4.05</v>
      </c>
      <c r="Y10" s="57">
        <v>4.2</v>
      </c>
      <c r="Z10" s="59">
        <v>1241078</v>
      </c>
      <c r="AA10" s="59">
        <v>1199328</v>
      </c>
      <c r="AB10" s="57">
        <v>4</v>
      </c>
      <c r="AC10" s="57">
        <v>4.25</v>
      </c>
      <c r="AD10" s="59">
        <v>1771519</v>
      </c>
      <c r="AE10" s="59">
        <v>415232</v>
      </c>
      <c r="AF10" s="57">
        <v>3.95</v>
      </c>
      <c r="AG10" s="57">
        <v>4.3</v>
      </c>
      <c r="AH10" s="59">
        <v>469760</v>
      </c>
      <c r="AI10" s="59">
        <v>278056</v>
      </c>
      <c r="AJ10" s="57">
        <v>3.9</v>
      </c>
      <c r="AK10" s="57">
        <v>4.3499999999999996</v>
      </c>
      <c r="AL10" s="59">
        <v>180394</v>
      </c>
      <c r="AM10" s="59">
        <v>6447594</v>
      </c>
      <c r="AN10" s="59">
        <v>7004457</v>
      </c>
      <c r="AO10" s="60">
        <v>43314</v>
      </c>
      <c r="AP10" s="61" t="s">
        <v>4832</v>
      </c>
      <c r="AQ10" s="76" t="s">
        <v>4828</v>
      </c>
      <c r="AR10" s="76">
        <f t="shared" si="0"/>
        <v>43315.553368055553</v>
      </c>
      <c r="AY10" s="63"/>
      <c r="BA10" s="64"/>
    </row>
    <row r="11" spans="1:53" ht="40.799999999999997" x14ac:dyDescent="0.3">
      <c r="A11" s="56" t="s">
        <v>4825</v>
      </c>
      <c r="B11" s="57" t="s">
        <v>2658</v>
      </c>
      <c r="C11" s="57" t="s">
        <v>4826</v>
      </c>
      <c r="D11" s="57">
        <v>1</v>
      </c>
      <c r="E11" s="57" t="s">
        <v>4827</v>
      </c>
      <c r="F11" s="57" t="s">
        <v>4827</v>
      </c>
      <c r="G11" s="57">
        <v>12.25</v>
      </c>
      <c r="H11" s="57">
        <v>3.95</v>
      </c>
      <c r="I11" s="57">
        <v>4.0999999999999996</v>
      </c>
      <c r="J11" s="57">
        <v>4.1500000000000004</v>
      </c>
      <c r="K11" s="57">
        <v>4.2</v>
      </c>
      <c r="L11" s="57">
        <v>4.0999999999999996</v>
      </c>
      <c r="M11" s="57">
        <v>4.1500000000000004</v>
      </c>
      <c r="N11" s="57">
        <v>4.0999999999999996</v>
      </c>
      <c r="O11" s="57" t="s">
        <v>4827</v>
      </c>
      <c r="P11" s="57">
        <v>0</v>
      </c>
      <c r="Q11" s="58">
        <v>4126303</v>
      </c>
      <c r="R11" s="57">
        <v>171.24</v>
      </c>
      <c r="S11" s="59">
        <v>2997482</v>
      </c>
      <c r="T11" s="57">
        <v>4.0999999999999996</v>
      </c>
      <c r="U11" s="57">
        <v>4.1500000000000004</v>
      </c>
      <c r="V11" s="59">
        <v>1266270</v>
      </c>
      <c r="W11" s="59">
        <v>1043487</v>
      </c>
      <c r="X11" s="57">
        <v>4.05</v>
      </c>
      <c r="Y11" s="57">
        <v>4.2</v>
      </c>
      <c r="Z11" s="59">
        <v>1241078</v>
      </c>
      <c r="AA11" s="59">
        <v>1199328</v>
      </c>
      <c r="AB11" s="57">
        <v>4</v>
      </c>
      <c r="AC11" s="57">
        <v>4.25</v>
      </c>
      <c r="AD11" s="59">
        <v>1771519</v>
      </c>
      <c r="AE11" s="59">
        <v>415232</v>
      </c>
      <c r="AF11" s="57">
        <v>3.95</v>
      </c>
      <c r="AG11" s="57">
        <v>4.3</v>
      </c>
      <c r="AH11" s="59">
        <v>469760</v>
      </c>
      <c r="AI11" s="59">
        <v>278056</v>
      </c>
      <c r="AJ11" s="57">
        <v>3.9</v>
      </c>
      <c r="AK11" s="57">
        <v>4.3499999999999996</v>
      </c>
      <c r="AL11" s="59">
        <v>180394</v>
      </c>
      <c r="AM11" s="59">
        <v>6447594</v>
      </c>
      <c r="AN11" s="59">
        <v>7004457</v>
      </c>
      <c r="AO11" s="60">
        <v>43314</v>
      </c>
      <c r="AP11" s="61" t="s">
        <v>4832</v>
      </c>
      <c r="AQ11" s="76" t="s">
        <v>4828</v>
      </c>
      <c r="AR11" s="76">
        <f t="shared" si="0"/>
        <v>43315.553368055553</v>
      </c>
      <c r="AY11" s="63"/>
      <c r="BA11" s="64"/>
    </row>
    <row r="12" spans="1:53" ht="40.799999999999997" x14ac:dyDescent="0.3">
      <c r="A12" s="56" t="s">
        <v>4825</v>
      </c>
      <c r="B12" s="57" t="s">
        <v>2658</v>
      </c>
      <c r="C12" s="57" t="s">
        <v>4826</v>
      </c>
      <c r="D12" s="57">
        <v>1</v>
      </c>
      <c r="E12" s="57" t="s">
        <v>4827</v>
      </c>
      <c r="F12" s="57" t="s">
        <v>4827</v>
      </c>
      <c r="G12" s="57">
        <v>12.25</v>
      </c>
      <c r="H12" s="57">
        <v>3.95</v>
      </c>
      <c r="I12" s="57">
        <v>4.0999999999999996</v>
      </c>
      <c r="J12" s="57">
        <v>4.1500000000000004</v>
      </c>
      <c r="K12" s="57">
        <v>4.2</v>
      </c>
      <c r="L12" s="57">
        <v>4.0999999999999996</v>
      </c>
      <c r="M12" s="57">
        <v>4.1500000000000004</v>
      </c>
      <c r="N12" s="57">
        <v>4.0999999999999996</v>
      </c>
      <c r="O12" s="57" t="s">
        <v>4827</v>
      </c>
      <c r="P12" s="57">
        <v>0</v>
      </c>
      <c r="Q12" s="58">
        <v>4126303</v>
      </c>
      <c r="R12" s="57">
        <v>171.24</v>
      </c>
      <c r="S12" s="59">
        <v>2997482</v>
      </c>
      <c r="T12" s="57">
        <v>4.0999999999999996</v>
      </c>
      <c r="U12" s="57">
        <v>4.1500000000000004</v>
      </c>
      <c r="V12" s="59">
        <v>1266270</v>
      </c>
      <c r="W12" s="59">
        <v>1043487</v>
      </c>
      <c r="X12" s="57">
        <v>4.05</v>
      </c>
      <c r="Y12" s="57">
        <v>4.2</v>
      </c>
      <c r="Z12" s="59">
        <v>1241078</v>
      </c>
      <c r="AA12" s="59">
        <v>1199328</v>
      </c>
      <c r="AB12" s="57">
        <v>4</v>
      </c>
      <c r="AC12" s="57">
        <v>4.25</v>
      </c>
      <c r="AD12" s="59">
        <v>1771519</v>
      </c>
      <c r="AE12" s="59">
        <v>415232</v>
      </c>
      <c r="AF12" s="57">
        <v>3.95</v>
      </c>
      <c r="AG12" s="57">
        <v>4.3</v>
      </c>
      <c r="AH12" s="59">
        <v>469760</v>
      </c>
      <c r="AI12" s="59">
        <v>278056</v>
      </c>
      <c r="AJ12" s="57">
        <v>3.9</v>
      </c>
      <c r="AK12" s="57">
        <v>4.3499999999999996</v>
      </c>
      <c r="AL12" s="59">
        <v>180394</v>
      </c>
      <c r="AM12" s="59">
        <v>6447594</v>
      </c>
      <c r="AN12" s="59">
        <v>7004457</v>
      </c>
      <c r="AO12" s="60">
        <v>43314</v>
      </c>
      <c r="AP12" s="61" t="s">
        <v>4832</v>
      </c>
      <c r="AQ12" s="76" t="s">
        <v>4828</v>
      </c>
      <c r="AR12" s="76">
        <f t="shared" si="0"/>
        <v>43315.553368055553</v>
      </c>
      <c r="AY12" s="63"/>
      <c r="BA12" s="64"/>
    </row>
    <row r="13" spans="1:53" ht="40.799999999999997" x14ac:dyDescent="0.3">
      <c r="A13" s="56" t="s">
        <v>4825</v>
      </c>
      <c r="B13" s="57" t="s">
        <v>2658</v>
      </c>
      <c r="C13" s="57" t="s">
        <v>4826</v>
      </c>
      <c r="D13" s="57">
        <v>1</v>
      </c>
      <c r="E13" s="57" t="s">
        <v>4827</v>
      </c>
      <c r="F13" s="57" t="s">
        <v>4827</v>
      </c>
      <c r="G13" s="57">
        <v>12.25</v>
      </c>
      <c r="H13" s="57">
        <v>3.95</v>
      </c>
      <c r="I13" s="57">
        <v>4.0999999999999996</v>
      </c>
      <c r="J13" s="57">
        <v>4.1500000000000004</v>
      </c>
      <c r="K13" s="57">
        <v>4.2</v>
      </c>
      <c r="L13" s="57">
        <v>4.0999999999999996</v>
      </c>
      <c r="M13" s="57">
        <v>4.1500000000000004</v>
      </c>
      <c r="N13" s="57">
        <v>4.1500000000000004</v>
      </c>
      <c r="O13" s="57">
        <v>0.05</v>
      </c>
      <c r="P13" s="57">
        <v>1.22</v>
      </c>
      <c r="Q13" s="58">
        <v>4149798</v>
      </c>
      <c r="R13" s="57">
        <v>172.22</v>
      </c>
      <c r="S13" s="59">
        <v>2999170</v>
      </c>
      <c r="T13" s="57">
        <v>4.0999999999999996</v>
      </c>
      <c r="U13" s="57">
        <v>4.1500000000000004</v>
      </c>
      <c r="V13" s="59">
        <v>1155700</v>
      </c>
      <c r="W13" s="59">
        <v>1039947</v>
      </c>
      <c r="X13" s="57">
        <v>4.05</v>
      </c>
      <c r="Y13" s="57">
        <v>4.2</v>
      </c>
      <c r="Z13" s="59">
        <v>1280050</v>
      </c>
      <c r="AA13" s="59">
        <v>1196828</v>
      </c>
      <c r="AB13" s="57">
        <v>4</v>
      </c>
      <c r="AC13" s="57">
        <v>4.25</v>
      </c>
      <c r="AD13" s="59">
        <v>1772519</v>
      </c>
      <c r="AE13" s="59">
        <v>415232</v>
      </c>
      <c r="AF13" s="57">
        <v>3.95</v>
      </c>
      <c r="AG13" s="57">
        <v>4.3</v>
      </c>
      <c r="AH13" s="59">
        <v>476710</v>
      </c>
      <c r="AI13" s="59">
        <v>278056</v>
      </c>
      <c r="AJ13" s="57">
        <v>3.9</v>
      </c>
      <c r="AK13" s="57">
        <v>4.3499999999999996</v>
      </c>
      <c r="AL13" s="59">
        <v>180394</v>
      </c>
      <c r="AM13" s="59">
        <v>6443242</v>
      </c>
      <c r="AN13" s="59">
        <v>6940809</v>
      </c>
      <c r="AO13" s="60">
        <v>43314</v>
      </c>
      <c r="AP13" s="61" t="s">
        <v>4833</v>
      </c>
      <c r="AQ13" s="76" t="s">
        <v>4828</v>
      </c>
      <c r="AR13" s="76">
        <f t="shared" si="0"/>
        <v>43315.555451388886</v>
      </c>
      <c r="AY13" s="63"/>
      <c r="BA13" s="64"/>
    </row>
    <row r="14" spans="1:53" ht="40.799999999999997" x14ac:dyDescent="0.3">
      <c r="A14" s="56" t="s">
        <v>4825</v>
      </c>
      <c r="B14" s="57" t="s">
        <v>2658</v>
      </c>
      <c r="C14" s="57" t="s">
        <v>4826</v>
      </c>
      <c r="D14" s="57">
        <v>1</v>
      </c>
      <c r="E14" s="57" t="s">
        <v>4827</v>
      </c>
      <c r="F14" s="57" t="s">
        <v>4827</v>
      </c>
      <c r="G14" s="57">
        <v>12.25</v>
      </c>
      <c r="H14" s="57">
        <v>3.95</v>
      </c>
      <c r="I14" s="57">
        <v>4.0999999999999996</v>
      </c>
      <c r="J14" s="57">
        <v>4.1500000000000004</v>
      </c>
      <c r="K14" s="57">
        <v>4.2</v>
      </c>
      <c r="L14" s="57">
        <v>4.0999999999999996</v>
      </c>
      <c r="M14" s="57">
        <v>4.1500000000000004</v>
      </c>
      <c r="N14" s="57">
        <v>4.1500000000000004</v>
      </c>
      <c r="O14" s="57">
        <v>0.05</v>
      </c>
      <c r="P14" s="57">
        <v>1.22</v>
      </c>
      <c r="Q14" s="58">
        <v>4149798</v>
      </c>
      <c r="R14" s="57">
        <v>172.22</v>
      </c>
      <c r="S14" s="59">
        <v>2999170</v>
      </c>
      <c r="T14" s="57">
        <v>4.0999999999999996</v>
      </c>
      <c r="U14" s="57">
        <v>4.1500000000000004</v>
      </c>
      <c r="V14" s="59">
        <v>1155700</v>
      </c>
      <c r="W14" s="59">
        <v>1039947</v>
      </c>
      <c r="X14" s="57">
        <v>4.05</v>
      </c>
      <c r="Y14" s="57">
        <v>4.2</v>
      </c>
      <c r="Z14" s="59">
        <v>1280050</v>
      </c>
      <c r="AA14" s="59">
        <v>1196828</v>
      </c>
      <c r="AB14" s="57">
        <v>4</v>
      </c>
      <c r="AC14" s="57">
        <v>4.25</v>
      </c>
      <c r="AD14" s="59">
        <v>1772519</v>
      </c>
      <c r="AE14" s="59">
        <v>415232</v>
      </c>
      <c r="AF14" s="57">
        <v>3.95</v>
      </c>
      <c r="AG14" s="57">
        <v>4.3</v>
      </c>
      <c r="AH14" s="59">
        <v>476710</v>
      </c>
      <c r="AI14" s="59">
        <v>278056</v>
      </c>
      <c r="AJ14" s="57">
        <v>3.9</v>
      </c>
      <c r="AK14" s="57">
        <v>4.3499999999999996</v>
      </c>
      <c r="AL14" s="59">
        <v>180394</v>
      </c>
      <c r="AM14" s="59">
        <v>6443242</v>
      </c>
      <c r="AN14" s="59">
        <v>6940809</v>
      </c>
      <c r="AO14" s="60">
        <v>43314</v>
      </c>
      <c r="AP14" s="61" t="s">
        <v>4833</v>
      </c>
      <c r="AQ14" s="76" t="s">
        <v>4828</v>
      </c>
      <c r="AR14" s="76">
        <f t="shared" si="0"/>
        <v>43315.555451388886</v>
      </c>
      <c r="AY14" s="63"/>
      <c r="BA14" s="64"/>
    </row>
    <row r="15" spans="1:53" ht="40.799999999999997" x14ac:dyDescent="0.3">
      <c r="A15" s="56" t="s">
        <v>4825</v>
      </c>
      <c r="B15" s="57" t="s">
        <v>2658</v>
      </c>
      <c r="C15" s="57" t="s">
        <v>4826</v>
      </c>
      <c r="D15" s="57">
        <v>1</v>
      </c>
      <c r="E15" s="57" t="s">
        <v>4827</v>
      </c>
      <c r="F15" s="57" t="s">
        <v>4827</v>
      </c>
      <c r="G15" s="57">
        <v>12.25</v>
      </c>
      <c r="H15" s="57">
        <v>3.95</v>
      </c>
      <c r="I15" s="57">
        <v>4.0999999999999996</v>
      </c>
      <c r="J15" s="57">
        <v>4.1500000000000004</v>
      </c>
      <c r="K15" s="57">
        <v>4.2</v>
      </c>
      <c r="L15" s="57">
        <v>4.0999999999999996</v>
      </c>
      <c r="M15" s="57">
        <v>4.1500000000000004</v>
      </c>
      <c r="N15" s="57">
        <v>4.0999999999999996</v>
      </c>
      <c r="O15" s="57" t="s">
        <v>4827</v>
      </c>
      <c r="P15" s="57">
        <v>0</v>
      </c>
      <c r="Q15" s="58">
        <v>4150798</v>
      </c>
      <c r="R15" s="57">
        <v>172.26</v>
      </c>
      <c r="S15" s="59">
        <v>2999466</v>
      </c>
      <c r="T15" s="57">
        <v>4.0999999999999996</v>
      </c>
      <c r="U15" s="57">
        <v>4.1500000000000004</v>
      </c>
      <c r="V15" s="59">
        <v>1156700</v>
      </c>
      <c r="W15" s="59">
        <v>1043487</v>
      </c>
      <c r="X15" s="57">
        <v>4.05</v>
      </c>
      <c r="Y15" s="57">
        <v>4.2</v>
      </c>
      <c r="Z15" s="59">
        <v>1282050</v>
      </c>
      <c r="AA15" s="59">
        <v>1201828</v>
      </c>
      <c r="AB15" s="57">
        <v>4</v>
      </c>
      <c r="AC15" s="57">
        <v>4.25</v>
      </c>
      <c r="AD15" s="59">
        <v>1769519</v>
      </c>
      <c r="AE15" s="59">
        <v>415232</v>
      </c>
      <c r="AF15" s="57">
        <v>3.95</v>
      </c>
      <c r="AG15" s="57">
        <v>4.3</v>
      </c>
      <c r="AH15" s="59">
        <v>476710</v>
      </c>
      <c r="AI15" s="59">
        <v>278056</v>
      </c>
      <c r="AJ15" s="57">
        <v>3.9</v>
      </c>
      <c r="AK15" s="57">
        <v>4.3499999999999996</v>
      </c>
      <c r="AL15" s="59">
        <v>180394</v>
      </c>
      <c r="AM15" s="59">
        <v>6451078</v>
      </c>
      <c r="AN15" s="59">
        <v>6938109</v>
      </c>
      <c r="AO15" s="60">
        <v>43314</v>
      </c>
      <c r="AP15" s="61" t="s">
        <v>4834</v>
      </c>
      <c r="AQ15" s="76" t="s">
        <v>4828</v>
      </c>
      <c r="AR15" s="76">
        <f t="shared" si="0"/>
        <v>43315.556493055556</v>
      </c>
      <c r="AY15" s="63"/>
      <c r="BA15" s="64"/>
    </row>
    <row r="16" spans="1:53" ht="40.799999999999997" x14ac:dyDescent="0.3">
      <c r="A16" s="56" t="s">
        <v>4825</v>
      </c>
      <c r="B16" s="57" t="s">
        <v>2658</v>
      </c>
      <c r="C16" s="57" t="s">
        <v>4826</v>
      </c>
      <c r="D16" s="57">
        <v>1</v>
      </c>
      <c r="E16" s="57" t="s">
        <v>4827</v>
      </c>
      <c r="F16" s="57" t="s">
        <v>4827</v>
      </c>
      <c r="G16" s="57">
        <v>12.25</v>
      </c>
      <c r="H16" s="57">
        <v>3.95</v>
      </c>
      <c r="I16" s="57">
        <v>4.0999999999999996</v>
      </c>
      <c r="J16" s="57">
        <v>4.1500000000000004</v>
      </c>
      <c r="K16" s="57">
        <v>4.2</v>
      </c>
      <c r="L16" s="57">
        <v>4.0999999999999996</v>
      </c>
      <c r="M16" s="57">
        <v>4.1500000000000004</v>
      </c>
      <c r="N16" s="57">
        <v>4.0999999999999996</v>
      </c>
      <c r="O16" s="57" t="s">
        <v>4827</v>
      </c>
      <c r="P16" s="57">
        <v>0</v>
      </c>
      <c r="Q16" s="58">
        <v>4150798</v>
      </c>
      <c r="R16" s="57">
        <v>172.26</v>
      </c>
      <c r="S16" s="59">
        <v>2999466</v>
      </c>
      <c r="T16" s="57">
        <v>4.0999999999999996</v>
      </c>
      <c r="U16" s="57">
        <v>4.1500000000000004</v>
      </c>
      <c r="V16" s="59">
        <v>1156700</v>
      </c>
      <c r="W16" s="59">
        <v>1043487</v>
      </c>
      <c r="X16" s="57">
        <v>4.05</v>
      </c>
      <c r="Y16" s="57">
        <v>4.2</v>
      </c>
      <c r="Z16" s="59">
        <v>1282050</v>
      </c>
      <c r="AA16" s="59">
        <v>1201828</v>
      </c>
      <c r="AB16" s="57">
        <v>4</v>
      </c>
      <c r="AC16" s="57">
        <v>4.25</v>
      </c>
      <c r="AD16" s="59">
        <v>1769519</v>
      </c>
      <c r="AE16" s="59">
        <v>415232</v>
      </c>
      <c r="AF16" s="57">
        <v>3.95</v>
      </c>
      <c r="AG16" s="57">
        <v>4.3</v>
      </c>
      <c r="AH16" s="59">
        <v>476710</v>
      </c>
      <c r="AI16" s="59">
        <v>278056</v>
      </c>
      <c r="AJ16" s="57">
        <v>3.9</v>
      </c>
      <c r="AK16" s="57">
        <v>4.3499999999999996</v>
      </c>
      <c r="AL16" s="59">
        <v>180394</v>
      </c>
      <c r="AM16" s="59">
        <v>6451078</v>
      </c>
      <c r="AN16" s="59">
        <v>6938109</v>
      </c>
      <c r="AO16" s="60">
        <v>43314</v>
      </c>
      <c r="AP16" s="61" t="s">
        <v>4834</v>
      </c>
      <c r="AQ16" s="76" t="s">
        <v>4828</v>
      </c>
      <c r="AR16" s="76">
        <f t="shared" si="0"/>
        <v>43315.556493055556</v>
      </c>
      <c r="AY16" s="63"/>
      <c r="BA16" s="64"/>
    </row>
    <row r="17" spans="1:51" ht="40.799999999999997" x14ac:dyDescent="0.3">
      <c r="A17" s="56" t="s">
        <v>4825</v>
      </c>
      <c r="B17" s="57" t="s">
        <v>2658</v>
      </c>
      <c r="C17" s="57" t="s">
        <v>4826</v>
      </c>
      <c r="D17" s="57">
        <v>1</v>
      </c>
      <c r="E17" s="57" t="s">
        <v>4827</v>
      </c>
      <c r="F17" s="57" t="s">
        <v>4827</v>
      </c>
      <c r="G17" s="57">
        <v>12.25</v>
      </c>
      <c r="H17" s="57">
        <v>3.95</v>
      </c>
      <c r="I17" s="57">
        <v>4.0999999999999996</v>
      </c>
      <c r="J17" s="57">
        <v>4.1500000000000004</v>
      </c>
      <c r="K17" s="57">
        <v>4.2</v>
      </c>
      <c r="L17" s="57">
        <v>4.0999999999999996</v>
      </c>
      <c r="M17" s="57">
        <v>4.1500000000000004</v>
      </c>
      <c r="N17" s="57">
        <v>4.1500000000000004</v>
      </c>
      <c r="O17" s="57">
        <v>0.05</v>
      </c>
      <c r="P17" s="57">
        <v>1.22</v>
      </c>
      <c r="Q17" s="58">
        <v>4170564</v>
      </c>
      <c r="R17" s="57">
        <v>173.08</v>
      </c>
      <c r="S17" s="59">
        <v>2995251</v>
      </c>
      <c r="T17" s="57">
        <v>4.0999999999999996</v>
      </c>
      <c r="U17" s="57">
        <v>4.1500000000000004</v>
      </c>
      <c r="V17" s="59">
        <v>1138190</v>
      </c>
      <c r="W17" s="59">
        <v>1045023</v>
      </c>
      <c r="X17" s="57">
        <v>4.05</v>
      </c>
      <c r="Y17" s="57">
        <v>4.2</v>
      </c>
      <c r="Z17" s="59">
        <v>1281809</v>
      </c>
      <c r="AA17" s="59">
        <v>1212228</v>
      </c>
      <c r="AB17" s="57">
        <v>4</v>
      </c>
      <c r="AC17" s="57">
        <v>4.25</v>
      </c>
      <c r="AD17" s="59">
        <v>1769519</v>
      </c>
      <c r="AE17" s="59">
        <v>415232</v>
      </c>
      <c r="AF17" s="57">
        <v>3.95</v>
      </c>
      <c r="AG17" s="57">
        <v>4.3</v>
      </c>
      <c r="AH17" s="59">
        <v>476710</v>
      </c>
      <c r="AI17" s="59">
        <v>278056</v>
      </c>
      <c r="AJ17" s="57">
        <v>3.9</v>
      </c>
      <c r="AK17" s="57">
        <v>4.3499999999999996</v>
      </c>
      <c r="AL17" s="59">
        <v>180394</v>
      </c>
      <c r="AM17" s="59">
        <v>6458799</v>
      </c>
      <c r="AN17" s="59">
        <v>6919358</v>
      </c>
      <c r="AO17" s="60">
        <v>43314</v>
      </c>
      <c r="AP17" s="61" t="s">
        <v>4835</v>
      </c>
      <c r="AQ17" s="76" t="s">
        <v>4828</v>
      </c>
      <c r="AR17" s="76">
        <f t="shared" si="0"/>
        <v>43315.557881944442</v>
      </c>
      <c r="AY17" s="63"/>
    </row>
    <row r="18" spans="1:51" ht="40.799999999999997" x14ac:dyDescent="0.3">
      <c r="A18" s="56" t="s">
        <v>4825</v>
      </c>
      <c r="B18" s="57" t="s">
        <v>2658</v>
      </c>
      <c r="C18" s="57" t="s">
        <v>4826</v>
      </c>
      <c r="D18" s="57">
        <v>1</v>
      </c>
      <c r="E18" s="57" t="s">
        <v>4827</v>
      </c>
      <c r="F18" s="57" t="s">
        <v>4827</v>
      </c>
      <c r="G18" s="57">
        <v>12.25</v>
      </c>
      <c r="H18" s="57">
        <v>3.95</v>
      </c>
      <c r="I18" s="57">
        <v>4.0999999999999996</v>
      </c>
      <c r="J18" s="57">
        <v>4.1500000000000004</v>
      </c>
      <c r="K18" s="57">
        <v>4.2</v>
      </c>
      <c r="L18" s="57">
        <v>4.0999999999999996</v>
      </c>
      <c r="M18" s="57">
        <v>4.1500000000000004</v>
      </c>
      <c r="N18" s="57">
        <v>4.1500000000000004</v>
      </c>
      <c r="O18" s="57">
        <v>0.05</v>
      </c>
      <c r="P18" s="57">
        <v>1.22</v>
      </c>
      <c r="Q18" s="58">
        <v>4170564</v>
      </c>
      <c r="R18" s="57">
        <v>173.08</v>
      </c>
      <c r="S18" s="59">
        <v>2995251</v>
      </c>
      <c r="T18" s="57">
        <v>4.0999999999999996</v>
      </c>
      <c r="U18" s="57">
        <v>4.1500000000000004</v>
      </c>
      <c r="V18" s="59">
        <v>1138190</v>
      </c>
      <c r="W18" s="59">
        <v>1045023</v>
      </c>
      <c r="X18" s="57">
        <v>4.05</v>
      </c>
      <c r="Y18" s="57">
        <v>4.2</v>
      </c>
      <c r="Z18" s="59">
        <v>1281809</v>
      </c>
      <c r="AA18" s="59">
        <v>1212228</v>
      </c>
      <c r="AB18" s="57">
        <v>4</v>
      </c>
      <c r="AC18" s="57">
        <v>4.25</v>
      </c>
      <c r="AD18" s="59">
        <v>1769519</v>
      </c>
      <c r="AE18" s="59">
        <v>415232</v>
      </c>
      <c r="AF18" s="57">
        <v>3.95</v>
      </c>
      <c r="AG18" s="57">
        <v>4.3</v>
      </c>
      <c r="AH18" s="59">
        <v>476710</v>
      </c>
      <c r="AI18" s="59">
        <v>278056</v>
      </c>
      <c r="AJ18" s="57">
        <v>3.9</v>
      </c>
      <c r="AK18" s="57">
        <v>4.3499999999999996</v>
      </c>
      <c r="AL18" s="59">
        <v>180394</v>
      </c>
      <c r="AM18" s="59">
        <v>6458799</v>
      </c>
      <c r="AN18" s="59">
        <v>6919358</v>
      </c>
      <c r="AO18" s="60">
        <v>43314</v>
      </c>
      <c r="AP18" s="61" t="s">
        <v>4835</v>
      </c>
      <c r="AQ18" s="76" t="s">
        <v>4828</v>
      </c>
      <c r="AR18" s="76">
        <f t="shared" si="0"/>
        <v>43315.557881944442</v>
      </c>
      <c r="AY18" s="63"/>
    </row>
    <row r="19" spans="1:51" ht="40.799999999999997" x14ac:dyDescent="0.3">
      <c r="A19" s="56" t="s">
        <v>4825</v>
      </c>
      <c r="B19" s="57" t="s">
        <v>2658</v>
      </c>
      <c r="C19" s="57" t="s">
        <v>4826</v>
      </c>
      <c r="D19" s="57">
        <v>1</v>
      </c>
      <c r="E19" s="57" t="s">
        <v>4827</v>
      </c>
      <c r="F19" s="57" t="s">
        <v>4827</v>
      </c>
      <c r="G19" s="57">
        <v>12.25</v>
      </c>
      <c r="H19" s="57">
        <v>3.95</v>
      </c>
      <c r="I19" s="57">
        <v>4.0999999999999996</v>
      </c>
      <c r="J19" s="57">
        <v>4.1500000000000004</v>
      </c>
      <c r="K19" s="57">
        <v>4.2</v>
      </c>
      <c r="L19" s="57">
        <v>4.0999999999999996</v>
      </c>
      <c r="M19" s="57">
        <v>4.1500000000000004</v>
      </c>
      <c r="N19" s="57">
        <v>4.1500000000000004</v>
      </c>
      <c r="O19" s="57">
        <v>0.05</v>
      </c>
      <c r="P19" s="57">
        <v>1.22</v>
      </c>
      <c r="Q19" s="58">
        <v>4170564</v>
      </c>
      <c r="R19" s="57">
        <v>173.08</v>
      </c>
      <c r="S19" s="59">
        <v>2995251</v>
      </c>
      <c r="T19" s="57">
        <v>4.0999999999999996</v>
      </c>
      <c r="U19" s="57">
        <v>4.1500000000000004</v>
      </c>
      <c r="V19" s="59">
        <v>1138190</v>
      </c>
      <c r="W19" s="59">
        <v>1045023</v>
      </c>
      <c r="X19" s="57">
        <v>4.05</v>
      </c>
      <c r="Y19" s="57">
        <v>4.2</v>
      </c>
      <c r="Z19" s="59">
        <v>1281809</v>
      </c>
      <c r="AA19" s="59">
        <v>1212228</v>
      </c>
      <c r="AB19" s="57">
        <v>4</v>
      </c>
      <c r="AC19" s="57">
        <v>4.25</v>
      </c>
      <c r="AD19" s="59">
        <v>1769519</v>
      </c>
      <c r="AE19" s="59">
        <v>415232</v>
      </c>
      <c r="AF19" s="57">
        <v>3.95</v>
      </c>
      <c r="AG19" s="57">
        <v>4.3</v>
      </c>
      <c r="AH19" s="59">
        <v>476710</v>
      </c>
      <c r="AI19" s="59">
        <v>278056</v>
      </c>
      <c r="AJ19" s="57">
        <v>3.9</v>
      </c>
      <c r="AK19" s="57">
        <v>4.3499999999999996</v>
      </c>
      <c r="AL19" s="59">
        <v>180394</v>
      </c>
      <c r="AM19" s="59">
        <v>6458799</v>
      </c>
      <c r="AN19" s="59">
        <v>6919358</v>
      </c>
      <c r="AO19" s="60">
        <v>43314</v>
      </c>
      <c r="AP19" s="61" t="s">
        <v>4835</v>
      </c>
      <c r="AQ19" s="77" t="s">
        <v>4828</v>
      </c>
      <c r="AR19" s="76">
        <f t="shared" si="0"/>
        <v>43315.557881944442</v>
      </c>
    </row>
    <row r="20" spans="1:51" ht="40.799999999999997" x14ac:dyDescent="0.3">
      <c r="A20" s="56" t="s">
        <v>4825</v>
      </c>
      <c r="B20" s="57" t="s">
        <v>2658</v>
      </c>
      <c r="C20" s="57" t="s">
        <v>4826</v>
      </c>
      <c r="D20" s="57">
        <v>1</v>
      </c>
      <c r="E20" s="57" t="s">
        <v>4827</v>
      </c>
      <c r="F20" s="57" t="s">
        <v>4827</v>
      </c>
      <c r="G20" s="57">
        <v>12.25</v>
      </c>
      <c r="H20" s="57">
        <v>3.95</v>
      </c>
      <c r="I20" s="57">
        <v>4.0999999999999996</v>
      </c>
      <c r="J20" s="57">
        <v>4.1500000000000004</v>
      </c>
      <c r="K20" s="57">
        <v>4.2</v>
      </c>
      <c r="L20" s="57">
        <v>4.0999999999999996</v>
      </c>
      <c r="M20" s="57">
        <v>4.1500000000000004</v>
      </c>
      <c r="N20" s="57">
        <v>4.0999999999999996</v>
      </c>
      <c r="O20" s="57" t="s">
        <v>4827</v>
      </c>
      <c r="P20" s="57">
        <v>0</v>
      </c>
      <c r="Q20" s="58">
        <v>4183785</v>
      </c>
      <c r="R20" s="57">
        <v>173.63</v>
      </c>
      <c r="S20" s="59">
        <v>3011826</v>
      </c>
      <c r="T20" s="57">
        <v>4.0999999999999996</v>
      </c>
      <c r="U20" s="57">
        <v>4.1500000000000004</v>
      </c>
      <c r="V20" s="59">
        <v>1131538</v>
      </c>
      <c r="W20" s="59">
        <v>1052563</v>
      </c>
      <c r="X20" s="57">
        <v>4.05</v>
      </c>
      <c r="Y20" s="57">
        <v>4.2</v>
      </c>
      <c r="Z20" s="59">
        <v>2271809</v>
      </c>
      <c r="AA20" s="59">
        <v>1244778</v>
      </c>
      <c r="AB20" s="57">
        <v>4</v>
      </c>
      <c r="AC20" s="57">
        <v>4.25</v>
      </c>
      <c r="AD20" s="59">
        <v>1794519</v>
      </c>
      <c r="AE20" s="59">
        <v>415232</v>
      </c>
      <c r="AF20" s="57">
        <v>3.95</v>
      </c>
      <c r="AG20" s="57">
        <v>4.3</v>
      </c>
      <c r="AH20" s="59">
        <v>492710</v>
      </c>
      <c r="AI20" s="59">
        <v>278056</v>
      </c>
      <c r="AJ20" s="57">
        <v>3.9</v>
      </c>
      <c r="AK20" s="57">
        <v>4.3499999999999996</v>
      </c>
      <c r="AL20" s="59">
        <v>180394</v>
      </c>
      <c r="AM20" s="59">
        <v>6515964</v>
      </c>
      <c r="AN20" s="59">
        <v>7953706</v>
      </c>
      <c r="AO20" s="60">
        <v>43314</v>
      </c>
      <c r="AP20" s="61" t="s">
        <v>4836</v>
      </c>
      <c r="AQ20" s="77" t="s">
        <v>4828</v>
      </c>
      <c r="AR20" s="76">
        <f t="shared" si="0"/>
        <v>43315.559965277775</v>
      </c>
    </row>
    <row r="21" spans="1:51" ht="40.799999999999997" x14ac:dyDescent="0.3">
      <c r="A21" s="56" t="s">
        <v>4825</v>
      </c>
      <c r="B21" s="57" t="s">
        <v>2658</v>
      </c>
      <c r="C21" s="57" t="s">
        <v>4826</v>
      </c>
      <c r="D21" s="57">
        <v>1</v>
      </c>
      <c r="E21" s="57" t="s">
        <v>4827</v>
      </c>
      <c r="F21" s="57" t="s">
        <v>4827</v>
      </c>
      <c r="G21" s="57">
        <v>12.25</v>
      </c>
      <c r="H21" s="57">
        <v>3.95</v>
      </c>
      <c r="I21" s="57">
        <v>4.0999999999999996</v>
      </c>
      <c r="J21" s="57">
        <v>4.1500000000000004</v>
      </c>
      <c r="K21" s="57">
        <v>4.2</v>
      </c>
      <c r="L21" s="57">
        <v>4.0999999999999996</v>
      </c>
      <c r="M21" s="57">
        <v>4.1500000000000004</v>
      </c>
      <c r="N21" s="57">
        <v>4.0999999999999996</v>
      </c>
      <c r="O21" s="57" t="s">
        <v>4827</v>
      </c>
      <c r="P21" s="57">
        <v>0</v>
      </c>
      <c r="Q21" s="58">
        <v>4183785</v>
      </c>
      <c r="R21" s="57">
        <v>173.63</v>
      </c>
      <c r="S21" s="59">
        <v>3011826</v>
      </c>
      <c r="T21" s="57">
        <v>4.0999999999999996</v>
      </c>
      <c r="U21" s="57">
        <v>4.1500000000000004</v>
      </c>
      <c r="V21" s="59">
        <v>1131538</v>
      </c>
      <c r="W21" s="59">
        <v>1052563</v>
      </c>
      <c r="X21" s="57">
        <v>4.05</v>
      </c>
      <c r="Y21" s="57">
        <v>4.2</v>
      </c>
      <c r="Z21" s="59">
        <v>2271809</v>
      </c>
      <c r="AA21" s="59">
        <v>1244778</v>
      </c>
      <c r="AB21" s="57">
        <v>4</v>
      </c>
      <c r="AC21" s="57">
        <v>4.25</v>
      </c>
      <c r="AD21" s="59">
        <v>1794519</v>
      </c>
      <c r="AE21" s="59">
        <v>415232</v>
      </c>
      <c r="AF21" s="57">
        <v>3.95</v>
      </c>
      <c r="AG21" s="57">
        <v>4.3</v>
      </c>
      <c r="AH21" s="59">
        <v>492710</v>
      </c>
      <c r="AI21" s="59">
        <v>278056</v>
      </c>
      <c r="AJ21" s="57">
        <v>3.9</v>
      </c>
      <c r="AK21" s="57">
        <v>4.3499999999999996</v>
      </c>
      <c r="AL21" s="59">
        <v>180394</v>
      </c>
      <c r="AM21" s="59">
        <v>6515964</v>
      </c>
      <c r="AN21" s="59">
        <v>7953706</v>
      </c>
      <c r="AO21" s="60">
        <v>43314</v>
      </c>
      <c r="AP21" s="61" t="s">
        <v>4836</v>
      </c>
      <c r="AQ21" s="77" t="s">
        <v>4828</v>
      </c>
      <c r="AR21" s="76">
        <f t="shared" si="0"/>
        <v>43315.559965277775</v>
      </c>
    </row>
    <row r="22" spans="1:51" ht="40.799999999999997" x14ac:dyDescent="0.3">
      <c r="A22" s="56" t="s">
        <v>4825</v>
      </c>
      <c r="B22" s="57" t="s">
        <v>2658</v>
      </c>
      <c r="C22" s="57" t="s">
        <v>4826</v>
      </c>
      <c r="D22" s="57">
        <v>1</v>
      </c>
      <c r="E22" s="57" t="s">
        <v>4827</v>
      </c>
      <c r="F22" s="57" t="s">
        <v>4827</v>
      </c>
      <c r="G22" s="57">
        <v>12.25</v>
      </c>
      <c r="H22" s="57">
        <v>3.95</v>
      </c>
      <c r="I22" s="57">
        <v>4.0999999999999996</v>
      </c>
      <c r="J22" s="57">
        <v>4.1500000000000004</v>
      </c>
      <c r="K22" s="57">
        <v>4.2</v>
      </c>
      <c r="L22" s="57">
        <v>4.0999999999999996</v>
      </c>
      <c r="M22" s="57">
        <v>4.1500000000000004</v>
      </c>
      <c r="N22" s="57">
        <v>4.0999999999999996</v>
      </c>
      <c r="O22" s="57" t="s">
        <v>4827</v>
      </c>
      <c r="P22" s="57">
        <v>0</v>
      </c>
      <c r="Q22" s="58">
        <v>4183785</v>
      </c>
      <c r="R22" s="57">
        <v>173.63</v>
      </c>
      <c r="S22" s="59">
        <v>3011826</v>
      </c>
      <c r="T22" s="57">
        <v>4.0999999999999996</v>
      </c>
      <c r="U22" s="57">
        <v>4.1500000000000004</v>
      </c>
      <c r="V22" s="59">
        <v>1131538</v>
      </c>
      <c r="W22" s="59">
        <v>1052563</v>
      </c>
      <c r="X22" s="57">
        <v>4.05</v>
      </c>
      <c r="Y22" s="57">
        <v>4.2</v>
      </c>
      <c r="Z22" s="59">
        <v>2271809</v>
      </c>
      <c r="AA22" s="59">
        <v>1244778</v>
      </c>
      <c r="AB22" s="57">
        <v>4</v>
      </c>
      <c r="AC22" s="57">
        <v>4.25</v>
      </c>
      <c r="AD22" s="59">
        <v>1794519</v>
      </c>
      <c r="AE22" s="59">
        <v>415232</v>
      </c>
      <c r="AF22" s="57">
        <v>3.95</v>
      </c>
      <c r="AG22" s="57">
        <v>4.3</v>
      </c>
      <c r="AH22" s="59">
        <v>492710</v>
      </c>
      <c r="AI22" s="59">
        <v>278056</v>
      </c>
      <c r="AJ22" s="57">
        <v>3.9</v>
      </c>
      <c r="AK22" s="57">
        <v>4.3499999999999996</v>
      </c>
      <c r="AL22" s="59">
        <v>180394</v>
      </c>
      <c r="AM22" s="59">
        <v>6515964</v>
      </c>
      <c r="AN22" s="59">
        <v>7953706</v>
      </c>
      <c r="AO22" s="60">
        <v>43314</v>
      </c>
      <c r="AP22" s="61" t="s">
        <v>4836</v>
      </c>
      <c r="AQ22" s="77" t="s">
        <v>4828</v>
      </c>
      <c r="AR22" s="76">
        <f t="shared" si="0"/>
        <v>43315.559965277775</v>
      </c>
    </row>
    <row r="23" spans="1:51" x14ac:dyDescent="0.3">
      <c r="A23" s="56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8"/>
      <c r="R23" s="57"/>
      <c r="S23" s="59"/>
      <c r="T23" s="57"/>
      <c r="U23" s="57"/>
      <c r="V23" s="59"/>
      <c r="W23" s="59"/>
      <c r="X23" s="57"/>
      <c r="Y23" s="57"/>
      <c r="Z23" s="59"/>
      <c r="AA23" s="59"/>
      <c r="AB23" s="57"/>
      <c r="AC23" s="57"/>
      <c r="AD23" s="59"/>
      <c r="AE23" s="59"/>
      <c r="AF23" s="57"/>
      <c r="AG23" s="57"/>
      <c r="AH23" s="59"/>
      <c r="AI23" s="59"/>
      <c r="AJ23" s="57"/>
      <c r="AK23" s="57"/>
      <c r="AL23" s="59"/>
      <c r="AM23" s="59"/>
      <c r="AN23" s="59"/>
      <c r="AO23" s="60"/>
      <c r="AP23" s="61"/>
      <c r="AQ23" s="77"/>
      <c r="AR23" s="76" t="e">
        <f t="shared" si="0"/>
        <v>#VALUE!</v>
      </c>
    </row>
    <row r="24" spans="1:51" ht="40.799999999999997" x14ac:dyDescent="0.3">
      <c r="A24" s="56" t="s">
        <v>4825</v>
      </c>
      <c r="B24" s="57" t="s">
        <v>2658</v>
      </c>
      <c r="C24" s="57" t="s">
        <v>4826</v>
      </c>
      <c r="D24" s="57">
        <v>1</v>
      </c>
      <c r="E24" s="57" t="s">
        <v>4827</v>
      </c>
      <c r="F24" s="57" t="s">
        <v>4827</v>
      </c>
      <c r="G24" s="57">
        <v>12.25</v>
      </c>
      <c r="H24" s="57">
        <v>3.95</v>
      </c>
      <c r="I24" s="57">
        <v>4.0999999999999996</v>
      </c>
      <c r="J24" s="57">
        <v>4.1500000000000004</v>
      </c>
      <c r="K24" s="57">
        <v>4.2</v>
      </c>
      <c r="L24" s="57">
        <v>4.0999999999999996</v>
      </c>
      <c r="M24" s="57">
        <v>4.1500000000000004</v>
      </c>
      <c r="N24" s="57">
        <v>4.1500000000000004</v>
      </c>
      <c r="O24" s="57">
        <v>0.05</v>
      </c>
      <c r="P24" s="57">
        <v>1.22</v>
      </c>
      <c r="Q24" s="58">
        <v>4187139</v>
      </c>
      <c r="R24" s="57">
        <v>173.77</v>
      </c>
      <c r="S24" s="59">
        <v>3002283</v>
      </c>
      <c r="T24" s="57">
        <v>4.0999999999999996</v>
      </c>
      <c r="U24" s="57">
        <v>4.1500000000000004</v>
      </c>
      <c r="V24" s="59">
        <v>1131087</v>
      </c>
      <c r="W24" s="59">
        <v>1049023</v>
      </c>
      <c r="X24" s="57">
        <v>4.05</v>
      </c>
      <c r="Y24" s="57">
        <v>4.2</v>
      </c>
      <c r="Z24" s="59">
        <v>2288809</v>
      </c>
      <c r="AA24" s="59">
        <v>1244778</v>
      </c>
      <c r="AB24" s="57">
        <v>4</v>
      </c>
      <c r="AC24" s="57">
        <v>4.25</v>
      </c>
      <c r="AD24" s="59">
        <v>1784509</v>
      </c>
      <c r="AE24" s="59">
        <v>415232</v>
      </c>
      <c r="AF24" s="57">
        <v>3.95</v>
      </c>
      <c r="AG24" s="57">
        <v>4.3</v>
      </c>
      <c r="AH24" s="59">
        <v>492710</v>
      </c>
      <c r="AI24" s="59">
        <v>278056</v>
      </c>
      <c r="AJ24" s="57">
        <v>3.9</v>
      </c>
      <c r="AK24" s="57">
        <v>4.3499999999999996</v>
      </c>
      <c r="AL24" s="59">
        <v>170894</v>
      </c>
      <c r="AM24" s="59">
        <v>6502881</v>
      </c>
      <c r="AN24" s="59">
        <v>7960245</v>
      </c>
      <c r="AO24" s="60">
        <v>43314</v>
      </c>
      <c r="AP24" s="61" t="s">
        <v>4837</v>
      </c>
      <c r="AQ24" s="77" t="s">
        <v>4828</v>
      </c>
      <c r="AR24" s="76">
        <f t="shared" si="0"/>
        <v>43315.562048611115</v>
      </c>
    </row>
    <row r="25" spans="1:51" ht="40.799999999999997" x14ac:dyDescent="0.3">
      <c r="A25" s="56" t="s">
        <v>4825</v>
      </c>
      <c r="B25" s="57" t="s">
        <v>2658</v>
      </c>
      <c r="C25" s="57" t="s">
        <v>4826</v>
      </c>
      <c r="D25" s="57">
        <v>1</v>
      </c>
      <c r="E25" s="57" t="s">
        <v>4827</v>
      </c>
      <c r="F25" s="57" t="s">
        <v>4827</v>
      </c>
      <c r="G25" s="57">
        <v>12.25</v>
      </c>
      <c r="H25" s="57">
        <v>3.95</v>
      </c>
      <c r="I25" s="57">
        <v>4.0999999999999996</v>
      </c>
      <c r="J25" s="57">
        <v>4.1500000000000004</v>
      </c>
      <c r="K25" s="57">
        <v>4.2</v>
      </c>
      <c r="L25" s="57">
        <v>4.0999999999999996</v>
      </c>
      <c r="M25" s="57">
        <v>4.1500000000000004</v>
      </c>
      <c r="N25" s="57">
        <v>4.1500000000000004</v>
      </c>
      <c r="O25" s="57">
        <v>0.05</v>
      </c>
      <c r="P25" s="57">
        <v>1.22</v>
      </c>
      <c r="Q25" s="58">
        <v>4187139</v>
      </c>
      <c r="R25" s="57">
        <v>173.77</v>
      </c>
      <c r="S25" s="59">
        <v>3002283</v>
      </c>
      <c r="T25" s="57">
        <v>4.0999999999999996</v>
      </c>
      <c r="U25" s="57">
        <v>4.1500000000000004</v>
      </c>
      <c r="V25" s="59">
        <v>1131087</v>
      </c>
      <c r="W25" s="59">
        <v>1049023</v>
      </c>
      <c r="X25" s="57">
        <v>4.05</v>
      </c>
      <c r="Y25" s="57">
        <v>4.2</v>
      </c>
      <c r="Z25" s="59">
        <v>2288809</v>
      </c>
      <c r="AA25" s="59">
        <v>1244778</v>
      </c>
      <c r="AB25" s="57">
        <v>4</v>
      </c>
      <c r="AC25" s="57">
        <v>4.25</v>
      </c>
      <c r="AD25" s="59">
        <v>1784509</v>
      </c>
      <c r="AE25" s="59">
        <v>415232</v>
      </c>
      <c r="AF25" s="57">
        <v>3.95</v>
      </c>
      <c r="AG25" s="57">
        <v>4.3</v>
      </c>
      <c r="AH25" s="59">
        <v>492710</v>
      </c>
      <c r="AI25" s="59">
        <v>278056</v>
      </c>
      <c r="AJ25" s="57">
        <v>3.9</v>
      </c>
      <c r="AK25" s="57">
        <v>4.3499999999999996</v>
      </c>
      <c r="AL25" s="59">
        <v>170894</v>
      </c>
      <c r="AM25" s="59">
        <v>6502881</v>
      </c>
      <c r="AN25" s="59">
        <v>7960245</v>
      </c>
      <c r="AO25" s="60">
        <v>43314</v>
      </c>
      <c r="AP25" s="61" t="s">
        <v>4837</v>
      </c>
      <c r="AQ25" s="77" t="s">
        <v>4828</v>
      </c>
      <c r="AR25" s="76">
        <f t="shared" si="0"/>
        <v>43315.562048611115</v>
      </c>
    </row>
    <row r="26" spans="1:51" ht="40.799999999999997" x14ac:dyDescent="0.3">
      <c r="A26" s="56" t="s">
        <v>4825</v>
      </c>
      <c r="B26" s="57" t="s">
        <v>2658</v>
      </c>
      <c r="C26" s="57" t="s">
        <v>4826</v>
      </c>
      <c r="D26" s="57">
        <v>1</v>
      </c>
      <c r="E26" s="57" t="s">
        <v>4827</v>
      </c>
      <c r="F26" s="57" t="s">
        <v>4827</v>
      </c>
      <c r="G26" s="57">
        <v>12.25</v>
      </c>
      <c r="H26" s="57">
        <v>3.95</v>
      </c>
      <c r="I26" s="57">
        <v>4.0999999999999996</v>
      </c>
      <c r="J26" s="57">
        <v>4.1500000000000004</v>
      </c>
      <c r="K26" s="57">
        <v>4.2</v>
      </c>
      <c r="L26" s="57">
        <v>4.0999999999999996</v>
      </c>
      <c r="M26" s="57">
        <v>4.1500000000000004</v>
      </c>
      <c r="N26" s="57">
        <v>4.1500000000000004</v>
      </c>
      <c r="O26" s="57">
        <v>0.05</v>
      </c>
      <c r="P26" s="57">
        <v>1.22</v>
      </c>
      <c r="Q26" s="58">
        <v>4187139</v>
      </c>
      <c r="R26" s="57">
        <v>173.77</v>
      </c>
      <c r="S26" s="59">
        <v>3002283</v>
      </c>
      <c r="T26" s="57">
        <v>4.0999999999999996</v>
      </c>
      <c r="U26" s="57">
        <v>4.1500000000000004</v>
      </c>
      <c r="V26" s="59">
        <v>1131087</v>
      </c>
      <c r="W26" s="59">
        <v>1049023</v>
      </c>
      <c r="X26" s="57">
        <v>4.05</v>
      </c>
      <c r="Y26" s="57">
        <v>4.2</v>
      </c>
      <c r="Z26" s="59">
        <v>2288809</v>
      </c>
      <c r="AA26" s="59">
        <v>1244778</v>
      </c>
      <c r="AB26" s="57">
        <v>4</v>
      </c>
      <c r="AC26" s="57">
        <v>4.25</v>
      </c>
      <c r="AD26" s="59">
        <v>1784509</v>
      </c>
      <c r="AE26" s="59">
        <v>415232</v>
      </c>
      <c r="AF26" s="57">
        <v>3.95</v>
      </c>
      <c r="AG26" s="57">
        <v>4.3</v>
      </c>
      <c r="AH26" s="59">
        <v>492710</v>
      </c>
      <c r="AI26" s="59">
        <v>278056</v>
      </c>
      <c r="AJ26" s="57">
        <v>3.9</v>
      </c>
      <c r="AK26" s="57">
        <v>4.3499999999999996</v>
      </c>
      <c r="AL26" s="59">
        <v>170894</v>
      </c>
      <c r="AM26" s="59">
        <v>6502881</v>
      </c>
      <c r="AN26" s="59">
        <v>7960245</v>
      </c>
      <c r="AO26" s="60">
        <v>43314</v>
      </c>
      <c r="AP26" s="61" t="s">
        <v>4837</v>
      </c>
      <c r="AQ26" s="77" t="s">
        <v>4828</v>
      </c>
      <c r="AR26" s="76">
        <f t="shared" si="0"/>
        <v>43315.562048611115</v>
      </c>
    </row>
    <row r="27" spans="1:51" ht="40.799999999999997" x14ac:dyDescent="0.3">
      <c r="A27" s="56" t="s">
        <v>4825</v>
      </c>
      <c r="B27" s="57" t="s">
        <v>2658</v>
      </c>
      <c r="C27" s="57" t="s">
        <v>4826</v>
      </c>
      <c r="D27" s="57">
        <v>1</v>
      </c>
      <c r="E27" s="57" t="s">
        <v>4827</v>
      </c>
      <c r="F27" s="57" t="s">
        <v>4827</v>
      </c>
      <c r="G27" s="57">
        <v>12.25</v>
      </c>
      <c r="H27" s="57">
        <v>3.95</v>
      </c>
      <c r="I27" s="57">
        <v>4.0999999999999996</v>
      </c>
      <c r="J27" s="57">
        <v>4.1500000000000004</v>
      </c>
      <c r="K27" s="57">
        <v>4.2</v>
      </c>
      <c r="L27" s="57">
        <v>4.0999999999999996</v>
      </c>
      <c r="M27" s="57">
        <v>4.1500000000000004</v>
      </c>
      <c r="N27" s="57">
        <v>4.1500000000000004</v>
      </c>
      <c r="O27" s="57">
        <v>0.05</v>
      </c>
      <c r="P27" s="57">
        <v>1.22</v>
      </c>
      <c r="Q27" s="58">
        <v>4204199</v>
      </c>
      <c r="R27" s="57">
        <v>174.47</v>
      </c>
      <c r="S27" s="59">
        <v>2995293</v>
      </c>
      <c r="T27" s="57">
        <v>4.0999999999999996</v>
      </c>
      <c r="U27" s="57">
        <v>4.1500000000000004</v>
      </c>
      <c r="V27" s="59">
        <v>1124340</v>
      </c>
      <c r="W27" s="59">
        <v>1049145</v>
      </c>
      <c r="X27" s="57">
        <v>4.05</v>
      </c>
      <c r="Y27" s="57">
        <v>4.2</v>
      </c>
      <c r="Z27" s="59">
        <v>2300259</v>
      </c>
      <c r="AA27" s="59">
        <v>1253328</v>
      </c>
      <c r="AB27" s="57">
        <v>4</v>
      </c>
      <c r="AC27" s="57">
        <v>4.25</v>
      </c>
      <c r="AD27" s="59">
        <v>1774509</v>
      </c>
      <c r="AE27" s="59">
        <v>416232</v>
      </c>
      <c r="AF27" s="57">
        <v>3.95</v>
      </c>
      <c r="AG27" s="57">
        <v>4.3</v>
      </c>
      <c r="AH27" s="59">
        <v>492710</v>
      </c>
      <c r="AI27" s="59">
        <v>278056</v>
      </c>
      <c r="AJ27" s="57">
        <v>3.9</v>
      </c>
      <c r="AK27" s="57">
        <v>4.3499999999999996</v>
      </c>
      <c r="AL27" s="59">
        <v>170894</v>
      </c>
      <c r="AM27" s="59">
        <v>6516563</v>
      </c>
      <c r="AN27" s="59">
        <v>7982948</v>
      </c>
      <c r="AO27" s="60">
        <v>43314</v>
      </c>
      <c r="AP27" s="61" t="s">
        <v>4838</v>
      </c>
      <c r="AQ27" s="77" t="s">
        <v>4828</v>
      </c>
      <c r="AR27" s="76">
        <f t="shared" si="0"/>
        <v>43315.564479166664</v>
      </c>
    </row>
    <row r="28" spans="1:51" ht="40.799999999999997" x14ac:dyDescent="0.3">
      <c r="A28" s="56" t="s">
        <v>4825</v>
      </c>
      <c r="B28" s="57" t="s">
        <v>2658</v>
      </c>
      <c r="C28" s="57" t="s">
        <v>4826</v>
      </c>
      <c r="D28" s="57">
        <v>1</v>
      </c>
      <c r="E28" s="57" t="s">
        <v>4827</v>
      </c>
      <c r="F28" s="57" t="s">
        <v>4827</v>
      </c>
      <c r="G28" s="57">
        <v>12.25</v>
      </c>
      <c r="H28" s="57">
        <v>3.95</v>
      </c>
      <c r="I28" s="57">
        <v>4.0999999999999996</v>
      </c>
      <c r="J28" s="57">
        <v>4.1500000000000004</v>
      </c>
      <c r="K28" s="57">
        <v>4.2</v>
      </c>
      <c r="L28" s="57">
        <v>4.0999999999999996</v>
      </c>
      <c r="M28" s="57">
        <v>4.1500000000000004</v>
      </c>
      <c r="N28" s="57">
        <v>4.1500000000000004</v>
      </c>
      <c r="O28" s="57">
        <v>0.05</v>
      </c>
      <c r="P28" s="57">
        <v>1.22</v>
      </c>
      <c r="Q28" s="58">
        <v>4204199</v>
      </c>
      <c r="R28" s="57">
        <v>174.47</v>
      </c>
      <c r="S28" s="59">
        <v>2995293</v>
      </c>
      <c r="T28" s="57">
        <v>4.0999999999999996</v>
      </c>
      <c r="U28" s="57">
        <v>4.1500000000000004</v>
      </c>
      <c r="V28" s="59">
        <v>1124340</v>
      </c>
      <c r="W28" s="59">
        <v>1049145</v>
      </c>
      <c r="X28" s="57">
        <v>4.05</v>
      </c>
      <c r="Y28" s="57">
        <v>4.2</v>
      </c>
      <c r="Z28" s="59">
        <v>2300259</v>
      </c>
      <c r="AA28" s="59">
        <v>1253328</v>
      </c>
      <c r="AB28" s="57">
        <v>4</v>
      </c>
      <c r="AC28" s="57">
        <v>4.25</v>
      </c>
      <c r="AD28" s="59">
        <v>1774509</v>
      </c>
      <c r="AE28" s="59">
        <v>416232</v>
      </c>
      <c r="AF28" s="57">
        <v>3.95</v>
      </c>
      <c r="AG28" s="57">
        <v>4.3</v>
      </c>
      <c r="AH28" s="59">
        <v>492710</v>
      </c>
      <c r="AI28" s="59">
        <v>278056</v>
      </c>
      <c r="AJ28" s="57">
        <v>3.9</v>
      </c>
      <c r="AK28" s="57">
        <v>4.3499999999999996</v>
      </c>
      <c r="AL28" s="59">
        <v>170894</v>
      </c>
      <c r="AM28" s="59">
        <v>6516563</v>
      </c>
      <c r="AN28" s="59">
        <v>7982948</v>
      </c>
      <c r="AO28" s="60">
        <v>43314</v>
      </c>
      <c r="AP28" s="61" t="s">
        <v>4838</v>
      </c>
      <c r="AQ28" s="77" t="s">
        <v>4828</v>
      </c>
      <c r="AR28" s="76">
        <f t="shared" si="0"/>
        <v>43315.564479166664</v>
      </c>
    </row>
    <row r="29" spans="1:51" ht="40.799999999999997" x14ac:dyDescent="0.3">
      <c r="A29" s="56" t="s">
        <v>4825</v>
      </c>
      <c r="B29" s="57" t="s">
        <v>2658</v>
      </c>
      <c r="C29" s="57" t="s">
        <v>4826</v>
      </c>
      <c r="D29" s="57">
        <v>1</v>
      </c>
      <c r="E29" s="57" t="s">
        <v>4827</v>
      </c>
      <c r="F29" s="57" t="s">
        <v>4827</v>
      </c>
      <c r="G29" s="57">
        <v>12.25</v>
      </c>
      <c r="H29" s="57">
        <v>3.95</v>
      </c>
      <c r="I29" s="57">
        <v>4.0999999999999996</v>
      </c>
      <c r="J29" s="57">
        <v>4.1500000000000004</v>
      </c>
      <c r="K29" s="57">
        <v>4.2</v>
      </c>
      <c r="L29" s="57">
        <v>4.0999999999999996</v>
      </c>
      <c r="M29" s="57">
        <v>4.1500000000000004</v>
      </c>
      <c r="N29" s="57">
        <v>4.1500000000000004</v>
      </c>
      <c r="O29" s="57">
        <v>0.05</v>
      </c>
      <c r="P29" s="57">
        <v>1.22</v>
      </c>
      <c r="Q29" s="58">
        <v>4204199</v>
      </c>
      <c r="R29" s="57">
        <v>174.47</v>
      </c>
      <c r="S29" s="59">
        <v>2995293</v>
      </c>
      <c r="T29" s="57">
        <v>4.0999999999999996</v>
      </c>
      <c r="U29" s="57">
        <v>4.1500000000000004</v>
      </c>
      <c r="V29" s="59">
        <v>1124340</v>
      </c>
      <c r="W29" s="59">
        <v>1049145</v>
      </c>
      <c r="X29" s="57">
        <v>4.05</v>
      </c>
      <c r="Y29" s="57">
        <v>4.2</v>
      </c>
      <c r="Z29" s="59">
        <v>2300259</v>
      </c>
      <c r="AA29" s="59">
        <v>1253328</v>
      </c>
      <c r="AB29" s="57">
        <v>4</v>
      </c>
      <c r="AC29" s="57">
        <v>4.25</v>
      </c>
      <c r="AD29" s="59">
        <v>1774509</v>
      </c>
      <c r="AE29" s="59">
        <v>416232</v>
      </c>
      <c r="AF29" s="57">
        <v>3.95</v>
      </c>
      <c r="AG29" s="57">
        <v>4.3</v>
      </c>
      <c r="AH29" s="59">
        <v>492710</v>
      </c>
      <c r="AI29" s="59">
        <v>278056</v>
      </c>
      <c r="AJ29" s="57">
        <v>3.9</v>
      </c>
      <c r="AK29" s="57">
        <v>4.3499999999999996</v>
      </c>
      <c r="AL29" s="59">
        <v>170894</v>
      </c>
      <c r="AM29" s="59">
        <v>6516563</v>
      </c>
      <c r="AN29" s="59">
        <v>7982948</v>
      </c>
      <c r="AO29" s="60">
        <v>43314</v>
      </c>
      <c r="AP29" s="61" t="s">
        <v>4838</v>
      </c>
      <c r="AQ29" s="77" t="s">
        <v>4828</v>
      </c>
      <c r="AR29" s="76">
        <f t="shared" si="0"/>
        <v>43315.564479166664</v>
      </c>
    </row>
    <row r="30" spans="1:51" ht="40.799999999999997" x14ac:dyDescent="0.3">
      <c r="A30" s="56" t="s">
        <v>4825</v>
      </c>
      <c r="B30" s="57" t="s">
        <v>2658</v>
      </c>
      <c r="C30" s="57" t="s">
        <v>4826</v>
      </c>
      <c r="D30" s="57">
        <v>1</v>
      </c>
      <c r="E30" s="57" t="s">
        <v>4827</v>
      </c>
      <c r="F30" s="57" t="s">
        <v>4827</v>
      </c>
      <c r="G30" s="57">
        <v>12.25</v>
      </c>
      <c r="H30" s="57">
        <v>3.95</v>
      </c>
      <c r="I30" s="57">
        <v>4.0999999999999996</v>
      </c>
      <c r="J30" s="57">
        <v>4.1500000000000004</v>
      </c>
      <c r="K30" s="57">
        <v>4.2</v>
      </c>
      <c r="L30" s="57">
        <v>4.0999999999999996</v>
      </c>
      <c r="M30" s="57">
        <v>4.1500000000000004</v>
      </c>
      <c r="N30" s="57">
        <v>4.1500000000000004</v>
      </c>
      <c r="O30" s="57">
        <v>0.05</v>
      </c>
      <c r="P30" s="57">
        <v>1.22</v>
      </c>
      <c r="Q30" s="58">
        <v>4204199</v>
      </c>
      <c r="R30" s="57">
        <v>174.47</v>
      </c>
      <c r="S30" s="59">
        <v>2995293</v>
      </c>
      <c r="T30" s="57">
        <v>4.0999999999999996</v>
      </c>
      <c r="U30" s="57">
        <v>4.1500000000000004</v>
      </c>
      <c r="V30" s="59">
        <v>1124340</v>
      </c>
      <c r="W30" s="59">
        <v>1049145</v>
      </c>
      <c r="X30" s="57">
        <v>4.05</v>
      </c>
      <c r="Y30" s="57">
        <v>4.2</v>
      </c>
      <c r="Z30" s="59">
        <v>2300259</v>
      </c>
      <c r="AA30" s="59">
        <v>1253328</v>
      </c>
      <c r="AB30" s="57">
        <v>4</v>
      </c>
      <c r="AC30" s="57">
        <v>4.25</v>
      </c>
      <c r="AD30" s="59">
        <v>1774509</v>
      </c>
      <c r="AE30" s="59">
        <v>416232</v>
      </c>
      <c r="AF30" s="57">
        <v>3.95</v>
      </c>
      <c r="AG30" s="57">
        <v>4.3</v>
      </c>
      <c r="AH30" s="59">
        <v>492710</v>
      </c>
      <c r="AI30" s="59">
        <v>278056</v>
      </c>
      <c r="AJ30" s="57">
        <v>3.9</v>
      </c>
      <c r="AK30" s="57">
        <v>4.3499999999999996</v>
      </c>
      <c r="AL30" s="59">
        <v>170894</v>
      </c>
      <c r="AM30" s="59">
        <v>6516563</v>
      </c>
      <c r="AN30" s="59">
        <v>7982948</v>
      </c>
      <c r="AO30" s="60">
        <v>43314</v>
      </c>
      <c r="AP30" s="61" t="s">
        <v>4838</v>
      </c>
      <c r="AQ30" s="77" t="s">
        <v>4828</v>
      </c>
      <c r="AR30" s="76">
        <f t="shared" si="0"/>
        <v>43315.564479166664</v>
      </c>
    </row>
    <row r="31" spans="1:51" ht="40.799999999999997" x14ac:dyDescent="0.3">
      <c r="A31" s="56" t="s">
        <v>4825</v>
      </c>
      <c r="B31" s="57" t="s">
        <v>2658</v>
      </c>
      <c r="C31" s="57" t="s">
        <v>4826</v>
      </c>
      <c r="D31" s="57">
        <v>1</v>
      </c>
      <c r="E31" s="57" t="s">
        <v>4827</v>
      </c>
      <c r="F31" s="57" t="s">
        <v>4827</v>
      </c>
      <c r="G31" s="57">
        <v>12.25</v>
      </c>
      <c r="H31" s="57">
        <v>3.95</v>
      </c>
      <c r="I31" s="57">
        <v>4.0999999999999996</v>
      </c>
      <c r="J31" s="57">
        <v>4.1500000000000004</v>
      </c>
      <c r="K31" s="57">
        <v>4.2</v>
      </c>
      <c r="L31" s="57">
        <v>4.0999999999999996</v>
      </c>
      <c r="M31" s="57">
        <v>4.1500000000000004</v>
      </c>
      <c r="N31" s="57">
        <v>4.1500000000000004</v>
      </c>
      <c r="O31" s="57">
        <v>0.05</v>
      </c>
      <c r="P31" s="57">
        <v>1.22</v>
      </c>
      <c r="Q31" s="58">
        <v>4208425</v>
      </c>
      <c r="R31" s="57">
        <v>174.65</v>
      </c>
      <c r="S31" s="59">
        <v>3008627</v>
      </c>
      <c r="T31" s="57">
        <v>4.0999999999999996</v>
      </c>
      <c r="U31" s="57">
        <v>4.1500000000000004</v>
      </c>
      <c r="V31" s="59">
        <v>1131115</v>
      </c>
      <c r="W31" s="59">
        <v>1054145</v>
      </c>
      <c r="X31" s="57">
        <v>4.05</v>
      </c>
      <c r="Y31" s="57">
        <v>4.2</v>
      </c>
      <c r="Z31" s="59">
        <v>2289259</v>
      </c>
      <c r="AA31" s="59">
        <v>1253428</v>
      </c>
      <c r="AB31" s="57">
        <v>4</v>
      </c>
      <c r="AC31" s="57">
        <v>4.25</v>
      </c>
      <c r="AD31" s="59">
        <v>1774509</v>
      </c>
      <c r="AE31" s="59">
        <v>416232</v>
      </c>
      <c r="AF31" s="57">
        <v>3.95</v>
      </c>
      <c r="AG31" s="57">
        <v>4.3</v>
      </c>
      <c r="AH31" s="59">
        <v>492710</v>
      </c>
      <c r="AI31" s="59">
        <v>278056</v>
      </c>
      <c r="AJ31" s="57">
        <v>3.9</v>
      </c>
      <c r="AK31" s="57">
        <v>4.3499999999999996</v>
      </c>
      <c r="AL31" s="59">
        <v>170894</v>
      </c>
      <c r="AM31" s="59">
        <v>6534997</v>
      </c>
      <c r="AN31" s="59">
        <v>7978723</v>
      </c>
      <c r="AO31" s="60">
        <v>43314</v>
      </c>
      <c r="AP31" s="61" t="s">
        <v>4839</v>
      </c>
      <c r="AQ31" s="77" t="s">
        <v>4828</v>
      </c>
      <c r="AR31" s="76">
        <f t="shared" si="0"/>
        <v>43315.565868055557</v>
      </c>
    </row>
    <row r="32" spans="1:51" ht="40.799999999999997" x14ac:dyDescent="0.3">
      <c r="A32" s="56" t="s">
        <v>4825</v>
      </c>
      <c r="B32" s="57" t="s">
        <v>2658</v>
      </c>
      <c r="C32" s="57" t="s">
        <v>4826</v>
      </c>
      <c r="D32" s="57">
        <v>1</v>
      </c>
      <c r="E32" s="57" t="s">
        <v>4827</v>
      </c>
      <c r="F32" s="57" t="s">
        <v>4827</v>
      </c>
      <c r="G32" s="57">
        <v>12.25</v>
      </c>
      <c r="H32" s="57">
        <v>3.95</v>
      </c>
      <c r="I32" s="57">
        <v>4.0999999999999996</v>
      </c>
      <c r="J32" s="57">
        <v>4.1500000000000004</v>
      </c>
      <c r="K32" s="57">
        <v>4.2</v>
      </c>
      <c r="L32" s="57">
        <v>4.0999999999999996</v>
      </c>
      <c r="M32" s="57">
        <v>4.1500000000000004</v>
      </c>
      <c r="N32" s="57">
        <v>4.1500000000000004</v>
      </c>
      <c r="O32" s="57">
        <v>0.05</v>
      </c>
      <c r="P32" s="57">
        <v>1.22</v>
      </c>
      <c r="Q32" s="58">
        <v>4208425</v>
      </c>
      <c r="R32" s="57">
        <v>174.65</v>
      </c>
      <c r="S32" s="59">
        <v>3008627</v>
      </c>
      <c r="T32" s="57">
        <v>4.0999999999999996</v>
      </c>
      <c r="U32" s="57">
        <v>4.1500000000000004</v>
      </c>
      <c r="V32" s="59">
        <v>1131115</v>
      </c>
      <c r="W32" s="59">
        <v>1054145</v>
      </c>
      <c r="X32" s="57">
        <v>4.05</v>
      </c>
      <c r="Y32" s="57">
        <v>4.2</v>
      </c>
      <c r="Z32" s="59">
        <v>2289259</v>
      </c>
      <c r="AA32" s="59">
        <v>1253428</v>
      </c>
      <c r="AB32" s="57">
        <v>4</v>
      </c>
      <c r="AC32" s="57">
        <v>4.25</v>
      </c>
      <c r="AD32" s="59">
        <v>1774509</v>
      </c>
      <c r="AE32" s="59">
        <v>416232</v>
      </c>
      <c r="AF32" s="57">
        <v>3.95</v>
      </c>
      <c r="AG32" s="57">
        <v>4.3</v>
      </c>
      <c r="AH32" s="59">
        <v>492710</v>
      </c>
      <c r="AI32" s="59">
        <v>278056</v>
      </c>
      <c r="AJ32" s="57">
        <v>3.9</v>
      </c>
      <c r="AK32" s="57">
        <v>4.3499999999999996</v>
      </c>
      <c r="AL32" s="59">
        <v>170894</v>
      </c>
      <c r="AM32" s="59">
        <v>6534997</v>
      </c>
      <c r="AN32" s="59">
        <v>7978723</v>
      </c>
      <c r="AO32" s="60">
        <v>43314</v>
      </c>
      <c r="AP32" s="61" t="s">
        <v>4839</v>
      </c>
      <c r="AQ32" s="77" t="s">
        <v>4828</v>
      </c>
      <c r="AR32" s="76">
        <f t="shared" si="0"/>
        <v>43315.565868055557</v>
      </c>
    </row>
    <row r="33" spans="1:44" ht="40.799999999999997" x14ac:dyDescent="0.3">
      <c r="A33" s="56" t="s">
        <v>4825</v>
      </c>
      <c r="B33" s="57" t="s">
        <v>2658</v>
      </c>
      <c r="C33" s="57" t="s">
        <v>4826</v>
      </c>
      <c r="D33" s="57">
        <v>1</v>
      </c>
      <c r="E33" s="57" t="s">
        <v>4827</v>
      </c>
      <c r="F33" s="57" t="s">
        <v>4827</v>
      </c>
      <c r="G33" s="57">
        <v>12.25</v>
      </c>
      <c r="H33" s="57">
        <v>3.95</v>
      </c>
      <c r="I33" s="57">
        <v>4.0999999999999996</v>
      </c>
      <c r="J33" s="57">
        <v>4.1500000000000004</v>
      </c>
      <c r="K33" s="57">
        <v>4.2</v>
      </c>
      <c r="L33" s="57">
        <v>4.0999999999999996</v>
      </c>
      <c r="M33" s="57">
        <v>4.1500000000000004</v>
      </c>
      <c r="N33" s="57">
        <v>4.0999999999999996</v>
      </c>
      <c r="O33" s="57" t="s">
        <v>4827</v>
      </c>
      <c r="P33" s="57">
        <v>0</v>
      </c>
      <c r="Q33" s="58">
        <v>4232123</v>
      </c>
      <c r="R33" s="57">
        <v>175.63</v>
      </c>
      <c r="S33" s="59">
        <v>3106705</v>
      </c>
      <c r="T33" s="57">
        <v>4.0999999999999996</v>
      </c>
      <c r="U33" s="57">
        <v>4.1500000000000004</v>
      </c>
      <c r="V33" s="59">
        <v>1117139</v>
      </c>
      <c r="W33" s="59">
        <v>1058185</v>
      </c>
      <c r="X33" s="57">
        <v>4.05</v>
      </c>
      <c r="Y33" s="57">
        <v>4.2</v>
      </c>
      <c r="Z33" s="59">
        <v>2289759</v>
      </c>
      <c r="AA33" s="59">
        <v>1249928</v>
      </c>
      <c r="AB33" s="57">
        <v>4</v>
      </c>
      <c r="AC33" s="57">
        <v>4.25</v>
      </c>
      <c r="AD33" s="59">
        <v>1774509</v>
      </c>
      <c r="AE33" s="59">
        <v>426232</v>
      </c>
      <c r="AF33" s="57">
        <v>3.95</v>
      </c>
      <c r="AG33" s="57">
        <v>4.3</v>
      </c>
      <c r="AH33" s="59">
        <v>492710</v>
      </c>
      <c r="AI33" s="59">
        <v>278056</v>
      </c>
      <c r="AJ33" s="57">
        <v>3.9</v>
      </c>
      <c r="AK33" s="57">
        <v>4.3499999999999996</v>
      </c>
      <c r="AL33" s="59">
        <v>170894</v>
      </c>
      <c r="AM33" s="59">
        <v>6643615</v>
      </c>
      <c r="AN33" s="59">
        <v>7975247</v>
      </c>
      <c r="AO33" s="60">
        <v>43314</v>
      </c>
      <c r="AP33" s="61" t="s">
        <v>4840</v>
      </c>
      <c r="AQ33" s="77" t="s">
        <v>4828</v>
      </c>
      <c r="AR33" s="76">
        <f t="shared" si="0"/>
        <v>43315.56795138889</v>
      </c>
    </row>
    <row r="34" spans="1:44" ht="40.799999999999997" x14ac:dyDescent="0.3">
      <c r="A34" s="56" t="s">
        <v>4825</v>
      </c>
      <c r="B34" s="57" t="s">
        <v>2658</v>
      </c>
      <c r="C34" s="57" t="s">
        <v>4826</v>
      </c>
      <c r="D34" s="57">
        <v>1</v>
      </c>
      <c r="E34" s="57" t="s">
        <v>4827</v>
      </c>
      <c r="F34" s="57" t="s">
        <v>4827</v>
      </c>
      <c r="G34" s="57">
        <v>12.25</v>
      </c>
      <c r="H34" s="57">
        <v>3.95</v>
      </c>
      <c r="I34" s="57">
        <v>4.0999999999999996</v>
      </c>
      <c r="J34" s="57">
        <v>4.1500000000000004</v>
      </c>
      <c r="K34" s="57">
        <v>4.2</v>
      </c>
      <c r="L34" s="57">
        <v>4.0999999999999996</v>
      </c>
      <c r="M34" s="57">
        <v>4.1500000000000004</v>
      </c>
      <c r="N34" s="57">
        <v>4.0999999999999996</v>
      </c>
      <c r="O34" s="57" t="s">
        <v>4827</v>
      </c>
      <c r="P34" s="57">
        <v>0</v>
      </c>
      <c r="Q34" s="58">
        <v>4232123</v>
      </c>
      <c r="R34" s="57">
        <v>175.63</v>
      </c>
      <c r="S34" s="59">
        <v>3106705</v>
      </c>
      <c r="T34" s="57">
        <v>4.0999999999999996</v>
      </c>
      <c r="U34" s="57">
        <v>4.1500000000000004</v>
      </c>
      <c r="V34" s="59">
        <v>1117139</v>
      </c>
      <c r="W34" s="59">
        <v>1058185</v>
      </c>
      <c r="X34" s="57">
        <v>4.05</v>
      </c>
      <c r="Y34" s="57">
        <v>4.2</v>
      </c>
      <c r="Z34" s="59">
        <v>2289759</v>
      </c>
      <c r="AA34" s="59">
        <v>1249928</v>
      </c>
      <c r="AB34" s="57">
        <v>4</v>
      </c>
      <c r="AC34" s="57">
        <v>4.25</v>
      </c>
      <c r="AD34" s="59">
        <v>1774509</v>
      </c>
      <c r="AE34" s="59">
        <v>426232</v>
      </c>
      <c r="AF34" s="57">
        <v>3.95</v>
      </c>
      <c r="AG34" s="57">
        <v>4.3</v>
      </c>
      <c r="AH34" s="59">
        <v>492710</v>
      </c>
      <c r="AI34" s="59">
        <v>278056</v>
      </c>
      <c r="AJ34" s="57">
        <v>3.9</v>
      </c>
      <c r="AK34" s="57">
        <v>4.3499999999999996</v>
      </c>
      <c r="AL34" s="59">
        <v>170894</v>
      </c>
      <c r="AM34" s="59">
        <v>6643615</v>
      </c>
      <c r="AN34" s="59">
        <v>7975247</v>
      </c>
      <c r="AO34" s="60">
        <v>43314</v>
      </c>
      <c r="AP34" s="61" t="s">
        <v>4840</v>
      </c>
      <c r="AQ34" s="77" t="s">
        <v>4828</v>
      </c>
      <c r="AR34" s="76">
        <f t="shared" si="0"/>
        <v>43315.56795138889</v>
      </c>
    </row>
    <row r="35" spans="1:44" ht="40.799999999999997" x14ac:dyDescent="0.3">
      <c r="A35" s="56" t="s">
        <v>4825</v>
      </c>
      <c r="B35" s="57" t="s">
        <v>2658</v>
      </c>
      <c r="C35" s="57" t="s">
        <v>4826</v>
      </c>
      <c r="D35" s="57">
        <v>1</v>
      </c>
      <c r="E35" s="57" t="s">
        <v>4827</v>
      </c>
      <c r="F35" s="57" t="s">
        <v>4827</v>
      </c>
      <c r="G35" s="57">
        <v>12.25</v>
      </c>
      <c r="H35" s="57">
        <v>3.95</v>
      </c>
      <c r="I35" s="57">
        <v>4.0999999999999996</v>
      </c>
      <c r="J35" s="57">
        <v>4.1500000000000004</v>
      </c>
      <c r="K35" s="57">
        <v>4.2</v>
      </c>
      <c r="L35" s="57">
        <v>4.0999999999999996</v>
      </c>
      <c r="M35" s="57">
        <v>4.1500000000000004</v>
      </c>
      <c r="N35" s="57">
        <v>4.0999999999999996</v>
      </c>
      <c r="O35" s="57" t="s">
        <v>4827</v>
      </c>
      <c r="P35" s="57">
        <v>0</v>
      </c>
      <c r="Q35" s="58">
        <v>4232123</v>
      </c>
      <c r="R35" s="57">
        <v>175.63</v>
      </c>
      <c r="S35" s="59">
        <v>3106705</v>
      </c>
      <c r="T35" s="57">
        <v>4.0999999999999996</v>
      </c>
      <c r="U35" s="57">
        <v>4.1500000000000004</v>
      </c>
      <c r="V35" s="59">
        <v>1117139</v>
      </c>
      <c r="W35" s="59">
        <v>1058185</v>
      </c>
      <c r="X35" s="57">
        <v>4.05</v>
      </c>
      <c r="Y35" s="57">
        <v>4.2</v>
      </c>
      <c r="Z35" s="59">
        <v>2289759</v>
      </c>
      <c r="AA35" s="59">
        <v>1249928</v>
      </c>
      <c r="AB35" s="57">
        <v>4</v>
      </c>
      <c r="AC35" s="57">
        <v>4.25</v>
      </c>
      <c r="AD35" s="59">
        <v>1774509</v>
      </c>
      <c r="AE35" s="59">
        <v>426232</v>
      </c>
      <c r="AF35" s="57">
        <v>3.95</v>
      </c>
      <c r="AG35" s="57">
        <v>4.3</v>
      </c>
      <c r="AH35" s="59">
        <v>492710</v>
      </c>
      <c r="AI35" s="59">
        <v>278056</v>
      </c>
      <c r="AJ35" s="57">
        <v>3.9</v>
      </c>
      <c r="AK35" s="57">
        <v>4.3499999999999996</v>
      </c>
      <c r="AL35" s="59">
        <v>170894</v>
      </c>
      <c r="AM35" s="59">
        <v>6643615</v>
      </c>
      <c r="AN35" s="59">
        <v>7975247</v>
      </c>
      <c r="AO35" s="60">
        <v>43314</v>
      </c>
      <c r="AP35" s="61" t="s">
        <v>4840</v>
      </c>
      <c r="AQ35" s="77" t="s">
        <v>4828</v>
      </c>
      <c r="AR35" s="76">
        <f t="shared" si="0"/>
        <v>43315.56795138889</v>
      </c>
    </row>
    <row r="36" spans="1:44" ht="40.799999999999997" x14ac:dyDescent="0.3">
      <c r="A36" s="56" t="s">
        <v>4825</v>
      </c>
      <c r="B36" s="57" t="s">
        <v>2658</v>
      </c>
      <c r="C36" s="57" t="s">
        <v>4826</v>
      </c>
      <c r="D36" s="57">
        <v>1</v>
      </c>
      <c r="E36" s="57" t="s">
        <v>4827</v>
      </c>
      <c r="F36" s="57" t="s">
        <v>4827</v>
      </c>
      <c r="G36" s="57">
        <v>12.25</v>
      </c>
      <c r="H36" s="57">
        <v>3.95</v>
      </c>
      <c r="I36" s="57">
        <v>4.0999999999999996</v>
      </c>
      <c r="J36" s="57">
        <v>4.1500000000000004</v>
      </c>
      <c r="K36" s="57">
        <v>4.2</v>
      </c>
      <c r="L36" s="57">
        <v>4.0999999999999996</v>
      </c>
      <c r="M36" s="57">
        <v>4.1500000000000004</v>
      </c>
      <c r="N36" s="57">
        <v>4.0999999999999996</v>
      </c>
      <c r="O36" s="57" t="s">
        <v>4827</v>
      </c>
      <c r="P36" s="57">
        <v>0</v>
      </c>
      <c r="Q36" s="58">
        <v>4232123</v>
      </c>
      <c r="R36" s="57">
        <v>175.63</v>
      </c>
      <c r="S36" s="59">
        <v>3106705</v>
      </c>
      <c r="T36" s="57">
        <v>4.0999999999999996</v>
      </c>
      <c r="U36" s="57">
        <v>4.1500000000000004</v>
      </c>
      <c r="V36" s="59">
        <v>1117139</v>
      </c>
      <c r="W36" s="59">
        <v>1058185</v>
      </c>
      <c r="X36" s="57">
        <v>4.05</v>
      </c>
      <c r="Y36" s="57">
        <v>4.2</v>
      </c>
      <c r="Z36" s="59">
        <v>2289759</v>
      </c>
      <c r="AA36" s="59">
        <v>1249928</v>
      </c>
      <c r="AB36" s="57">
        <v>4</v>
      </c>
      <c r="AC36" s="57">
        <v>4.25</v>
      </c>
      <c r="AD36" s="59">
        <v>1774509</v>
      </c>
      <c r="AE36" s="59">
        <v>426232</v>
      </c>
      <c r="AF36" s="57">
        <v>3.95</v>
      </c>
      <c r="AG36" s="57">
        <v>4.3</v>
      </c>
      <c r="AH36" s="59">
        <v>492710</v>
      </c>
      <c r="AI36" s="59">
        <v>278056</v>
      </c>
      <c r="AJ36" s="57">
        <v>3.9</v>
      </c>
      <c r="AK36" s="57">
        <v>4.3499999999999996</v>
      </c>
      <c r="AL36" s="59">
        <v>170894</v>
      </c>
      <c r="AM36" s="59">
        <v>6643615</v>
      </c>
      <c r="AN36" s="59">
        <v>7975247</v>
      </c>
      <c r="AO36" s="60">
        <v>43314</v>
      </c>
      <c r="AP36" s="57" t="s">
        <v>4840</v>
      </c>
      <c r="AQ36" s="77" t="s">
        <v>4828</v>
      </c>
      <c r="AR36" s="76">
        <f t="shared" si="0"/>
        <v>43315.56795138889</v>
      </c>
    </row>
    <row r="37" spans="1:44" ht="40.799999999999997" x14ac:dyDescent="0.3">
      <c r="A37" s="56" t="s">
        <v>4825</v>
      </c>
      <c r="B37" s="57" t="s">
        <v>2658</v>
      </c>
      <c r="C37" s="57" t="s">
        <v>4826</v>
      </c>
      <c r="D37" s="57">
        <v>1</v>
      </c>
      <c r="E37" s="57" t="s">
        <v>4827</v>
      </c>
      <c r="F37" s="57" t="s">
        <v>4827</v>
      </c>
      <c r="G37" s="57">
        <v>12.25</v>
      </c>
      <c r="H37" s="57">
        <v>3.95</v>
      </c>
      <c r="I37" s="57">
        <v>4.0999999999999996</v>
      </c>
      <c r="J37" s="57">
        <v>4.1500000000000004</v>
      </c>
      <c r="K37" s="57">
        <v>4.2</v>
      </c>
      <c r="L37" s="57">
        <v>4.0999999999999996</v>
      </c>
      <c r="M37" s="57">
        <v>4.1500000000000004</v>
      </c>
      <c r="N37" s="57">
        <v>4.0999999999999996</v>
      </c>
      <c r="O37" s="57" t="s">
        <v>4827</v>
      </c>
      <c r="P37" s="57">
        <v>0</v>
      </c>
      <c r="Q37" s="58">
        <v>4276663</v>
      </c>
      <c r="R37" s="57">
        <v>177.48</v>
      </c>
      <c r="S37" s="59">
        <v>3088197</v>
      </c>
      <c r="T37" s="57">
        <v>4.0999999999999996</v>
      </c>
      <c r="U37" s="57">
        <v>4.1500000000000004</v>
      </c>
      <c r="V37" s="59">
        <v>1062708</v>
      </c>
      <c r="W37" s="59">
        <v>1059085</v>
      </c>
      <c r="X37" s="57">
        <v>4.05</v>
      </c>
      <c r="Y37" s="57">
        <v>4.2</v>
      </c>
      <c r="Z37" s="59">
        <v>2349759</v>
      </c>
      <c r="AA37" s="59">
        <v>1252428</v>
      </c>
      <c r="AB37" s="57">
        <v>4</v>
      </c>
      <c r="AC37" s="57">
        <v>4.25</v>
      </c>
      <c r="AD37" s="59">
        <v>1774807</v>
      </c>
      <c r="AE37" s="59">
        <v>426232</v>
      </c>
      <c r="AF37" s="57">
        <v>3.95</v>
      </c>
      <c r="AG37" s="57">
        <v>4.3</v>
      </c>
      <c r="AH37" s="59">
        <v>492710</v>
      </c>
      <c r="AI37" s="59">
        <v>278056</v>
      </c>
      <c r="AJ37" s="57">
        <v>3.9</v>
      </c>
      <c r="AK37" s="57">
        <v>4.3499999999999996</v>
      </c>
      <c r="AL37" s="59">
        <v>170626</v>
      </c>
      <c r="AM37" s="59">
        <v>6628507</v>
      </c>
      <c r="AN37" s="59">
        <v>7980846</v>
      </c>
      <c r="AO37" s="60">
        <v>43314</v>
      </c>
      <c r="AP37" s="57" t="s">
        <v>4841</v>
      </c>
      <c r="AQ37" s="77" t="s">
        <v>4828</v>
      </c>
      <c r="AR37" s="76">
        <f t="shared" si="0"/>
        <v>43315.569687499999</v>
      </c>
    </row>
    <row r="38" spans="1:44" ht="40.799999999999997" x14ac:dyDescent="0.3">
      <c r="A38" s="56" t="s">
        <v>4825</v>
      </c>
      <c r="B38" s="57" t="s">
        <v>2658</v>
      </c>
      <c r="C38" s="57" t="s">
        <v>4826</v>
      </c>
      <c r="D38" s="57">
        <v>1</v>
      </c>
      <c r="E38" s="57" t="s">
        <v>4827</v>
      </c>
      <c r="F38" s="57" t="s">
        <v>4827</v>
      </c>
      <c r="G38" s="57">
        <v>12.25</v>
      </c>
      <c r="H38" s="57">
        <v>3.95</v>
      </c>
      <c r="I38" s="57">
        <v>4.0999999999999996</v>
      </c>
      <c r="J38" s="57">
        <v>4.1500000000000004</v>
      </c>
      <c r="K38" s="57">
        <v>4.2</v>
      </c>
      <c r="L38" s="57">
        <v>4.0999999999999996</v>
      </c>
      <c r="M38" s="57">
        <v>4.1500000000000004</v>
      </c>
      <c r="N38" s="57">
        <v>4.0999999999999996</v>
      </c>
      <c r="O38" s="57" t="s">
        <v>4827</v>
      </c>
      <c r="P38" s="57">
        <v>0</v>
      </c>
      <c r="Q38" s="58">
        <v>4276663</v>
      </c>
      <c r="R38" s="57">
        <v>177.48</v>
      </c>
      <c r="S38" s="59">
        <v>3088197</v>
      </c>
      <c r="T38" s="57">
        <v>4.0999999999999996</v>
      </c>
      <c r="U38" s="57">
        <v>4.1500000000000004</v>
      </c>
      <c r="V38" s="59">
        <v>1062708</v>
      </c>
      <c r="W38" s="59">
        <v>1059085</v>
      </c>
      <c r="X38" s="57">
        <v>4.05</v>
      </c>
      <c r="Y38" s="57">
        <v>4.2</v>
      </c>
      <c r="Z38" s="59">
        <v>2349759</v>
      </c>
      <c r="AA38" s="59">
        <v>1252428</v>
      </c>
      <c r="AB38" s="57">
        <v>4</v>
      </c>
      <c r="AC38" s="57">
        <v>4.25</v>
      </c>
      <c r="AD38" s="59">
        <v>1774807</v>
      </c>
      <c r="AE38" s="59">
        <v>426232</v>
      </c>
      <c r="AF38" s="57">
        <v>3.95</v>
      </c>
      <c r="AG38" s="57">
        <v>4.3</v>
      </c>
      <c r="AH38" s="59">
        <v>492710</v>
      </c>
      <c r="AI38" s="59">
        <v>278056</v>
      </c>
      <c r="AJ38" s="57">
        <v>3.9</v>
      </c>
      <c r="AK38" s="57">
        <v>4.3499999999999996</v>
      </c>
      <c r="AL38" s="59">
        <v>170626</v>
      </c>
      <c r="AM38" s="59">
        <v>6628507</v>
      </c>
      <c r="AN38" s="59">
        <v>7980846</v>
      </c>
      <c r="AO38" s="60">
        <v>43314</v>
      </c>
      <c r="AP38" s="57" t="s">
        <v>4841</v>
      </c>
      <c r="AQ38" s="77" t="s">
        <v>4828</v>
      </c>
      <c r="AR38" s="76">
        <f t="shared" si="0"/>
        <v>43315.569687499999</v>
      </c>
    </row>
    <row r="39" spans="1:44" ht="40.799999999999997" x14ac:dyDescent="0.3">
      <c r="A39" s="56" t="s">
        <v>4825</v>
      </c>
      <c r="B39" s="57" t="s">
        <v>2658</v>
      </c>
      <c r="C39" s="57" t="s">
        <v>4826</v>
      </c>
      <c r="D39" s="57">
        <v>1</v>
      </c>
      <c r="E39" s="57" t="s">
        <v>4827</v>
      </c>
      <c r="F39" s="57" t="s">
        <v>4827</v>
      </c>
      <c r="G39" s="57">
        <v>12.25</v>
      </c>
      <c r="H39" s="57">
        <v>3.95</v>
      </c>
      <c r="I39" s="57">
        <v>4.0999999999999996</v>
      </c>
      <c r="J39" s="57">
        <v>4.1500000000000004</v>
      </c>
      <c r="K39" s="57">
        <v>4.2</v>
      </c>
      <c r="L39" s="57">
        <v>4.0999999999999996</v>
      </c>
      <c r="M39" s="57">
        <v>4.1500000000000004</v>
      </c>
      <c r="N39" s="57">
        <v>4.0999999999999996</v>
      </c>
      <c r="O39" s="57" t="s">
        <v>4827</v>
      </c>
      <c r="P39" s="57">
        <v>0</v>
      </c>
      <c r="Q39" s="58">
        <v>4277863</v>
      </c>
      <c r="R39" s="57">
        <v>177.53</v>
      </c>
      <c r="S39" s="59">
        <v>3058642</v>
      </c>
      <c r="T39" s="57">
        <v>4.0999999999999996</v>
      </c>
      <c r="U39" s="57">
        <v>4.1500000000000004</v>
      </c>
      <c r="V39" s="59">
        <v>1062743</v>
      </c>
      <c r="W39" s="59">
        <v>1058865</v>
      </c>
      <c r="X39" s="57">
        <v>4.05</v>
      </c>
      <c r="Y39" s="57">
        <v>4.2</v>
      </c>
      <c r="Z39" s="59">
        <v>2339759</v>
      </c>
      <c r="AA39" s="59">
        <v>1252428</v>
      </c>
      <c r="AB39" s="57">
        <v>4</v>
      </c>
      <c r="AC39" s="57">
        <v>4.25</v>
      </c>
      <c r="AD39" s="59">
        <v>1774807</v>
      </c>
      <c r="AE39" s="59">
        <v>426232</v>
      </c>
      <c r="AF39" s="57">
        <v>3.95</v>
      </c>
      <c r="AG39" s="57">
        <v>4.3</v>
      </c>
      <c r="AH39" s="59">
        <v>492710</v>
      </c>
      <c r="AI39" s="59">
        <v>278056</v>
      </c>
      <c r="AJ39" s="57">
        <v>3.9</v>
      </c>
      <c r="AK39" s="57">
        <v>4.3499999999999996</v>
      </c>
      <c r="AL39" s="59">
        <v>170626</v>
      </c>
      <c r="AM39" s="59">
        <v>6598732</v>
      </c>
      <c r="AN39" s="59">
        <v>7980881</v>
      </c>
      <c r="AO39" s="60">
        <v>43314</v>
      </c>
      <c r="AP39" s="57" t="s">
        <v>4842</v>
      </c>
      <c r="AQ39" s="77" t="s">
        <v>4828</v>
      </c>
      <c r="AR39" s="76">
        <f t="shared" si="0"/>
        <v>43315.570729166669</v>
      </c>
    </row>
    <row r="40" spans="1:44" ht="40.799999999999997" x14ac:dyDescent="0.3">
      <c r="A40" s="56" t="s">
        <v>4825</v>
      </c>
      <c r="B40" s="57" t="s">
        <v>2658</v>
      </c>
      <c r="C40" s="57" t="s">
        <v>4826</v>
      </c>
      <c r="D40" s="57">
        <v>1</v>
      </c>
      <c r="E40" s="57" t="s">
        <v>4827</v>
      </c>
      <c r="F40" s="57" t="s">
        <v>4827</v>
      </c>
      <c r="G40" s="57">
        <v>12.25</v>
      </c>
      <c r="H40" s="57">
        <v>3.95</v>
      </c>
      <c r="I40" s="57">
        <v>4.0999999999999996</v>
      </c>
      <c r="J40" s="57">
        <v>4.1500000000000004</v>
      </c>
      <c r="K40" s="57">
        <v>4.2</v>
      </c>
      <c r="L40" s="57">
        <v>4.0999999999999996</v>
      </c>
      <c r="M40" s="57">
        <v>4.1500000000000004</v>
      </c>
      <c r="N40" s="57">
        <v>4.0999999999999996</v>
      </c>
      <c r="O40" s="57" t="s">
        <v>4827</v>
      </c>
      <c r="P40" s="57">
        <v>0</v>
      </c>
      <c r="Q40" s="58">
        <v>4277863</v>
      </c>
      <c r="R40" s="57">
        <v>177.53</v>
      </c>
      <c r="S40" s="59">
        <v>3058642</v>
      </c>
      <c r="T40" s="57">
        <v>4.0999999999999996</v>
      </c>
      <c r="U40" s="57">
        <v>4.1500000000000004</v>
      </c>
      <c r="V40" s="59">
        <v>1062743</v>
      </c>
      <c r="W40" s="59">
        <v>1058865</v>
      </c>
      <c r="X40" s="57">
        <v>4.05</v>
      </c>
      <c r="Y40" s="57">
        <v>4.2</v>
      </c>
      <c r="Z40" s="59">
        <v>2339759</v>
      </c>
      <c r="AA40" s="59">
        <v>1252428</v>
      </c>
      <c r="AB40" s="57">
        <v>4</v>
      </c>
      <c r="AC40" s="57">
        <v>4.25</v>
      </c>
      <c r="AD40" s="59">
        <v>1774807</v>
      </c>
      <c r="AE40" s="59">
        <v>426232</v>
      </c>
      <c r="AF40" s="57">
        <v>3.95</v>
      </c>
      <c r="AG40" s="57">
        <v>4.3</v>
      </c>
      <c r="AH40" s="59">
        <v>492710</v>
      </c>
      <c r="AI40" s="59">
        <v>278056</v>
      </c>
      <c r="AJ40" s="57">
        <v>3.9</v>
      </c>
      <c r="AK40" s="57">
        <v>4.3499999999999996</v>
      </c>
      <c r="AL40" s="59">
        <v>170626</v>
      </c>
      <c r="AM40" s="59">
        <v>6598732</v>
      </c>
      <c r="AN40" s="59">
        <v>7980881</v>
      </c>
      <c r="AO40" s="60">
        <v>43314</v>
      </c>
      <c r="AP40" s="57" t="s">
        <v>4842</v>
      </c>
      <c r="AQ40" s="77" t="s">
        <v>4828</v>
      </c>
      <c r="AR40" s="76">
        <f t="shared" si="0"/>
        <v>43315.570729166669</v>
      </c>
    </row>
    <row r="41" spans="1:44" ht="40.799999999999997" x14ac:dyDescent="0.3">
      <c r="A41" s="56" t="s">
        <v>4825</v>
      </c>
      <c r="B41" s="57" t="s">
        <v>2658</v>
      </c>
      <c r="C41" s="57" t="s">
        <v>4826</v>
      </c>
      <c r="D41" s="57">
        <v>1</v>
      </c>
      <c r="E41" s="57" t="s">
        <v>4827</v>
      </c>
      <c r="F41" s="57" t="s">
        <v>4827</v>
      </c>
      <c r="G41" s="57">
        <v>12.25</v>
      </c>
      <c r="H41" s="57">
        <v>3.95</v>
      </c>
      <c r="I41" s="57">
        <v>4.0999999999999996</v>
      </c>
      <c r="J41" s="57">
        <v>4.1500000000000004</v>
      </c>
      <c r="K41" s="57">
        <v>4.2</v>
      </c>
      <c r="L41" s="57">
        <v>4.0999999999999996</v>
      </c>
      <c r="M41" s="57">
        <v>4.1500000000000004</v>
      </c>
      <c r="N41" s="57">
        <v>4.1500000000000004</v>
      </c>
      <c r="O41" s="57">
        <v>0.05</v>
      </c>
      <c r="P41" s="57">
        <v>1.22</v>
      </c>
      <c r="Q41" s="58">
        <v>4312666</v>
      </c>
      <c r="R41" s="57">
        <v>178.98</v>
      </c>
      <c r="S41" s="59">
        <v>3076745</v>
      </c>
      <c r="T41" s="57">
        <v>4.0999999999999996</v>
      </c>
      <c r="U41" s="57">
        <v>4.1500000000000004</v>
      </c>
      <c r="V41" s="59">
        <v>1032341</v>
      </c>
      <c r="W41" s="59">
        <v>1055325</v>
      </c>
      <c r="X41" s="57">
        <v>4.05</v>
      </c>
      <c r="Y41" s="57">
        <v>4.2</v>
      </c>
      <c r="Z41" s="59">
        <v>2291439</v>
      </c>
      <c r="AA41" s="59">
        <v>1251528</v>
      </c>
      <c r="AB41" s="57">
        <v>4</v>
      </c>
      <c r="AC41" s="57">
        <v>4.25</v>
      </c>
      <c r="AD41" s="59">
        <v>1774807</v>
      </c>
      <c r="AE41" s="59">
        <v>426232</v>
      </c>
      <c r="AF41" s="57">
        <v>3.95</v>
      </c>
      <c r="AG41" s="57">
        <v>4.3</v>
      </c>
      <c r="AH41" s="59">
        <v>492710</v>
      </c>
      <c r="AI41" s="59">
        <v>278056</v>
      </c>
      <c r="AJ41" s="57">
        <v>3.9</v>
      </c>
      <c r="AK41" s="57">
        <v>4.3499999999999996</v>
      </c>
      <c r="AL41" s="59">
        <v>170626</v>
      </c>
      <c r="AM41" s="59">
        <v>6612395</v>
      </c>
      <c r="AN41" s="59">
        <v>7903365</v>
      </c>
      <c r="AO41" s="60">
        <v>43314</v>
      </c>
      <c r="AP41" s="57" t="s">
        <v>4843</v>
      </c>
      <c r="AQ41" s="77" t="s">
        <v>4828</v>
      </c>
      <c r="AR41" s="76">
        <f t="shared" si="0"/>
        <v>43315.572476851848</v>
      </c>
    </row>
    <row r="42" spans="1:44" ht="40.799999999999997" x14ac:dyDescent="0.3">
      <c r="A42" s="56" t="s">
        <v>4825</v>
      </c>
      <c r="B42" s="57" t="s">
        <v>2658</v>
      </c>
      <c r="C42" s="57" t="s">
        <v>4826</v>
      </c>
      <c r="D42" s="57">
        <v>1</v>
      </c>
      <c r="E42" s="57" t="s">
        <v>4827</v>
      </c>
      <c r="F42" s="57" t="s">
        <v>4827</v>
      </c>
      <c r="G42" s="57">
        <v>12.25</v>
      </c>
      <c r="H42" s="57">
        <v>3.95</v>
      </c>
      <c r="I42" s="57">
        <v>4.0999999999999996</v>
      </c>
      <c r="J42" s="57">
        <v>4.1500000000000004</v>
      </c>
      <c r="K42" s="57">
        <v>4.2</v>
      </c>
      <c r="L42" s="57">
        <v>4.0999999999999996</v>
      </c>
      <c r="M42" s="57">
        <v>4.1500000000000004</v>
      </c>
      <c r="N42" s="57">
        <v>4.1500000000000004</v>
      </c>
      <c r="O42" s="57">
        <v>0.05</v>
      </c>
      <c r="P42" s="57">
        <v>1.22</v>
      </c>
      <c r="Q42" s="58">
        <v>4312666</v>
      </c>
      <c r="R42" s="57">
        <v>178.98</v>
      </c>
      <c r="S42" s="59">
        <v>3076745</v>
      </c>
      <c r="T42" s="57">
        <v>4.0999999999999996</v>
      </c>
      <c r="U42" s="57">
        <v>4.1500000000000004</v>
      </c>
      <c r="V42" s="59">
        <v>1032341</v>
      </c>
      <c r="W42" s="59">
        <v>1055325</v>
      </c>
      <c r="X42" s="57">
        <v>4.05</v>
      </c>
      <c r="Y42" s="57">
        <v>4.2</v>
      </c>
      <c r="Z42" s="59">
        <v>2291439</v>
      </c>
      <c r="AA42" s="59">
        <v>1251528</v>
      </c>
      <c r="AB42" s="57">
        <v>4</v>
      </c>
      <c r="AC42" s="57">
        <v>4.25</v>
      </c>
      <c r="AD42" s="59">
        <v>1774807</v>
      </c>
      <c r="AE42" s="59">
        <v>426232</v>
      </c>
      <c r="AF42" s="57">
        <v>3.95</v>
      </c>
      <c r="AG42" s="57">
        <v>4.3</v>
      </c>
      <c r="AH42" s="59">
        <v>492710</v>
      </c>
      <c r="AI42" s="59">
        <v>278056</v>
      </c>
      <c r="AJ42" s="57">
        <v>3.9</v>
      </c>
      <c r="AK42" s="57">
        <v>4.3499999999999996</v>
      </c>
      <c r="AL42" s="59">
        <v>170626</v>
      </c>
      <c r="AM42" s="59">
        <v>6612395</v>
      </c>
      <c r="AN42" s="59">
        <v>7903365</v>
      </c>
      <c r="AO42" s="60">
        <v>43314</v>
      </c>
      <c r="AP42" s="57" t="s">
        <v>4843</v>
      </c>
      <c r="AQ42" s="77" t="s">
        <v>4828</v>
      </c>
      <c r="AR42" s="76">
        <f t="shared" si="0"/>
        <v>43315.572476851848</v>
      </c>
    </row>
    <row r="43" spans="1:44" ht="40.799999999999997" x14ac:dyDescent="0.3">
      <c r="A43" s="56" t="s">
        <v>4825</v>
      </c>
      <c r="B43" s="57" t="s">
        <v>2658</v>
      </c>
      <c r="C43" s="57" t="s">
        <v>4826</v>
      </c>
      <c r="D43" s="57">
        <v>1</v>
      </c>
      <c r="E43" s="57" t="s">
        <v>4827</v>
      </c>
      <c r="F43" s="57" t="s">
        <v>4827</v>
      </c>
      <c r="G43" s="57">
        <v>12.25</v>
      </c>
      <c r="H43" s="57">
        <v>3.95</v>
      </c>
      <c r="I43" s="57">
        <v>4.0999999999999996</v>
      </c>
      <c r="J43" s="57">
        <v>4.1500000000000004</v>
      </c>
      <c r="K43" s="57">
        <v>4.2</v>
      </c>
      <c r="L43" s="57">
        <v>4.0999999999999996</v>
      </c>
      <c r="M43" s="57">
        <v>4.1500000000000004</v>
      </c>
      <c r="N43" s="57">
        <v>4.1500000000000004</v>
      </c>
      <c r="O43" s="57">
        <v>0.05</v>
      </c>
      <c r="P43" s="57">
        <v>1.22</v>
      </c>
      <c r="Q43" s="58">
        <v>4312666</v>
      </c>
      <c r="R43" s="57">
        <v>178.98</v>
      </c>
      <c r="S43" s="59">
        <v>3076745</v>
      </c>
      <c r="T43" s="57">
        <v>4.0999999999999996</v>
      </c>
      <c r="U43" s="57">
        <v>4.1500000000000004</v>
      </c>
      <c r="V43" s="59">
        <v>1032341</v>
      </c>
      <c r="W43" s="59">
        <v>1055325</v>
      </c>
      <c r="X43" s="57">
        <v>4.05</v>
      </c>
      <c r="Y43" s="57">
        <v>4.2</v>
      </c>
      <c r="Z43" s="59">
        <v>2291439</v>
      </c>
      <c r="AA43" s="59">
        <v>1251528</v>
      </c>
      <c r="AB43" s="57">
        <v>4</v>
      </c>
      <c r="AC43" s="57">
        <v>4.25</v>
      </c>
      <c r="AD43" s="59">
        <v>1774807</v>
      </c>
      <c r="AE43" s="59">
        <v>426232</v>
      </c>
      <c r="AF43" s="57">
        <v>3.95</v>
      </c>
      <c r="AG43" s="57">
        <v>4.3</v>
      </c>
      <c r="AH43" s="59">
        <v>492710</v>
      </c>
      <c r="AI43" s="59">
        <v>278056</v>
      </c>
      <c r="AJ43" s="57">
        <v>3.9</v>
      </c>
      <c r="AK43" s="57">
        <v>4.3499999999999996</v>
      </c>
      <c r="AL43" s="59">
        <v>170626</v>
      </c>
      <c r="AM43" s="59">
        <v>6612395</v>
      </c>
      <c r="AN43" s="59">
        <v>7903365</v>
      </c>
      <c r="AO43" s="60">
        <v>43314</v>
      </c>
      <c r="AP43" s="57" t="s">
        <v>4843</v>
      </c>
      <c r="AQ43" s="77" t="s">
        <v>4828</v>
      </c>
      <c r="AR43" s="76">
        <f t="shared" si="0"/>
        <v>43315.572476851848</v>
      </c>
    </row>
    <row r="44" spans="1:44" ht="40.799999999999997" x14ac:dyDescent="0.3">
      <c r="A44" s="56" t="s">
        <v>4825</v>
      </c>
      <c r="B44" s="57" t="s">
        <v>2658</v>
      </c>
      <c r="C44" s="57" t="s">
        <v>4826</v>
      </c>
      <c r="D44" s="57">
        <v>1</v>
      </c>
      <c r="E44" s="57" t="s">
        <v>4827</v>
      </c>
      <c r="F44" s="57" t="s">
        <v>4827</v>
      </c>
      <c r="G44" s="57">
        <v>12.25</v>
      </c>
      <c r="H44" s="57">
        <v>3.95</v>
      </c>
      <c r="I44" s="57">
        <v>4.0999999999999996</v>
      </c>
      <c r="J44" s="57">
        <v>4.1500000000000004</v>
      </c>
      <c r="K44" s="57">
        <v>4.2</v>
      </c>
      <c r="L44" s="57">
        <v>4.0999999999999996</v>
      </c>
      <c r="M44" s="57">
        <v>4.1500000000000004</v>
      </c>
      <c r="N44" s="57">
        <v>4.1500000000000004</v>
      </c>
      <c r="O44" s="57">
        <v>0.05</v>
      </c>
      <c r="P44" s="57">
        <v>1.22</v>
      </c>
      <c r="Q44" s="58">
        <v>4312666</v>
      </c>
      <c r="R44" s="57">
        <v>178.98</v>
      </c>
      <c r="S44" s="59">
        <v>3076745</v>
      </c>
      <c r="T44" s="57">
        <v>4.0999999999999996</v>
      </c>
      <c r="U44" s="57">
        <v>4.1500000000000004</v>
      </c>
      <c r="V44" s="59">
        <v>1032341</v>
      </c>
      <c r="W44" s="59">
        <v>1055325</v>
      </c>
      <c r="X44" s="57">
        <v>4.05</v>
      </c>
      <c r="Y44" s="57">
        <v>4.2</v>
      </c>
      <c r="Z44" s="59">
        <v>2291439</v>
      </c>
      <c r="AA44" s="59">
        <v>1251528</v>
      </c>
      <c r="AB44" s="57">
        <v>4</v>
      </c>
      <c r="AC44" s="57">
        <v>4.25</v>
      </c>
      <c r="AD44" s="59">
        <v>1774807</v>
      </c>
      <c r="AE44" s="59">
        <v>426232</v>
      </c>
      <c r="AF44" s="57">
        <v>3.95</v>
      </c>
      <c r="AG44" s="57">
        <v>4.3</v>
      </c>
      <c r="AH44" s="59">
        <v>492710</v>
      </c>
      <c r="AI44" s="59">
        <v>278056</v>
      </c>
      <c r="AJ44" s="57">
        <v>3.9</v>
      </c>
      <c r="AK44" s="57">
        <v>4.3499999999999996</v>
      </c>
      <c r="AL44" s="59">
        <v>170626</v>
      </c>
      <c r="AM44" s="59">
        <v>6612395</v>
      </c>
      <c r="AN44" s="59">
        <v>7903365</v>
      </c>
      <c r="AO44" s="60">
        <v>43314</v>
      </c>
      <c r="AP44" s="57" t="s">
        <v>4843</v>
      </c>
      <c r="AQ44" s="77" t="s">
        <v>4828</v>
      </c>
      <c r="AR44" s="76">
        <f t="shared" si="0"/>
        <v>43315.572476851848</v>
      </c>
    </row>
    <row r="45" spans="1:44" ht="40.799999999999997" x14ac:dyDescent="0.3">
      <c r="A45" s="56" t="s">
        <v>4825</v>
      </c>
      <c r="B45" s="57" t="s">
        <v>2658</v>
      </c>
      <c r="C45" s="57" t="s">
        <v>4826</v>
      </c>
      <c r="D45" s="57">
        <v>1</v>
      </c>
      <c r="E45" s="57" t="s">
        <v>4827</v>
      </c>
      <c r="F45" s="57" t="s">
        <v>4827</v>
      </c>
      <c r="G45" s="57">
        <v>12.25</v>
      </c>
      <c r="H45" s="57">
        <v>3.95</v>
      </c>
      <c r="I45" s="57">
        <v>4.0999999999999996</v>
      </c>
      <c r="J45" s="57">
        <v>4.1500000000000004</v>
      </c>
      <c r="K45" s="57">
        <v>4.2</v>
      </c>
      <c r="L45" s="57">
        <v>4.0999999999999996</v>
      </c>
      <c r="M45" s="57">
        <v>4.1500000000000004</v>
      </c>
      <c r="N45" s="57">
        <v>4.1500000000000004</v>
      </c>
      <c r="O45" s="57">
        <v>0.05</v>
      </c>
      <c r="P45" s="57">
        <v>1.22</v>
      </c>
      <c r="Q45" s="58">
        <v>4350069</v>
      </c>
      <c r="R45" s="57">
        <v>180.53</v>
      </c>
      <c r="S45" s="59">
        <v>3057463</v>
      </c>
      <c r="T45" s="57">
        <v>4.0999999999999996</v>
      </c>
      <c r="U45" s="57">
        <v>4.1500000000000004</v>
      </c>
      <c r="V45" s="59">
        <v>1033584</v>
      </c>
      <c r="W45" s="59">
        <v>1055345</v>
      </c>
      <c r="X45" s="57">
        <v>4.05</v>
      </c>
      <c r="Y45" s="57">
        <v>4.2</v>
      </c>
      <c r="Z45" s="59">
        <v>2281939</v>
      </c>
      <c r="AA45" s="59">
        <v>1251528</v>
      </c>
      <c r="AB45" s="57">
        <v>4</v>
      </c>
      <c r="AC45" s="57">
        <v>4.25</v>
      </c>
      <c r="AD45" s="59">
        <v>1775807</v>
      </c>
      <c r="AE45" s="59">
        <v>427232</v>
      </c>
      <c r="AF45" s="57">
        <v>3.95</v>
      </c>
      <c r="AG45" s="57">
        <v>4.3</v>
      </c>
      <c r="AH45" s="59">
        <v>492710</v>
      </c>
      <c r="AI45" s="59">
        <v>278056</v>
      </c>
      <c r="AJ45" s="57">
        <v>3.9</v>
      </c>
      <c r="AK45" s="57">
        <v>4.3499999999999996</v>
      </c>
      <c r="AL45" s="59">
        <v>170626</v>
      </c>
      <c r="AM45" s="59">
        <v>6599133</v>
      </c>
      <c r="AN45" s="59">
        <v>7896608</v>
      </c>
      <c r="AO45" s="60">
        <v>43314</v>
      </c>
      <c r="AP45" s="57" t="s">
        <v>4844</v>
      </c>
      <c r="AQ45" s="77" t="s">
        <v>4828</v>
      </c>
      <c r="AR45" s="76">
        <f t="shared" si="0"/>
        <v>43315.574560185189</v>
      </c>
    </row>
    <row r="46" spans="1:44" ht="40.799999999999997" x14ac:dyDescent="0.3">
      <c r="A46" s="56" t="s">
        <v>4825</v>
      </c>
      <c r="B46" s="57" t="s">
        <v>2658</v>
      </c>
      <c r="C46" s="57" t="s">
        <v>4826</v>
      </c>
      <c r="D46" s="57">
        <v>1</v>
      </c>
      <c r="E46" s="57" t="s">
        <v>4827</v>
      </c>
      <c r="F46" s="57" t="s">
        <v>4827</v>
      </c>
      <c r="G46" s="57">
        <v>12.25</v>
      </c>
      <c r="H46" s="57">
        <v>3.95</v>
      </c>
      <c r="I46" s="57">
        <v>4.0999999999999996</v>
      </c>
      <c r="J46" s="57">
        <v>4.1500000000000004</v>
      </c>
      <c r="K46" s="57">
        <v>4.2</v>
      </c>
      <c r="L46" s="57">
        <v>4.0999999999999996</v>
      </c>
      <c r="M46" s="57">
        <v>4.1500000000000004</v>
      </c>
      <c r="N46" s="57">
        <v>4.1500000000000004</v>
      </c>
      <c r="O46" s="57">
        <v>0.05</v>
      </c>
      <c r="P46" s="57">
        <v>1.22</v>
      </c>
      <c r="Q46" s="58">
        <v>4350069</v>
      </c>
      <c r="R46" s="57">
        <v>180.53</v>
      </c>
      <c r="S46" s="59">
        <v>3057463</v>
      </c>
      <c r="T46" s="57">
        <v>4.0999999999999996</v>
      </c>
      <c r="U46" s="57">
        <v>4.1500000000000004</v>
      </c>
      <c r="V46" s="59">
        <v>1033584</v>
      </c>
      <c r="W46" s="59">
        <v>1055345</v>
      </c>
      <c r="X46" s="57">
        <v>4.05</v>
      </c>
      <c r="Y46" s="57">
        <v>4.2</v>
      </c>
      <c r="Z46" s="59">
        <v>2281939</v>
      </c>
      <c r="AA46" s="59">
        <v>1251528</v>
      </c>
      <c r="AB46" s="57">
        <v>4</v>
      </c>
      <c r="AC46" s="57">
        <v>4.25</v>
      </c>
      <c r="AD46" s="59">
        <v>1775807</v>
      </c>
      <c r="AE46" s="59">
        <v>427232</v>
      </c>
      <c r="AF46" s="57">
        <v>3.95</v>
      </c>
      <c r="AG46" s="57">
        <v>4.3</v>
      </c>
      <c r="AH46" s="59">
        <v>492710</v>
      </c>
      <c r="AI46" s="59">
        <v>278056</v>
      </c>
      <c r="AJ46" s="57">
        <v>3.9</v>
      </c>
      <c r="AK46" s="57">
        <v>4.3499999999999996</v>
      </c>
      <c r="AL46" s="59">
        <v>170626</v>
      </c>
      <c r="AM46" s="59">
        <v>6599133</v>
      </c>
      <c r="AN46" s="59">
        <v>7896608</v>
      </c>
      <c r="AO46" s="60">
        <v>43314</v>
      </c>
      <c r="AP46" s="57" t="s">
        <v>4844</v>
      </c>
      <c r="AQ46" s="77" t="s">
        <v>4828</v>
      </c>
      <c r="AR46" s="76">
        <f t="shared" si="0"/>
        <v>43315.574560185189</v>
      </c>
    </row>
    <row r="47" spans="1:44" ht="40.799999999999997" x14ac:dyDescent="0.3">
      <c r="A47" s="56" t="s">
        <v>4825</v>
      </c>
      <c r="B47" s="57" t="s">
        <v>2658</v>
      </c>
      <c r="C47" s="57" t="s">
        <v>4826</v>
      </c>
      <c r="D47" s="57">
        <v>1</v>
      </c>
      <c r="E47" s="57" t="s">
        <v>4827</v>
      </c>
      <c r="F47" s="57" t="s">
        <v>4827</v>
      </c>
      <c r="G47" s="57">
        <v>12.25</v>
      </c>
      <c r="H47" s="57">
        <v>3.95</v>
      </c>
      <c r="I47" s="57">
        <v>4.0999999999999996</v>
      </c>
      <c r="J47" s="57">
        <v>4.1500000000000004</v>
      </c>
      <c r="K47" s="57">
        <v>4.2</v>
      </c>
      <c r="L47" s="57">
        <v>4.0999999999999996</v>
      </c>
      <c r="M47" s="57">
        <v>4.1500000000000004</v>
      </c>
      <c r="N47" s="57">
        <v>4.1500000000000004</v>
      </c>
      <c r="O47" s="57">
        <v>0.05</v>
      </c>
      <c r="P47" s="57">
        <v>1.22</v>
      </c>
      <c r="Q47" s="58">
        <v>4369185</v>
      </c>
      <c r="R47" s="57">
        <v>181.32</v>
      </c>
      <c r="S47" s="59">
        <v>3049801</v>
      </c>
      <c r="T47" s="57">
        <v>4.0999999999999996</v>
      </c>
      <c r="U47" s="57">
        <v>4.1500000000000004</v>
      </c>
      <c r="V47" s="59">
        <v>1014830</v>
      </c>
      <c r="W47" s="59">
        <v>1055345</v>
      </c>
      <c r="X47" s="57">
        <v>4.05</v>
      </c>
      <c r="Y47" s="57">
        <v>4.2</v>
      </c>
      <c r="Z47" s="59">
        <v>2281389</v>
      </c>
      <c r="AA47" s="59">
        <v>1251249</v>
      </c>
      <c r="AB47" s="57">
        <v>4</v>
      </c>
      <c r="AC47" s="57">
        <v>4.25</v>
      </c>
      <c r="AD47" s="59">
        <v>1775807</v>
      </c>
      <c r="AE47" s="59">
        <v>427232</v>
      </c>
      <c r="AF47" s="57">
        <v>3.95</v>
      </c>
      <c r="AG47" s="57">
        <v>4.3</v>
      </c>
      <c r="AH47" s="59">
        <v>492710</v>
      </c>
      <c r="AI47" s="59">
        <v>278056</v>
      </c>
      <c r="AJ47" s="57">
        <v>3.9</v>
      </c>
      <c r="AK47" s="57">
        <v>4.3499999999999996</v>
      </c>
      <c r="AL47" s="59">
        <v>170626</v>
      </c>
      <c r="AM47" s="59">
        <v>6593692</v>
      </c>
      <c r="AN47" s="59">
        <v>7877304</v>
      </c>
      <c r="AO47" s="60">
        <v>43314</v>
      </c>
      <c r="AP47" s="57" t="s">
        <v>4845</v>
      </c>
      <c r="AQ47" s="77" t="s">
        <v>4828</v>
      </c>
      <c r="AR47" s="76">
        <f t="shared" si="0"/>
        <v>43315.575949074075</v>
      </c>
    </row>
    <row r="48" spans="1:44" ht="40.799999999999997" x14ac:dyDescent="0.3">
      <c r="A48" s="56" t="s">
        <v>4825</v>
      </c>
      <c r="B48" s="57" t="s">
        <v>2658</v>
      </c>
      <c r="C48" s="57" t="s">
        <v>4826</v>
      </c>
      <c r="D48" s="57">
        <v>1</v>
      </c>
      <c r="E48" s="57" t="s">
        <v>4827</v>
      </c>
      <c r="F48" s="57" t="s">
        <v>4827</v>
      </c>
      <c r="G48" s="57">
        <v>12.25</v>
      </c>
      <c r="H48" s="57">
        <v>3.95</v>
      </c>
      <c r="I48" s="57">
        <v>4.0999999999999996</v>
      </c>
      <c r="J48" s="57">
        <v>4.1500000000000004</v>
      </c>
      <c r="K48" s="57">
        <v>4.2</v>
      </c>
      <c r="L48" s="57">
        <v>4.0999999999999996</v>
      </c>
      <c r="M48" s="57">
        <v>4.1500000000000004</v>
      </c>
      <c r="N48" s="57">
        <v>4.1500000000000004</v>
      </c>
      <c r="O48" s="57">
        <v>0.05</v>
      </c>
      <c r="P48" s="57">
        <v>1.22</v>
      </c>
      <c r="Q48" s="58">
        <v>4369185</v>
      </c>
      <c r="R48" s="57">
        <v>181.32</v>
      </c>
      <c r="S48" s="59">
        <v>3049801</v>
      </c>
      <c r="T48" s="57">
        <v>4.0999999999999996</v>
      </c>
      <c r="U48" s="57">
        <v>4.1500000000000004</v>
      </c>
      <c r="V48" s="59">
        <v>1014830</v>
      </c>
      <c r="W48" s="59">
        <v>1055345</v>
      </c>
      <c r="X48" s="57">
        <v>4.05</v>
      </c>
      <c r="Y48" s="57">
        <v>4.2</v>
      </c>
      <c r="Z48" s="59">
        <v>2281389</v>
      </c>
      <c r="AA48" s="59">
        <v>1251249</v>
      </c>
      <c r="AB48" s="57">
        <v>4</v>
      </c>
      <c r="AC48" s="57">
        <v>4.25</v>
      </c>
      <c r="AD48" s="59">
        <v>1775807</v>
      </c>
      <c r="AE48" s="59">
        <v>427232</v>
      </c>
      <c r="AF48" s="57">
        <v>3.95</v>
      </c>
      <c r="AG48" s="57">
        <v>4.3</v>
      </c>
      <c r="AH48" s="59">
        <v>492710</v>
      </c>
      <c r="AI48" s="59">
        <v>278056</v>
      </c>
      <c r="AJ48" s="57">
        <v>3.9</v>
      </c>
      <c r="AK48" s="57">
        <v>4.3499999999999996</v>
      </c>
      <c r="AL48" s="59">
        <v>170626</v>
      </c>
      <c r="AM48" s="59">
        <v>6593692</v>
      </c>
      <c r="AN48" s="59">
        <v>7877304</v>
      </c>
      <c r="AO48" s="60">
        <v>43314</v>
      </c>
      <c r="AP48" s="57" t="s">
        <v>4845</v>
      </c>
      <c r="AQ48" s="77" t="s">
        <v>4828</v>
      </c>
      <c r="AR48" s="76">
        <f t="shared" si="0"/>
        <v>43315.575949074075</v>
      </c>
    </row>
    <row r="49" spans="1:44" ht="40.799999999999997" x14ac:dyDescent="0.3">
      <c r="A49" s="56" t="s">
        <v>4825</v>
      </c>
      <c r="B49" s="57" t="s">
        <v>2658</v>
      </c>
      <c r="C49" s="57" t="s">
        <v>4826</v>
      </c>
      <c r="D49" s="57">
        <v>1</v>
      </c>
      <c r="E49" s="57" t="s">
        <v>4827</v>
      </c>
      <c r="F49" s="57" t="s">
        <v>4827</v>
      </c>
      <c r="G49" s="57">
        <v>12.25</v>
      </c>
      <c r="H49" s="57">
        <v>3.95</v>
      </c>
      <c r="I49" s="57">
        <v>4.0999999999999996</v>
      </c>
      <c r="J49" s="57">
        <v>4.1500000000000004</v>
      </c>
      <c r="K49" s="57">
        <v>4.2</v>
      </c>
      <c r="L49" s="57">
        <v>4.0999999999999996</v>
      </c>
      <c r="M49" s="57">
        <v>4.1500000000000004</v>
      </c>
      <c r="N49" s="57">
        <v>4.1500000000000004</v>
      </c>
      <c r="O49" s="57">
        <v>0.05</v>
      </c>
      <c r="P49" s="57">
        <v>1.22</v>
      </c>
      <c r="Q49" s="58">
        <v>4401524</v>
      </c>
      <c r="R49" s="57">
        <v>182.66</v>
      </c>
      <c r="S49" s="59">
        <v>3048400</v>
      </c>
      <c r="T49" s="57">
        <v>4.0999999999999996</v>
      </c>
      <c r="U49" s="57">
        <v>4.1500000000000004</v>
      </c>
      <c r="V49" s="59">
        <v>990880</v>
      </c>
      <c r="W49" s="59">
        <v>1054345</v>
      </c>
      <c r="X49" s="57">
        <v>4.05</v>
      </c>
      <c r="Y49" s="57">
        <v>4.2</v>
      </c>
      <c r="Z49" s="59">
        <v>2292889</v>
      </c>
      <c r="AA49" s="59">
        <v>1260749</v>
      </c>
      <c r="AB49" s="57">
        <v>4</v>
      </c>
      <c r="AC49" s="57">
        <v>4.25</v>
      </c>
      <c r="AD49" s="59">
        <v>1763807</v>
      </c>
      <c r="AE49" s="59">
        <v>427232</v>
      </c>
      <c r="AF49" s="57">
        <v>3.95</v>
      </c>
      <c r="AG49" s="57">
        <v>4.3</v>
      </c>
      <c r="AH49" s="59">
        <v>492710</v>
      </c>
      <c r="AI49" s="59">
        <v>278056</v>
      </c>
      <c r="AJ49" s="57">
        <v>3.9</v>
      </c>
      <c r="AK49" s="57">
        <v>4.3499999999999996</v>
      </c>
      <c r="AL49" s="59">
        <v>170626</v>
      </c>
      <c r="AM49" s="59">
        <v>6603791</v>
      </c>
      <c r="AN49" s="59">
        <v>7852854</v>
      </c>
      <c r="AO49" s="60">
        <v>43314</v>
      </c>
      <c r="AP49" s="57" t="s">
        <v>4846</v>
      </c>
      <c r="AQ49" s="77" t="s">
        <v>4828</v>
      </c>
      <c r="AR49" s="76">
        <f t="shared" si="0"/>
        <v>43315.578032407408</v>
      </c>
    </row>
    <row r="50" spans="1:44" ht="40.799999999999997" x14ac:dyDescent="0.3">
      <c r="A50" s="56" t="s">
        <v>4825</v>
      </c>
      <c r="B50" s="57" t="s">
        <v>2658</v>
      </c>
      <c r="C50" s="57" t="s">
        <v>4826</v>
      </c>
      <c r="D50" s="57">
        <v>1</v>
      </c>
      <c r="E50" s="57" t="s">
        <v>4827</v>
      </c>
      <c r="F50" s="57" t="s">
        <v>4827</v>
      </c>
      <c r="G50" s="57">
        <v>12.25</v>
      </c>
      <c r="H50" s="57">
        <v>3.95</v>
      </c>
      <c r="I50" s="57">
        <v>4.0999999999999996</v>
      </c>
      <c r="J50" s="57">
        <v>4.1500000000000004</v>
      </c>
      <c r="K50" s="57">
        <v>4.2</v>
      </c>
      <c r="L50" s="57">
        <v>4.0999999999999996</v>
      </c>
      <c r="M50" s="57">
        <v>4.1500000000000004</v>
      </c>
      <c r="N50" s="57">
        <v>4.1500000000000004</v>
      </c>
      <c r="O50" s="57">
        <v>0.05</v>
      </c>
      <c r="P50" s="57">
        <v>1.22</v>
      </c>
      <c r="Q50" s="58">
        <v>4401524</v>
      </c>
      <c r="R50" s="57">
        <v>182.66</v>
      </c>
      <c r="S50" s="59">
        <v>3048400</v>
      </c>
      <c r="T50" s="57">
        <v>4.0999999999999996</v>
      </c>
      <c r="U50" s="57">
        <v>4.1500000000000004</v>
      </c>
      <c r="V50" s="59">
        <v>990880</v>
      </c>
      <c r="W50" s="59">
        <v>1054345</v>
      </c>
      <c r="X50" s="57">
        <v>4.05</v>
      </c>
      <c r="Y50" s="57">
        <v>4.2</v>
      </c>
      <c r="Z50" s="59">
        <v>2292889</v>
      </c>
      <c r="AA50" s="59">
        <v>1260749</v>
      </c>
      <c r="AB50" s="57">
        <v>4</v>
      </c>
      <c r="AC50" s="57">
        <v>4.25</v>
      </c>
      <c r="AD50" s="59">
        <v>1763807</v>
      </c>
      <c r="AE50" s="59">
        <v>427232</v>
      </c>
      <c r="AF50" s="57">
        <v>3.95</v>
      </c>
      <c r="AG50" s="57">
        <v>4.3</v>
      </c>
      <c r="AH50" s="59">
        <v>492710</v>
      </c>
      <c r="AI50" s="59">
        <v>278056</v>
      </c>
      <c r="AJ50" s="57">
        <v>3.9</v>
      </c>
      <c r="AK50" s="57">
        <v>4.3499999999999996</v>
      </c>
      <c r="AL50" s="59">
        <v>170626</v>
      </c>
      <c r="AM50" s="59">
        <v>6603791</v>
      </c>
      <c r="AN50" s="59">
        <v>7852854</v>
      </c>
      <c r="AO50" s="60">
        <v>43314</v>
      </c>
      <c r="AP50" s="57" t="s">
        <v>4846</v>
      </c>
      <c r="AQ50" s="77" t="s">
        <v>4828</v>
      </c>
      <c r="AR50" s="76">
        <f t="shared" si="0"/>
        <v>43315.578032407408</v>
      </c>
    </row>
    <row r="51" spans="1:44" ht="40.799999999999997" x14ac:dyDescent="0.3">
      <c r="A51" s="56" t="s">
        <v>4825</v>
      </c>
      <c r="B51" s="57" t="s">
        <v>2658</v>
      </c>
      <c r="C51" s="57" t="s">
        <v>4826</v>
      </c>
      <c r="D51" s="57">
        <v>1</v>
      </c>
      <c r="E51" s="57" t="s">
        <v>4827</v>
      </c>
      <c r="F51" s="57" t="s">
        <v>4827</v>
      </c>
      <c r="G51" s="57">
        <v>12.25</v>
      </c>
      <c r="H51" s="57">
        <v>3.95</v>
      </c>
      <c r="I51" s="57">
        <v>4.0999999999999996</v>
      </c>
      <c r="J51" s="57">
        <v>4.1500000000000004</v>
      </c>
      <c r="K51" s="57">
        <v>4.2</v>
      </c>
      <c r="L51" s="57">
        <v>4.0999999999999996</v>
      </c>
      <c r="M51" s="57">
        <v>4.1500000000000004</v>
      </c>
      <c r="N51" s="57">
        <v>4.1500000000000004</v>
      </c>
      <c r="O51" s="57">
        <v>0.05</v>
      </c>
      <c r="P51" s="57">
        <v>1.22</v>
      </c>
      <c r="Q51" s="58">
        <v>4401524</v>
      </c>
      <c r="R51" s="57">
        <v>182.66</v>
      </c>
      <c r="S51" s="59">
        <v>3048400</v>
      </c>
      <c r="T51" s="57">
        <v>4.0999999999999996</v>
      </c>
      <c r="U51" s="57">
        <v>4.1500000000000004</v>
      </c>
      <c r="V51" s="59">
        <v>990880</v>
      </c>
      <c r="W51" s="59">
        <v>1054345</v>
      </c>
      <c r="X51" s="57">
        <v>4.05</v>
      </c>
      <c r="Y51" s="57">
        <v>4.2</v>
      </c>
      <c r="Z51" s="59">
        <v>2292889</v>
      </c>
      <c r="AA51" s="59">
        <v>1260749</v>
      </c>
      <c r="AB51" s="57">
        <v>4</v>
      </c>
      <c r="AC51" s="57">
        <v>4.25</v>
      </c>
      <c r="AD51" s="59">
        <v>1763807</v>
      </c>
      <c r="AE51" s="59">
        <v>427232</v>
      </c>
      <c r="AF51" s="57">
        <v>3.95</v>
      </c>
      <c r="AG51" s="57">
        <v>4.3</v>
      </c>
      <c r="AH51" s="59">
        <v>492710</v>
      </c>
      <c r="AI51" s="59">
        <v>278056</v>
      </c>
      <c r="AJ51" s="57">
        <v>3.9</v>
      </c>
      <c r="AK51" s="57">
        <v>4.3499999999999996</v>
      </c>
      <c r="AL51" s="59">
        <v>170626</v>
      </c>
      <c r="AM51" s="59">
        <v>6603791</v>
      </c>
      <c r="AN51" s="59">
        <v>7852854</v>
      </c>
      <c r="AO51" s="60">
        <v>43314</v>
      </c>
      <c r="AP51" s="57" t="s">
        <v>4846</v>
      </c>
      <c r="AQ51" s="77" t="s">
        <v>4828</v>
      </c>
      <c r="AR51" s="76">
        <f t="shared" si="0"/>
        <v>43315.578032407408</v>
      </c>
    </row>
    <row r="52" spans="1:44" ht="40.799999999999997" x14ac:dyDescent="0.3">
      <c r="A52" s="56" t="s">
        <v>4825</v>
      </c>
      <c r="B52" s="57" t="s">
        <v>2658</v>
      </c>
      <c r="C52" s="57" t="s">
        <v>4826</v>
      </c>
      <c r="D52" s="57">
        <v>1</v>
      </c>
      <c r="E52" s="57" t="s">
        <v>4827</v>
      </c>
      <c r="F52" s="57" t="s">
        <v>4827</v>
      </c>
      <c r="G52" s="57">
        <v>12.25</v>
      </c>
      <c r="H52" s="57">
        <v>3.95</v>
      </c>
      <c r="I52" s="57">
        <v>4.0999999999999996</v>
      </c>
      <c r="J52" s="57">
        <v>4.1500000000000004</v>
      </c>
      <c r="K52" s="57">
        <v>4.2</v>
      </c>
      <c r="L52" s="57">
        <v>4.0999999999999996</v>
      </c>
      <c r="M52" s="57">
        <v>4.1500000000000004</v>
      </c>
      <c r="N52" s="57">
        <v>4.1500000000000004</v>
      </c>
      <c r="O52" s="57">
        <v>0.05</v>
      </c>
      <c r="P52" s="57">
        <v>1.22</v>
      </c>
      <c r="Q52" s="58">
        <v>4401524</v>
      </c>
      <c r="R52" s="57">
        <v>182.66</v>
      </c>
      <c r="S52" s="59">
        <v>3048400</v>
      </c>
      <c r="T52" s="57">
        <v>4.0999999999999996</v>
      </c>
      <c r="U52" s="57">
        <v>4.1500000000000004</v>
      </c>
      <c r="V52" s="59">
        <v>990880</v>
      </c>
      <c r="W52" s="59">
        <v>1054345</v>
      </c>
      <c r="X52" s="57">
        <v>4.05</v>
      </c>
      <c r="Y52" s="57">
        <v>4.2</v>
      </c>
      <c r="Z52" s="59">
        <v>2292889</v>
      </c>
      <c r="AA52" s="59">
        <v>1260749</v>
      </c>
      <c r="AB52" s="57">
        <v>4</v>
      </c>
      <c r="AC52" s="57">
        <v>4.25</v>
      </c>
      <c r="AD52" s="59">
        <v>1763807</v>
      </c>
      <c r="AE52" s="59">
        <v>427232</v>
      </c>
      <c r="AF52" s="57">
        <v>3.95</v>
      </c>
      <c r="AG52" s="57">
        <v>4.3</v>
      </c>
      <c r="AH52" s="59">
        <v>492710</v>
      </c>
      <c r="AI52" s="59">
        <v>278056</v>
      </c>
      <c r="AJ52" s="57">
        <v>3.9</v>
      </c>
      <c r="AK52" s="57">
        <v>4.3499999999999996</v>
      </c>
      <c r="AL52" s="59">
        <v>170626</v>
      </c>
      <c r="AM52" s="59">
        <v>6603791</v>
      </c>
      <c r="AN52" s="59">
        <v>7852854</v>
      </c>
      <c r="AO52" s="60">
        <v>43314</v>
      </c>
      <c r="AP52" s="57" t="s">
        <v>4846</v>
      </c>
      <c r="AQ52" s="77" t="s">
        <v>4828</v>
      </c>
      <c r="AR52" s="76">
        <f t="shared" si="0"/>
        <v>43315.578032407408</v>
      </c>
    </row>
    <row r="53" spans="1:44" ht="40.799999999999997" x14ac:dyDescent="0.3">
      <c r="A53" s="56" t="s">
        <v>4825</v>
      </c>
      <c r="B53" s="57" t="s">
        <v>2658</v>
      </c>
      <c r="C53" s="57" t="s">
        <v>4826</v>
      </c>
      <c r="D53" s="57">
        <v>1</v>
      </c>
      <c r="E53" s="57" t="s">
        <v>4827</v>
      </c>
      <c r="F53" s="57" t="s">
        <v>4827</v>
      </c>
      <c r="G53" s="57">
        <v>12.25</v>
      </c>
      <c r="H53" s="57">
        <v>3.95</v>
      </c>
      <c r="I53" s="57">
        <v>4.0999999999999996</v>
      </c>
      <c r="J53" s="57">
        <v>4.1500000000000004</v>
      </c>
      <c r="K53" s="57">
        <v>4.2</v>
      </c>
      <c r="L53" s="57">
        <v>4.0999999999999996</v>
      </c>
      <c r="M53" s="57">
        <v>4.1500000000000004</v>
      </c>
      <c r="N53" s="57">
        <v>4.0999999999999996</v>
      </c>
      <c r="O53" s="57" t="s">
        <v>4827</v>
      </c>
      <c r="P53" s="57">
        <v>0</v>
      </c>
      <c r="Q53" s="58">
        <v>4407226</v>
      </c>
      <c r="R53" s="57">
        <v>182.9</v>
      </c>
      <c r="S53" s="59">
        <v>3044748</v>
      </c>
      <c r="T53" s="57">
        <v>4.0999999999999996</v>
      </c>
      <c r="U53" s="57">
        <v>4.1500000000000004</v>
      </c>
      <c r="V53" s="59">
        <v>1354579</v>
      </c>
      <c r="W53" s="59">
        <v>1057885</v>
      </c>
      <c r="X53" s="57">
        <v>4.05</v>
      </c>
      <c r="Y53" s="57">
        <v>4.2</v>
      </c>
      <c r="Z53" s="59">
        <v>2292389</v>
      </c>
      <c r="AA53" s="59">
        <v>1260749</v>
      </c>
      <c r="AB53" s="57">
        <v>4</v>
      </c>
      <c r="AC53" s="57">
        <v>4.25</v>
      </c>
      <c r="AD53" s="59">
        <v>1763807</v>
      </c>
      <c r="AE53" s="59">
        <v>427232</v>
      </c>
      <c r="AF53" s="57">
        <v>3.95</v>
      </c>
      <c r="AG53" s="57">
        <v>4.3</v>
      </c>
      <c r="AH53" s="59">
        <v>492710</v>
      </c>
      <c r="AI53" s="59">
        <v>278056</v>
      </c>
      <c r="AJ53" s="57">
        <v>3.9</v>
      </c>
      <c r="AK53" s="57">
        <v>4.3499999999999996</v>
      </c>
      <c r="AL53" s="59">
        <v>171626</v>
      </c>
      <c r="AM53" s="59">
        <v>6603679</v>
      </c>
      <c r="AN53" s="59">
        <v>8207053</v>
      </c>
      <c r="AO53" s="60">
        <v>43314</v>
      </c>
      <c r="AP53" s="57" t="s">
        <v>4847</v>
      </c>
      <c r="AQ53" s="77" t="s">
        <v>4828</v>
      </c>
      <c r="AR53" s="76">
        <f t="shared" si="0"/>
        <v>43315.579074074078</v>
      </c>
    </row>
    <row r="54" spans="1:44" ht="40.799999999999997" x14ac:dyDescent="0.3">
      <c r="A54" s="56" t="s">
        <v>4825</v>
      </c>
      <c r="B54" s="57" t="s">
        <v>2658</v>
      </c>
      <c r="C54" s="57" t="s">
        <v>4826</v>
      </c>
      <c r="D54" s="57">
        <v>1</v>
      </c>
      <c r="E54" s="57" t="s">
        <v>4827</v>
      </c>
      <c r="F54" s="57" t="s">
        <v>4827</v>
      </c>
      <c r="G54" s="57">
        <v>12.25</v>
      </c>
      <c r="H54" s="57">
        <v>3.95</v>
      </c>
      <c r="I54" s="57">
        <v>4.0999999999999996</v>
      </c>
      <c r="J54" s="57">
        <v>4.1500000000000004</v>
      </c>
      <c r="K54" s="57">
        <v>4.2</v>
      </c>
      <c r="L54" s="57">
        <v>4.0999999999999996</v>
      </c>
      <c r="M54" s="57">
        <v>4.1500000000000004</v>
      </c>
      <c r="N54" s="57">
        <v>4.0999999999999996</v>
      </c>
      <c r="O54" s="57" t="s">
        <v>4827</v>
      </c>
      <c r="P54" s="57">
        <v>0</v>
      </c>
      <c r="Q54" s="58">
        <v>4407226</v>
      </c>
      <c r="R54" s="57">
        <v>182.9</v>
      </c>
      <c r="S54" s="59">
        <v>3044748</v>
      </c>
      <c r="T54" s="57">
        <v>4.0999999999999996</v>
      </c>
      <c r="U54" s="57">
        <v>4.1500000000000004</v>
      </c>
      <c r="V54" s="59">
        <v>1354579</v>
      </c>
      <c r="W54" s="59">
        <v>1057885</v>
      </c>
      <c r="X54" s="57">
        <v>4.05</v>
      </c>
      <c r="Y54" s="57">
        <v>4.2</v>
      </c>
      <c r="Z54" s="59">
        <v>2292389</v>
      </c>
      <c r="AA54" s="59">
        <v>1260749</v>
      </c>
      <c r="AB54" s="57">
        <v>4</v>
      </c>
      <c r="AC54" s="57">
        <v>4.25</v>
      </c>
      <c r="AD54" s="59">
        <v>1763807</v>
      </c>
      <c r="AE54" s="59">
        <v>427232</v>
      </c>
      <c r="AF54" s="57">
        <v>3.95</v>
      </c>
      <c r="AG54" s="57">
        <v>4.3</v>
      </c>
      <c r="AH54" s="59">
        <v>492710</v>
      </c>
      <c r="AI54" s="59">
        <v>278056</v>
      </c>
      <c r="AJ54" s="57">
        <v>3.9</v>
      </c>
      <c r="AK54" s="57">
        <v>4.3499999999999996</v>
      </c>
      <c r="AL54" s="59">
        <v>171626</v>
      </c>
      <c r="AM54" s="59">
        <v>6603679</v>
      </c>
      <c r="AN54" s="59">
        <v>8207053</v>
      </c>
      <c r="AO54" s="60">
        <v>43314</v>
      </c>
      <c r="AP54" s="57" t="s">
        <v>4847</v>
      </c>
      <c r="AQ54" s="77" t="s">
        <v>4828</v>
      </c>
      <c r="AR54" s="76">
        <f t="shared" si="0"/>
        <v>43315.579074074078</v>
      </c>
    </row>
    <row r="55" spans="1:44" ht="40.799999999999997" x14ac:dyDescent="0.3">
      <c r="A55" s="56" t="s">
        <v>4825</v>
      </c>
      <c r="B55" s="57" t="s">
        <v>2658</v>
      </c>
      <c r="C55" s="57" t="s">
        <v>4826</v>
      </c>
      <c r="D55" s="57">
        <v>1</v>
      </c>
      <c r="E55" s="57" t="s">
        <v>4827</v>
      </c>
      <c r="F55" s="57" t="s">
        <v>4827</v>
      </c>
      <c r="G55" s="57">
        <v>12.25</v>
      </c>
      <c r="H55" s="57">
        <v>3.95</v>
      </c>
      <c r="I55" s="57">
        <v>4.0999999999999996</v>
      </c>
      <c r="J55" s="57">
        <v>4.1500000000000004</v>
      </c>
      <c r="K55" s="57">
        <v>4.2</v>
      </c>
      <c r="L55" s="57">
        <v>4.0999999999999996</v>
      </c>
      <c r="M55" s="57">
        <v>4.1500000000000004</v>
      </c>
      <c r="N55" s="57">
        <v>4.0999999999999996</v>
      </c>
      <c r="O55" s="57" t="s">
        <v>4827</v>
      </c>
      <c r="P55" s="57">
        <v>0</v>
      </c>
      <c r="Q55" s="58">
        <v>4417727</v>
      </c>
      <c r="R55" s="57">
        <v>183.34</v>
      </c>
      <c r="S55" s="59">
        <v>3047248</v>
      </c>
      <c r="T55" s="57">
        <v>4.0999999999999996</v>
      </c>
      <c r="U55" s="57">
        <v>4.1500000000000004</v>
      </c>
      <c r="V55" s="59">
        <v>1356578</v>
      </c>
      <c r="W55" s="59">
        <v>1057885</v>
      </c>
      <c r="X55" s="57">
        <v>4.05</v>
      </c>
      <c r="Y55" s="57">
        <v>4.2</v>
      </c>
      <c r="Z55" s="59">
        <v>2292395</v>
      </c>
      <c r="AA55" s="59">
        <v>1260749</v>
      </c>
      <c r="AB55" s="57">
        <v>4</v>
      </c>
      <c r="AC55" s="57">
        <v>4.25</v>
      </c>
      <c r="AD55" s="59">
        <v>1763807</v>
      </c>
      <c r="AE55" s="59">
        <v>427232</v>
      </c>
      <c r="AF55" s="57">
        <v>3.95</v>
      </c>
      <c r="AG55" s="57">
        <v>4.3</v>
      </c>
      <c r="AH55" s="59">
        <v>492710</v>
      </c>
      <c r="AI55" s="59">
        <v>278056</v>
      </c>
      <c r="AJ55" s="57">
        <v>3.9</v>
      </c>
      <c r="AK55" s="57">
        <v>4.3499999999999996</v>
      </c>
      <c r="AL55" s="59">
        <v>171626</v>
      </c>
      <c r="AM55" s="59">
        <v>6606179</v>
      </c>
      <c r="AN55" s="59">
        <v>8209558</v>
      </c>
      <c r="AO55" s="60">
        <v>43314</v>
      </c>
      <c r="AP55" s="57" t="s">
        <v>4848</v>
      </c>
      <c r="AQ55" s="77" t="s">
        <v>4828</v>
      </c>
      <c r="AR55" s="76">
        <f t="shared" si="0"/>
        <v>43315.581504629627</v>
      </c>
    </row>
    <row r="56" spans="1:44" ht="40.799999999999997" x14ac:dyDescent="0.3">
      <c r="A56" s="62" t="s">
        <v>4825</v>
      </c>
      <c r="B56" s="57" t="s">
        <v>2658</v>
      </c>
      <c r="C56" s="57" t="s">
        <v>4826</v>
      </c>
      <c r="D56" s="57">
        <v>1</v>
      </c>
      <c r="E56" s="57" t="s">
        <v>4827</v>
      </c>
      <c r="F56" s="57" t="s">
        <v>4827</v>
      </c>
      <c r="G56" s="57">
        <v>12.25</v>
      </c>
      <c r="H56" s="57">
        <v>3.95</v>
      </c>
      <c r="I56" s="57">
        <v>4.0999999999999996</v>
      </c>
      <c r="J56" s="57">
        <v>4.1500000000000004</v>
      </c>
      <c r="K56" s="57">
        <v>4.2</v>
      </c>
      <c r="L56" s="57">
        <v>4.0999999999999996</v>
      </c>
      <c r="M56" s="57">
        <v>4.1500000000000004</v>
      </c>
      <c r="N56" s="57">
        <v>4.0999999999999996</v>
      </c>
      <c r="O56" s="57" t="s">
        <v>4827</v>
      </c>
      <c r="P56" s="57">
        <v>0</v>
      </c>
      <c r="Q56" s="58">
        <v>4417727</v>
      </c>
      <c r="R56" s="57">
        <v>183.34</v>
      </c>
      <c r="S56" s="59">
        <v>3047248</v>
      </c>
      <c r="T56" s="57">
        <v>4.0999999999999996</v>
      </c>
      <c r="U56" s="57">
        <v>4.1500000000000004</v>
      </c>
      <c r="V56" s="59">
        <v>1356578</v>
      </c>
      <c r="W56" s="59">
        <v>1057885</v>
      </c>
      <c r="X56" s="57">
        <v>4.05</v>
      </c>
      <c r="Y56" s="57">
        <v>4.2</v>
      </c>
      <c r="Z56" s="59">
        <v>2292395</v>
      </c>
      <c r="AA56" s="59">
        <v>1260749</v>
      </c>
      <c r="AB56" s="57">
        <v>4</v>
      </c>
      <c r="AC56" s="57">
        <v>4.25</v>
      </c>
      <c r="AD56" s="59">
        <v>1763807</v>
      </c>
      <c r="AE56" s="59">
        <v>427232</v>
      </c>
      <c r="AF56" s="57">
        <v>3.95</v>
      </c>
      <c r="AG56" s="57">
        <v>4.3</v>
      </c>
      <c r="AH56" s="59">
        <v>492710</v>
      </c>
      <c r="AI56" s="59">
        <v>278056</v>
      </c>
      <c r="AJ56" s="57">
        <v>3.9</v>
      </c>
      <c r="AK56" s="57">
        <v>4.3499999999999996</v>
      </c>
      <c r="AL56" s="59">
        <v>171626</v>
      </c>
      <c r="AM56" s="59">
        <v>6606179</v>
      </c>
      <c r="AN56" s="59">
        <v>8209558</v>
      </c>
      <c r="AO56" s="60">
        <v>43314</v>
      </c>
      <c r="AP56" s="57" t="s">
        <v>4848</v>
      </c>
      <c r="AQ56" s="77" t="s">
        <v>4828</v>
      </c>
      <c r="AR56" s="76">
        <f t="shared" si="0"/>
        <v>43315.581504629627</v>
      </c>
    </row>
    <row r="57" spans="1:44" ht="40.799999999999997" x14ac:dyDescent="0.3">
      <c r="A57" s="56" t="s">
        <v>4825</v>
      </c>
      <c r="B57" s="57" t="s">
        <v>2658</v>
      </c>
      <c r="C57" s="57" t="s">
        <v>4826</v>
      </c>
      <c r="D57" s="57">
        <v>1</v>
      </c>
      <c r="E57" s="57" t="s">
        <v>4827</v>
      </c>
      <c r="F57" s="57" t="s">
        <v>4827</v>
      </c>
      <c r="G57" s="57">
        <v>12.25</v>
      </c>
      <c r="H57" s="57">
        <v>3.95</v>
      </c>
      <c r="I57" s="57">
        <v>4.0999999999999996</v>
      </c>
      <c r="J57" s="57">
        <v>4.1500000000000004</v>
      </c>
      <c r="K57" s="57">
        <v>4.2</v>
      </c>
      <c r="L57" s="57">
        <v>4.0999999999999996</v>
      </c>
      <c r="M57" s="57">
        <v>4.1500000000000004</v>
      </c>
      <c r="N57" s="57">
        <v>4.0999999999999996</v>
      </c>
      <c r="O57" s="57" t="s">
        <v>4827</v>
      </c>
      <c r="P57" s="57">
        <v>0</v>
      </c>
      <c r="Q57" s="58">
        <v>4417727</v>
      </c>
      <c r="R57" s="57">
        <v>183.34</v>
      </c>
      <c r="S57" s="59">
        <v>3047248</v>
      </c>
      <c r="T57" s="57">
        <v>4.0999999999999996</v>
      </c>
      <c r="U57" s="57">
        <v>4.1500000000000004</v>
      </c>
      <c r="V57" s="59">
        <v>1356578</v>
      </c>
      <c r="W57" s="59">
        <v>1057885</v>
      </c>
      <c r="X57" s="57">
        <v>4.05</v>
      </c>
      <c r="Y57" s="57">
        <v>4.2</v>
      </c>
      <c r="Z57" s="59">
        <v>2292395</v>
      </c>
      <c r="AA57" s="59">
        <v>1260749</v>
      </c>
      <c r="AB57" s="57">
        <v>4</v>
      </c>
      <c r="AC57" s="57">
        <v>4.25</v>
      </c>
      <c r="AD57" s="59">
        <v>1763807</v>
      </c>
      <c r="AE57" s="59">
        <v>427232</v>
      </c>
      <c r="AF57" s="57">
        <v>3.95</v>
      </c>
      <c r="AG57" s="57">
        <v>4.3</v>
      </c>
      <c r="AH57" s="59">
        <v>492710</v>
      </c>
      <c r="AI57" s="59">
        <v>278056</v>
      </c>
      <c r="AJ57" s="57">
        <v>3.9</v>
      </c>
      <c r="AK57" s="57">
        <v>4.3499999999999996</v>
      </c>
      <c r="AL57" s="59">
        <v>171626</v>
      </c>
      <c r="AM57" s="59">
        <v>6606179</v>
      </c>
      <c r="AN57" s="59">
        <v>8209558</v>
      </c>
      <c r="AO57" s="60">
        <v>43314</v>
      </c>
      <c r="AP57" s="57" t="s">
        <v>4848</v>
      </c>
      <c r="AQ57" s="77" t="s">
        <v>4828</v>
      </c>
      <c r="AR57" s="76">
        <f t="shared" si="0"/>
        <v>43315.581504629627</v>
      </c>
    </row>
    <row r="58" spans="1:44" ht="40.799999999999997" x14ac:dyDescent="0.3">
      <c r="A58" s="56" t="s">
        <v>4825</v>
      </c>
      <c r="B58" s="57" t="s">
        <v>2658</v>
      </c>
      <c r="C58" s="57" t="s">
        <v>4826</v>
      </c>
      <c r="D58" s="57">
        <v>1</v>
      </c>
      <c r="E58" s="57" t="s">
        <v>4827</v>
      </c>
      <c r="F58" s="57" t="s">
        <v>4827</v>
      </c>
      <c r="G58" s="57">
        <v>12.25</v>
      </c>
      <c r="H58" s="57">
        <v>3.95</v>
      </c>
      <c r="I58" s="57">
        <v>4.0999999999999996</v>
      </c>
      <c r="J58" s="57">
        <v>4.1500000000000004</v>
      </c>
      <c r="K58" s="57">
        <v>4.2</v>
      </c>
      <c r="L58" s="57">
        <v>4.0999999999999996</v>
      </c>
      <c r="M58" s="57">
        <v>4.1500000000000004</v>
      </c>
      <c r="N58" s="57">
        <v>4.0999999999999996</v>
      </c>
      <c r="O58" s="57" t="s">
        <v>4827</v>
      </c>
      <c r="P58" s="57">
        <v>0</v>
      </c>
      <c r="Q58" s="58">
        <v>4417727</v>
      </c>
      <c r="R58" s="57">
        <v>183.34</v>
      </c>
      <c r="S58" s="59">
        <v>3047248</v>
      </c>
      <c r="T58" s="57">
        <v>4.0999999999999996</v>
      </c>
      <c r="U58" s="57">
        <v>4.1500000000000004</v>
      </c>
      <c r="V58" s="59">
        <v>1356578</v>
      </c>
      <c r="W58" s="59">
        <v>1057885</v>
      </c>
      <c r="X58" s="57">
        <v>4.05</v>
      </c>
      <c r="Y58" s="57">
        <v>4.2</v>
      </c>
      <c r="Z58" s="59">
        <v>2292395</v>
      </c>
      <c r="AA58" s="59">
        <v>1260749</v>
      </c>
      <c r="AB58" s="57">
        <v>4</v>
      </c>
      <c r="AC58" s="57">
        <v>4.25</v>
      </c>
      <c r="AD58" s="59">
        <v>1763807</v>
      </c>
      <c r="AE58" s="59">
        <v>427232</v>
      </c>
      <c r="AF58" s="57">
        <v>3.95</v>
      </c>
      <c r="AG58" s="57">
        <v>4.3</v>
      </c>
      <c r="AH58" s="59">
        <v>492710</v>
      </c>
      <c r="AI58" s="59">
        <v>278056</v>
      </c>
      <c r="AJ58" s="57">
        <v>3.9</v>
      </c>
      <c r="AK58" s="57">
        <v>4.3499999999999996</v>
      </c>
      <c r="AL58" s="59">
        <v>171626</v>
      </c>
      <c r="AM58" s="59">
        <v>6606179</v>
      </c>
      <c r="AN58" s="59">
        <v>8209558</v>
      </c>
      <c r="AO58" s="60">
        <v>43314</v>
      </c>
      <c r="AP58" s="57" t="s">
        <v>4848</v>
      </c>
      <c r="AQ58" s="77" t="s">
        <v>4828</v>
      </c>
      <c r="AR58" s="76">
        <f t="shared" si="0"/>
        <v>43315.581504629627</v>
      </c>
    </row>
    <row r="59" spans="1:44" ht="40.799999999999997" x14ac:dyDescent="0.3">
      <c r="A59" s="56" t="s">
        <v>4825</v>
      </c>
      <c r="B59" s="57" t="s">
        <v>2658</v>
      </c>
      <c r="C59" s="57" t="s">
        <v>4826</v>
      </c>
      <c r="D59" s="57">
        <v>1</v>
      </c>
      <c r="E59" s="57" t="s">
        <v>4827</v>
      </c>
      <c r="F59" s="57" t="s">
        <v>4827</v>
      </c>
      <c r="G59" s="57">
        <v>12.25</v>
      </c>
      <c r="H59" s="57">
        <v>3.95</v>
      </c>
      <c r="I59" s="57">
        <v>4.0999999999999996</v>
      </c>
      <c r="J59" s="57">
        <v>4.1500000000000004</v>
      </c>
      <c r="K59" s="57">
        <v>4.2</v>
      </c>
      <c r="L59" s="57">
        <v>4.0999999999999996</v>
      </c>
      <c r="M59" s="57">
        <v>4.1500000000000004</v>
      </c>
      <c r="N59" s="57">
        <v>4.0999999999999996</v>
      </c>
      <c r="O59" s="57" t="s">
        <v>4827</v>
      </c>
      <c r="P59" s="57">
        <v>0</v>
      </c>
      <c r="Q59" s="58">
        <v>4428467</v>
      </c>
      <c r="R59" s="57">
        <v>183.78</v>
      </c>
      <c r="S59" s="59">
        <v>3148508</v>
      </c>
      <c r="T59" s="57">
        <v>4.0999999999999996</v>
      </c>
      <c r="U59" s="57">
        <v>4.1500000000000004</v>
      </c>
      <c r="V59" s="59">
        <v>1346068</v>
      </c>
      <c r="W59" s="59">
        <v>1057885</v>
      </c>
      <c r="X59" s="57">
        <v>4.05</v>
      </c>
      <c r="Y59" s="57">
        <v>4.2</v>
      </c>
      <c r="Z59" s="59">
        <v>2295395</v>
      </c>
      <c r="AA59" s="59">
        <v>1262549</v>
      </c>
      <c r="AB59" s="57">
        <v>4</v>
      </c>
      <c r="AC59" s="57">
        <v>4.25</v>
      </c>
      <c r="AD59" s="59">
        <v>1763807</v>
      </c>
      <c r="AE59" s="59">
        <v>427232</v>
      </c>
      <c r="AF59" s="57">
        <v>3.95</v>
      </c>
      <c r="AG59" s="57">
        <v>4.3</v>
      </c>
      <c r="AH59" s="59">
        <v>492710</v>
      </c>
      <c r="AI59" s="59">
        <v>278056</v>
      </c>
      <c r="AJ59" s="57">
        <v>3.9</v>
      </c>
      <c r="AK59" s="57">
        <v>4.3499999999999996</v>
      </c>
      <c r="AL59" s="59">
        <v>171626</v>
      </c>
      <c r="AM59" s="59">
        <v>6709239</v>
      </c>
      <c r="AN59" s="59">
        <v>8202048</v>
      </c>
      <c r="AO59" s="60">
        <v>43314</v>
      </c>
      <c r="AP59" s="57" t="s">
        <v>4849</v>
      </c>
      <c r="AQ59" s="77" t="s">
        <v>4828</v>
      </c>
      <c r="AR59" s="76">
        <f t="shared" si="0"/>
        <v>43315.58289351852</v>
      </c>
    </row>
    <row r="60" spans="1:44" ht="40.799999999999997" x14ac:dyDescent="0.3">
      <c r="A60" s="56" t="s">
        <v>4825</v>
      </c>
      <c r="B60" s="57" t="s">
        <v>2658</v>
      </c>
      <c r="C60" s="57" t="s">
        <v>4826</v>
      </c>
      <c r="D60" s="57">
        <v>1</v>
      </c>
      <c r="E60" s="57" t="s">
        <v>4827</v>
      </c>
      <c r="F60" s="57" t="s">
        <v>4827</v>
      </c>
      <c r="G60" s="57">
        <v>12.25</v>
      </c>
      <c r="H60" s="57">
        <v>3.95</v>
      </c>
      <c r="I60" s="57">
        <v>4.0999999999999996</v>
      </c>
      <c r="J60" s="57">
        <v>4.1500000000000004</v>
      </c>
      <c r="K60" s="57">
        <v>4.2</v>
      </c>
      <c r="L60" s="57">
        <v>4.0999999999999996</v>
      </c>
      <c r="M60" s="57">
        <v>4.1500000000000004</v>
      </c>
      <c r="N60" s="57">
        <v>4.0999999999999996</v>
      </c>
      <c r="O60" s="57" t="s">
        <v>4827</v>
      </c>
      <c r="P60" s="57">
        <v>0</v>
      </c>
      <c r="Q60" s="58">
        <v>4428467</v>
      </c>
      <c r="R60" s="57">
        <v>183.78</v>
      </c>
      <c r="S60" s="59">
        <v>3148508</v>
      </c>
      <c r="T60" s="57">
        <v>4.0999999999999996</v>
      </c>
      <c r="U60" s="57">
        <v>4.1500000000000004</v>
      </c>
      <c r="V60" s="59">
        <v>1346068</v>
      </c>
      <c r="W60" s="59">
        <v>1057885</v>
      </c>
      <c r="X60" s="57">
        <v>4.05</v>
      </c>
      <c r="Y60" s="57">
        <v>4.2</v>
      </c>
      <c r="Z60" s="59">
        <v>2295395</v>
      </c>
      <c r="AA60" s="59">
        <v>1262549</v>
      </c>
      <c r="AB60" s="57">
        <v>4</v>
      </c>
      <c r="AC60" s="57">
        <v>4.25</v>
      </c>
      <c r="AD60" s="59">
        <v>1763807</v>
      </c>
      <c r="AE60" s="59">
        <v>427232</v>
      </c>
      <c r="AF60" s="57">
        <v>3.95</v>
      </c>
      <c r="AG60" s="57">
        <v>4.3</v>
      </c>
      <c r="AH60" s="59">
        <v>492710</v>
      </c>
      <c r="AI60" s="59">
        <v>278056</v>
      </c>
      <c r="AJ60" s="57">
        <v>3.9</v>
      </c>
      <c r="AK60" s="57">
        <v>4.3499999999999996</v>
      </c>
      <c r="AL60" s="59">
        <v>171626</v>
      </c>
      <c r="AM60" s="59">
        <v>6709239</v>
      </c>
      <c r="AN60" s="59">
        <v>8202048</v>
      </c>
      <c r="AO60" s="60">
        <v>43314</v>
      </c>
      <c r="AP60" s="57" t="s">
        <v>4849</v>
      </c>
      <c r="AQ60" s="77" t="s">
        <v>4828</v>
      </c>
      <c r="AR60" s="76">
        <f t="shared" si="0"/>
        <v>43315.58289351852</v>
      </c>
    </row>
    <row r="61" spans="1:44" ht="40.799999999999997" x14ac:dyDescent="0.3">
      <c r="A61" s="56" t="s">
        <v>4825</v>
      </c>
      <c r="B61" s="57" t="s">
        <v>2658</v>
      </c>
      <c r="C61" s="57" t="s">
        <v>4826</v>
      </c>
      <c r="D61" s="57">
        <v>1</v>
      </c>
      <c r="E61" s="57" t="s">
        <v>4827</v>
      </c>
      <c r="F61" s="57" t="s">
        <v>4827</v>
      </c>
      <c r="G61" s="57">
        <v>12.25</v>
      </c>
      <c r="H61" s="57">
        <v>3.95</v>
      </c>
      <c r="I61" s="57">
        <v>4.0999999999999996</v>
      </c>
      <c r="J61" s="57">
        <v>4.1500000000000004</v>
      </c>
      <c r="K61" s="57">
        <v>4.2</v>
      </c>
      <c r="L61" s="57">
        <v>4.0999999999999996</v>
      </c>
      <c r="M61" s="57">
        <v>4.1500000000000004</v>
      </c>
      <c r="N61" s="57">
        <v>4.0999999999999996</v>
      </c>
      <c r="O61" s="57" t="s">
        <v>4827</v>
      </c>
      <c r="P61" s="57">
        <v>0</v>
      </c>
      <c r="Q61" s="58">
        <v>4444545</v>
      </c>
      <c r="R61" s="57">
        <v>184.45</v>
      </c>
      <c r="S61" s="59">
        <v>3176032</v>
      </c>
      <c r="T61" s="57">
        <v>4.0999999999999996</v>
      </c>
      <c r="U61" s="57">
        <v>4.1500000000000004</v>
      </c>
      <c r="V61" s="59">
        <v>1336466</v>
      </c>
      <c r="W61" s="59">
        <v>1063085</v>
      </c>
      <c r="X61" s="57">
        <v>4.05</v>
      </c>
      <c r="Y61" s="57">
        <v>4.2</v>
      </c>
      <c r="Z61" s="59">
        <v>2301395</v>
      </c>
      <c r="AA61" s="59">
        <v>1265349</v>
      </c>
      <c r="AB61" s="57">
        <v>4</v>
      </c>
      <c r="AC61" s="57">
        <v>4.25</v>
      </c>
      <c r="AD61" s="59">
        <v>1763957</v>
      </c>
      <c r="AE61" s="59">
        <v>427232</v>
      </c>
      <c r="AF61" s="57">
        <v>3.95</v>
      </c>
      <c r="AG61" s="57">
        <v>4.3</v>
      </c>
      <c r="AH61" s="59">
        <v>492710</v>
      </c>
      <c r="AI61" s="59">
        <v>278056</v>
      </c>
      <c r="AJ61" s="57">
        <v>3.9</v>
      </c>
      <c r="AK61" s="57">
        <v>4.3499999999999996</v>
      </c>
      <c r="AL61" s="59">
        <v>170626</v>
      </c>
      <c r="AM61" s="59">
        <v>6744763</v>
      </c>
      <c r="AN61" s="59">
        <v>8193596</v>
      </c>
      <c r="AO61" s="60">
        <v>43314</v>
      </c>
      <c r="AP61" s="57" t="s">
        <v>4850</v>
      </c>
      <c r="AQ61" s="77" t="s">
        <v>4828</v>
      </c>
      <c r="AR61" s="76">
        <f t="shared" si="0"/>
        <v>43315.584976851853</v>
      </c>
    </row>
    <row r="62" spans="1:44" ht="40.799999999999997" x14ac:dyDescent="0.3">
      <c r="A62" s="56" t="s">
        <v>4825</v>
      </c>
      <c r="B62" s="57" t="s">
        <v>2658</v>
      </c>
      <c r="C62" s="57" t="s">
        <v>4826</v>
      </c>
      <c r="D62" s="57">
        <v>1</v>
      </c>
      <c r="E62" s="57" t="s">
        <v>4827</v>
      </c>
      <c r="F62" s="57" t="s">
        <v>4827</v>
      </c>
      <c r="G62" s="57">
        <v>12.25</v>
      </c>
      <c r="H62" s="57">
        <v>3.95</v>
      </c>
      <c r="I62" s="57">
        <v>4.0999999999999996</v>
      </c>
      <c r="J62" s="57">
        <v>4.1500000000000004</v>
      </c>
      <c r="K62" s="57">
        <v>4.2</v>
      </c>
      <c r="L62" s="57">
        <v>4.0999999999999996</v>
      </c>
      <c r="M62" s="57">
        <v>4.1500000000000004</v>
      </c>
      <c r="N62" s="57">
        <v>4.0999999999999996</v>
      </c>
      <c r="O62" s="57" t="s">
        <v>4827</v>
      </c>
      <c r="P62" s="57">
        <v>0</v>
      </c>
      <c r="Q62" s="58">
        <v>4444545</v>
      </c>
      <c r="R62" s="57">
        <v>184.45</v>
      </c>
      <c r="S62" s="59">
        <v>3176032</v>
      </c>
      <c r="T62" s="57">
        <v>4.0999999999999996</v>
      </c>
      <c r="U62" s="57">
        <v>4.1500000000000004</v>
      </c>
      <c r="V62" s="59">
        <v>1336466</v>
      </c>
      <c r="W62" s="59">
        <v>1063085</v>
      </c>
      <c r="X62" s="57">
        <v>4.05</v>
      </c>
      <c r="Y62" s="57">
        <v>4.2</v>
      </c>
      <c r="Z62" s="59">
        <v>2301395</v>
      </c>
      <c r="AA62" s="59">
        <v>1265349</v>
      </c>
      <c r="AB62" s="57">
        <v>4</v>
      </c>
      <c r="AC62" s="57">
        <v>4.25</v>
      </c>
      <c r="AD62" s="59">
        <v>1763957</v>
      </c>
      <c r="AE62" s="59">
        <v>427232</v>
      </c>
      <c r="AF62" s="57">
        <v>3.95</v>
      </c>
      <c r="AG62" s="57">
        <v>4.3</v>
      </c>
      <c r="AH62" s="59">
        <v>492710</v>
      </c>
      <c r="AI62" s="59">
        <v>278056</v>
      </c>
      <c r="AJ62" s="57">
        <v>3.9</v>
      </c>
      <c r="AK62" s="57">
        <v>4.3499999999999996</v>
      </c>
      <c r="AL62" s="59">
        <v>170626</v>
      </c>
      <c r="AM62" s="59">
        <v>6744763</v>
      </c>
      <c r="AN62" s="59">
        <v>8193596</v>
      </c>
      <c r="AO62" s="60">
        <v>43314</v>
      </c>
      <c r="AP62" s="57" t="s">
        <v>4850</v>
      </c>
      <c r="AQ62" s="77" t="s">
        <v>4828</v>
      </c>
      <c r="AR62" s="76">
        <f t="shared" si="0"/>
        <v>43315.584976851853</v>
      </c>
    </row>
    <row r="63" spans="1:44" ht="40.799999999999997" x14ac:dyDescent="0.3">
      <c r="A63" s="56" t="s">
        <v>4825</v>
      </c>
      <c r="B63" s="57" t="s">
        <v>2658</v>
      </c>
      <c r="C63" s="57" t="s">
        <v>4826</v>
      </c>
      <c r="D63" s="57">
        <v>1</v>
      </c>
      <c r="E63" s="57" t="s">
        <v>4827</v>
      </c>
      <c r="F63" s="57" t="s">
        <v>4827</v>
      </c>
      <c r="G63" s="57">
        <v>12.25</v>
      </c>
      <c r="H63" s="57">
        <v>3.95</v>
      </c>
      <c r="I63" s="57">
        <v>4.0999999999999996</v>
      </c>
      <c r="J63" s="57">
        <v>4.1500000000000004</v>
      </c>
      <c r="K63" s="57">
        <v>4.2</v>
      </c>
      <c r="L63" s="57">
        <v>4.0999999999999996</v>
      </c>
      <c r="M63" s="57">
        <v>4.1500000000000004</v>
      </c>
      <c r="N63" s="57">
        <v>4.0999999999999996</v>
      </c>
      <c r="O63" s="57" t="s">
        <v>4827</v>
      </c>
      <c r="P63" s="57">
        <v>0</v>
      </c>
      <c r="Q63" s="58">
        <v>4444545</v>
      </c>
      <c r="R63" s="57">
        <v>184.45</v>
      </c>
      <c r="S63" s="59">
        <v>3176032</v>
      </c>
      <c r="T63" s="57">
        <v>4.0999999999999996</v>
      </c>
      <c r="U63" s="57">
        <v>4.1500000000000004</v>
      </c>
      <c r="V63" s="59">
        <v>1336466</v>
      </c>
      <c r="W63" s="59">
        <v>1063085</v>
      </c>
      <c r="X63" s="57">
        <v>4.05</v>
      </c>
      <c r="Y63" s="57">
        <v>4.2</v>
      </c>
      <c r="Z63" s="59">
        <v>2301395</v>
      </c>
      <c r="AA63" s="59">
        <v>1265349</v>
      </c>
      <c r="AB63" s="57">
        <v>4</v>
      </c>
      <c r="AC63" s="57">
        <v>4.25</v>
      </c>
      <c r="AD63" s="59">
        <v>1763957</v>
      </c>
      <c r="AE63" s="59">
        <v>427232</v>
      </c>
      <c r="AF63" s="57">
        <v>3.95</v>
      </c>
      <c r="AG63" s="57">
        <v>4.3</v>
      </c>
      <c r="AH63" s="59">
        <v>492710</v>
      </c>
      <c r="AI63" s="59">
        <v>278056</v>
      </c>
      <c r="AJ63" s="57">
        <v>3.9</v>
      </c>
      <c r="AK63" s="57">
        <v>4.3499999999999996</v>
      </c>
      <c r="AL63" s="59">
        <v>170626</v>
      </c>
      <c r="AM63" s="59">
        <v>6744763</v>
      </c>
      <c r="AN63" s="59">
        <v>8193596</v>
      </c>
      <c r="AO63" s="60">
        <v>43314</v>
      </c>
      <c r="AP63" s="57" t="s">
        <v>4850</v>
      </c>
      <c r="AQ63" s="77" t="s">
        <v>4828</v>
      </c>
      <c r="AR63" s="76">
        <f t="shared" si="0"/>
        <v>43315.584976851853</v>
      </c>
    </row>
    <row r="64" spans="1:44" ht="40.799999999999997" x14ac:dyDescent="0.3">
      <c r="A64" s="56" t="s">
        <v>4825</v>
      </c>
      <c r="B64" s="57" t="s">
        <v>2658</v>
      </c>
      <c r="C64" s="57" t="s">
        <v>4826</v>
      </c>
      <c r="D64" s="57">
        <v>1</v>
      </c>
      <c r="E64" s="57" t="s">
        <v>4827</v>
      </c>
      <c r="F64" s="57" t="s">
        <v>4827</v>
      </c>
      <c r="G64" s="57">
        <v>12.25</v>
      </c>
      <c r="H64" s="57">
        <v>3.95</v>
      </c>
      <c r="I64" s="57">
        <v>4.0999999999999996</v>
      </c>
      <c r="J64" s="57">
        <v>4.1500000000000004</v>
      </c>
      <c r="K64" s="57">
        <v>4.2</v>
      </c>
      <c r="L64" s="57">
        <v>4.0999999999999996</v>
      </c>
      <c r="M64" s="57">
        <v>4.1500000000000004</v>
      </c>
      <c r="N64" s="57">
        <v>4.0999999999999996</v>
      </c>
      <c r="O64" s="57" t="s">
        <v>4827</v>
      </c>
      <c r="P64" s="57">
        <v>0</v>
      </c>
      <c r="Q64" s="58">
        <v>4444545</v>
      </c>
      <c r="R64" s="57">
        <v>184.45</v>
      </c>
      <c r="S64" s="59">
        <v>3176032</v>
      </c>
      <c r="T64" s="57">
        <v>4.0999999999999996</v>
      </c>
      <c r="U64" s="57">
        <v>4.1500000000000004</v>
      </c>
      <c r="V64" s="59">
        <v>1336466</v>
      </c>
      <c r="W64" s="59">
        <v>1063085</v>
      </c>
      <c r="X64" s="57">
        <v>4.05</v>
      </c>
      <c r="Y64" s="57">
        <v>4.2</v>
      </c>
      <c r="Z64" s="59">
        <v>2301395</v>
      </c>
      <c r="AA64" s="59">
        <v>1265349</v>
      </c>
      <c r="AB64" s="57">
        <v>4</v>
      </c>
      <c r="AC64" s="57">
        <v>4.25</v>
      </c>
      <c r="AD64" s="59">
        <v>1763957</v>
      </c>
      <c r="AE64" s="59">
        <v>427232</v>
      </c>
      <c r="AF64" s="57">
        <v>3.95</v>
      </c>
      <c r="AG64" s="57">
        <v>4.3</v>
      </c>
      <c r="AH64" s="59">
        <v>492710</v>
      </c>
      <c r="AI64" s="59">
        <v>278056</v>
      </c>
      <c r="AJ64" s="57">
        <v>3.9</v>
      </c>
      <c r="AK64" s="57">
        <v>4.3499999999999996</v>
      </c>
      <c r="AL64" s="59">
        <v>170626</v>
      </c>
      <c r="AM64" s="59">
        <v>6744763</v>
      </c>
      <c r="AN64" s="59">
        <v>8193596</v>
      </c>
      <c r="AO64" s="60">
        <v>43314</v>
      </c>
      <c r="AP64" s="57" t="s">
        <v>4850</v>
      </c>
      <c r="AQ64" s="77" t="s">
        <v>4828</v>
      </c>
      <c r="AR64" s="76">
        <f t="shared" si="0"/>
        <v>43315.584976851853</v>
      </c>
    </row>
    <row r="65" spans="1:44" ht="40.799999999999997" x14ac:dyDescent="0.3">
      <c r="A65" s="56" t="s">
        <v>4825</v>
      </c>
      <c r="B65" s="57" t="s">
        <v>2658</v>
      </c>
      <c r="C65" s="57" t="s">
        <v>4826</v>
      </c>
      <c r="D65" s="57">
        <v>1</v>
      </c>
      <c r="E65" s="57" t="s">
        <v>4827</v>
      </c>
      <c r="F65" s="57" t="s">
        <v>4827</v>
      </c>
      <c r="G65" s="57">
        <v>12.25</v>
      </c>
      <c r="H65" s="57">
        <v>3.95</v>
      </c>
      <c r="I65" s="57">
        <v>4.0999999999999996</v>
      </c>
      <c r="J65" s="57">
        <v>4.1500000000000004</v>
      </c>
      <c r="K65" s="57">
        <v>4.2</v>
      </c>
      <c r="L65" s="57">
        <v>4.0999999999999996</v>
      </c>
      <c r="M65" s="57">
        <v>4.1500000000000004</v>
      </c>
      <c r="N65" s="57">
        <v>4.1500000000000004</v>
      </c>
      <c r="O65" s="57">
        <v>0.05</v>
      </c>
      <c r="P65" s="57">
        <v>1.22</v>
      </c>
      <c r="Q65" s="58">
        <v>4459307</v>
      </c>
      <c r="R65" s="57">
        <v>185.06</v>
      </c>
      <c r="S65" s="59">
        <v>3191374</v>
      </c>
      <c r="T65" s="57">
        <v>4.0999999999999996</v>
      </c>
      <c r="U65" s="57">
        <v>4.1500000000000004</v>
      </c>
      <c r="V65" s="59">
        <v>1325316</v>
      </c>
      <c r="W65" s="59">
        <v>1060557</v>
      </c>
      <c r="X65" s="57">
        <v>4.05</v>
      </c>
      <c r="Y65" s="57">
        <v>4.2</v>
      </c>
      <c r="Z65" s="59">
        <v>2298656</v>
      </c>
      <c r="AA65" s="59">
        <v>1265393</v>
      </c>
      <c r="AB65" s="57">
        <v>4</v>
      </c>
      <c r="AC65" s="57">
        <v>4.25</v>
      </c>
      <c r="AD65" s="59">
        <v>1762957</v>
      </c>
      <c r="AE65" s="59">
        <v>427232</v>
      </c>
      <c r="AF65" s="57">
        <v>3.95</v>
      </c>
      <c r="AG65" s="57">
        <v>4.3</v>
      </c>
      <c r="AH65" s="59">
        <v>492710</v>
      </c>
      <c r="AI65" s="59">
        <v>278056</v>
      </c>
      <c r="AJ65" s="57">
        <v>3.9</v>
      </c>
      <c r="AK65" s="57">
        <v>4.3499999999999996</v>
      </c>
      <c r="AL65" s="59">
        <v>170626</v>
      </c>
      <c r="AM65" s="59">
        <v>6757621</v>
      </c>
      <c r="AN65" s="59">
        <v>8178707</v>
      </c>
      <c r="AO65" s="60">
        <v>43314</v>
      </c>
      <c r="AP65" s="57" t="s">
        <v>4851</v>
      </c>
      <c r="AQ65" s="77" t="s">
        <v>4828</v>
      </c>
      <c r="AR65" s="76">
        <f t="shared" si="0"/>
        <v>43315.586365740739</v>
      </c>
    </row>
    <row r="66" spans="1:44" ht="40.799999999999997" x14ac:dyDescent="0.3">
      <c r="A66" s="56" t="s">
        <v>4825</v>
      </c>
      <c r="B66" s="57" t="s">
        <v>2658</v>
      </c>
      <c r="C66" s="57" t="s">
        <v>4826</v>
      </c>
      <c r="D66" s="57">
        <v>1</v>
      </c>
      <c r="E66" s="57" t="s">
        <v>4827</v>
      </c>
      <c r="F66" s="57" t="s">
        <v>4827</v>
      </c>
      <c r="G66" s="57">
        <v>12.25</v>
      </c>
      <c r="H66" s="57">
        <v>3.95</v>
      </c>
      <c r="I66" s="57">
        <v>4.0999999999999996</v>
      </c>
      <c r="J66" s="57">
        <v>4.1500000000000004</v>
      </c>
      <c r="K66" s="57">
        <v>4.2</v>
      </c>
      <c r="L66" s="57">
        <v>4.0999999999999996</v>
      </c>
      <c r="M66" s="57">
        <v>4.1500000000000004</v>
      </c>
      <c r="N66" s="57">
        <v>4.1500000000000004</v>
      </c>
      <c r="O66" s="57">
        <v>0.05</v>
      </c>
      <c r="P66" s="57">
        <v>1.22</v>
      </c>
      <c r="Q66" s="58">
        <v>4459307</v>
      </c>
      <c r="R66" s="57">
        <v>185.06</v>
      </c>
      <c r="S66" s="59">
        <v>3191374</v>
      </c>
      <c r="T66" s="57">
        <v>4.0999999999999996</v>
      </c>
      <c r="U66" s="57">
        <v>4.1500000000000004</v>
      </c>
      <c r="V66" s="59">
        <v>1325316</v>
      </c>
      <c r="W66" s="59">
        <v>1060557</v>
      </c>
      <c r="X66" s="57">
        <v>4.05</v>
      </c>
      <c r="Y66" s="57">
        <v>4.2</v>
      </c>
      <c r="Z66" s="59">
        <v>2298656</v>
      </c>
      <c r="AA66" s="59">
        <v>1265393</v>
      </c>
      <c r="AB66" s="57">
        <v>4</v>
      </c>
      <c r="AC66" s="57">
        <v>4.25</v>
      </c>
      <c r="AD66" s="59">
        <v>1762957</v>
      </c>
      <c r="AE66" s="59">
        <v>427232</v>
      </c>
      <c r="AF66" s="57">
        <v>3.95</v>
      </c>
      <c r="AG66" s="57">
        <v>4.3</v>
      </c>
      <c r="AH66" s="59">
        <v>492710</v>
      </c>
      <c r="AI66" s="59">
        <v>278056</v>
      </c>
      <c r="AJ66" s="57">
        <v>3.9</v>
      </c>
      <c r="AK66" s="57">
        <v>4.3499999999999996</v>
      </c>
      <c r="AL66" s="59">
        <v>170626</v>
      </c>
      <c r="AM66" s="59">
        <v>6757621</v>
      </c>
      <c r="AN66" s="59">
        <v>8178707</v>
      </c>
      <c r="AO66" s="60">
        <v>43314</v>
      </c>
      <c r="AP66" s="57" t="s">
        <v>4851</v>
      </c>
      <c r="AQ66" s="77" t="s">
        <v>4828</v>
      </c>
      <c r="AR66" s="76">
        <f t="shared" si="0"/>
        <v>43315.586365740739</v>
      </c>
    </row>
    <row r="67" spans="1:44" ht="40.799999999999997" x14ac:dyDescent="0.3">
      <c r="A67" s="56" t="s">
        <v>4825</v>
      </c>
      <c r="B67" s="57" t="s">
        <v>2658</v>
      </c>
      <c r="C67" s="57" t="s">
        <v>4826</v>
      </c>
      <c r="D67" s="57">
        <v>1</v>
      </c>
      <c r="E67" s="57" t="s">
        <v>4827</v>
      </c>
      <c r="F67" s="57" t="s">
        <v>4827</v>
      </c>
      <c r="G67" s="57">
        <v>12.25</v>
      </c>
      <c r="H67" s="57">
        <v>3.95</v>
      </c>
      <c r="I67" s="57">
        <v>4.0999999999999996</v>
      </c>
      <c r="J67" s="57">
        <v>4.1500000000000004</v>
      </c>
      <c r="K67" s="57">
        <v>4.2</v>
      </c>
      <c r="L67" s="57">
        <v>4.0999999999999996</v>
      </c>
      <c r="M67" s="57">
        <v>4.1500000000000004</v>
      </c>
      <c r="N67" s="57">
        <v>4.0999999999999996</v>
      </c>
      <c r="O67" s="57" t="s">
        <v>4827</v>
      </c>
      <c r="P67" s="57">
        <v>0</v>
      </c>
      <c r="Q67" s="58">
        <v>4476968</v>
      </c>
      <c r="R67" s="57">
        <v>185.79</v>
      </c>
      <c r="S67" s="59">
        <v>3203864</v>
      </c>
      <c r="T67" s="57">
        <v>4.0999999999999996</v>
      </c>
      <c r="U67" s="57">
        <v>4.1500000000000004</v>
      </c>
      <c r="V67" s="59">
        <v>1308315</v>
      </c>
      <c r="W67" s="59">
        <v>1071097</v>
      </c>
      <c r="X67" s="57">
        <v>4.05</v>
      </c>
      <c r="Y67" s="57">
        <v>4.2</v>
      </c>
      <c r="Z67" s="59">
        <v>2298656</v>
      </c>
      <c r="AA67" s="59">
        <v>1265393</v>
      </c>
      <c r="AB67" s="57">
        <v>4</v>
      </c>
      <c r="AC67" s="57">
        <v>4.25</v>
      </c>
      <c r="AD67" s="59">
        <v>1764857</v>
      </c>
      <c r="AE67" s="59">
        <v>427232</v>
      </c>
      <c r="AF67" s="57">
        <v>3.95</v>
      </c>
      <c r="AG67" s="57">
        <v>4.3</v>
      </c>
      <c r="AH67" s="59">
        <v>492710</v>
      </c>
      <c r="AI67" s="59">
        <v>283171</v>
      </c>
      <c r="AJ67" s="57">
        <v>3.9</v>
      </c>
      <c r="AK67" s="57">
        <v>4.3499999999999996</v>
      </c>
      <c r="AL67" s="59">
        <v>170626</v>
      </c>
      <c r="AM67" s="59">
        <v>6785766</v>
      </c>
      <c r="AN67" s="59">
        <v>8160706</v>
      </c>
      <c r="AO67" s="60">
        <v>43314</v>
      </c>
      <c r="AP67" s="57" t="s">
        <v>4852</v>
      </c>
      <c r="AQ67" s="77" t="s">
        <v>4828</v>
      </c>
      <c r="AR67" s="76">
        <f t="shared" ref="AR67:AR130" si="1">DATEVALUE(SUBSTITUTE(AP67,";",":"))+TIMEVALUE(SUBSTITUTE(AP67,";",":"))</f>
        <v>43315.587754629632</v>
      </c>
    </row>
    <row r="68" spans="1:44" ht="40.799999999999997" x14ac:dyDescent="0.3">
      <c r="A68" s="56" t="s">
        <v>4825</v>
      </c>
      <c r="B68" s="57" t="s">
        <v>2658</v>
      </c>
      <c r="C68" s="57" t="s">
        <v>4826</v>
      </c>
      <c r="D68" s="57">
        <v>1</v>
      </c>
      <c r="E68" s="57" t="s">
        <v>4827</v>
      </c>
      <c r="F68" s="57" t="s">
        <v>4827</v>
      </c>
      <c r="G68" s="57">
        <v>12.25</v>
      </c>
      <c r="H68" s="57">
        <v>3.95</v>
      </c>
      <c r="I68" s="57">
        <v>4.0999999999999996</v>
      </c>
      <c r="J68" s="57">
        <v>4.1500000000000004</v>
      </c>
      <c r="K68" s="57">
        <v>4.2</v>
      </c>
      <c r="L68" s="57">
        <v>4.0999999999999996</v>
      </c>
      <c r="M68" s="57">
        <v>4.1500000000000004</v>
      </c>
      <c r="N68" s="57">
        <v>4.0999999999999996</v>
      </c>
      <c r="O68" s="57" t="s">
        <v>4827</v>
      </c>
      <c r="P68" s="57">
        <v>0</v>
      </c>
      <c r="Q68" s="58">
        <v>4476968</v>
      </c>
      <c r="R68" s="57">
        <v>185.79</v>
      </c>
      <c r="S68" s="59">
        <v>3203864</v>
      </c>
      <c r="T68" s="57">
        <v>4.0999999999999996</v>
      </c>
      <c r="U68" s="57">
        <v>4.1500000000000004</v>
      </c>
      <c r="V68" s="59">
        <v>1308315</v>
      </c>
      <c r="W68" s="59">
        <v>1071097</v>
      </c>
      <c r="X68" s="57">
        <v>4.05</v>
      </c>
      <c r="Y68" s="57">
        <v>4.2</v>
      </c>
      <c r="Z68" s="59">
        <v>2298656</v>
      </c>
      <c r="AA68" s="59">
        <v>1265393</v>
      </c>
      <c r="AB68" s="57">
        <v>4</v>
      </c>
      <c r="AC68" s="57">
        <v>4.25</v>
      </c>
      <c r="AD68" s="59">
        <v>1764857</v>
      </c>
      <c r="AE68" s="59">
        <v>427232</v>
      </c>
      <c r="AF68" s="57">
        <v>3.95</v>
      </c>
      <c r="AG68" s="57">
        <v>4.3</v>
      </c>
      <c r="AH68" s="59">
        <v>492710</v>
      </c>
      <c r="AI68" s="59">
        <v>283171</v>
      </c>
      <c r="AJ68" s="57">
        <v>3.9</v>
      </c>
      <c r="AK68" s="57">
        <v>4.3499999999999996</v>
      </c>
      <c r="AL68" s="59">
        <v>170626</v>
      </c>
      <c r="AM68" s="59">
        <v>6785766</v>
      </c>
      <c r="AN68" s="59">
        <v>8160706</v>
      </c>
      <c r="AO68" s="60">
        <v>43314</v>
      </c>
      <c r="AP68" s="57" t="s">
        <v>4852</v>
      </c>
      <c r="AQ68" s="77" t="s">
        <v>4828</v>
      </c>
      <c r="AR68" s="76">
        <f t="shared" si="1"/>
        <v>43315.587754629632</v>
      </c>
    </row>
    <row r="69" spans="1:44" ht="40.799999999999997" x14ac:dyDescent="0.3">
      <c r="A69" s="56" t="s">
        <v>4825</v>
      </c>
      <c r="B69" s="57" t="s">
        <v>2658</v>
      </c>
      <c r="C69" s="57" t="s">
        <v>4826</v>
      </c>
      <c r="D69" s="57">
        <v>1</v>
      </c>
      <c r="E69" s="57" t="s">
        <v>4827</v>
      </c>
      <c r="F69" s="57" t="s">
        <v>4827</v>
      </c>
      <c r="G69" s="57">
        <v>12.25</v>
      </c>
      <c r="H69" s="57">
        <v>3.95</v>
      </c>
      <c r="I69" s="57">
        <v>4.0999999999999996</v>
      </c>
      <c r="J69" s="57">
        <v>4.1500000000000004</v>
      </c>
      <c r="K69" s="57">
        <v>4.2</v>
      </c>
      <c r="L69" s="57">
        <v>4.0999999999999996</v>
      </c>
      <c r="M69" s="57">
        <v>4.1500000000000004</v>
      </c>
      <c r="N69" s="57">
        <v>4.1500000000000004</v>
      </c>
      <c r="O69" s="57">
        <v>0.05</v>
      </c>
      <c r="P69" s="57">
        <v>1.22</v>
      </c>
      <c r="Q69" s="58">
        <v>4477250</v>
      </c>
      <c r="R69" s="57">
        <v>185.81</v>
      </c>
      <c r="S69" s="59">
        <v>3210987</v>
      </c>
      <c r="T69" s="57">
        <v>4.0999999999999996</v>
      </c>
      <c r="U69" s="57">
        <v>4.1500000000000004</v>
      </c>
      <c r="V69" s="59">
        <v>1308035</v>
      </c>
      <c r="W69" s="59">
        <v>1062557</v>
      </c>
      <c r="X69" s="57">
        <v>4.05</v>
      </c>
      <c r="Y69" s="57">
        <v>4.2</v>
      </c>
      <c r="Z69" s="59">
        <v>2309456</v>
      </c>
      <c r="AA69" s="59">
        <v>1267143</v>
      </c>
      <c r="AB69" s="57">
        <v>4</v>
      </c>
      <c r="AC69" s="57">
        <v>4.25</v>
      </c>
      <c r="AD69" s="59">
        <v>1809857</v>
      </c>
      <c r="AE69" s="59">
        <v>427282</v>
      </c>
      <c r="AF69" s="57">
        <v>3.95</v>
      </c>
      <c r="AG69" s="57">
        <v>4.3</v>
      </c>
      <c r="AH69" s="59">
        <v>447710</v>
      </c>
      <c r="AI69" s="59">
        <v>283171</v>
      </c>
      <c r="AJ69" s="57">
        <v>3.9</v>
      </c>
      <c r="AK69" s="57">
        <v>4.3499999999999996</v>
      </c>
      <c r="AL69" s="59">
        <v>170626</v>
      </c>
      <c r="AM69" s="59">
        <v>6786149</v>
      </c>
      <c r="AN69" s="59">
        <v>8171726</v>
      </c>
      <c r="AO69" s="60">
        <v>43314</v>
      </c>
      <c r="AP69" s="57" t="s">
        <v>4853</v>
      </c>
      <c r="AQ69" s="77" t="s">
        <v>4828</v>
      </c>
      <c r="AR69" s="76">
        <f t="shared" si="1"/>
        <v>43315.589837962965</v>
      </c>
    </row>
    <row r="70" spans="1:44" ht="40.799999999999997" x14ac:dyDescent="0.3">
      <c r="A70" s="56" t="s">
        <v>4825</v>
      </c>
      <c r="B70" s="57" t="s">
        <v>2658</v>
      </c>
      <c r="C70" s="57" t="s">
        <v>4826</v>
      </c>
      <c r="D70" s="57">
        <v>1</v>
      </c>
      <c r="E70" s="57" t="s">
        <v>4827</v>
      </c>
      <c r="F70" s="57" t="s">
        <v>4827</v>
      </c>
      <c r="G70" s="57">
        <v>12.25</v>
      </c>
      <c r="H70" s="57">
        <v>3.95</v>
      </c>
      <c r="I70" s="57">
        <v>4.0999999999999996</v>
      </c>
      <c r="J70" s="57">
        <v>4.1500000000000004</v>
      </c>
      <c r="K70" s="57">
        <v>4.2</v>
      </c>
      <c r="L70" s="57">
        <v>4.0999999999999996</v>
      </c>
      <c r="M70" s="57">
        <v>4.1500000000000004</v>
      </c>
      <c r="N70" s="57">
        <v>4.1500000000000004</v>
      </c>
      <c r="O70" s="57">
        <v>0.05</v>
      </c>
      <c r="P70" s="57">
        <v>1.22</v>
      </c>
      <c r="Q70" s="58">
        <v>4477250</v>
      </c>
      <c r="R70" s="57">
        <v>185.81</v>
      </c>
      <c r="S70" s="59">
        <v>3210987</v>
      </c>
      <c r="T70" s="57">
        <v>4.0999999999999996</v>
      </c>
      <c r="U70" s="57">
        <v>4.1500000000000004</v>
      </c>
      <c r="V70" s="59">
        <v>1308035</v>
      </c>
      <c r="W70" s="59">
        <v>1062557</v>
      </c>
      <c r="X70" s="57">
        <v>4.05</v>
      </c>
      <c r="Y70" s="57">
        <v>4.2</v>
      </c>
      <c r="Z70" s="59">
        <v>2309456</v>
      </c>
      <c r="AA70" s="59">
        <v>1267143</v>
      </c>
      <c r="AB70" s="57">
        <v>4</v>
      </c>
      <c r="AC70" s="57">
        <v>4.25</v>
      </c>
      <c r="AD70" s="59">
        <v>1809857</v>
      </c>
      <c r="AE70" s="59">
        <v>427282</v>
      </c>
      <c r="AF70" s="57">
        <v>3.95</v>
      </c>
      <c r="AG70" s="57">
        <v>4.3</v>
      </c>
      <c r="AH70" s="59">
        <v>447710</v>
      </c>
      <c r="AI70" s="59">
        <v>283171</v>
      </c>
      <c r="AJ70" s="57">
        <v>3.9</v>
      </c>
      <c r="AK70" s="57">
        <v>4.3499999999999996</v>
      </c>
      <c r="AL70" s="59">
        <v>170626</v>
      </c>
      <c r="AM70" s="59">
        <v>6786149</v>
      </c>
      <c r="AN70" s="59">
        <v>8171726</v>
      </c>
      <c r="AO70" s="60">
        <v>43314</v>
      </c>
      <c r="AP70" s="57" t="s">
        <v>4853</v>
      </c>
      <c r="AQ70" s="77" t="s">
        <v>4828</v>
      </c>
      <c r="AR70" s="76">
        <f t="shared" si="1"/>
        <v>43315.589837962965</v>
      </c>
    </row>
    <row r="71" spans="1:44" ht="40.799999999999997" x14ac:dyDescent="0.3">
      <c r="A71" s="56" t="s">
        <v>4825</v>
      </c>
      <c r="B71" s="57" t="s">
        <v>2658</v>
      </c>
      <c r="C71" s="57" t="s">
        <v>4826</v>
      </c>
      <c r="D71" s="57">
        <v>1</v>
      </c>
      <c r="E71" s="57" t="s">
        <v>4827</v>
      </c>
      <c r="F71" s="57" t="s">
        <v>4827</v>
      </c>
      <c r="G71" s="57">
        <v>12.25</v>
      </c>
      <c r="H71" s="57">
        <v>3.95</v>
      </c>
      <c r="I71" s="57">
        <v>4.0999999999999996</v>
      </c>
      <c r="J71" s="57">
        <v>4.1500000000000004</v>
      </c>
      <c r="K71" s="57">
        <v>4.2</v>
      </c>
      <c r="L71" s="57">
        <v>4.0999999999999996</v>
      </c>
      <c r="M71" s="57">
        <v>4.1500000000000004</v>
      </c>
      <c r="N71" s="57">
        <v>4.1500000000000004</v>
      </c>
      <c r="O71" s="57">
        <v>0.05</v>
      </c>
      <c r="P71" s="57">
        <v>1.22</v>
      </c>
      <c r="Q71" s="58">
        <v>4477250</v>
      </c>
      <c r="R71" s="57">
        <v>185.81</v>
      </c>
      <c r="S71" s="59">
        <v>3210987</v>
      </c>
      <c r="T71" s="57">
        <v>4.0999999999999996</v>
      </c>
      <c r="U71" s="57">
        <v>4.1500000000000004</v>
      </c>
      <c r="V71" s="59">
        <v>1308035</v>
      </c>
      <c r="W71" s="59">
        <v>1062557</v>
      </c>
      <c r="X71" s="57">
        <v>4.05</v>
      </c>
      <c r="Y71" s="57">
        <v>4.2</v>
      </c>
      <c r="Z71" s="59">
        <v>2309456</v>
      </c>
      <c r="AA71" s="59">
        <v>1267143</v>
      </c>
      <c r="AB71" s="57">
        <v>4</v>
      </c>
      <c r="AC71" s="57">
        <v>4.25</v>
      </c>
      <c r="AD71" s="59">
        <v>1809857</v>
      </c>
      <c r="AE71" s="59">
        <v>427282</v>
      </c>
      <c r="AF71" s="57">
        <v>3.95</v>
      </c>
      <c r="AG71" s="57">
        <v>4.3</v>
      </c>
      <c r="AH71" s="59">
        <v>447710</v>
      </c>
      <c r="AI71" s="59">
        <v>283171</v>
      </c>
      <c r="AJ71" s="57">
        <v>3.9</v>
      </c>
      <c r="AK71" s="57">
        <v>4.3499999999999996</v>
      </c>
      <c r="AL71" s="59">
        <v>170626</v>
      </c>
      <c r="AM71" s="59">
        <v>6786149</v>
      </c>
      <c r="AN71" s="59">
        <v>8171726</v>
      </c>
      <c r="AO71" s="60">
        <v>43314</v>
      </c>
      <c r="AP71" s="57" t="s">
        <v>4853</v>
      </c>
      <c r="AQ71" s="77" t="s">
        <v>4828</v>
      </c>
      <c r="AR71" s="76">
        <f t="shared" si="1"/>
        <v>43315.589837962965</v>
      </c>
    </row>
    <row r="72" spans="1:44" ht="40.799999999999997" x14ac:dyDescent="0.3">
      <c r="A72" s="56" t="s">
        <v>4825</v>
      </c>
      <c r="B72" s="57" t="s">
        <v>2658</v>
      </c>
      <c r="C72" s="57" t="s">
        <v>4826</v>
      </c>
      <c r="D72" s="57">
        <v>1</v>
      </c>
      <c r="E72" s="57" t="s">
        <v>4827</v>
      </c>
      <c r="F72" s="57" t="s">
        <v>4827</v>
      </c>
      <c r="G72" s="57">
        <v>12.25</v>
      </c>
      <c r="H72" s="57">
        <v>3.95</v>
      </c>
      <c r="I72" s="57">
        <v>4.0999999999999996</v>
      </c>
      <c r="J72" s="57">
        <v>4.1500000000000004</v>
      </c>
      <c r="K72" s="57">
        <v>4.2</v>
      </c>
      <c r="L72" s="57">
        <v>4.0999999999999996</v>
      </c>
      <c r="M72" s="57">
        <v>4.1500000000000004</v>
      </c>
      <c r="N72" s="57">
        <v>4.1500000000000004</v>
      </c>
      <c r="O72" s="57">
        <v>0.05</v>
      </c>
      <c r="P72" s="57">
        <v>1.22</v>
      </c>
      <c r="Q72" s="58">
        <v>4477250</v>
      </c>
      <c r="R72" s="57">
        <v>185.81</v>
      </c>
      <c r="S72" s="59">
        <v>3210987</v>
      </c>
      <c r="T72" s="57">
        <v>4.0999999999999996</v>
      </c>
      <c r="U72" s="57">
        <v>4.1500000000000004</v>
      </c>
      <c r="V72" s="59">
        <v>1308035</v>
      </c>
      <c r="W72" s="59">
        <v>1062557</v>
      </c>
      <c r="X72" s="57">
        <v>4.05</v>
      </c>
      <c r="Y72" s="57">
        <v>4.2</v>
      </c>
      <c r="Z72" s="59">
        <v>2309456</v>
      </c>
      <c r="AA72" s="59">
        <v>1267143</v>
      </c>
      <c r="AB72" s="57">
        <v>4</v>
      </c>
      <c r="AC72" s="57">
        <v>4.25</v>
      </c>
      <c r="AD72" s="59">
        <v>1809857</v>
      </c>
      <c r="AE72" s="59">
        <v>427282</v>
      </c>
      <c r="AF72" s="57">
        <v>3.95</v>
      </c>
      <c r="AG72" s="57">
        <v>4.3</v>
      </c>
      <c r="AH72" s="59">
        <v>447710</v>
      </c>
      <c r="AI72" s="59">
        <v>283171</v>
      </c>
      <c r="AJ72" s="57">
        <v>3.9</v>
      </c>
      <c r="AK72" s="57">
        <v>4.3499999999999996</v>
      </c>
      <c r="AL72" s="59">
        <v>170626</v>
      </c>
      <c r="AM72" s="59">
        <v>6786149</v>
      </c>
      <c r="AN72" s="59">
        <v>8171726</v>
      </c>
      <c r="AO72" s="60">
        <v>43314</v>
      </c>
      <c r="AP72" s="57" t="s">
        <v>4853</v>
      </c>
      <c r="AQ72" s="77" t="s">
        <v>4828</v>
      </c>
      <c r="AR72" s="76">
        <f t="shared" si="1"/>
        <v>43315.589837962965</v>
      </c>
    </row>
    <row r="73" spans="1:44" ht="40.799999999999997" x14ac:dyDescent="0.3">
      <c r="A73" s="56" t="s">
        <v>4825</v>
      </c>
      <c r="B73" s="57" t="s">
        <v>2658</v>
      </c>
      <c r="C73" s="57" t="s">
        <v>4826</v>
      </c>
      <c r="D73" s="57">
        <v>1</v>
      </c>
      <c r="E73" s="57" t="s">
        <v>4827</v>
      </c>
      <c r="F73" s="57" t="s">
        <v>4827</v>
      </c>
      <c r="G73" s="57">
        <v>12.25</v>
      </c>
      <c r="H73" s="57">
        <v>3.95</v>
      </c>
      <c r="I73" s="57">
        <v>4.0999999999999996</v>
      </c>
      <c r="J73" s="57">
        <v>4.1500000000000004</v>
      </c>
      <c r="K73" s="57">
        <v>4.2</v>
      </c>
      <c r="L73" s="57">
        <v>4.0999999999999996</v>
      </c>
      <c r="M73" s="57">
        <v>4.1500000000000004</v>
      </c>
      <c r="N73" s="57">
        <v>4.1500000000000004</v>
      </c>
      <c r="O73" s="57">
        <v>0.05</v>
      </c>
      <c r="P73" s="57">
        <v>1.22</v>
      </c>
      <c r="Q73" s="58">
        <v>4489390</v>
      </c>
      <c r="R73" s="57">
        <v>186.31</v>
      </c>
      <c r="S73" s="59">
        <v>3204459</v>
      </c>
      <c r="T73" s="57">
        <v>4.0999999999999996</v>
      </c>
      <c r="U73" s="57">
        <v>4.1500000000000004</v>
      </c>
      <c r="V73" s="59">
        <v>1297087</v>
      </c>
      <c r="W73" s="59">
        <v>1065582</v>
      </c>
      <c r="X73" s="57">
        <v>4.05</v>
      </c>
      <c r="Y73" s="57">
        <v>4.2</v>
      </c>
      <c r="Z73" s="59">
        <v>2314056</v>
      </c>
      <c r="AA73" s="59">
        <v>1268188</v>
      </c>
      <c r="AB73" s="57">
        <v>4</v>
      </c>
      <c r="AC73" s="57">
        <v>4.25</v>
      </c>
      <c r="AD73" s="59">
        <v>1809626</v>
      </c>
      <c r="AE73" s="59">
        <v>427282</v>
      </c>
      <c r="AF73" s="57">
        <v>3.95</v>
      </c>
      <c r="AG73" s="57">
        <v>4.3</v>
      </c>
      <c r="AH73" s="59">
        <v>443110</v>
      </c>
      <c r="AI73" s="59">
        <v>283171</v>
      </c>
      <c r="AJ73" s="57">
        <v>3.9</v>
      </c>
      <c r="AK73" s="57">
        <v>4.3499999999999996</v>
      </c>
      <c r="AL73" s="59">
        <v>170626</v>
      </c>
      <c r="AM73" s="59">
        <v>6784691</v>
      </c>
      <c r="AN73" s="59">
        <v>8160547</v>
      </c>
      <c r="AO73" s="60">
        <v>43314</v>
      </c>
      <c r="AP73" s="57" t="s">
        <v>4854</v>
      </c>
      <c r="AQ73" s="77" t="s">
        <v>4828</v>
      </c>
      <c r="AR73" s="76">
        <f t="shared" si="1"/>
        <v>43315.592615740738</v>
      </c>
    </row>
    <row r="74" spans="1:44" ht="40.799999999999997" x14ac:dyDescent="0.3">
      <c r="A74" s="56" t="s">
        <v>4825</v>
      </c>
      <c r="B74" s="57" t="s">
        <v>2658</v>
      </c>
      <c r="C74" s="57" t="s">
        <v>4826</v>
      </c>
      <c r="D74" s="57">
        <v>1</v>
      </c>
      <c r="E74" s="57" t="s">
        <v>4827</v>
      </c>
      <c r="F74" s="57" t="s">
        <v>4827</v>
      </c>
      <c r="G74" s="57">
        <v>12.25</v>
      </c>
      <c r="H74" s="57">
        <v>3.95</v>
      </c>
      <c r="I74" s="57">
        <v>4.0999999999999996</v>
      </c>
      <c r="J74" s="57">
        <v>4.1500000000000004</v>
      </c>
      <c r="K74" s="57">
        <v>4.2</v>
      </c>
      <c r="L74" s="57">
        <v>4.0999999999999996</v>
      </c>
      <c r="M74" s="57">
        <v>4.1500000000000004</v>
      </c>
      <c r="N74" s="57">
        <v>4.1500000000000004</v>
      </c>
      <c r="O74" s="57">
        <v>0.05</v>
      </c>
      <c r="P74" s="57">
        <v>1.22</v>
      </c>
      <c r="Q74" s="58">
        <v>4489390</v>
      </c>
      <c r="R74" s="57">
        <v>186.31</v>
      </c>
      <c r="S74" s="59">
        <v>3204459</v>
      </c>
      <c r="T74" s="57">
        <v>4.0999999999999996</v>
      </c>
      <c r="U74" s="57">
        <v>4.1500000000000004</v>
      </c>
      <c r="V74" s="59">
        <v>1297087</v>
      </c>
      <c r="W74" s="59">
        <v>1065582</v>
      </c>
      <c r="X74" s="57">
        <v>4.05</v>
      </c>
      <c r="Y74" s="57">
        <v>4.2</v>
      </c>
      <c r="Z74" s="59">
        <v>2314056</v>
      </c>
      <c r="AA74" s="59">
        <v>1268188</v>
      </c>
      <c r="AB74" s="57">
        <v>4</v>
      </c>
      <c r="AC74" s="57">
        <v>4.25</v>
      </c>
      <c r="AD74" s="59">
        <v>1809626</v>
      </c>
      <c r="AE74" s="59">
        <v>427282</v>
      </c>
      <c r="AF74" s="57">
        <v>3.95</v>
      </c>
      <c r="AG74" s="57">
        <v>4.3</v>
      </c>
      <c r="AH74" s="59">
        <v>443110</v>
      </c>
      <c r="AI74" s="59">
        <v>283171</v>
      </c>
      <c r="AJ74" s="57">
        <v>3.9</v>
      </c>
      <c r="AK74" s="57">
        <v>4.3499999999999996</v>
      </c>
      <c r="AL74" s="59">
        <v>170626</v>
      </c>
      <c r="AM74" s="59">
        <v>6784691</v>
      </c>
      <c r="AN74" s="59">
        <v>8160547</v>
      </c>
      <c r="AO74" s="60">
        <v>43314</v>
      </c>
      <c r="AP74" s="57" t="s">
        <v>4854</v>
      </c>
      <c r="AQ74" s="77" t="s">
        <v>4828</v>
      </c>
      <c r="AR74" s="76">
        <f t="shared" si="1"/>
        <v>43315.592615740738</v>
      </c>
    </row>
    <row r="75" spans="1:44" ht="40.799999999999997" x14ac:dyDescent="0.3">
      <c r="A75" s="56" t="s">
        <v>4825</v>
      </c>
      <c r="B75" s="57" t="s">
        <v>2658</v>
      </c>
      <c r="C75" s="57" t="s">
        <v>4826</v>
      </c>
      <c r="D75" s="57">
        <v>1</v>
      </c>
      <c r="E75" s="57" t="s">
        <v>4827</v>
      </c>
      <c r="F75" s="57" t="s">
        <v>4827</v>
      </c>
      <c r="G75" s="57">
        <v>12.25</v>
      </c>
      <c r="H75" s="57">
        <v>3.95</v>
      </c>
      <c r="I75" s="57">
        <v>4.0999999999999996</v>
      </c>
      <c r="J75" s="57">
        <v>4.1500000000000004</v>
      </c>
      <c r="K75" s="57">
        <v>4.2</v>
      </c>
      <c r="L75" s="57">
        <v>4.0999999999999996</v>
      </c>
      <c r="M75" s="57">
        <v>4.1500000000000004</v>
      </c>
      <c r="N75" s="57">
        <v>4.1500000000000004</v>
      </c>
      <c r="O75" s="57">
        <v>0.05</v>
      </c>
      <c r="P75" s="57">
        <v>1.22</v>
      </c>
      <c r="Q75" s="58">
        <v>4489390</v>
      </c>
      <c r="R75" s="57">
        <v>186.31</v>
      </c>
      <c r="S75" s="59">
        <v>3204459</v>
      </c>
      <c r="T75" s="57">
        <v>4.0999999999999996</v>
      </c>
      <c r="U75" s="57">
        <v>4.1500000000000004</v>
      </c>
      <c r="V75" s="59">
        <v>1297087</v>
      </c>
      <c r="W75" s="59">
        <v>1065582</v>
      </c>
      <c r="X75" s="57">
        <v>4.05</v>
      </c>
      <c r="Y75" s="57">
        <v>4.2</v>
      </c>
      <c r="Z75" s="59">
        <v>2314056</v>
      </c>
      <c r="AA75" s="59">
        <v>1268188</v>
      </c>
      <c r="AB75" s="57">
        <v>4</v>
      </c>
      <c r="AC75" s="57">
        <v>4.25</v>
      </c>
      <c r="AD75" s="59">
        <v>1809626</v>
      </c>
      <c r="AE75" s="59">
        <v>427282</v>
      </c>
      <c r="AF75" s="57">
        <v>3.95</v>
      </c>
      <c r="AG75" s="57">
        <v>4.3</v>
      </c>
      <c r="AH75" s="59">
        <v>443110</v>
      </c>
      <c r="AI75" s="59">
        <v>283171</v>
      </c>
      <c r="AJ75" s="57">
        <v>3.9</v>
      </c>
      <c r="AK75" s="57">
        <v>4.3499999999999996</v>
      </c>
      <c r="AL75" s="59">
        <v>170626</v>
      </c>
      <c r="AM75" s="59">
        <v>6784691</v>
      </c>
      <c r="AN75" s="59">
        <v>8160547</v>
      </c>
      <c r="AO75" s="60">
        <v>43314</v>
      </c>
      <c r="AP75" s="57" t="s">
        <v>4854</v>
      </c>
      <c r="AQ75" s="77" t="s">
        <v>4828</v>
      </c>
      <c r="AR75" s="76">
        <f t="shared" si="1"/>
        <v>43315.592615740738</v>
      </c>
    </row>
    <row r="76" spans="1:44" ht="40.799999999999997" x14ac:dyDescent="0.3">
      <c r="A76" s="56" t="s">
        <v>4825</v>
      </c>
      <c r="B76" s="57" t="s">
        <v>2658</v>
      </c>
      <c r="C76" s="57" t="s">
        <v>4826</v>
      </c>
      <c r="D76" s="57">
        <v>1</v>
      </c>
      <c r="E76" s="57" t="s">
        <v>4827</v>
      </c>
      <c r="F76" s="57" t="s">
        <v>4827</v>
      </c>
      <c r="G76" s="57">
        <v>12.25</v>
      </c>
      <c r="H76" s="57">
        <v>3.95</v>
      </c>
      <c r="I76" s="57">
        <v>4.0999999999999996</v>
      </c>
      <c r="J76" s="57">
        <v>4.1500000000000004</v>
      </c>
      <c r="K76" s="57">
        <v>4.2</v>
      </c>
      <c r="L76" s="57">
        <v>4.0999999999999996</v>
      </c>
      <c r="M76" s="57">
        <v>4.1500000000000004</v>
      </c>
      <c r="N76" s="57">
        <v>4.1500000000000004</v>
      </c>
      <c r="O76" s="57">
        <v>0.05</v>
      </c>
      <c r="P76" s="57">
        <v>1.22</v>
      </c>
      <c r="Q76" s="58">
        <v>4489390</v>
      </c>
      <c r="R76" s="57">
        <v>186.31</v>
      </c>
      <c r="S76" s="59">
        <v>3204459</v>
      </c>
      <c r="T76" s="57">
        <v>4.0999999999999996</v>
      </c>
      <c r="U76" s="57">
        <v>4.1500000000000004</v>
      </c>
      <c r="V76" s="59">
        <v>1297087</v>
      </c>
      <c r="W76" s="59">
        <v>1065582</v>
      </c>
      <c r="X76" s="57">
        <v>4.05</v>
      </c>
      <c r="Y76" s="57">
        <v>4.2</v>
      </c>
      <c r="Z76" s="59">
        <v>2314056</v>
      </c>
      <c r="AA76" s="59">
        <v>1268188</v>
      </c>
      <c r="AB76" s="57">
        <v>4</v>
      </c>
      <c r="AC76" s="57">
        <v>4.25</v>
      </c>
      <c r="AD76" s="59">
        <v>1809626</v>
      </c>
      <c r="AE76" s="59">
        <v>427282</v>
      </c>
      <c r="AF76" s="57">
        <v>3.95</v>
      </c>
      <c r="AG76" s="57">
        <v>4.3</v>
      </c>
      <c r="AH76" s="59">
        <v>443110</v>
      </c>
      <c r="AI76" s="59">
        <v>283171</v>
      </c>
      <c r="AJ76" s="57">
        <v>3.9</v>
      </c>
      <c r="AK76" s="57">
        <v>4.3499999999999996</v>
      </c>
      <c r="AL76" s="59">
        <v>170626</v>
      </c>
      <c r="AM76" s="59">
        <v>6784691</v>
      </c>
      <c r="AN76" s="59">
        <v>8160547</v>
      </c>
      <c r="AO76" s="60">
        <v>43314</v>
      </c>
      <c r="AP76" s="57" t="s">
        <v>4854</v>
      </c>
      <c r="AQ76" s="77" t="s">
        <v>4828</v>
      </c>
      <c r="AR76" s="76">
        <f t="shared" si="1"/>
        <v>43315.592615740738</v>
      </c>
    </row>
    <row r="77" spans="1:44" ht="40.799999999999997" x14ac:dyDescent="0.3">
      <c r="A77" s="56" t="s">
        <v>4825</v>
      </c>
      <c r="B77" s="57" t="s">
        <v>2658</v>
      </c>
      <c r="C77" s="57" t="s">
        <v>4826</v>
      </c>
      <c r="D77" s="57">
        <v>1</v>
      </c>
      <c r="E77" s="57" t="s">
        <v>4827</v>
      </c>
      <c r="F77" s="57" t="s">
        <v>4827</v>
      </c>
      <c r="G77" s="57">
        <v>12.25</v>
      </c>
      <c r="H77" s="57">
        <v>3.95</v>
      </c>
      <c r="I77" s="57">
        <v>4.0999999999999996</v>
      </c>
      <c r="J77" s="57">
        <v>4.1500000000000004</v>
      </c>
      <c r="K77" s="57">
        <v>4.2</v>
      </c>
      <c r="L77" s="57">
        <v>4.0999999999999996</v>
      </c>
      <c r="M77" s="57">
        <v>4.1500000000000004</v>
      </c>
      <c r="N77" s="57">
        <v>4.0999999999999996</v>
      </c>
      <c r="O77" s="57" t="s">
        <v>4827</v>
      </c>
      <c r="P77" s="57">
        <v>0</v>
      </c>
      <c r="Q77" s="58">
        <v>4509093</v>
      </c>
      <c r="R77" s="57">
        <v>187.13</v>
      </c>
      <c r="S77" s="59">
        <v>3182806</v>
      </c>
      <c r="T77" s="57">
        <v>4.0999999999999996</v>
      </c>
      <c r="U77" s="57">
        <v>4.1500000000000004</v>
      </c>
      <c r="V77" s="59">
        <v>1290337</v>
      </c>
      <c r="W77" s="59">
        <v>1074047</v>
      </c>
      <c r="X77" s="57">
        <v>4.05</v>
      </c>
      <c r="Y77" s="57">
        <v>4.2</v>
      </c>
      <c r="Z77" s="59">
        <v>2322828</v>
      </c>
      <c r="AA77" s="59">
        <v>1267928</v>
      </c>
      <c r="AB77" s="57">
        <v>4</v>
      </c>
      <c r="AC77" s="57">
        <v>4.25</v>
      </c>
      <c r="AD77" s="59">
        <v>1809626</v>
      </c>
      <c r="AE77" s="59">
        <v>427282</v>
      </c>
      <c r="AF77" s="57">
        <v>3.95</v>
      </c>
      <c r="AG77" s="57">
        <v>4.3</v>
      </c>
      <c r="AH77" s="59">
        <v>443110</v>
      </c>
      <c r="AI77" s="59">
        <v>283171</v>
      </c>
      <c r="AJ77" s="57">
        <v>3.9</v>
      </c>
      <c r="AK77" s="57">
        <v>4.3499999999999996</v>
      </c>
      <c r="AL77" s="59">
        <v>170626</v>
      </c>
      <c r="AM77" s="59">
        <v>6771243</v>
      </c>
      <c r="AN77" s="59">
        <v>8162569</v>
      </c>
      <c r="AO77" s="60">
        <v>43314</v>
      </c>
      <c r="AP77" s="57" t="s">
        <v>4855</v>
      </c>
      <c r="AQ77" s="77" t="s">
        <v>4828</v>
      </c>
      <c r="AR77" s="76">
        <f t="shared" si="1"/>
        <v>43315.594699074078</v>
      </c>
    </row>
    <row r="78" spans="1:44" ht="40.799999999999997" x14ac:dyDescent="0.3">
      <c r="A78" s="56" t="s">
        <v>4825</v>
      </c>
      <c r="B78" s="57" t="s">
        <v>2658</v>
      </c>
      <c r="C78" s="57" t="s">
        <v>4826</v>
      </c>
      <c r="D78" s="57">
        <v>1</v>
      </c>
      <c r="E78" s="57" t="s">
        <v>4827</v>
      </c>
      <c r="F78" s="57" t="s">
        <v>4827</v>
      </c>
      <c r="G78" s="57">
        <v>12.25</v>
      </c>
      <c r="H78" s="57">
        <v>3.95</v>
      </c>
      <c r="I78" s="57">
        <v>4.0999999999999996</v>
      </c>
      <c r="J78" s="57">
        <v>4.1500000000000004</v>
      </c>
      <c r="K78" s="57">
        <v>4.2</v>
      </c>
      <c r="L78" s="57">
        <v>4.0999999999999996</v>
      </c>
      <c r="M78" s="57">
        <v>4.1500000000000004</v>
      </c>
      <c r="N78" s="57">
        <v>4.0999999999999996</v>
      </c>
      <c r="O78" s="57" t="s">
        <v>4827</v>
      </c>
      <c r="P78" s="57">
        <v>0</v>
      </c>
      <c r="Q78" s="58">
        <v>4509093</v>
      </c>
      <c r="R78" s="57">
        <v>187.13</v>
      </c>
      <c r="S78" s="59">
        <v>3182806</v>
      </c>
      <c r="T78" s="57">
        <v>4.0999999999999996</v>
      </c>
      <c r="U78" s="57">
        <v>4.1500000000000004</v>
      </c>
      <c r="V78" s="59">
        <v>1290337</v>
      </c>
      <c r="W78" s="59">
        <v>1074047</v>
      </c>
      <c r="X78" s="57">
        <v>4.05</v>
      </c>
      <c r="Y78" s="57">
        <v>4.2</v>
      </c>
      <c r="Z78" s="59">
        <v>2322828</v>
      </c>
      <c r="AA78" s="59">
        <v>1267928</v>
      </c>
      <c r="AB78" s="57">
        <v>4</v>
      </c>
      <c r="AC78" s="57">
        <v>4.25</v>
      </c>
      <c r="AD78" s="59">
        <v>1809626</v>
      </c>
      <c r="AE78" s="59">
        <v>427282</v>
      </c>
      <c r="AF78" s="57">
        <v>3.95</v>
      </c>
      <c r="AG78" s="57">
        <v>4.3</v>
      </c>
      <c r="AH78" s="59">
        <v>443110</v>
      </c>
      <c r="AI78" s="59">
        <v>283171</v>
      </c>
      <c r="AJ78" s="57">
        <v>3.9</v>
      </c>
      <c r="AK78" s="57">
        <v>4.3499999999999996</v>
      </c>
      <c r="AL78" s="59">
        <v>170626</v>
      </c>
      <c r="AM78" s="59">
        <v>6771243</v>
      </c>
      <c r="AN78" s="59">
        <v>8162569</v>
      </c>
      <c r="AO78" s="60">
        <v>43314</v>
      </c>
      <c r="AP78" s="57" t="s">
        <v>4855</v>
      </c>
      <c r="AQ78" s="77" t="s">
        <v>4828</v>
      </c>
      <c r="AR78" s="76">
        <f t="shared" si="1"/>
        <v>43315.594699074078</v>
      </c>
    </row>
    <row r="79" spans="1:44" ht="40.799999999999997" x14ac:dyDescent="0.3">
      <c r="A79" s="56" t="s">
        <v>4825</v>
      </c>
      <c r="B79" s="57" t="s">
        <v>2658</v>
      </c>
      <c r="C79" s="57" t="s">
        <v>4826</v>
      </c>
      <c r="D79" s="57">
        <v>1</v>
      </c>
      <c r="E79" s="57" t="s">
        <v>4827</v>
      </c>
      <c r="F79" s="57" t="s">
        <v>4827</v>
      </c>
      <c r="G79" s="57">
        <v>12.25</v>
      </c>
      <c r="H79" s="57">
        <v>3.95</v>
      </c>
      <c r="I79" s="57">
        <v>4.0999999999999996</v>
      </c>
      <c r="J79" s="57">
        <v>4.1500000000000004</v>
      </c>
      <c r="K79" s="57">
        <v>4.2</v>
      </c>
      <c r="L79" s="57">
        <v>4.0999999999999996</v>
      </c>
      <c r="M79" s="57">
        <v>4.1500000000000004</v>
      </c>
      <c r="N79" s="57">
        <v>4.0999999999999996</v>
      </c>
      <c r="O79" s="57" t="s">
        <v>4827</v>
      </c>
      <c r="P79" s="57">
        <v>0</v>
      </c>
      <c r="Q79" s="58">
        <v>4509093</v>
      </c>
      <c r="R79" s="57">
        <v>187.13</v>
      </c>
      <c r="S79" s="59">
        <v>3182806</v>
      </c>
      <c r="T79" s="57">
        <v>4.0999999999999996</v>
      </c>
      <c r="U79" s="57">
        <v>4.1500000000000004</v>
      </c>
      <c r="V79" s="59">
        <v>1290337</v>
      </c>
      <c r="W79" s="59">
        <v>1074047</v>
      </c>
      <c r="X79" s="57">
        <v>4.05</v>
      </c>
      <c r="Y79" s="57">
        <v>4.2</v>
      </c>
      <c r="Z79" s="59">
        <v>2322828</v>
      </c>
      <c r="AA79" s="59">
        <v>1267928</v>
      </c>
      <c r="AB79" s="57">
        <v>4</v>
      </c>
      <c r="AC79" s="57">
        <v>4.25</v>
      </c>
      <c r="AD79" s="59">
        <v>1809626</v>
      </c>
      <c r="AE79" s="59">
        <v>427282</v>
      </c>
      <c r="AF79" s="57">
        <v>3.95</v>
      </c>
      <c r="AG79" s="57">
        <v>4.3</v>
      </c>
      <c r="AH79" s="59">
        <v>443110</v>
      </c>
      <c r="AI79" s="59">
        <v>283171</v>
      </c>
      <c r="AJ79" s="57">
        <v>3.9</v>
      </c>
      <c r="AK79" s="57">
        <v>4.3499999999999996</v>
      </c>
      <c r="AL79" s="59">
        <v>170626</v>
      </c>
      <c r="AM79" s="59">
        <v>6771243</v>
      </c>
      <c r="AN79" s="59">
        <v>8162569</v>
      </c>
      <c r="AO79" s="60">
        <v>43314</v>
      </c>
      <c r="AP79" s="57" t="s">
        <v>4855</v>
      </c>
      <c r="AQ79" s="77" t="s">
        <v>4828</v>
      </c>
      <c r="AR79" s="76">
        <f t="shared" si="1"/>
        <v>43315.594699074078</v>
      </c>
    </row>
    <row r="80" spans="1:44" ht="40.799999999999997" x14ac:dyDescent="0.3">
      <c r="A80" s="56" t="s">
        <v>4825</v>
      </c>
      <c r="B80" s="57" t="s">
        <v>2658</v>
      </c>
      <c r="C80" s="57" t="s">
        <v>4826</v>
      </c>
      <c r="D80" s="57">
        <v>1</v>
      </c>
      <c r="E80" s="57" t="s">
        <v>4827</v>
      </c>
      <c r="F80" s="57" t="s">
        <v>4827</v>
      </c>
      <c r="G80" s="57">
        <v>12.25</v>
      </c>
      <c r="H80" s="57">
        <v>3.95</v>
      </c>
      <c r="I80" s="57">
        <v>4.0999999999999996</v>
      </c>
      <c r="J80" s="57">
        <v>4.1500000000000004</v>
      </c>
      <c r="K80" s="57">
        <v>4.2</v>
      </c>
      <c r="L80" s="57">
        <v>4.0999999999999996</v>
      </c>
      <c r="M80" s="57">
        <v>4.1500000000000004</v>
      </c>
      <c r="N80" s="57">
        <v>4.0999999999999996</v>
      </c>
      <c r="O80" s="57" t="s">
        <v>4827</v>
      </c>
      <c r="P80" s="57">
        <v>0</v>
      </c>
      <c r="Q80" s="58">
        <v>4509093</v>
      </c>
      <c r="R80" s="57">
        <v>187.13</v>
      </c>
      <c r="S80" s="59">
        <v>3182806</v>
      </c>
      <c r="T80" s="57">
        <v>4.0999999999999996</v>
      </c>
      <c r="U80" s="57">
        <v>4.1500000000000004</v>
      </c>
      <c r="V80" s="59">
        <v>1290337</v>
      </c>
      <c r="W80" s="59">
        <v>1074047</v>
      </c>
      <c r="X80" s="57">
        <v>4.05</v>
      </c>
      <c r="Y80" s="57">
        <v>4.2</v>
      </c>
      <c r="Z80" s="59">
        <v>2322828</v>
      </c>
      <c r="AA80" s="59">
        <v>1267928</v>
      </c>
      <c r="AB80" s="57">
        <v>4</v>
      </c>
      <c r="AC80" s="57">
        <v>4.25</v>
      </c>
      <c r="AD80" s="59">
        <v>1809626</v>
      </c>
      <c r="AE80" s="59">
        <v>427282</v>
      </c>
      <c r="AF80" s="57">
        <v>3.95</v>
      </c>
      <c r="AG80" s="57">
        <v>4.3</v>
      </c>
      <c r="AH80" s="59">
        <v>443110</v>
      </c>
      <c r="AI80" s="59">
        <v>283171</v>
      </c>
      <c r="AJ80" s="57">
        <v>3.9</v>
      </c>
      <c r="AK80" s="57">
        <v>4.3499999999999996</v>
      </c>
      <c r="AL80" s="59">
        <v>170626</v>
      </c>
      <c r="AM80" s="59">
        <v>6771243</v>
      </c>
      <c r="AN80" s="59">
        <v>8162569</v>
      </c>
      <c r="AO80" s="60">
        <v>43314</v>
      </c>
      <c r="AP80" s="57" t="s">
        <v>4855</v>
      </c>
      <c r="AQ80" s="77" t="s">
        <v>4828</v>
      </c>
      <c r="AR80" s="76">
        <f t="shared" si="1"/>
        <v>43315.594699074078</v>
      </c>
    </row>
    <row r="81" spans="1:44" ht="40.799999999999997" x14ac:dyDescent="0.3">
      <c r="A81" s="56" t="s">
        <v>4825</v>
      </c>
      <c r="B81" s="57" t="s">
        <v>2658</v>
      </c>
      <c r="C81" s="57" t="s">
        <v>4826</v>
      </c>
      <c r="D81" s="57">
        <v>1</v>
      </c>
      <c r="E81" s="57" t="s">
        <v>4827</v>
      </c>
      <c r="F81" s="57" t="s">
        <v>4827</v>
      </c>
      <c r="G81" s="57">
        <v>12.25</v>
      </c>
      <c r="H81" s="57">
        <v>3.95</v>
      </c>
      <c r="I81" s="57">
        <v>4.0999999999999996</v>
      </c>
      <c r="J81" s="57">
        <v>4.1500000000000004</v>
      </c>
      <c r="K81" s="57">
        <v>4.2</v>
      </c>
      <c r="L81" s="57">
        <v>4.0999999999999996</v>
      </c>
      <c r="M81" s="57">
        <v>4.1500000000000004</v>
      </c>
      <c r="N81" s="57">
        <v>4.1500000000000004</v>
      </c>
      <c r="O81" s="57">
        <v>0.05</v>
      </c>
      <c r="P81" s="57">
        <v>1.22</v>
      </c>
      <c r="Q81" s="58">
        <v>4513797</v>
      </c>
      <c r="R81" s="57">
        <v>187.32</v>
      </c>
      <c r="S81" s="59">
        <v>3195529</v>
      </c>
      <c r="T81" s="57">
        <v>4.0999999999999996</v>
      </c>
      <c r="U81" s="57">
        <v>4.1500000000000004</v>
      </c>
      <c r="V81" s="59">
        <v>1286256</v>
      </c>
      <c r="W81" s="59">
        <v>1070672</v>
      </c>
      <c r="X81" s="57">
        <v>4.05</v>
      </c>
      <c r="Y81" s="57">
        <v>4.2</v>
      </c>
      <c r="Z81" s="59">
        <v>2322728</v>
      </c>
      <c r="AA81" s="59">
        <v>1267828</v>
      </c>
      <c r="AB81" s="57">
        <v>4</v>
      </c>
      <c r="AC81" s="57">
        <v>4.25</v>
      </c>
      <c r="AD81" s="59">
        <v>1808226</v>
      </c>
      <c r="AE81" s="59">
        <v>429232</v>
      </c>
      <c r="AF81" s="57">
        <v>3.95</v>
      </c>
      <c r="AG81" s="57">
        <v>4.3</v>
      </c>
      <c r="AH81" s="59">
        <v>443110</v>
      </c>
      <c r="AI81" s="59">
        <v>286171</v>
      </c>
      <c r="AJ81" s="57">
        <v>3.9</v>
      </c>
      <c r="AK81" s="57">
        <v>4.3499999999999996</v>
      </c>
      <c r="AL81" s="59">
        <v>172526</v>
      </c>
      <c r="AM81" s="59">
        <v>6785441</v>
      </c>
      <c r="AN81" s="59">
        <v>8157954</v>
      </c>
      <c r="AO81" s="60">
        <v>43314</v>
      </c>
      <c r="AP81" s="57" t="s">
        <v>4856</v>
      </c>
      <c r="AQ81" s="77" t="s">
        <v>4828</v>
      </c>
      <c r="AR81" s="76">
        <f t="shared" si="1"/>
        <v>43315.597488425927</v>
      </c>
    </row>
    <row r="82" spans="1:44" ht="40.799999999999997" x14ac:dyDescent="0.3">
      <c r="A82" s="56" t="s">
        <v>4825</v>
      </c>
      <c r="B82" s="57" t="s">
        <v>2658</v>
      </c>
      <c r="C82" s="57" t="s">
        <v>4826</v>
      </c>
      <c r="D82" s="57">
        <v>1</v>
      </c>
      <c r="E82" s="57" t="s">
        <v>4827</v>
      </c>
      <c r="F82" s="57" t="s">
        <v>4827</v>
      </c>
      <c r="G82" s="57">
        <v>12.25</v>
      </c>
      <c r="H82" s="57">
        <v>3.95</v>
      </c>
      <c r="I82" s="57">
        <v>4.0999999999999996</v>
      </c>
      <c r="J82" s="57">
        <v>4.1500000000000004</v>
      </c>
      <c r="K82" s="57">
        <v>4.2</v>
      </c>
      <c r="L82" s="57">
        <v>4.0999999999999996</v>
      </c>
      <c r="M82" s="57">
        <v>4.1500000000000004</v>
      </c>
      <c r="N82" s="57">
        <v>4.1500000000000004</v>
      </c>
      <c r="O82" s="57">
        <v>0.05</v>
      </c>
      <c r="P82" s="57">
        <v>1.22</v>
      </c>
      <c r="Q82" s="58">
        <v>4513797</v>
      </c>
      <c r="R82" s="57">
        <v>187.32</v>
      </c>
      <c r="S82" s="59">
        <v>3195529</v>
      </c>
      <c r="T82" s="57">
        <v>4.0999999999999996</v>
      </c>
      <c r="U82" s="57">
        <v>4.1500000000000004</v>
      </c>
      <c r="V82" s="59">
        <v>1286256</v>
      </c>
      <c r="W82" s="59">
        <v>1070672</v>
      </c>
      <c r="X82" s="57">
        <v>4.05</v>
      </c>
      <c r="Y82" s="57">
        <v>4.2</v>
      </c>
      <c r="Z82" s="59">
        <v>2322728</v>
      </c>
      <c r="AA82" s="59">
        <v>1267828</v>
      </c>
      <c r="AB82" s="57">
        <v>4</v>
      </c>
      <c r="AC82" s="57">
        <v>4.25</v>
      </c>
      <c r="AD82" s="59">
        <v>1808226</v>
      </c>
      <c r="AE82" s="59">
        <v>429232</v>
      </c>
      <c r="AF82" s="57">
        <v>3.95</v>
      </c>
      <c r="AG82" s="57">
        <v>4.3</v>
      </c>
      <c r="AH82" s="59">
        <v>443110</v>
      </c>
      <c r="AI82" s="59">
        <v>286171</v>
      </c>
      <c r="AJ82" s="57">
        <v>3.9</v>
      </c>
      <c r="AK82" s="57">
        <v>4.3499999999999996</v>
      </c>
      <c r="AL82" s="59">
        <v>172526</v>
      </c>
      <c r="AM82" s="59">
        <v>6785441</v>
      </c>
      <c r="AN82" s="59">
        <v>8157954</v>
      </c>
      <c r="AO82" s="60">
        <v>43314</v>
      </c>
      <c r="AP82" s="57" t="s">
        <v>4856</v>
      </c>
      <c r="AQ82" s="77" t="s">
        <v>4828</v>
      </c>
      <c r="AR82" s="76">
        <f t="shared" si="1"/>
        <v>43315.597488425927</v>
      </c>
    </row>
    <row r="83" spans="1:44" ht="40.799999999999997" x14ac:dyDescent="0.3">
      <c r="A83" s="56" t="s">
        <v>4825</v>
      </c>
      <c r="B83" s="57" t="s">
        <v>2658</v>
      </c>
      <c r="C83" s="57" t="s">
        <v>4826</v>
      </c>
      <c r="D83" s="57">
        <v>1</v>
      </c>
      <c r="E83" s="57" t="s">
        <v>4827</v>
      </c>
      <c r="F83" s="57" t="s">
        <v>4827</v>
      </c>
      <c r="G83" s="57">
        <v>12.25</v>
      </c>
      <c r="H83" s="57">
        <v>3.95</v>
      </c>
      <c r="I83" s="57">
        <v>4.0999999999999996</v>
      </c>
      <c r="J83" s="57">
        <v>4.1500000000000004</v>
      </c>
      <c r="K83" s="57">
        <v>4.2</v>
      </c>
      <c r="L83" s="57">
        <v>4.0999999999999996</v>
      </c>
      <c r="M83" s="57">
        <v>4.1500000000000004</v>
      </c>
      <c r="N83" s="57">
        <v>4.1500000000000004</v>
      </c>
      <c r="O83" s="57">
        <v>0.05</v>
      </c>
      <c r="P83" s="57">
        <v>1.22</v>
      </c>
      <c r="Q83" s="58">
        <v>4513797</v>
      </c>
      <c r="R83" s="57">
        <v>187.32</v>
      </c>
      <c r="S83" s="59">
        <v>3195529</v>
      </c>
      <c r="T83" s="57">
        <v>4.0999999999999996</v>
      </c>
      <c r="U83" s="57">
        <v>4.1500000000000004</v>
      </c>
      <c r="V83" s="59">
        <v>1286256</v>
      </c>
      <c r="W83" s="59">
        <v>1070672</v>
      </c>
      <c r="X83" s="57">
        <v>4.05</v>
      </c>
      <c r="Y83" s="57">
        <v>4.2</v>
      </c>
      <c r="Z83" s="59">
        <v>2322728</v>
      </c>
      <c r="AA83" s="59">
        <v>1267828</v>
      </c>
      <c r="AB83" s="57">
        <v>4</v>
      </c>
      <c r="AC83" s="57">
        <v>4.25</v>
      </c>
      <c r="AD83" s="59">
        <v>1808226</v>
      </c>
      <c r="AE83" s="59">
        <v>429232</v>
      </c>
      <c r="AF83" s="57">
        <v>3.95</v>
      </c>
      <c r="AG83" s="57">
        <v>4.3</v>
      </c>
      <c r="AH83" s="59">
        <v>443110</v>
      </c>
      <c r="AI83" s="59">
        <v>286171</v>
      </c>
      <c r="AJ83" s="57">
        <v>3.9</v>
      </c>
      <c r="AK83" s="57">
        <v>4.3499999999999996</v>
      </c>
      <c r="AL83" s="59">
        <v>172526</v>
      </c>
      <c r="AM83" s="59">
        <v>6785441</v>
      </c>
      <c r="AN83" s="59">
        <v>8157954</v>
      </c>
      <c r="AO83" s="60">
        <v>43314</v>
      </c>
      <c r="AP83" s="57" t="s">
        <v>4856</v>
      </c>
      <c r="AQ83" s="77" t="s">
        <v>4828</v>
      </c>
      <c r="AR83" s="76">
        <f t="shared" si="1"/>
        <v>43315.597488425927</v>
      </c>
    </row>
    <row r="84" spans="1:44" ht="40.799999999999997" x14ac:dyDescent="0.3">
      <c r="A84" s="56" t="s">
        <v>4825</v>
      </c>
      <c r="B84" s="57" t="s">
        <v>2658</v>
      </c>
      <c r="C84" s="57" t="s">
        <v>4826</v>
      </c>
      <c r="D84" s="57">
        <v>1</v>
      </c>
      <c r="E84" s="57" t="s">
        <v>4827</v>
      </c>
      <c r="F84" s="57" t="s">
        <v>4827</v>
      </c>
      <c r="G84" s="57">
        <v>12.25</v>
      </c>
      <c r="H84" s="57">
        <v>3.95</v>
      </c>
      <c r="I84" s="57">
        <v>4.0999999999999996</v>
      </c>
      <c r="J84" s="57">
        <v>4.1500000000000004</v>
      </c>
      <c r="K84" s="57">
        <v>4.2</v>
      </c>
      <c r="L84" s="57">
        <v>4.0999999999999996</v>
      </c>
      <c r="M84" s="57">
        <v>4.1500000000000004</v>
      </c>
      <c r="N84" s="57">
        <v>4.1500000000000004</v>
      </c>
      <c r="O84" s="57">
        <v>0.05</v>
      </c>
      <c r="P84" s="57">
        <v>1.22</v>
      </c>
      <c r="Q84" s="58">
        <v>4513797</v>
      </c>
      <c r="R84" s="57">
        <v>187.32</v>
      </c>
      <c r="S84" s="59">
        <v>3195529</v>
      </c>
      <c r="T84" s="57">
        <v>4.0999999999999996</v>
      </c>
      <c r="U84" s="57">
        <v>4.1500000000000004</v>
      </c>
      <c r="V84" s="59">
        <v>1286256</v>
      </c>
      <c r="W84" s="59">
        <v>1070672</v>
      </c>
      <c r="X84" s="57">
        <v>4.05</v>
      </c>
      <c r="Y84" s="57">
        <v>4.2</v>
      </c>
      <c r="Z84" s="59">
        <v>2322728</v>
      </c>
      <c r="AA84" s="59">
        <v>1267828</v>
      </c>
      <c r="AB84" s="57">
        <v>4</v>
      </c>
      <c r="AC84" s="57">
        <v>4.25</v>
      </c>
      <c r="AD84" s="59">
        <v>1808226</v>
      </c>
      <c r="AE84" s="59">
        <v>429232</v>
      </c>
      <c r="AF84" s="57">
        <v>3.95</v>
      </c>
      <c r="AG84" s="57">
        <v>4.3</v>
      </c>
      <c r="AH84" s="59">
        <v>443110</v>
      </c>
      <c r="AI84" s="59">
        <v>286171</v>
      </c>
      <c r="AJ84" s="57">
        <v>3.9</v>
      </c>
      <c r="AK84" s="57">
        <v>4.3499999999999996</v>
      </c>
      <c r="AL84" s="59">
        <v>172526</v>
      </c>
      <c r="AM84" s="59">
        <v>6785441</v>
      </c>
      <c r="AN84" s="59">
        <v>8157954</v>
      </c>
      <c r="AO84" s="60">
        <v>43314</v>
      </c>
      <c r="AP84" s="57" t="s">
        <v>4856</v>
      </c>
      <c r="AQ84" s="77" t="s">
        <v>4828</v>
      </c>
      <c r="AR84" s="76">
        <f t="shared" si="1"/>
        <v>43315.597488425927</v>
      </c>
    </row>
    <row r="85" spans="1:44" ht="40.799999999999997" x14ac:dyDescent="0.3">
      <c r="A85" s="56" t="s">
        <v>4825</v>
      </c>
      <c r="B85" s="57" t="s">
        <v>2658</v>
      </c>
      <c r="C85" s="57" t="s">
        <v>4826</v>
      </c>
      <c r="D85" s="57">
        <v>1</v>
      </c>
      <c r="E85" s="57" t="s">
        <v>4827</v>
      </c>
      <c r="F85" s="57" t="s">
        <v>4827</v>
      </c>
      <c r="G85" s="57">
        <v>12.25</v>
      </c>
      <c r="H85" s="57">
        <v>3.95</v>
      </c>
      <c r="I85" s="57">
        <v>4.0999999999999996</v>
      </c>
      <c r="J85" s="57">
        <v>4.1500000000000004</v>
      </c>
      <c r="K85" s="57">
        <v>4.2</v>
      </c>
      <c r="L85" s="57">
        <v>4.0999999999999996</v>
      </c>
      <c r="M85" s="57">
        <v>4.1500000000000004</v>
      </c>
      <c r="N85" s="57">
        <v>4.1500000000000004</v>
      </c>
      <c r="O85" s="57">
        <v>0.05</v>
      </c>
      <c r="P85" s="57">
        <v>1.22</v>
      </c>
      <c r="Q85" s="58">
        <v>4526527</v>
      </c>
      <c r="R85" s="57">
        <v>187.85</v>
      </c>
      <c r="S85" s="59">
        <v>3199645</v>
      </c>
      <c r="T85" s="57">
        <v>4.0999999999999996</v>
      </c>
      <c r="U85" s="57">
        <v>4.1500000000000004</v>
      </c>
      <c r="V85" s="59">
        <v>1274132</v>
      </c>
      <c r="W85" s="59">
        <v>1058963</v>
      </c>
      <c r="X85" s="57">
        <v>4.05</v>
      </c>
      <c r="Y85" s="57">
        <v>4.2</v>
      </c>
      <c r="Z85" s="59">
        <v>2314070</v>
      </c>
      <c r="AA85" s="59">
        <v>1267378</v>
      </c>
      <c r="AB85" s="57">
        <v>4</v>
      </c>
      <c r="AC85" s="57">
        <v>4.25</v>
      </c>
      <c r="AD85" s="59">
        <v>1808566</v>
      </c>
      <c r="AE85" s="59">
        <v>430282</v>
      </c>
      <c r="AF85" s="57">
        <v>3.95</v>
      </c>
      <c r="AG85" s="57">
        <v>4.3</v>
      </c>
      <c r="AH85" s="59">
        <v>444761</v>
      </c>
      <c r="AI85" s="59">
        <v>286171</v>
      </c>
      <c r="AJ85" s="57">
        <v>3.9</v>
      </c>
      <c r="AK85" s="57">
        <v>4.3499999999999996</v>
      </c>
      <c r="AL85" s="59">
        <v>170625</v>
      </c>
      <c r="AM85" s="59">
        <v>6778348</v>
      </c>
      <c r="AN85" s="59">
        <v>8137362</v>
      </c>
      <c r="AO85" s="60">
        <v>43314</v>
      </c>
      <c r="AP85" s="57" t="s">
        <v>4857</v>
      </c>
      <c r="AQ85" s="77" t="s">
        <v>4828</v>
      </c>
      <c r="AR85" s="76">
        <f t="shared" si="1"/>
        <v>43315.600266203706</v>
      </c>
    </row>
    <row r="86" spans="1:44" ht="40.799999999999997" x14ac:dyDescent="0.3">
      <c r="A86" s="56" t="s">
        <v>4825</v>
      </c>
      <c r="B86" s="57" t="s">
        <v>2658</v>
      </c>
      <c r="C86" s="57" t="s">
        <v>4826</v>
      </c>
      <c r="D86" s="57">
        <v>1</v>
      </c>
      <c r="E86" s="57" t="s">
        <v>4827</v>
      </c>
      <c r="F86" s="57" t="s">
        <v>4827</v>
      </c>
      <c r="G86" s="57">
        <v>12.25</v>
      </c>
      <c r="H86" s="57">
        <v>3.95</v>
      </c>
      <c r="I86" s="57">
        <v>4.0999999999999996</v>
      </c>
      <c r="J86" s="57">
        <v>4.1500000000000004</v>
      </c>
      <c r="K86" s="57">
        <v>4.2</v>
      </c>
      <c r="L86" s="57">
        <v>4.0999999999999996</v>
      </c>
      <c r="M86" s="57">
        <v>4.1500000000000004</v>
      </c>
      <c r="N86" s="57">
        <v>4.1500000000000004</v>
      </c>
      <c r="O86" s="57">
        <v>0.05</v>
      </c>
      <c r="P86" s="57">
        <v>1.22</v>
      </c>
      <c r="Q86" s="58">
        <v>4526527</v>
      </c>
      <c r="R86" s="57">
        <v>187.85</v>
      </c>
      <c r="S86" s="59">
        <v>3199645</v>
      </c>
      <c r="T86" s="57">
        <v>4.0999999999999996</v>
      </c>
      <c r="U86" s="57">
        <v>4.1500000000000004</v>
      </c>
      <c r="V86" s="59">
        <v>1274132</v>
      </c>
      <c r="W86" s="59">
        <v>1058963</v>
      </c>
      <c r="X86" s="57">
        <v>4.05</v>
      </c>
      <c r="Y86" s="57">
        <v>4.2</v>
      </c>
      <c r="Z86" s="59">
        <v>2314070</v>
      </c>
      <c r="AA86" s="59">
        <v>1267378</v>
      </c>
      <c r="AB86" s="57">
        <v>4</v>
      </c>
      <c r="AC86" s="57">
        <v>4.25</v>
      </c>
      <c r="AD86" s="59">
        <v>1808566</v>
      </c>
      <c r="AE86" s="59">
        <v>430282</v>
      </c>
      <c r="AF86" s="57">
        <v>3.95</v>
      </c>
      <c r="AG86" s="57">
        <v>4.3</v>
      </c>
      <c r="AH86" s="59">
        <v>444761</v>
      </c>
      <c r="AI86" s="59">
        <v>286171</v>
      </c>
      <c r="AJ86" s="57">
        <v>3.9</v>
      </c>
      <c r="AK86" s="57">
        <v>4.3499999999999996</v>
      </c>
      <c r="AL86" s="59">
        <v>170625</v>
      </c>
      <c r="AM86" s="59">
        <v>6778348</v>
      </c>
      <c r="AN86" s="59">
        <v>8137362</v>
      </c>
      <c r="AO86" s="60">
        <v>43314</v>
      </c>
      <c r="AP86" s="57" t="s">
        <v>4857</v>
      </c>
      <c r="AQ86" s="77" t="s">
        <v>4828</v>
      </c>
      <c r="AR86" s="76">
        <f t="shared" si="1"/>
        <v>43315.600266203706</v>
      </c>
    </row>
    <row r="87" spans="1:44" ht="40.799999999999997" x14ac:dyDescent="0.3">
      <c r="A87" s="56" t="s">
        <v>4825</v>
      </c>
      <c r="B87" s="57" t="s">
        <v>2658</v>
      </c>
      <c r="C87" s="57" t="s">
        <v>4826</v>
      </c>
      <c r="D87" s="57">
        <v>1</v>
      </c>
      <c r="E87" s="57" t="s">
        <v>4827</v>
      </c>
      <c r="F87" s="57" t="s">
        <v>4827</v>
      </c>
      <c r="G87" s="57">
        <v>12.25</v>
      </c>
      <c r="H87" s="57">
        <v>3.95</v>
      </c>
      <c r="I87" s="57">
        <v>4.0999999999999996</v>
      </c>
      <c r="J87" s="57">
        <v>4.1500000000000004</v>
      </c>
      <c r="K87" s="57">
        <v>4.2</v>
      </c>
      <c r="L87" s="57">
        <v>4.0999999999999996</v>
      </c>
      <c r="M87" s="57">
        <v>4.1500000000000004</v>
      </c>
      <c r="N87" s="57">
        <v>4.1500000000000004</v>
      </c>
      <c r="O87" s="57">
        <v>0.05</v>
      </c>
      <c r="P87" s="57">
        <v>1.22</v>
      </c>
      <c r="Q87" s="58">
        <v>4526527</v>
      </c>
      <c r="R87" s="57">
        <v>187.85</v>
      </c>
      <c r="S87" s="59">
        <v>3199645</v>
      </c>
      <c r="T87" s="57">
        <v>4.0999999999999996</v>
      </c>
      <c r="U87" s="57">
        <v>4.1500000000000004</v>
      </c>
      <c r="V87" s="59">
        <v>1274132</v>
      </c>
      <c r="W87" s="59">
        <v>1058963</v>
      </c>
      <c r="X87" s="57">
        <v>4.05</v>
      </c>
      <c r="Y87" s="57">
        <v>4.2</v>
      </c>
      <c r="Z87" s="59">
        <v>2314070</v>
      </c>
      <c r="AA87" s="59">
        <v>1267378</v>
      </c>
      <c r="AB87" s="57">
        <v>4</v>
      </c>
      <c r="AC87" s="57">
        <v>4.25</v>
      </c>
      <c r="AD87" s="59">
        <v>1808566</v>
      </c>
      <c r="AE87" s="59">
        <v>430282</v>
      </c>
      <c r="AF87" s="57">
        <v>3.95</v>
      </c>
      <c r="AG87" s="57">
        <v>4.3</v>
      </c>
      <c r="AH87" s="59">
        <v>444761</v>
      </c>
      <c r="AI87" s="59">
        <v>286171</v>
      </c>
      <c r="AJ87" s="57">
        <v>3.9</v>
      </c>
      <c r="AK87" s="57">
        <v>4.3499999999999996</v>
      </c>
      <c r="AL87" s="59">
        <v>170625</v>
      </c>
      <c r="AM87" s="59">
        <v>6778348</v>
      </c>
      <c r="AN87" s="59">
        <v>8137362</v>
      </c>
      <c r="AO87" s="60">
        <v>43314</v>
      </c>
      <c r="AP87" s="57" t="s">
        <v>4857</v>
      </c>
      <c r="AQ87" s="77" t="s">
        <v>4828</v>
      </c>
      <c r="AR87" s="76">
        <f t="shared" si="1"/>
        <v>43315.600266203706</v>
      </c>
    </row>
    <row r="88" spans="1:44" ht="40.799999999999997" x14ac:dyDescent="0.3">
      <c r="A88" s="56" t="s">
        <v>4825</v>
      </c>
      <c r="B88" s="57" t="s">
        <v>2658</v>
      </c>
      <c r="C88" s="57" t="s">
        <v>4826</v>
      </c>
      <c r="D88" s="57">
        <v>1</v>
      </c>
      <c r="E88" s="57" t="s">
        <v>4827</v>
      </c>
      <c r="F88" s="57" t="s">
        <v>4827</v>
      </c>
      <c r="G88" s="57">
        <v>12.25</v>
      </c>
      <c r="H88" s="57">
        <v>3.95</v>
      </c>
      <c r="I88" s="57">
        <v>4.0999999999999996</v>
      </c>
      <c r="J88" s="57">
        <v>4.1500000000000004</v>
      </c>
      <c r="K88" s="57">
        <v>4.2</v>
      </c>
      <c r="L88" s="57">
        <v>4.0999999999999996</v>
      </c>
      <c r="M88" s="57">
        <v>4.1500000000000004</v>
      </c>
      <c r="N88" s="57">
        <v>4.1500000000000004</v>
      </c>
      <c r="O88" s="57">
        <v>0.05</v>
      </c>
      <c r="P88" s="57">
        <v>1.22</v>
      </c>
      <c r="Q88" s="58">
        <v>4526527</v>
      </c>
      <c r="R88" s="57">
        <v>187.85</v>
      </c>
      <c r="S88" s="59">
        <v>3199645</v>
      </c>
      <c r="T88" s="57">
        <v>4.0999999999999996</v>
      </c>
      <c r="U88" s="57">
        <v>4.1500000000000004</v>
      </c>
      <c r="V88" s="59">
        <v>1274132</v>
      </c>
      <c r="W88" s="59">
        <v>1058963</v>
      </c>
      <c r="X88" s="57">
        <v>4.05</v>
      </c>
      <c r="Y88" s="57">
        <v>4.2</v>
      </c>
      <c r="Z88" s="59">
        <v>2314070</v>
      </c>
      <c r="AA88" s="59">
        <v>1267378</v>
      </c>
      <c r="AB88" s="57">
        <v>4</v>
      </c>
      <c r="AC88" s="57">
        <v>4.25</v>
      </c>
      <c r="AD88" s="59">
        <v>1808566</v>
      </c>
      <c r="AE88" s="59">
        <v>430282</v>
      </c>
      <c r="AF88" s="57">
        <v>3.95</v>
      </c>
      <c r="AG88" s="57">
        <v>4.3</v>
      </c>
      <c r="AH88" s="59">
        <v>444761</v>
      </c>
      <c r="AI88" s="59">
        <v>286171</v>
      </c>
      <c r="AJ88" s="57">
        <v>3.9</v>
      </c>
      <c r="AK88" s="57">
        <v>4.3499999999999996</v>
      </c>
      <c r="AL88" s="59">
        <v>170625</v>
      </c>
      <c r="AM88" s="59">
        <v>6778348</v>
      </c>
      <c r="AN88" s="59">
        <v>8137362</v>
      </c>
      <c r="AO88" s="60">
        <v>43314</v>
      </c>
      <c r="AP88" s="57" t="s">
        <v>4857</v>
      </c>
      <c r="AQ88" s="77" t="s">
        <v>4828</v>
      </c>
      <c r="AR88" s="76">
        <f t="shared" si="1"/>
        <v>43315.600266203706</v>
      </c>
    </row>
    <row r="89" spans="1:44" ht="40.799999999999997" x14ac:dyDescent="0.3">
      <c r="A89" s="56" t="s">
        <v>4825</v>
      </c>
      <c r="B89" s="57" t="s">
        <v>2658</v>
      </c>
      <c r="C89" s="57" t="s">
        <v>4826</v>
      </c>
      <c r="D89" s="57">
        <v>1</v>
      </c>
      <c r="E89" s="57" t="s">
        <v>4827</v>
      </c>
      <c r="F89" s="57" t="s">
        <v>4827</v>
      </c>
      <c r="G89" s="57">
        <v>12.25</v>
      </c>
      <c r="H89" s="57">
        <v>3.95</v>
      </c>
      <c r="I89" s="57">
        <v>4.0999999999999996</v>
      </c>
      <c r="J89" s="57">
        <v>4.1500000000000004</v>
      </c>
      <c r="K89" s="57">
        <v>4.2</v>
      </c>
      <c r="L89" s="57">
        <v>4.0999999999999996</v>
      </c>
      <c r="M89" s="57">
        <v>4.1500000000000004</v>
      </c>
      <c r="N89" s="57">
        <v>4.1500000000000004</v>
      </c>
      <c r="O89" s="57">
        <v>0.05</v>
      </c>
      <c r="P89" s="57">
        <v>1.22</v>
      </c>
      <c r="Q89" s="58">
        <v>4553869</v>
      </c>
      <c r="R89" s="57">
        <v>188.99</v>
      </c>
      <c r="S89" s="59">
        <v>3177840</v>
      </c>
      <c r="T89" s="57">
        <v>4.0999999999999996</v>
      </c>
      <c r="U89" s="57">
        <v>4.1500000000000004</v>
      </c>
      <c r="V89" s="59">
        <v>1249890</v>
      </c>
      <c r="W89" s="59">
        <v>1058963</v>
      </c>
      <c r="X89" s="57">
        <v>4.05</v>
      </c>
      <c r="Y89" s="57">
        <v>4.2</v>
      </c>
      <c r="Z89" s="59">
        <v>2314070</v>
      </c>
      <c r="AA89" s="59">
        <v>1265478</v>
      </c>
      <c r="AB89" s="57">
        <v>4</v>
      </c>
      <c r="AC89" s="57">
        <v>4.25</v>
      </c>
      <c r="AD89" s="59">
        <v>1808566</v>
      </c>
      <c r="AE89" s="59">
        <v>429282</v>
      </c>
      <c r="AF89" s="57">
        <v>3.95</v>
      </c>
      <c r="AG89" s="57">
        <v>4.3</v>
      </c>
      <c r="AH89" s="59">
        <v>444761</v>
      </c>
      <c r="AI89" s="59">
        <v>286171</v>
      </c>
      <c r="AJ89" s="57">
        <v>3.9</v>
      </c>
      <c r="AK89" s="57">
        <v>4.3499999999999996</v>
      </c>
      <c r="AL89" s="59">
        <v>170625</v>
      </c>
      <c r="AM89" s="59">
        <v>6753643</v>
      </c>
      <c r="AN89" s="59">
        <v>8110120</v>
      </c>
      <c r="AO89" s="60">
        <v>43314</v>
      </c>
      <c r="AP89" s="57" t="s">
        <v>4858</v>
      </c>
      <c r="AQ89" s="77" t="s">
        <v>4828</v>
      </c>
      <c r="AR89" s="76">
        <f t="shared" si="1"/>
        <v>43315.602349537039</v>
      </c>
    </row>
    <row r="90" spans="1:44" ht="40.799999999999997" x14ac:dyDescent="0.3">
      <c r="A90" s="56" t="s">
        <v>4825</v>
      </c>
      <c r="B90" s="57" t="s">
        <v>2658</v>
      </c>
      <c r="C90" s="57" t="s">
        <v>4826</v>
      </c>
      <c r="D90" s="57">
        <v>1</v>
      </c>
      <c r="E90" s="57" t="s">
        <v>4827</v>
      </c>
      <c r="F90" s="57" t="s">
        <v>4827</v>
      </c>
      <c r="G90" s="57">
        <v>12.25</v>
      </c>
      <c r="H90" s="57">
        <v>3.95</v>
      </c>
      <c r="I90" s="57">
        <v>4.0999999999999996</v>
      </c>
      <c r="J90" s="57">
        <v>4.1500000000000004</v>
      </c>
      <c r="K90" s="57">
        <v>4.2</v>
      </c>
      <c r="L90" s="57">
        <v>4.0999999999999996</v>
      </c>
      <c r="M90" s="57">
        <v>4.1500000000000004</v>
      </c>
      <c r="N90" s="57">
        <v>4.1500000000000004</v>
      </c>
      <c r="O90" s="57">
        <v>0.05</v>
      </c>
      <c r="P90" s="57">
        <v>1.22</v>
      </c>
      <c r="Q90" s="58">
        <v>4553869</v>
      </c>
      <c r="R90" s="57">
        <v>188.99</v>
      </c>
      <c r="S90" s="59">
        <v>3177840</v>
      </c>
      <c r="T90" s="57">
        <v>4.0999999999999996</v>
      </c>
      <c r="U90" s="57">
        <v>4.1500000000000004</v>
      </c>
      <c r="V90" s="59">
        <v>1249890</v>
      </c>
      <c r="W90" s="59">
        <v>1058963</v>
      </c>
      <c r="X90" s="57">
        <v>4.05</v>
      </c>
      <c r="Y90" s="57">
        <v>4.2</v>
      </c>
      <c r="Z90" s="59">
        <v>2314070</v>
      </c>
      <c r="AA90" s="59">
        <v>1265478</v>
      </c>
      <c r="AB90" s="57">
        <v>4</v>
      </c>
      <c r="AC90" s="57">
        <v>4.25</v>
      </c>
      <c r="AD90" s="59">
        <v>1808566</v>
      </c>
      <c r="AE90" s="59">
        <v>429282</v>
      </c>
      <c r="AF90" s="57">
        <v>3.95</v>
      </c>
      <c r="AG90" s="57">
        <v>4.3</v>
      </c>
      <c r="AH90" s="59">
        <v>444761</v>
      </c>
      <c r="AI90" s="59">
        <v>286171</v>
      </c>
      <c r="AJ90" s="57">
        <v>3.9</v>
      </c>
      <c r="AK90" s="57">
        <v>4.3499999999999996</v>
      </c>
      <c r="AL90" s="59">
        <v>170625</v>
      </c>
      <c r="AM90" s="59">
        <v>6753643</v>
      </c>
      <c r="AN90" s="59">
        <v>8110120</v>
      </c>
      <c r="AO90" s="60">
        <v>43314</v>
      </c>
      <c r="AP90" s="57" t="s">
        <v>4858</v>
      </c>
      <c r="AQ90" s="77" t="s">
        <v>4828</v>
      </c>
      <c r="AR90" s="76">
        <f t="shared" si="1"/>
        <v>43315.602349537039</v>
      </c>
    </row>
    <row r="91" spans="1:44" ht="40.799999999999997" x14ac:dyDescent="0.3">
      <c r="A91" s="83" t="s">
        <v>4825</v>
      </c>
      <c r="B91" s="84" t="s">
        <v>2658</v>
      </c>
      <c r="C91" s="84" t="s">
        <v>4826</v>
      </c>
      <c r="D91" s="84">
        <v>1</v>
      </c>
      <c r="E91" s="84" t="s">
        <v>4827</v>
      </c>
      <c r="F91" s="84" t="s">
        <v>4827</v>
      </c>
      <c r="G91" s="84">
        <v>12.25</v>
      </c>
      <c r="H91" s="84">
        <v>3.95</v>
      </c>
      <c r="I91" s="84">
        <v>4.0999999999999996</v>
      </c>
      <c r="J91" s="84">
        <v>4.1500000000000004</v>
      </c>
      <c r="K91" s="84">
        <v>4.2</v>
      </c>
      <c r="L91" s="84">
        <v>4.0999999999999996</v>
      </c>
      <c r="M91" s="84">
        <v>4.1500000000000004</v>
      </c>
      <c r="N91" s="84">
        <v>4.1500000000000004</v>
      </c>
      <c r="O91" s="84">
        <v>0.05</v>
      </c>
      <c r="P91" s="84">
        <v>1.22</v>
      </c>
      <c r="Q91" s="58">
        <v>4553869</v>
      </c>
      <c r="R91" s="84">
        <v>188.99</v>
      </c>
      <c r="S91" s="85">
        <v>3177840</v>
      </c>
      <c r="T91" s="84">
        <v>4.0999999999999996</v>
      </c>
      <c r="U91" s="84">
        <v>4.1500000000000004</v>
      </c>
      <c r="V91" s="85">
        <v>1249890</v>
      </c>
      <c r="W91" s="85">
        <v>1058963</v>
      </c>
      <c r="X91" s="84">
        <v>4.05</v>
      </c>
      <c r="Y91" s="84">
        <v>4.2</v>
      </c>
      <c r="Z91" s="59">
        <v>2314070</v>
      </c>
      <c r="AA91" s="85">
        <v>1265478</v>
      </c>
      <c r="AB91" s="84">
        <v>4</v>
      </c>
      <c r="AC91" s="84">
        <v>4.25</v>
      </c>
      <c r="AD91" s="85">
        <v>1808566</v>
      </c>
      <c r="AE91" s="85">
        <v>429282</v>
      </c>
      <c r="AF91" s="84">
        <v>3.95</v>
      </c>
      <c r="AG91" s="84">
        <v>4.3</v>
      </c>
      <c r="AH91" s="85">
        <v>444761</v>
      </c>
      <c r="AI91" s="85">
        <v>286171</v>
      </c>
      <c r="AJ91" s="84">
        <v>3.9</v>
      </c>
      <c r="AK91" s="84">
        <v>4.3499999999999996</v>
      </c>
      <c r="AL91" s="59">
        <v>170625</v>
      </c>
      <c r="AM91" s="59">
        <v>6753643</v>
      </c>
      <c r="AN91" s="59">
        <v>8110120</v>
      </c>
      <c r="AO91" s="84">
        <v>43314</v>
      </c>
      <c r="AP91" s="84" t="s">
        <v>4858</v>
      </c>
      <c r="AQ91" s="86" t="s">
        <v>4828</v>
      </c>
      <c r="AR91" s="76">
        <f t="shared" si="1"/>
        <v>43315.602349537039</v>
      </c>
    </row>
    <row r="92" spans="1:44" ht="40.799999999999997" x14ac:dyDescent="0.3">
      <c r="A92" s="87" t="s">
        <v>4825</v>
      </c>
      <c r="B92" s="84" t="s">
        <v>2658</v>
      </c>
      <c r="C92" s="84" t="s">
        <v>4826</v>
      </c>
      <c r="D92" s="84">
        <v>1</v>
      </c>
      <c r="E92" s="84" t="s">
        <v>4827</v>
      </c>
      <c r="F92" s="84" t="s">
        <v>4827</v>
      </c>
      <c r="G92" s="84">
        <v>12.25</v>
      </c>
      <c r="H92" s="84">
        <v>3.95</v>
      </c>
      <c r="I92" s="84">
        <v>4.0999999999999996</v>
      </c>
      <c r="J92" s="84">
        <v>4.1500000000000004</v>
      </c>
      <c r="K92" s="84">
        <v>4.2</v>
      </c>
      <c r="L92" s="84">
        <v>4.0999999999999996</v>
      </c>
      <c r="M92" s="84">
        <v>4.1500000000000004</v>
      </c>
      <c r="N92" s="84">
        <v>4.1500000000000004</v>
      </c>
      <c r="O92" s="84">
        <v>0.05</v>
      </c>
      <c r="P92" s="84">
        <v>1.22</v>
      </c>
      <c r="Q92" s="58">
        <v>4554756</v>
      </c>
      <c r="R92" s="84">
        <v>189.02</v>
      </c>
      <c r="S92" s="85">
        <v>3188043</v>
      </c>
      <c r="T92" s="84">
        <v>4.0999999999999996</v>
      </c>
      <c r="U92" s="84">
        <v>4.1500000000000004</v>
      </c>
      <c r="V92" s="85">
        <v>1249600</v>
      </c>
      <c r="W92" s="85">
        <v>1058963</v>
      </c>
      <c r="X92" s="84">
        <v>4.05</v>
      </c>
      <c r="Y92" s="84">
        <v>4.2</v>
      </c>
      <c r="Z92" s="59">
        <v>2314170</v>
      </c>
      <c r="AA92" s="85">
        <v>1267378</v>
      </c>
      <c r="AB92" s="84">
        <v>4</v>
      </c>
      <c r="AC92" s="84">
        <v>4.25</v>
      </c>
      <c r="AD92" s="85">
        <v>1810217</v>
      </c>
      <c r="AE92" s="85">
        <v>429282</v>
      </c>
      <c r="AF92" s="84">
        <v>3.95</v>
      </c>
      <c r="AG92" s="84">
        <v>4.3</v>
      </c>
      <c r="AH92" s="85">
        <v>443110</v>
      </c>
      <c r="AI92" s="85">
        <v>286171</v>
      </c>
      <c r="AJ92" s="84">
        <v>3.9</v>
      </c>
      <c r="AK92" s="84">
        <v>4.3499999999999996</v>
      </c>
      <c r="AL92" s="59">
        <v>171125</v>
      </c>
      <c r="AM92" s="59">
        <v>6765746</v>
      </c>
      <c r="AN92" s="59">
        <v>8109930</v>
      </c>
      <c r="AO92" s="84">
        <v>43314</v>
      </c>
      <c r="AP92" s="84" t="s">
        <v>4859</v>
      </c>
      <c r="AQ92" s="86" t="s">
        <v>4828</v>
      </c>
      <c r="AR92" s="76">
        <f t="shared" si="1"/>
        <v>43315.603738425925</v>
      </c>
    </row>
    <row r="93" spans="1:44" ht="40.799999999999997" x14ac:dyDescent="0.3">
      <c r="A93" s="83" t="s">
        <v>4825</v>
      </c>
      <c r="B93" s="84" t="s">
        <v>2658</v>
      </c>
      <c r="C93" s="84" t="s">
        <v>4826</v>
      </c>
      <c r="D93" s="84">
        <v>1</v>
      </c>
      <c r="E93" s="84" t="s">
        <v>4827</v>
      </c>
      <c r="F93" s="84" t="s">
        <v>4827</v>
      </c>
      <c r="G93" s="84">
        <v>12.25</v>
      </c>
      <c r="H93" s="84">
        <v>3.95</v>
      </c>
      <c r="I93" s="84">
        <v>4.0999999999999996</v>
      </c>
      <c r="J93" s="84">
        <v>4.1500000000000004</v>
      </c>
      <c r="K93" s="84">
        <v>4.2</v>
      </c>
      <c r="L93" s="84">
        <v>4.0999999999999996</v>
      </c>
      <c r="M93" s="84">
        <v>4.1500000000000004</v>
      </c>
      <c r="N93" s="84">
        <v>4.1500000000000004</v>
      </c>
      <c r="O93" s="84">
        <v>0.05</v>
      </c>
      <c r="P93" s="84">
        <v>1.22</v>
      </c>
      <c r="Q93" s="58">
        <v>4554756</v>
      </c>
      <c r="R93" s="84">
        <v>189.02</v>
      </c>
      <c r="S93" s="85">
        <v>3188043</v>
      </c>
      <c r="T93" s="84">
        <v>4.0999999999999996</v>
      </c>
      <c r="U93" s="84">
        <v>4.1500000000000004</v>
      </c>
      <c r="V93" s="85">
        <v>1249600</v>
      </c>
      <c r="W93" s="85">
        <v>1058963</v>
      </c>
      <c r="X93" s="84">
        <v>4.05</v>
      </c>
      <c r="Y93" s="84">
        <v>4.2</v>
      </c>
      <c r="Z93" s="59">
        <v>2314170</v>
      </c>
      <c r="AA93" s="85">
        <v>1267378</v>
      </c>
      <c r="AB93" s="84">
        <v>4</v>
      </c>
      <c r="AC93" s="84">
        <v>4.25</v>
      </c>
      <c r="AD93" s="85">
        <v>1810217</v>
      </c>
      <c r="AE93" s="85">
        <v>429282</v>
      </c>
      <c r="AF93" s="84">
        <v>3.95</v>
      </c>
      <c r="AG93" s="84">
        <v>4.3</v>
      </c>
      <c r="AH93" s="85">
        <v>443110</v>
      </c>
      <c r="AI93" s="85">
        <v>286171</v>
      </c>
      <c r="AJ93" s="84">
        <v>3.9</v>
      </c>
      <c r="AK93" s="84">
        <v>4.3499999999999996</v>
      </c>
      <c r="AL93" s="59">
        <v>171125</v>
      </c>
      <c r="AM93" s="59">
        <v>6765746</v>
      </c>
      <c r="AN93" s="59">
        <v>8109930</v>
      </c>
      <c r="AO93" s="84">
        <v>43314</v>
      </c>
      <c r="AP93" s="84" t="s">
        <v>4859</v>
      </c>
      <c r="AQ93" s="86" t="s">
        <v>4828</v>
      </c>
      <c r="AR93" s="76">
        <f t="shared" si="1"/>
        <v>43315.603738425925</v>
      </c>
    </row>
    <row r="94" spans="1:44" ht="40.799999999999997" x14ac:dyDescent="0.3">
      <c r="A94" s="56" t="s">
        <v>4825</v>
      </c>
      <c r="B94" s="57" t="s">
        <v>2658</v>
      </c>
      <c r="C94" s="57" t="s">
        <v>4826</v>
      </c>
      <c r="D94" s="57">
        <v>1</v>
      </c>
      <c r="E94" s="57" t="s">
        <v>4827</v>
      </c>
      <c r="F94" s="57" t="s">
        <v>4827</v>
      </c>
      <c r="G94" s="57">
        <v>12.25</v>
      </c>
      <c r="H94" s="57">
        <v>3.95</v>
      </c>
      <c r="I94" s="57">
        <v>4.0999999999999996</v>
      </c>
      <c r="J94" s="57">
        <v>4.1500000000000004</v>
      </c>
      <c r="K94" s="57">
        <v>4.2</v>
      </c>
      <c r="L94" s="57">
        <v>4.0999999999999996</v>
      </c>
      <c r="M94" s="57">
        <v>4.1500000000000004</v>
      </c>
      <c r="N94" s="57">
        <v>4.1500000000000004</v>
      </c>
      <c r="O94" s="57">
        <v>0.05</v>
      </c>
      <c r="P94" s="57">
        <v>1.22</v>
      </c>
      <c r="Q94" s="58">
        <v>4554756</v>
      </c>
      <c r="R94" s="57">
        <v>189.02</v>
      </c>
      <c r="S94" s="59">
        <v>3188043</v>
      </c>
      <c r="T94" s="57">
        <v>4.0999999999999996</v>
      </c>
      <c r="U94" s="57">
        <v>4.1500000000000004</v>
      </c>
      <c r="V94" s="59">
        <v>1249600</v>
      </c>
      <c r="W94" s="59">
        <v>1058963</v>
      </c>
      <c r="X94" s="57">
        <v>4.05</v>
      </c>
      <c r="Y94" s="57">
        <v>4.2</v>
      </c>
      <c r="Z94" s="59">
        <v>2314170</v>
      </c>
      <c r="AA94" s="59">
        <v>1267378</v>
      </c>
      <c r="AB94" s="57">
        <v>4</v>
      </c>
      <c r="AC94" s="57">
        <v>4.25</v>
      </c>
      <c r="AD94" s="59">
        <v>1810217</v>
      </c>
      <c r="AE94" s="59">
        <v>429282</v>
      </c>
      <c r="AF94" s="57">
        <v>3.95</v>
      </c>
      <c r="AG94" s="57">
        <v>4.3</v>
      </c>
      <c r="AH94" s="59">
        <v>443110</v>
      </c>
      <c r="AI94" s="59">
        <v>286171</v>
      </c>
      <c r="AJ94" s="57">
        <v>3.9</v>
      </c>
      <c r="AK94" s="57">
        <v>4.3499999999999996</v>
      </c>
      <c r="AL94" s="59">
        <v>171125</v>
      </c>
      <c r="AM94" s="59">
        <v>6765746</v>
      </c>
      <c r="AN94" s="59">
        <v>8109930</v>
      </c>
      <c r="AO94" s="60">
        <v>43314</v>
      </c>
      <c r="AP94" s="57" t="s">
        <v>4859</v>
      </c>
      <c r="AQ94" s="77" t="s">
        <v>4828</v>
      </c>
      <c r="AR94" s="76">
        <f t="shared" si="1"/>
        <v>43315.603738425925</v>
      </c>
    </row>
    <row r="95" spans="1:44" ht="40.799999999999997" x14ac:dyDescent="0.3">
      <c r="A95" s="56" t="s">
        <v>4825</v>
      </c>
      <c r="B95" s="57" t="s">
        <v>2658</v>
      </c>
      <c r="C95" s="57" t="s">
        <v>4826</v>
      </c>
      <c r="D95" s="57">
        <v>1</v>
      </c>
      <c r="E95" s="57" t="s">
        <v>4827</v>
      </c>
      <c r="F95" s="57" t="s">
        <v>4827</v>
      </c>
      <c r="G95" s="57">
        <v>12.25</v>
      </c>
      <c r="H95" s="57">
        <v>3.95</v>
      </c>
      <c r="I95" s="57">
        <v>4.0999999999999996</v>
      </c>
      <c r="J95" s="57">
        <v>4.1500000000000004</v>
      </c>
      <c r="K95" s="57">
        <v>4.2</v>
      </c>
      <c r="L95" s="57">
        <v>4.0999999999999996</v>
      </c>
      <c r="M95" s="57">
        <v>4.1500000000000004</v>
      </c>
      <c r="N95" s="57">
        <v>4.0999999999999996</v>
      </c>
      <c r="O95" s="57" t="s">
        <v>4827</v>
      </c>
      <c r="P95" s="57">
        <v>0</v>
      </c>
      <c r="Q95" s="58">
        <v>4567966</v>
      </c>
      <c r="R95" s="57">
        <v>189.57</v>
      </c>
      <c r="S95" s="59">
        <v>3177623</v>
      </c>
      <c r="T95" s="57">
        <v>4.0999999999999996</v>
      </c>
      <c r="U95" s="57">
        <v>4.1500000000000004</v>
      </c>
      <c r="V95" s="59">
        <v>1259600</v>
      </c>
      <c r="W95" s="59">
        <v>913003</v>
      </c>
      <c r="X95" s="57">
        <v>4.05</v>
      </c>
      <c r="Y95" s="57">
        <v>4.2</v>
      </c>
      <c r="Z95" s="59">
        <v>2314370</v>
      </c>
      <c r="AA95" s="59">
        <v>1269368</v>
      </c>
      <c r="AB95" s="57">
        <v>4</v>
      </c>
      <c r="AC95" s="57">
        <v>4.25</v>
      </c>
      <c r="AD95" s="59">
        <v>1810217</v>
      </c>
      <c r="AE95" s="59">
        <v>429282</v>
      </c>
      <c r="AF95" s="57">
        <v>3.95</v>
      </c>
      <c r="AG95" s="57">
        <v>4.3</v>
      </c>
      <c r="AH95" s="59">
        <v>440110</v>
      </c>
      <c r="AI95" s="59">
        <v>286171</v>
      </c>
      <c r="AJ95" s="57">
        <v>3.9</v>
      </c>
      <c r="AK95" s="57">
        <v>4.3499999999999996</v>
      </c>
      <c r="AL95" s="59">
        <v>171125</v>
      </c>
      <c r="AM95" s="59">
        <v>6611356</v>
      </c>
      <c r="AN95" s="59">
        <v>8118130</v>
      </c>
      <c r="AO95" s="60">
        <v>43314</v>
      </c>
      <c r="AP95" s="57" t="s">
        <v>4860</v>
      </c>
      <c r="AQ95" s="77" t="s">
        <v>4828</v>
      </c>
      <c r="AR95" s="76">
        <f t="shared" si="1"/>
        <v>43315.605127314811</v>
      </c>
    </row>
    <row r="96" spans="1:44" ht="40.799999999999997" x14ac:dyDescent="0.3">
      <c r="A96" s="56" t="s">
        <v>4825</v>
      </c>
      <c r="B96" s="57" t="s">
        <v>2658</v>
      </c>
      <c r="C96" s="57" t="s">
        <v>4826</v>
      </c>
      <c r="D96" s="57">
        <v>1</v>
      </c>
      <c r="E96" s="57" t="s">
        <v>4827</v>
      </c>
      <c r="F96" s="57" t="s">
        <v>4827</v>
      </c>
      <c r="G96" s="57">
        <v>12.25</v>
      </c>
      <c r="H96" s="57">
        <v>3.95</v>
      </c>
      <c r="I96" s="57">
        <v>4.0999999999999996</v>
      </c>
      <c r="J96" s="57">
        <v>4.1500000000000004</v>
      </c>
      <c r="K96" s="57">
        <v>4.2</v>
      </c>
      <c r="L96" s="57">
        <v>4.0999999999999996</v>
      </c>
      <c r="M96" s="57">
        <v>4.1500000000000004</v>
      </c>
      <c r="N96" s="57">
        <v>4.0999999999999996</v>
      </c>
      <c r="O96" s="57" t="s">
        <v>4827</v>
      </c>
      <c r="P96" s="57">
        <v>0</v>
      </c>
      <c r="Q96" s="58">
        <v>4567966</v>
      </c>
      <c r="R96" s="57">
        <v>189.57</v>
      </c>
      <c r="S96" s="59">
        <v>3177623</v>
      </c>
      <c r="T96" s="57">
        <v>4.0999999999999996</v>
      </c>
      <c r="U96" s="57">
        <v>4.1500000000000004</v>
      </c>
      <c r="V96" s="59">
        <v>1259600</v>
      </c>
      <c r="W96" s="59">
        <v>913003</v>
      </c>
      <c r="X96" s="57">
        <v>4.05</v>
      </c>
      <c r="Y96" s="57">
        <v>4.2</v>
      </c>
      <c r="Z96" s="59">
        <v>2314370</v>
      </c>
      <c r="AA96" s="59">
        <v>1269368</v>
      </c>
      <c r="AB96" s="57">
        <v>4</v>
      </c>
      <c r="AC96" s="57">
        <v>4.25</v>
      </c>
      <c r="AD96" s="59">
        <v>1810217</v>
      </c>
      <c r="AE96" s="59">
        <v>429282</v>
      </c>
      <c r="AF96" s="57">
        <v>3.95</v>
      </c>
      <c r="AG96" s="57">
        <v>4.3</v>
      </c>
      <c r="AH96" s="59">
        <v>440110</v>
      </c>
      <c r="AI96" s="59">
        <v>286171</v>
      </c>
      <c r="AJ96" s="57">
        <v>3.9</v>
      </c>
      <c r="AK96" s="57">
        <v>4.3499999999999996</v>
      </c>
      <c r="AL96" s="59">
        <v>171125</v>
      </c>
      <c r="AM96" s="59">
        <v>6611356</v>
      </c>
      <c r="AN96" s="59">
        <v>8118130</v>
      </c>
      <c r="AO96" s="60">
        <v>43314</v>
      </c>
      <c r="AP96" s="57" t="s">
        <v>4860</v>
      </c>
      <c r="AQ96" s="77" t="s">
        <v>4828</v>
      </c>
      <c r="AR96" s="76">
        <f t="shared" si="1"/>
        <v>43315.605127314811</v>
      </c>
    </row>
    <row r="97" spans="1:44" ht="40.799999999999997" x14ac:dyDescent="0.3">
      <c r="A97" s="56" t="s">
        <v>4825</v>
      </c>
      <c r="B97" s="57" t="s">
        <v>2658</v>
      </c>
      <c r="C97" s="57" t="s">
        <v>4826</v>
      </c>
      <c r="D97" s="57">
        <v>1</v>
      </c>
      <c r="E97" s="57" t="s">
        <v>4827</v>
      </c>
      <c r="F97" s="57" t="s">
        <v>4827</v>
      </c>
      <c r="G97" s="57">
        <v>12.25</v>
      </c>
      <c r="H97" s="57">
        <v>3.95</v>
      </c>
      <c r="I97" s="57">
        <v>4.0999999999999996</v>
      </c>
      <c r="J97" s="57">
        <v>4.1500000000000004</v>
      </c>
      <c r="K97" s="57">
        <v>4.2</v>
      </c>
      <c r="L97" s="57">
        <v>4.0999999999999996</v>
      </c>
      <c r="M97" s="57">
        <v>4.1500000000000004</v>
      </c>
      <c r="N97" s="57">
        <v>4.1500000000000004</v>
      </c>
      <c r="O97" s="57">
        <v>0.05</v>
      </c>
      <c r="P97" s="57">
        <v>1.22</v>
      </c>
      <c r="Q97" s="58">
        <v>4598075</v>
      </c>
      <c r="R97" s="57">
        <v>190.82</v>
      </c>
      <c r="S97" s="59">
        <v>3190903</v>
      </c>
      <c r="T97" s="57">
        <v>4.0999999999999996</v>
      </c>
      <c r="U97" s="57">
        <v>4.1500000000000004</v>
      </c>
      <c r="V97" s="59">
        <v>1255491</v>
      </c>
      <c r="W97" s="59">
        <v>914203</v>
      </c>
      <c r="X97" s="57">
        <v>4.05</v>
      </c>
      <c r="Y97" s="57">
        <v>4.2</v>
      </c>
      <c r="Z97" s="59">
        <v>2314370</v>
      </c>
      <c r="AA97" s="59">
        <v>1270028</v>
      </c>
      <c r="AB97" s="57">
        <v>4</v>
      </c>
      <c r="AC97" s="57">
        <v>4.25</v>
      </c>
      <c r="AD97" s="59">
        <v>1810217</v>
      </c>
      <c r="AE97" s="59">
        <v>429282</v>
      </c>
      <c r="AF97" s="57">
        <v>3.95</v>
      </c>
      <c r="AG97" s="57">
        <v>4.3</v>
      </c>
      <c r="AH97" s="59">
        <v>440110</v>
      </c>
      <c r="AI97" s="59">
        <v>286171</v>
      </c>
      <c r="AJ97" s="57">
        <v>3.9</v>
      </c>
      <c r="AK97" s="57">
        <v>4.3499999999999996</v>
      </c>
      <c r="AL97" s="59">
        <v>171125</v>
      </c>
      <c r="AM97" s="59">
        <v>6626496</v>
      </c>
      <c r="AN97" s="59">
        <v>8114021</v>
      </c>
      <c r="AO97" s="60">
        <v>43314</v>
      </c>
      <c r="AP97" s="57" t="s">
        <v>4861</v>
      </c>
      <c r="AQ97" s="77" t="s">
        <v>4828</v>
      </c>
      <c r="AR97" s="76">
        <f t="shared" si="1"/>
        <v>43315.607557870368</v>
      </c>
    </row>
    <row r="98" spans="1:44" ht="40.799999999999997" x14ac:dyDescent="0.3">
      <c r="A98" s="56" t="s">
        <v>4825</v>
      </c>
      <c r="B98" s="57" t="s">
        <v>2658</v>
      </c>
      <c r="C98" s="57" t="s">
        <v>4826</v>
      </c>
      <c r="D98" s="57">
        <v>1</v>
      </c>
      <c r="E98" s="57" t="s">
        <v>4827</v>
      </c>
      <c r="F98" s="57" t="s">
        <v>4827</v>
      </c>
      <c r="G98" s="57">
        <v>12.25</v>
      </c>
      <c r="H98" s="57">
        <v>3.95</v>
      </c>
      <c r="I98" s="57">
        <v>4.0999999999999996</v>
      </c>
      <c r="J98" s="57">
        <v>4.1500000000000004</v>
      </c>
      <c r="K98" s="57">
        <v>4.2</v>
      </c>
      <c r="L98" s="57">
        <v>4.0999999999999996</v>
      </c>
      <c r="M98" s="57">
        <v>4.1500000000000004</v>
      </c>
      <c r="N98" s="57">
        <v>4.1500000000000004</v>
      </c>
      <c r="O98" s="57">
        <v>0.05</v>
      </c>
      <c r="P98" s="57">
        <v>1.22</v>
      </c>
      <c r="Q98" s="58">
        <v>4598075</v>
      </c>
      <c r="R98" s="57">
        <v>190.82</v>
      </c>
      <c r="S98" s="59">
        <v>3190903</v>
      </c>
      <c r="T98" s="57">
        <v>4.0999999999999996</v>
      </c>
      <c r="U98" s="57">
        <v>4.1500000000000004</v>
      </c>
      <c r="V98" s="59">
        <v>1255491</v>
      </c>
      <c r="W98" s="59">
        <v>914203</v>
      </c>
      <c r="X98" s="57">
        <v>4.05</v>
      </c>
      <c r="Y98" s="57">
        <v>4.2</v>
      </c>
      <c r="Z98" s="59">
        <v>2314370</v>
      </c>
      <c r="AA98" s="59">
        <v>1270028</v>
      </c>
      <c r="AB98" s="57">
        <v>4</v>
      </c>
      <c r="AC98" s="57">
        <v>4.25</v>
      </c>
      <c r="AD98" s="59">
        <v>1810217</v>
      </c>
      <c r="AE98" s="59">
        <v>429282</v>
      </c>
      <c r="AF98" s="57">
        <v>3.95</v>
      </c>
      <c r="AG98" s="57">
        <v>4.3</v>
      </c>
      <c r="AH98" s="59">
        <v>440110</v>
      </c>
      <c r="AI98" s="59">
        <v>286171</v>
      </c>
      <c r="AJ98" s="57">
        <v>3.9</v>
      </c>
      <c r="AK98" s="57">
        <v>4.3499999999999996</v>
      </c>
      <c r="AL98" s="59">
        <v>171125</v>
      </c>
      <c r="AM98" s="59">
        <v>6626496</v>
      </c>
      <c r="AN98" s="59">
        <v>8114021</v>
      </c>
      <c r="AO98" s="60">
        <v>43314</v>
      </c>
      <c r="AP98" s="57" t="s">
        <v>4861</v>
      </c>
      <c r="AQ98" s="77" t="s">
        <v>4828</v>
      </c>
      <c r="AR98" s="76">
        <f t="shared" si="1"/>
        <v>43315.607557870368</v>
      </c>
    </row>
    <row r="99" spans="1:44" ht="40.799999999999997" x14ac:dyDescent="0.3">
      <c r="A99" s="56" t="s">
        <v>4825</v>
      </c>
      <c r="B99" s="57" t="s">
        <v>2658</v>
      </c>
      <c r="C99" s="57" t="s">
        <v>4826</v>
      </c>
      <c r="D99" s="57">
        <v>1</v>
      </c>
      <c r="E99" s="57" t="s">
        <v>4827</v>
      </c>
      <c r="F99" s="57" t="s">
        <v>4827</v>
      </c>
      <c r="G99" s="57">
        <v>12.25</v>
      </c>
      <c r="H99" s="57">
        <v>3.95</v>
      </c>
      <c r="I99" s="57">
        <v>4.0999999999999996</v>
      </c>
      <c r="J99" s="57">
        <v>4.1500000000000004</v>
      </c>
      <c r="K99" s="57">
        <v>4.2</v>
      </c>
      <c r="L99" s="57">
        <v>4.0999999999999996</v>
      </c>
      <c r="M99" s="57">
        <v>4.1500000000000004</v>
      </c>
      <c r="N99" s="57">
        <v>4.1500000000000004</v>
      </c>
      <c r="O99" s="57">
        <v>0.05</v>
      </c>
      <c r="P99" s="57">
        <v>1.22</v>
      </c>
      <c r="Q99" s="58">
        <v>4598075</v>
      </c>
      <c r="R99" s="57">
        <v>190.82</v>
      </c>
      <c r="S99" s="59">
        <v>3190903</v>
      </c>
      <c r="T99" s="57">
        <v>4.0999999999999996</v>
      </c>
      <c r="U99" s="57">
        <v>4.1500000000000004</v>
      </c>
      <c r="V99" s="59">
        <v>1255491</v>
      </c>
      <c r="W99" s="59">
        <v>914203</v>
      </c>
      <c r="X99" s="57">
        <v>4.05</v>
      </c>
      <c r="Y99" s="57">
        <v>4.2</v>
      </c>
      <c r="Z99" s="59">
        <v>2314370</v>
      </c>
      <c r="AA99" s="59">
        <v>1270028</v>
      </c>
      <c r="AB99" s="57">
        <v>4</v>
      </c>
      <c r="AC99" s="57">
        <v>4.25</v>
      </c>
      <c r="AD99" s="59">
        <v>1810217</v>
      </c>
      <c r="AE99" s="59">
        <v>429282</v>
      </c>
      <c r="AF99" s="57">
        <v>3.95</v>
      </c>
      <c r="AG99" s="57">
        <v>4.3</v>
      </c>
      <c r="AH99" s="59">
        <v>440110</v>
      </c>
      <c r="AI99" s="59">
        <v>286171</v>
      </c>
      <c r="AJ99" s="57">
        <v>3.9</v>
      </c>
      <c r="AK99" s="57">
        <v>4.3499999999999996</v>
      </c>
      <c r="AL99" s="59">
        <v>171125</v>
      </c>
      <c r="AM99" s="59">
        <v>6626496</v>
      </c>
      <c r="AN99" s="59">
        <v>8114021</v>
      </c>
      <c r="AO99" s="60">
        <v>43314</v>
      </c>
      <c r="AP99" s="57" t="s">
        <v>4861</v>
      </c>
      <c r="AQ99" s="77" t="s">
        <v>4828</v>
      </c>
      <c r="AR99" s="76">
        <f t="shared" si="1"/>
        <v>43315.607557870368</v>
      </c>
    </row>
    <row r="100" spans="1:44" ht="40.799999999999997" x14ac:dyDescent="0.3">
      <c r="A100" s="56" t="s">
        <v>4825</v>
      </c>
      <c r="B100" s="57" t="s">
        <v>2658</v>
      </c>
      <c r="C100" s="57" t="s">
        <v>4826</v>
      </c>
      <c r="D100" s="57">
        <v>1</v>
      </c>
      <c r="E100" s="57" t="s">
        <v>4827</v>
      </c>
      <c r="F100" s="57" t="s">
        <v>4827</v>
      </c>
      <c r="G100" s="57">
        <v>12.25</v>
      </c>
      <c r="H100" s="57">
        <v>3.95</v>
      </c>
      <c r="I100" s="57">
        <v>4.0999999999999996</v>
      </c>
      <c r="J100" s="57">
        <v>4.1500000000000004</v>
      </c>
      <c r="K100" s="57">
        <v>4.2</v>
      </c>
      <c r="L100" s="57">
        <v>4.0999999999999996</v>
      </c>
      <c r="M100" s="57">
        <v>4.1500000000000004</v>
      </c>
      <c r="N100" s="57">
        <v>4.0999999999999996</v>
      </c>
      <c r="O100" s="57" t="s">
        <v>4827</v>
      </c>
      <c r="P100" s="57">
        <v>0</v>
      </c>
      <c r="Q100" s="58">
        <v>4625536</v>
      </c>
      <c r="R100" s="57">
        <v>191.96</v>
      </c>
      <c r="S100" s="59">
        <v>3194668</v>
      </c>
      <c r="T100" s="57">
        <v>4.0999999999999996</v>
      </c>
      <c r="U100" s="57">
        <v>4.1500000000000004</v>
      </c>
      <c r="V100" s="59">
        <v>1578568</v>
      </c>
      <c r="W100" s="59">
        <v>912743</v>
      </c>
      <c r="X100" s="57">
        <v>4.05</v>
      </c>
      <c r="Y100" s="57">
        <v>4.2</v>
      </c>
      <c r="Z100" s="59">
        <v>2317070</v>
      </c>
      <c r="AA100" s="59">
        <v>1270028</v>
      </c>
      <c r="AB100" s="57">
        <v>4</v>
      </c>
      <c r="AC100" s="57">
        <v>4.25</v>
      </c>
      <c r="AD100" s="59">
        <v>1810217</v>
      </c>
      <c r="AE100" s="59">
        <v>429282</v>
      </c>
      <c r="AF100" s="57">
        <v>3.95</v>
      </c>
      <c r="AG100" s="57">
        <v>4.3</v>
      </c>
      <c r="AH100" s="59">
        <v>440110</v>
      </c>
      <c r="AI100" s="59">
        <v>286171</v>
      </c>
      <c r="AJ100" s="57">
        <v>3.9</v>
      </c>
      <c r="AK100" s="57">
        <v>4.3499999999999996</v>
      </c>
      <c r="AL100" s="59">
        <v>170925</v>
      </c>
      <c r="AM100" s="59">
        <v>6628801</v>
      </c>
      <c r="AN100" s="59">
        <v>8439598</v>
      </c>
      <c r="AO100" s="60">
        <v>43314</v>
      </c>
      <c r="AP100" s="57" t="s">
        <v>4862</v>
      </c>
      <c r="AQ100" s="77" t="s">
        <v>4828</v>
      </c>
      <c r="AR100" s="76">
        <f t="shared" si="1"/>
        <v>43315.608946759261</v>
      </c>
    </row>
    <row r="101" spans="1:44" ht="40.799999999999997" x14ac:dyDescent="0.3">
      <c r="A101" s="56" t="s">
        <v>4825</v>
      </c>
      <c r="B101" s="57" t="s">
        <v>2658</v>
      </c>
      <c r="C101" s="57" t="s">
        <v>4826</v>
      </c>
      <c r="D101" s="57">
        <v>1</v>
      </c>
      <c r="E101" s="57" t="s">
        <v>4827</v>
      </c>
      <c r="F101" s="57" t="s">
        <v>4827</v>
      </c>
      <c r="G101" s="57">
        <v>12.25</v>
      </c>
      <c r="H101" s="57">
        <v>3.95</v>
      </c>
      <c r="I101" s="57">
        <v>4.0999999999999996</v>
      </c>
      <c r="J101" s="57">
        <v>4.1500000000000004</v>
      </c>
      <c r="K101" s="57">
        <v>4.2</v>
      </c>
      <c r="L101" s="57">
        <v>4.0999999999999996</v>
      </c>
      <c r="M101" s="57">
        <v>4.1500000000000004</v>
      </c>
      <c r="N101" s="57">
        <v>4.0999999999999996</v>
      </c>
      <c r="O101" s="57" t="s">
        <v>4827</v>
      </c>
      <c r="P101" s="57">
        <v>0</v>
      </c>
      <c r="Q101" s="58">
        <v>4625536</v>
      </c>
      <c r="R101" s="57">
        <v>191.96</v>
      </c>
      <c r="S101" s="59">
        <v>3194668</v>
      </c>
      <c r="T101" s="57">
        <v>4.0999999999999996</v>
      </c>
      <c r="U101" s="57">
        <v>4.1500000000000004</v>
      </c>
      <c r="V101" s="59">
        <v>1578568</v>
      </c>
      <c r="W101" s="59">
        <v>912743</v>
      </c>
      <c r="X101" s="57">
        <v>4.05</v>
      </c>
      <c r="Y101" s="57">
        <v>4.2</v>
      </c>
      <c r="Z101" s="59">
        <v>2317070</v>
      </c>
      <c r="AA101" s="59">
        <v>1270028</v>
      </c>
      <c r="AB101" s="57">
        <v>4</v>
      </c>
      <c r="AC101" s="57">
        <v>4.25</v>
      </c>
      <c r="AD101" s="59">
        <v>1810217</v>
      </c>
      <c r="AE101" s="59">
        <v>429282</v>
      </c>
      <c r="AF101" s="57">
        <v>3.95</v>
      </c>
      <c r="AG101" s="57">
        <v>4.3</v>
      </c>
      <c r="AH101" s="59">
        <v>440110</v>
      </c>
      <c r="AI101" s="59">
        <v>286171</v>
      </c>
      <c r="AJ101" s="57">
        <v>3.9</v>
      </c>
      <c r="AK101" s="57">
        <v>4.3499999999999996</v>
      </c>
      <c r="AL101" s="59">
        <v>170925</v>
      </c>
      <c r="AM101" s="59">
        <v>6628801</v>
      </c>
      <c r="AN101" s="59">
        <v>8439598</v>
      </c>
      <c r="AO101" s="60">
        <v>43314</v>
      </c>
      <c r="AP101" s="57" t="s">
        <v>4862</v>
      </c>
      <c r="AQ101" s="77" t="s">
        <v>4828</v>
      </c>
      <c r="AR101" s="76">
        <f t="shared" si="1"/>
        <v>43315.608946759261</v>
      </c>
    </row>
    <row r="102" spans="1:44" ht="40.799999999999997" x14ac:dyDescent="0.3">
      <c r="A102" s="56" t="s">
        <v>4825</v>
      </c>
      <c r="B102" s="57" t="s">
        <v>2658</v>
      </c>
      <c r="C102" s="57" t="s">
        <v>4826</v>
      </c>
      <c r="D102" s="57">
        <v>1</v>
      </c>
      <c r="E102" s="57" t="s">
        <v>4827</v>
      </c>
      <c r="F102" s="57" t="s">
        <v>4827</v>
      </c>
      <c r="G102" s="57">
        <v>12.25</v>
      </c>
      <c r="H102" s="57">
        <v>3.95</v>
      </c>
      <c r="I102" s="57">
        <v>4.0999999999999996</v>
      </c>
      <c r="J102" s="57">
        <v>4.1500000000000004</v>
      </c>
      <c r="K102" s="57">
        <v>4.2</v>
      </c>
      <c r="L102" s="57">
        <v>4.0999999999999996</v>
      </c>
      <c r="M102" s="57">
        <v>4.1500000000000004</v>
      </c>
      <c r="N102" s="57">
        <v>4.0999999999999996</v>
      </c>
      <c r="O102" s="57" t="s">
        <v>4827</v>
      </c>
      <c r="P102" s="57">
        <v>0</v>
      </c>
      <c r="Q102" s="58">
        <v>4625536</v>
      </c>
      <c r="R102" s="57">
        <v>191.96</v>
      </c>
      <c r="S102" s="59">
        <v>3194668</v>
      </c>
      <c r="T102" s="57">
        <v>4.0999999999999996</v>
      </c>
      <c r="U102" s="57">
        <v>4.1500000000000004</v>
      </c>
      <c r="V102" s="59">
        <v>1578568</v>
      </c>
      <c r="W102" s="59">
        <v>912743</v>
      </c>
      <c r="X102" s="57">
        <v>4.05</v>
      </c>
      <c r="Y102" s="57">
        <v>4.2</v>
      </c>
      <c r="Z102" s="59">
        <v>2317070</v>
      </c>
      <c r="AA102" s="59">
        <v>1270028</v>
      </c>
      <c r="AB102" s="57">
        <v>4</v>
      </c>
      <c r="AC102" s="57">
        <v>4.25</v>
      </c>
      <c r="AD102" s="59">
        <v>1810217</v>
      </c>
      <c r="AE102" s="59">
        <v>429282</v>
      </c>
      <c r="AF102" s="57">
        <v>3.95</v>
      </c>
      <c r="AG102" s="57">
        <v>4.3</v>
      </c>
      <c r="AH102" s="59">
        <v>440110</v>
      </c>
      <c r="AI102" s="59">
        <v>286171</v>
      </c>
      <c r="AJ102" s="57">
        <v>3.9</v>
      </c>
      <c r="AK102" s="57">
        <v>4.3499999999999996</v>
      </c>
      <c r="AL102" s="59">
        <v>170925</v>
      </c>
      <c r="AM102" s="59">
        <v>6628801</v>
      </c>
      <c r="AN102" s="59">
        <v>8439598</v>
      </c>
      <c r="AO102" s="60">
        <v>43314</v>
      </c>
      <c r="AP102" s="57" t="s">
        <v>4862</v>
      </c>
      <c r="AQ102" s="77" t="s">
        <v>4828</v>
      </c>
      <c r="AR102" s="76">
        <f t="shared" si="1"/>
        <v>43315.608946759261</v>
      </c>
    </row>
    <row r="103" spans="1:44" ht="40.799999999999997" x14ac:dyDescent="0.3">
      <c r="A103" s="56" t="s">
        <v>4825</v>
      </c>
      <c r="B103" s="57" t="s">
        <v>2658</v>
      </c>
      <c r="C103" s="57" t="s">
        <v>4826</v>
      </c>
      <c r="D103" s="57">
        <v>1</v>
      </c>
      <c r="E103" s="57" t="s">
        <v>4827</v>
      </c>
      <c r="F103" s="57" t="s">
        <v>4827</v>
      </c>
      <c r="G103" s="57">
        <v>12.25</v>
      </c>
      <c r="H103" s="57">
        <v>3.95</v>
      </c>
      <c r="I103" s="57">
        <v>4.0999999999999996</v>
      </c>
      <c r="J103" s="57">
        <v>4.1500000000000004</v>
      </c>
      <c r="K103" s="57">
        <v>4.2</v>
      </c>
      <c r="L103" s="57">
        <v>4.0999999999999996</v>
      </c>
      <c r="M103" s="57">
        <v>4.1500000000000004</v>
      </c>
      <c r="N103" s="57">
        <v>4.0999999999999996</v>
      </c>
      <c r="O103" s="57" t="s">
        <v>4827</v>
      </c>
      <c r="P103" s="57">
        <v>0</v>
      </c>
      <c r="Q103" s="58">
        <v>4635752</v>
      </c>
      <c r="R103" s="57">
        <v>192.38</v>
      </c>
      <c r="S103" s="59">
        <v>3213157</v>
      </c>
      <c r="T103" s="57">
        <v>4.0999999999999996</v>
      </c>
      <c r="U103" s="57">
        <v>4.1500000000000004</v>
      </c>
      <c r="V103" s="59">
        <v>1573968</v>
      </c>
      <c r="W103" s="59">
        <v>916743</v>
      </c>
      <c r="X103" s="57">
        <v>4.05</v>
      </c>
      <c r="Y103" s="57">
        <v>4.2</v>
      </c>
      <c r="Z103" s="59">
        <v>2358357</v>
      </c>
      <c r="AA103" s="59">
        <v>1267203</v>
      </c>
      <c r="AB103" s="57">
        <v>4</v>
      </c>
      <c r="AC103" s="57">
        <v>4.25</v>
      </c>
      <c r="AD103" s="59">
        <v>1679877</v>
      </c>
      <c r="AE103" s="59">
        <v>429282</v>
      </c>
      <c r="AF103" s="57">
        <v>3.95</v>
      </c>
      <c r="AG103" s="57">
        <v>4.3</v>
      </c>
      <c r="AH103" s="59">
        <v>440110</v>
      </c>
      <c r="AI103" s="59">
        <v>286171</v>
      </c>
      <c r="AJ103" s="57">
        <v>3.9</v>
      </c>
      <c r="AK103" s="57">
        <v>4.3499999999999996</v>
      </c>
      <c r="AL103" s="59">
        <v>150925</v>
      </c>
      <c r="AM103" s="59">
        <v>6647965</v>
      </c>
      <c r="AN103" s="59">
        <v>8325945</v>
      </c>
      <c r="AO103" s="60">
        <v>43314</v>
      </c>
      <c r="AP103" s="57" t="s">
        <v>4863</v>
      </c>
      <c r="AQ103" s="77" t="s">
        <v>4828</v>
      </c>
      <c r="AR103" s="76">
        <f t="shared" si="1"/>
        <v>43315.611377314817</v>
      </c>
    </row>
    <row r="104" spans="1:44" ht="40.799999999999997" x14ac:dyDescent="0.3">
      <c r="A104" s="56" t="s">
        <v>4825</v>
      </c>
      <c r="B104" s="57" t="s">
        <v>2658</v>
      </c>
      <c r="C104" s="57" t="s">
        <v>4826</v>
      </c>
      <c r="D104" s="57">
        <v>1</v>
      </c>
      <c r="E104" s="57" t="s">
        <v>4827</v>
      </c>
      <c r="F104" s="57" t="s">
        <v>4827</v>
      </c>
      <c r="G104" s="57">
        <v>12.25</v>
      </c>
      <c r="H104" s="57">
        <v>3.95</v>
      </c>
      <c r="I104" s="57">
        <v>4.0999999999999996</v>
      </c>
      <c r="J104" s="57">
        <v>4.1500000000000004</v>
      </c>
      <c r="K104" s="57">
        <v>4.2</v>
      </c>
      <c r="L104" s="57">
        <v>4.0999999999999996</v>
      </c>
      <c r="M104" s="57">
        <v>4.1500000000000004</v>
      </c>
      <c r="N104" s="57">
        <v>4.0999999999999996</v>
      </c>
      <c r="O104" s="57" t="s">
        <v>4827</v>
      </c>
      <c r="P104" s="57">
        <v>0</v>
      </c>
      <c r="Q104" s="58">
        <v>4635752</v>
      </c>
      <c r="R104" s="57">
        <v>192.38</v>
      </c>
      <c r="S104" s="59">
        <v>3213157</v>
      </c>
      <c r="T104" s="57">
        <v>4.0999999999999996</v>
      </c>
      <c r="U104" s="57">
        <v>4.1500000000000004</v>
      </c>
      <c r="V104" s="59">
        <v>1573968</v>
      </c>
      <c r="W104" s="59">
        <v>916743</v>
      </c>
      <c r="X104" s="57">
        <v>4.05</v>
      </c>
      <c r="Y104" s="57">
        <v>4.2</v>
      </c>
      <c r="Z104" s="59">
        <v>2358357</v>
      </c>
      <c r="AA104" s="59">
        <v>1267203</v>
      </c>
      <c r="AB104" s="57">
        <v>4</v>
      </c>
      <c r="AC104" s="57">
        <v>4.25</v>
      </c>
      <c r="AD104" s="59">
        <v>1679877</v>
      </c>
      <c r="AE104" s="59">
        <v>429282</v>
      </c>
      <c r="AF104" s="57">
        <v>3.95</v>
      </c>
      <c r="AG104" s="57">
        <v>4.3</v>
      </c>
      <c r="AH104" s="59">
        <v>440110</v>
      </c>
      <c r="AI104" s="59">
        <v>286171</v>
      </c>
      <c r="AJ104" s="57">
        <v>3.9</v>
      </c>
      <c r="AK104" s="57">
        <v>4.3499999999999996</v>
      </c>
      <c r="AL104" s="59">
        <v>150925</v>
      </c>
      <c r="AM104" s="59">
        <v>6647965</v>
      </c>
      <c r="AN104" s="59">
        <v>8325945</v>
      </c>
      <c r="AO104" s="60">
        <v>43314</v>
      </c>
      <c r="AP104" s="57" t="s">
        <v>4863</v>
      </c>
      <c r="AQ104" s="77" t="s">
        <v>4828</v>
      </c>
      <c r="AR104" s="76">
        <f t="shared" si="1"/>
        <v>43315.611377314817</v>
      </c>
    </row>
    <row r="105" spans="1:44" ht="40.799999999999997" x14ac:dyDescent="0.3">
      <c r="A105" s="56" t="s">
        <v>4825</v>
      </c>
      <c r="B105" s="57" t="s">
        <v>2658</v>
      </c>
      <c r="C105" s="57" t="s">
        <v>4826</v>
      </c>
      <c r="D105" s="57">
        <v>1</v>
      </c>
      <c r="E105" s="57" t="s">
        <v>4827</v>
      </c>
      <c r="F105" s="57" t="s">
        <v>4827</v>
      </c>
      <c r="G105" s="57">
        <v>12.25</v>
      </c>
      <c r="H105" s="57">
        <v>3.95</v>
      </c>
      <c r="I105" s="57">
        <v>4.0999999999999996</v>
      </c>
      <c r="J105" s="57">
        <v>4.1500000000000004</v>
      </c>
      <c r="K105" s="57">
        <v>4.2</v>
      </c>
      <c r="L105" s="57">
        <v>4.0999999999999996</v>
      </c>
      <c r="M105" s="57">
        <v>4.1500000000000004</v>
      </c>
      <c r="N105" s="57">
        <v>4.0999999999999996</v>
      </c>
      <c r="O105" s="57" t="s">
        <v>4827</v>
      </c>
      <c r="P105" s="57">
        <v>0</v>
      </c>
      <c r="Q105" s="58">
        <v>4635752</v>
      </c>
      <c r="R105" s="57">
        <v>192.38</v>
      </c>
      <c r="S105" s="59">
        <v>3213157</v>
      </c>
      <c r="T105" s="57">
        <v>4.0999999999999996</v>
      </c>
      <c r="U105" s="57">
        <v>4.1500000000000004</v>
      </c>
      <c r="V105" s="59">
        <v>1573968</v>
      </c>
      <c r="W105" s="59">
        <v>916743</v>
      </c>
      <c r="X105" s="57">
        <v>4.05</v>
      </c>
      <c r="Y105" s="57">
        <v>4.2</v>
      </c>
      <c r="Z105" s="59">
        <v>2358357</v>
      </c>
      <c r="AA105" s="59">
        <v>1267203</v>
      </c>
      <c r="AB105" s="57">
        <v>4</v>
      </c>
      <c r="AC105" s="57">
        <v>4.25</v>
      </c>
      <c r="AD105" s="59">
        <v>1679877</v>
      </c>
      <c r="AE105" s="59">
        <v>429282</v>
      </c>
      <c r="AF105" s="57">
        <v>3.95</v>
      </c>
      <c r="AG105" s="57">
        <v>4.3</v>
      </c>
      <c r="AH105" s="59">
        <v>440110</v>
      </c>
      <c r="AI105" s="59">
        <v>286171</v>
      </c>
      <c r="AJ105" s="57">
        <v>3.9</v>
      </c>
      <c r="AK105" s="57">
        <v>4.3499999999999996</v>
      </c>
      <c r="AL105" s="59">
        <v>150925</v>
      </c>
      <c r="AM105" s="59">
        <v>6647965</v>
      </c>
      <c r="AN105" s="59">
        <v>8325945</v>
      </c>
      <c r="AO105" s="60">
        <v>43314</v>
      </c>
      <c r="AP105" s="57" t="s">
        <v>4863</v>
      </c>
      <c r="AQ105" s="77" t="s">
        <v>4828</v>
      </c>
      <c r="AR105" s="76">
        <f t="shared" si="1"/>
        <v>43315.611377314817</v>
      </c>
    </row>
    <row r="106" spans="1:44" ht="40.799999999999997" x14ac:dyDescent="0.3">
      <c r="A106" s="56" t="s">
        <v>4825</v>
      </c>
      <c r="B106" s="57" t="s">
        <v>2658</v>
      </c>
      <c r="C106" s="57" t="s">
        <v>4826</v>
      </c>
      <c r="D106" s="57">
        <v>1</v>
      </c>
      <c r="E106" s="57" t="s">
        <v>4827</v>
      </c>
      <c r="F106" s="57" t="s">
        <v>4827</v>
      </c>
      <c r="G106" s="57">
        <v>12.25</v>
      </c>
      <c r="H106" s="57">
        <v>3.95</v>
      </c>
      <c r="I106" s="57">
        <v>4.0999999999999996</v>
      </c>
      <c r="J106" s="57">
        <v>4.1500000000000004</v>
      </c>
      <c r="K106" s="57">
        <v>4.2</v>
      </c>
      <c r="L106" s="57">
        <v>4.0999999999999996</v>
      </c>
      <c r="M106" s="57">
        <v>4.1500000000000004</v>
      </c>
      <c r="N106" s="57">
        <v>4.0999999999999996</v>
      </c>
      <c r="O106" s="57" t="s">
        <v>4827</v>
      </c>
      <c r="P106" s="57">
        <v>0</v>
      </c>
      <c r="Q106" s="58">
        <v>4635752</v>
      </c>
      <c r="R106" s="57">
        <v>192.38</v>
      </c>
      <c r="S106" s="59">
        <v>3213157</v>
      </c>
      <c r="T106" s="57">
        <v>4.0999999999999996</v>
      </c>
      <c r="U106" s="57">
        <v>4.1500000000000004</v>
      </c>
      <c r="V106" s="59">
        <v>1573968</v>
      </c>
      <c r="W106" s="59">
        <v>916743</v>
      </c>
      <c r="X106" s="57">
        <v>4.05</v>
      </c>
      <c r="Y106" s="57">
        <v>4.2</v>
      </c>
      <c r="Z106" s="59">
        <v>2358357</v>
      </c>
      <c r="AA106" s="59">
        <v>1267203</v>
      </c>
      <c r="AB106" s="57">
        <v>4</v>
      </c>
      <c r="AC106" s="57">
        <v>4.25</v>
      </c>
      <c r="AD106" s="59">
        <v>1679877</v>
      </c>
      <c r="AE106" s="59">
        <v>429282</v>
      </c>
      <c r="AF106" s="57">
        <v>3.95</v>
      </c>
      <c r="AG106" s="57">
        <v>4.3</v>
      </c>
      <c r="AH106" s="59">
        <v>440110</v>
      </c>
      <c r="AI106" s="59">
        <v>286171</v>
      </c>
      <c r="AJ106" s="57">
        <v>3.9</v>
      </c>
      <c r="AK106" s="57">
        <v>4.3499999999999996</v>
      </c>
      <c r="AL106" s="59">
        <v>150925</v>
      </c>
      <c r="AM106" s="59">
        <v>6647965</v>
      </c>
      <c r="AN106" s="59">
        <v>8325945</v>
      </c>
      <c r="AO106" s="60">
        <v>43314</v>
      </c>
      <c r="AP106" s="57" t="s">
        <v>4863</v>
      </c>
      <c r="AQ106" s="77" t="s">
        <v>4828</v>
      </c>
      <c r="AR106" s="76">
        <f t="shared" si="1"/>
        <v>43315.611377314817</v>
      </c>
    </row>
    <row r="107" spans="1:44" ht="40.799999999999997" x14ac:dyDescent="0.3">
      <c r="A107" s="56" t="s">
        <v>4825</v>
      </c>
      <c r="B107" s="57" t="s">
        <v>2658</v>
      </c>
      <c r="C107" s="57" t="s">
        <v>4826</v>
      </c>
      <c r="D107" s="57">
        <v>1</v>
      </c>
      <c r="E107" s="57" t="s">
        <v>4827</v>
      </c>
      <c r="F107" s="57" t="s">
        <v>4827</v>
      </c>
      <c r="G107" s="57">
        <v>12.25</v>
      </c>
      <c r="H107" s="57">
        <v>3.95</v>
      </c>
      <c r="I107" s="57">
        <v>4.0999999999999996</v>
      </c>
      <c r="J107" s="57">
        <v>4.1500000000000004</v>
      </c>
      <c r="K107" s="57">
        <v>4.2</v>
      </c>
      <c r="L107" s="57">
        <v>4.0999999999999996</v>
      </c>
      <c r="M107" s="57">
        <v>4.1500000000000004</v>
      </c>
      <c r="N107" s="57">
        <v>4.1500000000000004</v>
      </c>
      <c r="O107" s="57">
        <v>0.05</v>
      </c>
      <c r="P107" s="57">
        <v>1.22</v>
      </c>
      <c r="Q107" s="58">
        <v>4636371</v>
      </c>
      <c r="R107" s="57">
        <v>192.41</v>
      </c>
      <c r="S107" s="59">
        <v>3207057</v>
      </c>
      <c r="T107" s="57">
        <v>4.0999999999999996</v>
      </c>
      <c r="U107" s="57">
        <v>4.1500000000000004</v>
      </c>
      <c r="V107" s="59">
        <v>1573349</v>
      </c>
      <c r="W107" s="59">
        <v>920703</v>
      </c>
      <c r="X107" s="57">
        <v>4.05</v>
      </c>
      <c r="Y107" s="57">
        <v>4.2</v>
      </c>
      <c r="Z107" s="59">
        <v>2358357</v>
      </c>
      <c r="AA107" s="59">
        <v>1267103</v>
      </c>
      <c r="AB107" s="57">
        <v>4</v>
      </c>
      <c r="AC107" s="57">
        <v>4.25</v>
      </c>
      <c r="AD107" s="59">
        <v>1679877</v>
      </c>
      <c r="AE107" s="59">
        <v>429282</v>
      </c>
      <c r="AF107" s="57">
        <v>3.95</v>
      </c>
      <c r="AG107" s="57">
        <v>4.3</v>
      </c>
      <c r="AH107" s="59">
        <v>440110</v>
      </c>
      <c r="AI107" s="59">
        <v>286171</v>
      </c>
      <c r="AJ107" s="57">
        <v>3.9</v>
      </c>
      <c r="AK107" s="57">
        <v>4.3499999999999996</v>
      </c>
      <c r="AL107" s="59">
        <v>150925</v>
      </c>
      <c r="AM107" s="59">
        <v>6645725</v>
      </c>
      <c r="AN107" s="59">
        <v>8325326</v>
      </c>
      <c r="AO107" s="60">
        <v>43314</v>
      </c>
      <c r="AP107" s="57" t="s">
        <v>4864</v>
      </c>
      <c r="AQ107" s="77" t="s">
        <v>4828</v>
      </c>
      <c r="AR107" s="76">
        <f t="shared" si="1"/>
        <v>43315.612071759257</v>
      </c>
    </row>
    <row r="108" spans="1:44" ht="40.799999999999997" x14ac:dyDescent="0.3">
      <c r="A108" s="56" t="s">
        <v>4825</v>
      </c>
      <c r="B108" s="57" t="s">
        <v>2658</v>
      </c>
      <c r="C108" s="57" t="s">
        <v>4826</v>
      </c>
      <c r="D108" s="57">
        <v>1</v>
      </c>
      <c r="E108" s="57" t="s">
        <v>4827</v>
      </c>
      <c r="F108" s="57" t="s">
        <v>4827</v>
      </c>
      <c r="G108" s="57">
        <v>12.25</v>
      </c>
      <c r="H108" s="57">
        <v>3.95</v>
      </c>
      <c r="I108" s="57">
        <v>4.0999999999999996</v>
      </c>
      <c r="J108" s="57">
        <v>4.1500000000000004</v>
      </c>
      <c r="K108" s="57">
        <v>4.2</v>
      </c>
      <c r="L108" s="57">
        <v>4.0999999999999996</v>
      </c>
      <c r="M108" s="57">
        <v>4.1500000000000004</v>
      </c>
      <c r="N108" s="57">
        <v>4.1500000000000004</v>
      </c>
      <c r="O108" s="57">
        <v>0.05</v>
      </c>
      <c r="P108" s="57">
        <v>1.22</v>
      </c>
      <c r="Q108" s="58">
        <v>4636371</v>
      </c>
      <c r="R108" s="57">
        <v>192.41</v>
      </c>
      <c r="S108" s="59">
        <v>3207057</v>
      </c>
      <c r="T108" s="57">
        <v>4.0999999999999996</v>
      </c>
      <c r="U108" s="57">
        <v>4.1500000000000004</v>
      </c>
      <c r="V108" s="59">
        <v>1573349</v>
      </c>
      <c r="W108" s="59">
        <v>920703</v>
      </c>
      <c r="X108" s="57">
        <v>4.05</v>
      </c>
      <c r="Y108" s="57">
        <v>4.2</v>
      </c>
      <c r="Z108" s="59">
        <v>2358357</v>
      </c>
      <c r="AA108" s="59">
        <v>1267103</v>
      </c>
      <c r="AB108" s="57">
        <v>4</v>
      </c>
      <c r="AC108" s="57">
        <v>4.25</v>
      </c>
      <c r="AD108" s="59">
        <v>1679877</v>
      </c>
      <c r="AE108" s="59">
        <v>429282</v>
      </c>
      <c r="AF108" s="57">
        <v>3.95</v>
      </c>
      <c r="AG108" s="57">
        <v>4.3</v>
      </c>
      <c r="AH108" s="59">
        <v>440110</v>
      </c>
      <c r="AI108" s="59">
        <v>286171</v>
      </c>
      <c r="AJ108" s="57">
        <v>3.9</v>
      </c>
      <c r="AK108" s="57">
        <v>4.3499999999999996</v>
      </c>
      <c r="AL108" s="59">
        <v>150925</v>
      </c>
      <c r="AM108" s="59">
        <v>6645725</v>
      </c>
      <c r="AN108" s="59">
        <v>8325326</v>
      </c>
      <c r="AO108" s="60">
        <v>43314</v>
      </c>
      <c r="AP108" s="57" t="s">
        <v>4864</v>
      </c>
      <c r="AQ108" s="77" t="s">
        <v>4828</v>
      </c>
      <c r="AR108" s="76">
        <f t="shared" si="1"/>
        <v>43315.612071759257</v>
      </c>
    </row>
    <row r="109" spans="1:44" ht="40.799999999999997" x14ac:dyDescent="0.3">
      <c r="A109" s="56" t="s">
        <v>4825</v>
      </c>
      <c r="B109" s="57" t="s">
        <v>2658</v>
      </c>
      <c r="C109" s="57" t="s">
        <v>4826</v>
      </c>
      <c r="D109" s="57">
        <v>1</v>
      </c>
      <c r="E109" s="57" t="s">
        <v>4827</v>
      </c>
      <c r="F109" s="57" t="s">
        <v>4827</v>
      </c>
      <c r="G109" s="57">
        <v>12.25</v>
      </c>
      <c r="H109" s="57">
        <v>3.95</v>
      </c>
      <c r="I109" s="57">
        <v>4.0999999999999996</v>
      </c>
      <c r="J109" s="57">
        <v>4.1500000000000004</v>
      </c>
      <c r="K109" s="57">
        <v>4.2</v>
      </c>
      <c r="L109" s="57">
        <v>4.0999999999999996</v>
      </c>
      <c r="M109" s="57">
        <v>4.1500000000000004</v>
      </c>
      <c r="N109" s="57">
        <v>4.1500000000000004</v>
      </c>
      <c r="O109" s="57">
        <v>0.05</v>
      </c>
      <c r="P109" s="57">
        <v>1.22</v>
      </c>
      <c r="Q109" s="58">
        <v>5079894</v>
      </c>
      <c r="R109" s="57">
        <v>210.82</v>
      </c>
      <c r="S109" s="59">
        <v>1538768</v>
      </c>
      <c r="T109" s="57">
        <v>4.1500000000000004</v>
      </c>
      <c r="U109" s="57">
        <v>4.2</v>
      </c>
      <c r="V109" s="59">
        <v>1358123</v>
      </c>
      <c r="W109" s="59">
        <v>3233054</v>
      </c>
      <c r="X109" s="57">
        <v>4.0999999999999996</v>
      </c>
      <c r="Y109" s="57">
        <v>4.25</v>
      </c>
      <c r="Z109" s="59">
        <v>1680377</v>
      </c>
      <c r="AA109" s="59">
        <v>860703</v>
      </c>
      <c r="AB109" s="57">
        <v>4.05</v>
      </c>
      <c r="AC109" s="57">
        <v>4.3</v>
      </c>
      <c r="AD109" s="59">
        <v>440110</v>
      </c>
      <c r="AE109" s="59">
        <v>1268153</v>
      </c>
      <c r="AF109" s="57">
        <v>4</v>
      </c>
      <c r="AG109" s="57">
        <v>4.3499999999999996</v>
      </c>
      <c r="AH109" s="59">
        <v>150925</v>
      </c>
      <c r="AI109" s="59">
        <v>429282</v>
      </c>
      <c r="AJ109" s="57">
        <v>3.95</v>
      </c>
      <c r="AK109" s="57">
        <v>4.4000000000000004</v>
      </c>
      <c r="AL109" s="59">
        <v>277915</v>
      </c>
      <c r="AM109" s="59">
        <v>8151568</v>
      </c>
      <c r="AN109" s="59">
        <v>5754743</v>
      </c>
      <c r="AO109" s="60">
        <v>43314</v>
      </c>
      <c r="AP109" s="57" t="s">
        <v>4865</v>
      </c>
      <c r="AQ109" s="77" t="s">
        <v>4828</v>
      </c>
      <c r="AR109" s="76">
        <f t="shared" si="1"/>
        <v>43315.614849537036</v>
      </c>
    </row>
    <row r="110" spans="1:44" ht="40.799999999999997" x14ac:dyDescent="0.3">
      <c r="A110" s="56" t="s">
        <v>4825</v>
      </c>
      <c r="B110" s="57" t="s">
        <v>2658</v>
      </c>
      <c r="C110" s="57" t="s">
        <v>4826</v>
      </c>
      <c r="D110" s="57">
        <v>1</v>
      </c>
      <c r="E110" s="57" t="s">
        <v>4827</v>
      </c>
      <c r="F110" s="57" t="s">
        <v>4827</v>
      </c>
      <c r="G110" s="57">
        <v>12.25</v>
      </c>
      <c r="H110" s="57">
        <v>3.95</v>
      </c>
      <c r="I110" s="57">
        <v>4.0999999999999996</v>
      </c>
      <c r="J110" s="57">
        <v>4.1500000000000004</v>
      </c>
      <c r="K110" s="57">
        <v>4.2</v>
      </c>
      <c r="L110" s="57">
        <v>4.0999999999999996</v>
      </c>
      <c r="M110" s="57">
        <v>4.1500000000000004</v>
      </c>
      <c r="N110" s="57">
        <v>4.1500000000000004</v>
      </c>
      <c r="O110" s="57">
        <v>0.05</v>
      </c>
      <c r="P110" s="57">
        <v>1.22</v>
      </c>
      <c r="Q110" s="58">
        <v>5079894</v>
      </c>
      <c r="R110" s="57">
        <v>210.82</v>
      </c>
      <c r="S110" s="59">
        <v>1538768</v>
      </c>
      <c r="T110" s="57">
        <v>4.1500000000000004</v>
      </c>
      <c r="U110" s="57">
        <v>4.2</v>
      </c>
      <c r="V110" s="59">
        <v>1358123</v>
      </c>
      <c r="W110" s="59">
        <v>3233054</v>
      </c>
      <c r="X110" s="57">
        <v>4.0999999999999996</v>
      </c>
      <c r="Y110" s="57">
        <v>4.25</v>
      </c>
      <c r="Z110" s="59">
        <v>1680377</v>
      </c>
      <c r="AA110" s="59">
        <v>860703</v>
      </c>
      <c r="AB110" s="57">
        <v>4.05</v>
      </c>
      <c r="AC110" s="57">
        <v>4.3</v>
      </c>
      <c r="AD110" s="59">
        <v>440110</v>
      </c>
      <c r="AE110" s="59">
        <v>1268153</v>
      </c>
      <c r="AF110" s="57">
        <v>4</v>
      </c>
      <c r="AG110" s="57">
        <v>4.3499999999999996</v>
      </c>
      <c r="AH110" s="59">
        <v>150925</v>
      </c>
      <c r="AI110" s="59">
        <v>429282</v>
      </c>
      <c r="AJ110" s="57">
        <v>3.95</v>
      </c>
      <c r="AK110" s="57">
        <v>4.4000000000000004</v>
      </c>
      <c r="AL110" s="59">
        <v>277915</v>
      </c>
      <c r="AM110" s="59">
        <v>8151568</v>
      </c>
      <c r="AN110" s="59">
        <v>5754743</v>
      </c>
      <c r="AO110" s="60">
        <v>43314</v>
      </c>
      <c r="AP110" s="57" t="s">
        <v>4865</v>
      </c>
      <c r="AQ110" s="77" t="s">
        <v>4828</v>
      </c>
      <c r="AR110" s="76">
        <f t="shared" si="1"/>
        <v>43315.614849537036</v>
      </c>
    </row>
    <row r="111" spans="1:44" ht="40.799999999999997" x14ac:dyDescent="0.3">
      <c r="A111" s="56" t="s">
        <v>4825</v>
      </c>
      <c r="B111" s="57" t="s">
        <v>2658</v>
      </c>
      <c r="C111" s="57" t="s">
        <v>4826</v>
      </c>
      <c r="D111" s="57">
        <v>1</v>
      </c>
      <c r="E111" s="57" t="s">
        <v>4827</v>
      </c>
      <c r="F111" s="57" t="s">
        <v>4827</v>
      </c>
      <c r="G111" s="57">
        <v>12.25</v>
      </c>
      <c r="H111" s="57">
        <v>3.95</v>
      </c>
      <c r="I111" s="57">
        <v>4.0999999999999996</v>
      </c>
      <c r="J111" s="57">
        <v>4.1500000000000004</v>
      </c>
      <c r="K111" s="57">
        <v>4.2</v>
      </c>
      <c r="L111" s="57">
        <v>4.0999999999999996</v>
      </c>
      <c r="M111" s="57">
        <v>4.1500000000000004</v>
      </c>
      <c r="N111" s="57">
        <v>4.1500000000000004</v>
      </c>
      <c r="O111" s="57">
        <v>0.05</v>
      </c>
      <c r="P111" s="57">
        <v>1.22</v>
      </c>
      <c r="Q111" s="58">
        <v>5079894</v>
      </c>
      <c r="R111" s="57">
        <v>210.82</v>
      </c>
      <c r="S111" s="59">
        <v>1540818</v>
      </c>
      <c r="T111" s="57">
        <v>4.1500000000000004</v>
      </c>
      <c r="U111" s="57">
        <v>4.2</v>
      </c>
      <c r="V111" s="59">
        <v>1347123</v>
      </c>
      <c r="W111" s="59">
        <v>3229054</v>
      </c>
      <c r="X111" s="57">
        <v>4.0999999999999996</v>
      </c>
      <c r="Y111" s="57">
        <v>4.25</v>
      </c>
      <c r="Z111" s="59">
        <v>1680302</v>
      </c>
      <c r="AA111" s="59">
        <v>863163</v>
      </c>
      <c r="AB111" s="57">
        <v>4.05</v>
      </c>
      <c r="AC111" s="57">
        <v>4.3</v>
      </c>
      <c r="AD111" s="59">
        <v>440110</v>
      </c>
      <c r="AE111" s="59">
        <v>1268153</v>
      </c>
      <c r="AF111" s="57">
        <v>4</v>
      </c>
      <c r="AG111" s="57">
        <v>4.3499999999999996</v>
      </c>
      <c r="AH111" s="59">
        <v>150925</v>
      </c>
      <c r="AI111" s="59">
        <v>429282</v>
      </c>
      <c r="AJ111" s="57">
        <v>3.95</v>
      </c>
      <c r="AK111" s="57">
        <v>4.4000000000000004</v>
      </c>
      <c r="AL111" s="59">
        <v>277915</v>
      </c>
      <c r="AM111" s="59">
        <v>8152070</v>
      </c>
      <c r="AN111" s="59">
        <v>5743668</v>
      </c>
      <c r="AO111" s="60">
        <v>43314</v>
      </c>
      <c r="AP111" s="57" t="s">
        <v>4866</v>
      </c>
      <c r="AQ111" s="77" t="s">
        <v>4828</v>
      </c>
      <c r="AR111" s="76">
        <f t="shared" si="1"/>
        <v>43315.615543981483</v>
      </c>
    </row>
    <row r="112" spans="1:44" ht="40.799999999999997" x14ac:dyDescent="0.3">
      <c r="A112" s="56" t="s">
        <v>4825</v>
      </c>
      <c r="B112" s="57" t="s">
        <v>2658</v>
      </c>
      <c r="C112" s="57" t="s">
        <v>4826</v>
      </c>
      <c r="D112" s="57">
        <v>1</v>
      </c>
      <c r="E112" s="57" t="s">
        <v>4827</v>
      </c>
      <c r="F112" s="57" t="s">
        <v>4827</v>
      </c>
      <c r="G112" s="57">
        <v>12.25</v>
      </c>
      <c r="H112" s="57">
        <v>3.95</v>
      </c>
      <c r="I112" s="57">
        <v>4.0999999999999996</v>
      </c>
      <c r="J112" s="57">
        <v>4.1500000000000004</v>
      </c>
      <c r="K112" s="57">
        <v>4.2</v>
      </c>
      <c r="L112" s="57">
        <v>4.0999999999999996</v>
      </c>
      <c r="M112" s="57">
        <v>4.1500000000000004</v>
      </c>
      <c r="N112" s="57">
        <v>4.1500000000000004</v>
      </c>
      <c r="O112" s="57">
        <v>0.05</v>
      </c>
      <c r="P112" s="57">
        <v>1.22</v>
      </c>
      <c r="Q112" s="58">
        <v>5079894</v>
      </c>
      <c r="R112" s="57">
        <v>210.82</v>
      </c>
      <c r="S112" s="59">
        <v>1540818</v>
      </c>
      <c r="T112" s="57">
        <v>4.1500000000000004</v>
      </c>
      <c r="U112" s="57">
        <v>4.2</v>
      </c>
      <c r="V112" s="59">
        <v>1347123</v>
      </c>
      <c r="W112" s="59">
        <v>3229054</v>
      </c>
      <c r="X112" s="57">
        <v>4.0999999999999996</v>
      </c>
      <c r="Y112" s="57">
        <v>4.25</v>
      </c>
      <c r="Z112" s="59">
        <v>1680302</v>
      </c>
      <c r="AA112" s="59">
        <v>863163</v>
      </c>
      <c r="AB112" s="57">
        <v>4.05</v>
      </c>
      <c r="AC112" s="57">
        <v>4.3</v>
      </c>
      <c r="AD112" s="59">
        <v>440110</v>
      </c>
      <c r="AE112" s="59">
        <v>1268153</v>
      </c>
      <c r="AF112" s="57">
        <v>4</v>
      </c>
      <c r="AG112" s="57">
        <v>4.3499999999999996</v>
      </c>
      <c r="AH112" s="59">
        <v>150925</v>
      </c>
      <c r="AI112" s="59">
        <v>429282</v>
      </c>
      <c r="AJ112" s="57">
        <v>3.95</v>
      </c>
      <c r="AK112" s="57">
        <v>4.4000000000000004</v>
      </c>
      <c r="AL112" s="59">
        <v>277915</v>
      </c>
      <c r="AM112" s="59">
        <v>8152070</v>
      </c>
      <c r="AN112" s="59">
        <v>5743668</v>
      </c>
      <c r="AO112" s="60">
        <v>43314</v>
      </c>
      <c r="AP112" s="57" t="s">
        <v>4866</v>
      </c>
      <c r="AQ112" s="77" t="s">
        <v>4828</v>
      </c>
      <c r="AR112" s="76">
        <f t="shared" si="1"/>
        <v>43315.615543981483</v>
      </c>
    </row>
    <row r="113" spans="1:44" ht="40.799999999999997" x14ac:dyDescent="0.3">
      <c r="A113" s="56" t="s">
        <v>4825</v>
      </c>
      <c r="B113" s="57" t="s">
        <v>2658</v>
      </c>
      <c r="C113" s="57" t="s">
        <v>4826</v>
      </c>
      <c r="D113" s="57">
        <v>1</v>
      </c>
      <c r="E113" s="57" t="s">
        <v>4827</v>
      </c>
      <c r="F113" s="57" t="s">
        <v>4827</v>
      </c>
      <c r="G113" s="57">
        <v>12.25</v>
      </c>
      <c r="H113" s="57">
        <v>3.95</v>
      </c>
      <c r="I113" s="57">
        <v>4.0999999999999996</v>
      </c>
      <c r="J113" s="57">
        <v>4.1500000000000004</v>
      </c>
      <c r="K113" s="57">
        <v>4.2</v>
      </c>
      <c r="L113" s="57">
        <v>4.0999999999999996</v>
      </c>
      <c r="M113" s="57">
        <v>4.1500000000000004</v>
      </c>
      <c r="N113" s="57">
        <v>4.1500000000000004</v>
      </c>
      <c r="O113" s="57">
        <v>0.05</v>
      </c>
      <c r="P113" s="57">
        <v>1.22</v>
      </c>
      <c r="Q113" s="58">
        <v>5079894</v>
      </c>
      <c r="R113" s="57">
        <v>210.82</v>
      </c>
      <c r="S113" s="59">
        <v>1540818</v>
      </c>
      <c r="T113" s="57">
        <v>4.1500000000000004</v>
      </c>
      <c r="U113" s="57">
        <v>4.2</v>
      </c>
      <c r="V113" s="59">
        <v>1347123</v>
      </c>
      <c r="W113" s="59">
        <v>3229054</v>
      </c>
      <c r="X113" s="57">
        <v>4.0999999999999996</v>
      </c>
      <c r="Y113" s="57">
        <v>4.25</v>
      </c>
      <c r="Z113" s="59">
        <v>1680302</v>
      </c>
      <c r="AA113" s="59">
        <v>863163</v>
      </c>
      <c r="AB113" s="57">
        <v>4.05</v>
      </c>
      <c r="AC113" s="57">
        <v>4.3</v>
      </c>
      <c r="AD113" s="59">
        <v>440110</v>
      </c>
      <c r="AE113" s="59">
        <v>1268153</v>
      </c>
      <c r="AF113" s="57">
        <v>4</v>
      </c>
      <c r="AG113" s="57">
        <v>4.3499999999999996</v>
      </c>
      <c r="AH113" s="59">
        <v>150925</v>
      </c>
      <c r="AI113" s="59">
        <v>429282</v>
      </c>
      <c r="AJ113" s="57">
        <v>3.95</v>
      </c>
      <c r="AK113" s="57">
        <v>4.4000000000000004</v>
      </c>
      <c r="AL113" s="59">
        <v>277915</v>
      </c>
      <c r="AM113" s="59">
        <v>8152070</v>
      </c>
      <c r="AN113" s="59">
        <v>5743668</v>
      </c>
      <c r="AO113" s="60">
        <v>43314</v>
      </c>
      <c r="AP113" s="57" t="s">
        <v>4866</v>
      </c>
      <c r="AQ113" s="77" t="s">
        <v>4828</v>
      </c>
      <c r="AR113" s="76">
        <f t="shared" si="1"/>
        <v>43315.615543981483</v>
      </c>
    </row>
    <row r="114" spans="1:44" ht="40.799999999999997" x14ac:dyDescent="0.3">
      <c r="A114" s="56" t="s">
        <v>4825</v>
      </c>
      <c r="B114" s="57" t="s">
        <v>2658</v>
      </c>
      <c r="C114" s="57" t="s">
        <v>4826</v>
      </c>
      <c r="D114" s="57">
        <v>1</v>
      </c>
      <c r="E114" s="57" t="s">
        <v>4827</v>
      </c>
      <c r="F114" s="57" t="s">
        <v>4827</v>
      </c>
      <c r="G114" s="57">
        <v>12.25</v>
      </c>
      <c r="H114" s="57">
        <v>3.95</v>
      </c>
      <c r="I114" s="57">
        <v>4.0999999999999996</v>
      </c>
      <c r="J114" s="57">
        <v>4.1500000000000004</v>
      </c>
      <c r="K114" s="57">
        <v>4.2</v>
      </c>
      <c r="L114" s="57">
        <v>4.0999999999999996</v>
      </c>
      <c r="M114" s="57">
        <v>4.1500000000000004</v>
      </c>
      <c r="N114" s="57">
        <v>4.1500000000000004</v>
      </c>
      <c r="O114" s="57">
        <v>0.05</v>
      </c>
      <c r="P114" s="57">
        <v>1.22</v>
      </c>
      <c r="Q114" s="58">
        <v>5079894</v>
      </c>
      <c r="R114" s="57">
        <v>210.82</v>
      </c>
      <c r="S114" s="59">
        <v>1540818</v>
      </c>
      <c r="T114" s="57">
        <v>4.1500000000000004</v>
      </c>
      <c r="U114" s="57">
        <v>4.2</v>
      </c>
      <c r="V114" s="59">
        <v>1347123</v>
      </c>
      <c r="W114" s="59">
        <v>3229054</v>
      </c>
      <c r="X114" s="57">
        <v>4.0999999999999996</v>
      </c>
      <c r="Y114" s="57">
        <v>4.25</v>
      </c>
      <c r="Z114" s="59">
        <v>1680302</v>
      </c>
      <c r="AA114" s="59">
        <v>863163</v>
      </c>
      <c r="AB114" s="57">
        <v>4.05</v>
      </c>
      <c r="AC114" s="57">
        <v>4.3</v>
      </c>
      <c r="AD114" s="59">
        <v>440110</v>
      </c>
      <c r="AE114" s="59">
        <v>1268153</v>
      </c>
      <c r="AF114" s="57">
        <v>4</v>
      </c>
      <c r="AG114" s="57">
        <v>4.3499999999999996</v>
      </c>
      <c r="AH114" s="59">
        <v>150925</v>
      </c>
      <c r="AI114" s="59">
        <v>429282</v>
      </c>
      <c r="AJ114" s="57">
        <v>3.95</v>
      </c>
      <c r="AK114" s="57">
        <v>4.4000000000000004</v>
      </c>
      <c r="AL114" s="59">
        <v>277915</v>
      </c>
      <c r="AM114" s="59">
        <v>8152070</v>
      </c>
      <c r="AN114" s="59">
        <v>5743668</v>
      </c>
      <c r="AO114" s="60">
        <v>43314</v>
      </c>
      <c r="AP114" s="57" t="s">
        <v>4866</v>
      </c>
      <c r="AQ114" s="77" t="s">
        <v>4828</v>
      </c>
      <c r="AR114" s="76">
        <f t="shared" si="1"/>
        <v>43315.615543981483</v>
      </c>
    </row>
    <row r="115" spans="1:44" ht="40.799999999999997" x14ac:dyDescent="0.3">
      <c r="A115" s="56" t="s">
        <v>4825</v>
      </c>
      <c r="B115" s="57" t="s">
        <v>2658</v>
      </c>
      <c r="C115" s="57" t="s">
        <v>4826</v>
      </c>
      <c r="D115" s="57">
        <v>1</v>
      </c>
      <c r="E115" s="57" t="s">
        <v>4827</v>
      </c>
      <c r="F115" s="57" t="s">
        <v>4827</v>
      </c>
      <c r="G115" s="57">
        <v>12.25</v>
      </c>
      <c r="H115" s="57">
        <v>3.95</v>
      </c>
      <c r="I115" s="57">
        <v>4.0999999999999996</v>
      </c>
      <c r="J115" s="57">
        <v>4.1500000000000004</v>
      </c>
      <c r="K115" s="57">
        <v>4.2</v>
      </c>
      <c r="L115" s="57">
        <v>4.0999999999999996</v>
      </c>
      <c r="M115" s="57">
        <v>4.1500000000000004</v>
      </c>
      <c r="N115" s="57">
        <v>4.1500000000000004</v>
      </c>
      <c r="O115" s="57">
        <v>0.05</v>
      </c>
      <c r="P115" s="57">
        <v>1.22</v>
      </c>
      <c r="Q115" s="58">
        <v>5165952</v>
      </c>
      <c r="R115" s="57">
        <v>214.39</v>
      </c>
      <c r="S115" s="59">
        <v>1211972</v>
      </c>
      <c r="T115" s="57">
        <v>4.1500000000000004</v>
      </c>
      <c r="U115" s="57">
        <v>4.2</v>
      </c>
      <c r="V115" s="59">
        <v>1346112</v>
      </c>
      <c r="W115" s="59">
        <v>3231799</v>
      </c>
      <c r="X115" s="57">
        <v>4.0999999999999996</v>
      </c>
      <c r="Y115" s="57">
        <v>4.25</v>
      </c>
      <c r="Z115" s="59">
        <v>1679772</v>
      </c>
      <c r="AA115" s="59">
        <v>872663</v>
      </c>
      <c r="AB115" s="57">
        <v>4.05</v>
      </c>
      <c r="AC115" s="57">
        <v>4.3</v>
      </c>
      <c r="AD115" s="59">
        <v>440110</v>
      </c>
      <c r="AE115" s="59">
        <v>1287253</v>
      </c>
      <c r="AF115" s="57">
        <v>4</v>
      </c>
      <c r="AG115" s="57">
        <v>4.3499999999999996</v>
      </c>
      <c r="AH115" s="59">
        <v>150925</v>
      </c>
      <c r="AI115" s="59">
        <v>429282</v>
      </c>
      <c r="AJ115" s="57">
        <v>3.95</v>
      </c>
      <c r="AK115" s="57">
        <v>4.4000000000000004</v>
      </c>
      <c r="AL115" s="59">
        <v>299915</v>
      </c>
      <c r="AM115" s="59">
        <v>7854574</v>
      </c>
      <c r="AN115" s="59">
        <v>5765127</v>
      </c>
      <c r="AO115" s="60">
        <v>43314</v>
      </c>
      <c r="AP115" s="57" t="s">
        <v>4867</v>
      </c>
      <c r="AQ115" s="77" t="s">
        <v>4828</v>
      </c>
      <c r="AR115" s="76">
        <f t="shared" si="1"/>
        <v>43315.618680555555</v>
      </c>
    </row>
    <row r="116" spans="1:44" ht="40.799999999999997" x14ac:dyDescent="0.3">
      <c r="A116" s="56" t="s">
        <v>4825</v>
      </c>
      <c r="B116" s="57" t="s">
        <v>2658</v>
      </c>
      <c r="C116" s="57" t="s">
        <v>4826</v>
      </c>
      <c r="D116" s="57">
        <v>1</v>
      </c>
      <c r="E116" s="57" t="s">
        <v>4827</v>
      </c>
      <c r="F116" s="57" t="s">
        <v>4827</v>
      </c>
      <c r="G116" s="57">
        <v>12.25</v>
      </c>
      <c r="H116" s="57">
        <v>3.95</v>
      </c>
      <c r="I116" s="57">
        <v>4.0999999999999996</v>
      </c>
      <c r="J116" s="57">
        <v>4.1500000000000004</v>
      </c>
      <c r="K116" s="57">
        <v>4.2</v>
      </c>
      <c r="L116" s="57">
        <v>4.0999999999999996</v>
      </c>
      <c r="M116" s="57">
        <v>4.1500000000000004</v>
      </c>
      <c r="N116" s="57">
        <v>4.1500000000000004</v>
      </c>
      <c r="O116" s="57">
        <v>0.05</v>
      </c>
      <c r="P116" s="57">
        <v>1.22</v>
      </c>
      <c r="Q116" s="58">
        <v>5165952</v>
      </c>
      <c r="R116" s="57">
        <v>214.39</v>
      </c>
      <c r="S116" s="59">
        <v>1211972</v>
      </c>
      <c r="T116" s="57">
        <v>4.1500000000000004</v>
      </c>
      <c r="U116" s="57">
        <v>4.2</v>
      </c>
      <c r="V116" s="59">
        <v>1346112</v>
      </c>
      <c r="W116" s="59">
        <v>3231799</v>
      </c>
      <c r="X116" s="57">
        <v>4.0999999999999996</v>
      </c>
      <c r="Y116" s="57">
        <v>4.25</v>
      </c>
      <c r="Z116" s="59">
        <v>1679772</v>
      </c>
      <c r="AA116" s="59">
        <v>872663</v>
      </c>
      <c r="AB116" s="57">
        <v>4.05</v>
      </c>
      <c r="AC116" s="57">
        <v>4.3</v>
      </c>
      <c r="AD116" s="59">
        <v>440110</v>
      </c>
      <c r="AE116" s="59">
        <v>1287253</v>
      </c>
      <c r="AF116" s="57">
        <v>4</v>
      </c>
      <c r="AG116" s="57">
        <v>4.3499999999999996</v>
      </c>
      <c r="AH116" s="59">
        <v>150925</v>
      </c>
      <c r="AI116" s="59">
        <v>429282</v>
      </c>
      <c r="AJ116" s="57">
        <v>3.95</v>
      </c>
      <c r="AK116" s="57">
        <v>4.4000000000000004</v>
      </c>
      <c r="AL116" s="59">
        <v>299915</v>
      </c>
      <c r="AM116" s="59">
        <v>7854574</v>
      </c>
      <c r="AN116" s="59">
        <v>5765127</v>
      </c>
      <c r="AO116" s="60">
        <v>43314</v>
      </c>
      <c r="AP116" s="57" t="s">
        <v>4867</v>
      </c>
      <c r="AQ116" s="77" t="s">
        <v>4828</v>
      </c>
      <c r="AR116" s="76">
        <f t="shared" si="1"/>
        <v>43315.618680555555</v>
      </c>
    </row>
    <row r="117" spans="1:44" ht="40.799999999999997" x14ac:dyDescent="0.3">
      <c r="A117" s="56" t="s">
        <v>4825</v>
      </c>
      <c r="B117" s="57" t="s">
        <v>2658</v>
      </c>
      <c r="C117" s="57" t="s">
        <v>4826</v>
      </c>
      <c r="D117" s="57">
        <v>1</v>
      </c>
      <c r="E117" s="57" t="s">
        <v>4827</v>
      </c>
      <c r="F117" s="57" t="s">
        <v>4827</v>
      </c>
      <c r="G117" s="57">
        <v>12.25</v>
      </c>
      <c r="H117" s="57">
        <v>3.95</v>
      </c>
      <c r="I117" s="57">
        <v>4.0999999999999996</v>
      </c>
      <c r="J117" s="57">
        <v>4.1500000000000004</v>
      </c>
      <c r="K117" s="57">
        <v>4.2</v>
      </c>
      <c r="L117" s="57">
        <v>4.0999999999999996</v>
      </c>
      <c r="M117" s="57">
        <v>4.1500000000000004</v>
      </c>
      <c r="N117" s="57">
        <v>4.1500000000000004</v>
      </c>
      <c r="O117" s="57">
        <v>0.05</v>
      </c>
      <c r="P117" s="57">
        <v>1.22</v>
      </c>
      <c r="Q117" s="58">
        <v>5165952</v>
      </c>
      <c r="R117" s="57">
        <v>214.39</v>
      </c>
      <c r="S117" s="59">
        <v>1211972</v>
      </c>
      <c r="T117" s="57">
        <v>4.1500000000000004</v>
      </c>
      <c r="U117" s="57">
        <v>4.2</v>
      </c>
      <c r="V117" s="59">
        <v>1346112</v>
      </c>
      <c r="W117" s="59">
        <v>3231799</v>
      </c>
      <c r="X117" s="57">
        <v>4.0999999999999996</v>
      </c>
      <c r="Y117" s="57">
        <v>4.25</v>
      </c>
      <c r="Z117" s="59">
        <v>1679772</v>
      </c>
      <c r="AA117" s="59">
        <v>872663</v>
      </c>
      <c r="AB117" s="57">
        <v>4.05</v>
      </c>
      <c r="AC117" s="57">
        <v>4.3</v>
      </c>
      <c r="AD117" s="59">
        <v>440110</v>
      </c>
      <c r="AE117" s="59">
        <v>1287253</v>
      </c>
      <c r="AF117" s="57">
        <v>4</v>
      </c>
      <c r="AG117" s="57">
        <v>4.3499999999999996</v>
      </c>
      <c r="AH117" s="59">
        <v>150925</v>
      </c>
      <c r="AI117" s="59">
        <v>429282</v>
      </c>
      <c r="AJ117" s="57">
        <v>3.95</v>
      </c>
      <c r="AK117" s="57">
        <v>4.4000000000000004</v>
      </c>
      <c r="AL117" s="59">
        <v>299915</v>
      </c>
      <c r="AM117" s="59">
        <v>7854574</v>
      </c>
      <c r="AN117" s="59">
        <v>5765127</v>
      </c>
      <c r="AO117" s="60">
        <v>43314</v>
      </c>
      <c r="AP117" s="57" t="s">
        <v>4867</v>
      </c>
      <c r="AQ117" s="77" t="s">
        <v>4828</v>
      </c>
      <c r="AR117" s="76">
        <f t="shared" si="1"/>
        <v>43315.618680555555</v>
      </c>
    </row>
    <row r="118" spans="1:44" ht="40.799999999999997" x14ac:dyDescent="0.3">
      <c r="A118" s="56" t="s">
        <v>4825</v>
      </c>
      <c r="B118" s="57" t="s">
        <v>2658</v>
      </c>
      <c r="C118" s="57" t="s">
        <v>4826</v>
      </c>
      <c r="D118" s="57">
        <v>1</v>
      </c>
      <c r="E118" s="57" t="s">
        <v>4827</v>
      </c>
      <c r="F118" s="57" t="s">
        <v>4827</v>
      </c>
      <c r="G118" s="57">
        <v>12.25</v>
      </c>
      <c r="H118" s="57">
        <v>3.95</v>
      </c>
      <c r="I118" s="57">
        <v>4.0999999999999996</v>
      </c>
      <c r="J118" s="57">
        <v>4.1500000000000004</v>
      </c>
      <c r="K118" s="57">
        <v>4.2</v>
      </c>
      <c r="L118" s="57">
        <v>4.0999999999999996</v>
      </c>
      <c r="M118" s="57">
        <v>4.1500000000000004</v>
      </c>
      <c r="N118" s="57">
        <v>4.1500000000000004</v>
      </c>
      <c r="O118" s="57">
        <v>0.05</v>
      </c>
      <c r="P118" s="57">
        <v>1.22</v>
      </c>
      <c r="Q118" s="58">
        <v>5165952</v>
      </c>
      <c r="R118" s="57">
        <v>214.39</v>
      </c>
      <c r="S118" s="59">
        <v>1211972</v>
      </c>
      <c r="T118" s="57">
        <v>4.1500000000000004</v>
      </c>
      <c r="U118" s="57">
        <v>4.2</v>
      </c>
      <c r="V118" s="59">
        <v>1346112</v>
      </c>
      <c r="W118" s="59">
        <v>3231799</v>
      </c>
      <c r="X118" s="57">
        <v>4.0999999999999996</v>
      </c>
      <c r="Y118" s="57">
        <v>4.25</v>
      </c>
      <c r="Z118" s="59">
        <v>1679772</v>
      </c>
      <c r="AA118" s="59">
        <v>872663</v>
      </c>
      <c r="AB118" s="57">
        <v>4.05</v>
      </c>
      <c r="AC118" s="57">
        <v>4.3</v>
      </c>
      <c r="AD118" s="59">
        <v>440110</v>
      </c>
      <c r="AE118" s="59">
        <v>1287253</v>
      </c>
      <c r="AF118" s="57">
        <v>4</v>
      </c>
      <c r="AG118" s="57">
        <v>4.3499999999999996</v>
      </c>
      <c r="AH118" s="59">
        <v>150925</v>
      </c>
      <c r="AI118" s="59">
        <v>429282</v>
      </c>
      <c r="AJ118" s="57">
        <v>3.95</v>
      </c>
      <c r="AK118" s="57">
        <v>4.4000000000000004</v>
      </c>
      <c r="AL118" s="59">
        <v>299915</v>
      </c>
      <c r="AM118" s="59">
        <v>7854574</v>
      </c>
      <c r="AN118" s="59">
        <v>5765127</v>
      </c>
      <c r="AO118" s="60">
        <v>43314</v>
      </c>
      <c r="AP118" s="57" t="s">
        <v>4867</v>
      </c>
      <c r="AQ118" s="77" t="s">
        <v>4828</v>
      </c>
      <c r="AR118" s="76">
        <f t="shared" si="1"/>
        <v>43315.618680555555</v>
      </c>
    </row>
    <row r="119" spans="1:44" ht="40.799999999999997" x14ac:dyDescent="0.3">
      <c r="A119" s="56" t="s">
        <v>4825</v>
      </c>
      <c r="B119" s="57" t="s">
        <v>2658</v>
      </c>
      <c r="C119" s="57" t="s">
        <v>4826</v>
      </c>
      <c r="D119" s="57">
        <v>1</v>
      </c>
      <c r="E119" s="57" t="s">
        <v>4827</v>
      </c>
      <c r="F119" s="57" t="s">
        <v>4827</v>
      </c>
      <c r="G119" s="57">
        <v>12.25</v>
      </c>
      <c r="H119" s="57">
        <v>3.95</v>
      </c>
      <c r="I119" s="57">
        <v>4.0999999999999996</v>
      </c>
      <c r="J119" s="57">
        <v>4.1500000000000004</v>
      </c>
      <c r="K119" s="57">
        <v>4.2</v>
      </c>
      <c r="L119" s="57">
        <v>4.0999999999999996</v>
      </c>
      <c r="M119" s="57">
        <v>4.1500000000000004</v>
      </c>
      <c r="N119" s="57">
        <v>4.1500000000000004</v>
      </c>
      <c r="O119" s="57">
        <v>0.05</v>
      </c>
      <c r="P119" s="57">
        <v>1.22</v>
      </c>
      <c r="Q119" s="58">
        <v>5267065</v>
      </c>
      <c r="R119" s="57">
        <v>218.58</v>
      </c>
      <c r="S119" s="59">
        <v>1112265</v>
      </c>
      <c r="T119" s="57">
        <v>4.1500000000000004</v>
      </c>
      <c r="U119" s="57">
        <v>4.2</v>
      </c>
      <c r="V119" s="59">
        <v>1341806</v>
      </c>
      <c r="W119" s="59">
        <v>3232744</v>
      </c>
      <c r="X119" s="57">
        <v>4.0999999999999996</v>
      </c>
      <c r="Y119" s="57">
        <v>4.25</v>
      </c>
      <c r="Z119" s="59">
        <v>1680272</v>
      </c>
      <c r="AA119" s="59">
        <v>871663</v>
      </c>
      <c r="AB119" s="57">
        <v>4.05</v>
      </c>
      <c r="AC119" s="57">
        <v>4.3</v>
      </c>
      <c r="AD119" s="59">
        <v>440110</v>
      </c>
      <c r="AE119" s="59">
        <v>1287253</v>
      </c>
      <c r="AF119" s="57">
        <v>4</v>
      </c>
      <c r="AG119" s="57">
        <v>4.3499999999999996</v>
      </c>
      <c r="AH119" s="59">
        <v>150925</v>
      </c>
      <c r="AI119" s="59">
        <v>429282</v>
      </c>
      <c r="AJ119" s="57">
        <v>3.95</v>
      </c>
      <c r="AK119" s="57">
        <v>4.4000000000000004</v>
      </c>
      <c r="AL119" s="59">
        <v>299815</v>
      </c>
      <c r="AM119" s="59">
        <v>7754812</v>
      </c>
      <c r="AN119" s="59">
        <v>5761221</v>
      </c>
      <c r="AO119" s="60">
        <v>43314</v>
      </c>
      <c r="AP119" s="57" t="s">
        <v>4868</v>
      </c>
      <c r="AQ119" s="77" t="s">
        <v>4828</v>
      </c>
      <c r="AR119" s="76">
        <f t="shared" si="1"/>
        <v>43315.619722222225</v>
      </c>
    </row>
    <row r="120" spans="1:44" ht="40.799999999999997" x14ac:dyDescent="0.3">
      <c r="A120" s="56" t="s">
        <v>4825</v>
      </c>
      <c r="B120" s="57" t="s">
        <v>2658</v>
      </c>
      <c r="C120" s="57" t="s">
        <v>4826</v>
      </c>
      <c r="D120" s="57">
        <v>1</v>
      </c>
      <c r="E120" s="57" t="s">
        <v>4827</v>
      </c>
      <c r="F120" s="57" t="s">
        <v>4827</v>
      </c>
      <c r="G120" s="57">
        <v>12.25</v>
      </c>
      <c r="H120" s="57">
        <v>3.95</v>
      </c>
      <c r="I120" s="57">
        <v>4.0999999999999996</v>
      </c>
      <c r="J120" s="57">
        <v>4.1500000000000004</v>
      </c>
      <c r="K120" s="57">
        <v>4.2</v>
      </c>
      <c r="L120" s="57">
        <v>4.0999999999999996</v>
      </c>
      <c r="M120" s="57">
        <v>4.1500000000000004</v>
      </c>
      <c r="N120" s="57">
        <v>4.1500000000000004</v>
      </c>
      <c r="O120" s="57">
        <v>0.05</v>
      </c>
      <c r="P120" s="57">
        <v>1.22</v>
      </c>
      <c r="Q120" s="58">
        <v>5267065</v>
      </c>
      <c r="R120" s="57">
        <v>218.58</v>
      </c>
      <c r="S120" s="59">
        <v>1112265</v>
      </c>
      <c r="T120" s="57">
        <v>4.1500000000000004</v>
      </c>
      <c r="U120" s="57">
        <v>4.2</v>
      </c>
      <c r="V120" s="59">
        <v>1341806</v>
      </c>
      <c r="W120" s="59">
        <v>3232744</v>
      </c>
      <c r="X120" s="57">
        <v>4.0999999999999996</v>
      </c>
      <c r="Y120" s="57">
        <v>4.25</v>
      </c>
      <c r="Z120" s="59">
        <v>1680272</v>
      </c>
      <c r="AA120" s="59">
        <v>871663</v>
      </c>
      <c r="AB120" s="57">
        <v>4.05</v>
      </c>
      <c r="AC120" s="57">
        <v>4.3</v>
      </c>
      <c r="AD120" s="59">
        <v>440110</v>
      </c>
      <c r="AE120" s="59">
        <v>1287253</v>
      </c>
      <c r="AF120" s="57">
        <v>4</v>
      </c>
      <c r="AG120" s="57">
        <v>4.3499999999999996</v>
      </c>
      <c r="AH120" s="59">
        <v>150925</v>
      </c>
      <c r="AI120" s="59">
        <v>429282</v>
      </c>
      <c r="AJ120" s="57">
        <v>3.95</v>
      </c>
      <c r="AK120" s="57">
        <v>4.4000000000000004</v>
      </c>
      <c r="AL120" s="59">
        <v>299815</v>
      </c>
      <c r="AM120" s="59">
        <v>7754812</v>
      </c>
      <c r="AN120" s="59">
        <v>5761221</v>
      </c>
      <c r="AO120" s="60">
        <v>43314</v>
      </c>
      <c r="AP120" s="57" t="s">
        <v>4868</v>
      </c>
      <c r="AQ120" s="77" t="s">
        <v>4828</v>
      </c>
      <c r="AR120" s="76">
        <f t="shared" si="1"/>
        <v>43315.619722222225</v>
      </c>
    </row>
    <row r="121" spans="1:44" ht="40.799999999999997" x14ac:dyDescent="0.3">
      <c r="A121" s="56" t="s">
        <v>4825</v>
      </c>
      <c r="B121" s="57" t="s">
        <v>2658</v>
      </c>
      <c r="C121" s="57" t="s">
        <v>4826</v>
      </c>
      <c r="D121" s="57">
        <v>1</v>
      </c>
      <c r="E121" s="57" t="s">
        <v>4827</v>
      </c>
      <c r="F121" s="57" t="s">
        <v>4827</v>
      </c>
      <c r="G121" s="57">
        <v>12.25</v>
      </c>
      <c r="H121" s="57">
        <v>3.95</v>
      </c>
      <c r="I121" s="57">
        <v>4.0999999999999996</v>
      </c>
      <c r="J121" s="57">
        <v>4.1500000000000004</v>
      </c>
      <c r="K121" s="57">
        <v>4.2</v>
      </c>
      <c r="L121" s="57">
        <v>4.0999999999999996</v>
      </c>
      <c r="M121" s="57">
        <v>4.1500000000000004</v>
      </c>
      <c r="N121" s="57">
        <v>4.1500000000000004</v>
      </c>
      <c r="O121" s="57">
        <v>0.05</v>
      </c>
      <c r="P121" s="57">
        <v>1.22</v>
      </c>
      <c r="Q121" s="58">
        <v>5508952</v>
      </c>
      <c r="R121" s="57">
        <v>228.62</v>
      </c>
      <c r="S121" s="59">
        <v>3225651</v>
      </c>
      <c r="T121" s="57">
        <v>4.0999999999999996</v>
      </c>
      <c r="U121" s="57">
        <v>4.1500000000000004</v>
      </c>
      <c r="V121" s="59">
        <v>1275921</v>
      </c>
      <c r="W121" s="59">
        <v>719203</v>
      </c>
      <c r="X121" s="57">
        <v>4.05</v>
      </c>
      <c r="Y121" s="57">
        <v>4.2</v>
      </c>
      <c r="Z121" s="59">
        <v>1340149</v>
      </c>
      <c r="AA121" s="59">
        <v>1288253</v>
      </c>
      <c r="AB121" s="57">
        <v>4</v>
      </c>
      <c r="AC121" s="57">
        <v>4.25</v>
      </c>
      <c r="AD121" s="59">
        <v>1680272</v>
      </c>
      <c r="AE121" s="59">
        <v>429282</v>
      </c>
      <c r="AF121" s="57">
        <v>3.95</v>
      </c>
      <c r="AG121" s="57">
        <v>4.3</v>
      </c>
      <c r="AH121" s="59">
        <v>440100</v>
      </c>
      <c r="AI121" s="59">
        <v>286196</v>
      </c>
      <c r="AJ121" s="57">
        <v>3.9</v>
      </c>
      <c r="AK121" s="57">
        <v>4.3499999999999996</v>
      </c>
      <c r="AL121" s="59">
        <v>154925</v>
      </c>
      <c r="AM121" s="59">
        <v>6484019</v>
      </c>
      <c r="AN121" s="59">
        <v>7037475</v>
      </c>
      <c r="AO121" s="60">
        <v>43314</v>
      </c>
      <c r="AP121" s="57" t="s">
        <v>4869</v>
      </c>
      <c r="AQ121" s="77" t="s">
        <v>4828</v>
      </c>
      <c r="AR121" s="76">
        <f t="shared" si="1"/>
        <v>43315.621805555558</v>
      </c>
    </row>
    <row r="122" spans="1:44" ht="40.799999999999997" x14ac:dyDescent="0.3">
      <c r="A122" s="56" t="s">
        <v>4825</v>
      </c>
      <c r="B122" s="57" t="s">
        <v>2658</v>
      </c>
      <c r="C122" s="57" t="s">
        <v>4826</v>
      </c>
      <c r="D122" s="57">
        <v>1</v>
      </c>
      <c r="E122" s="57" t="s">
        <v>4827</v>
      </c>
      <c r="F122" s="57" t="s">
        <v>4827</v>
      </c>
      <c r="G122" s="57">
        <v>12.25</v>
      </c>
      <c r="H122" s="57">
        <v>3.95</v>
      </c>
      <c r="I122" s="57">
        <v>4.0999999999999996</v>
      </c>
      <c r="J122" s="57">
        <v>4.1500000000000004</v>
      </c>
      <c r="K122" s="57">
        <v>4.2</v>
      </c>
      <c r="L122" s="57">
        <v>4.0999999999999996</v>
      </c>
      <c r="M122" s="57">
        <v>4.1500000000000004</v>
      </c>
      <c r="N122" s="57">
        <v>4.1500000000000004</v>
      </c>
      <c r="O122" s="57">
        <v>0.05</v>
      </c>
      <c r="P122" s="57">
        <v>1.22</v>
      </c>
      <c r="Q122" s="58">
        <v>5508952</v>
      </c>
      <c r="R122" s="57">
        <v>228.62</v>
      </c>
      <c r="S122" s="59">
        <v>3225651</v>
      </c>
      <c r="T122" s="57">
        <v>4.0999999999999996</v>
      </c>
      <c r="U122" s="57">
        <v>4.1500000000000004</v>
      </c>
      <c r="V122" s="59">
        <v>1275921</v>
      </c>
      <c r="W122" s="59">
        <v>719203</v>
      </c>
      <c r="X122" s="57">
        <v>4.05</v>
      </c>
      <c r="Y122" s="57">
        <v>4.2</v>
      </c>
      <c r="Z122" s="59">
        <v>1340149</v>
      </c>
      <c r="AA122" s="59">
        <v>1288253</v>
      </c>
      <c r="AB122" s="57">
        <v>4</v>
      </c>
      <c r="AC122" s="57">
        <v>4.25</v>
      </c>
      <c r="AD122" s="59">
        <v>1680272</v>
      </c>
      <c r="AE122" s="59">
        <v>429282</v>
      </c>
      <c r="AF122" s="57">
        <v>3.95</v>
      </c>
      <c r="AG122" s="57">
        <v>4.3</v>
      </c>
      <c r="AH122" s="59">
        <v>440100</v>
      </c>
      <c r="AI122" s="59">
        <v>286196</v>
      </c>
      <c r="AJ122" s="57">
        <v>3.9</v>
      </c>
      <c r="AK122" s="57">
        <v>4.3499999999999996</v>
      </c>
      <c r="AL122" s="59">
        <v>154925</v>
      </c>
      <c r="AM122" s="59">
        <v>6484019</v>
      </c>
      <c r="AN122" s="59">
        <v>7037475</v>
      </c>
      <c r="AO122" s="60">
        <v>43314</v>
      </c>
      <c r="AP122" s="57" t="s">
        <v>4869</v>
      </c>
      <c r="AQ122" s="77" t="s">
        <v>4828</v>
      </c>
      <c r="AR122" s="76">
        <f t="shared" si="1"/>
        <v>43315.621805555558</v>
      </c>
    </row>
    <row r="123" spans="1:44" x14ac:dyDescent="0.3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8"/>
      <c r="R123" s="57"/>
      <c r="S123" s="59"/>
      <c r="T123" s="57"/>
      <c r="U123" s="57"/>
      <c r="V123" s="59"/>
      <c r="W123" s="59"/>
      <c r="X123" s="57"/>
      <c r="Y123" s="57"/>
      <c r="Z123" s="59"/>
      <c r="AA123" s="59"/>
      <c r="AB123" s="57"/>
      <c r="AC123" s="57"/>
      <c r="AD123" s="59"/>
      <c r="AE123" s="59"/>
      <c r="AF123" s="57"/>
      <c r="AG123" s="57"/>
      <c r="AH123" s="59"/>
      <c r="AI123" s="59"/>
      <c r="AJ123" s="57"/>
      <c r="AK123" s="57"/>
      <c r="AL123" s="59"/>
      <c r="AM123" s="59"/>
      <c r="AN123" s="59"/>
      <c r="AO123" s="60"/>
      <c r="AP123" s="57"/>
      <c r="AQ123" s="77"/>
      <c r="AR123" s="76" t="e">
        <f t="shared" si="1"/>
        <v>#VALUE!</v>
      </c>
    </row>
    <row r="124" spans="1:44" x14ac:dyDescent="0.3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8"/>
      <c r="R124" s="57"/>
      <c r="S124" s="59"/>
      <c r="T124" s="57"/>
      <c r="U124" s="57"/>
      <c r="V124" s="59"/>
      <c r="W124" s="59"/>
      <c r="X124" s="57"/>
      <c r="Y124" s="57"/>
      <c r="Z124" s="59"/>
      <c r="AA124" s="59"/>
      <c r="AB124" s="57"/>
      <c r="AC124" s="57"/>
      <c r="AD124" s="59"/>
      <c r="AE124" s="59"/>
      <c r="AF124" s="57"/>
      <c r="AG124" s="57"/>
      <c r="AH124" s="59"/>
      <c r="AI124" s="59"/>
      <c r="AJ124" s="57"/>
      <c r="AK124" s="57"/>
      <c r="AL124" s="59"/>
      <c r="AM124" s="59"/>
      <c r="AN124" s="59"/>
      <c r="AO124" s="60"/>
      <c r="AP124" s="57"/>
      <c r="AQ124" s="77"/>
      <c r="AR124" s="76" t="e">
        <f t="shared" si="1"/>
        <v>#VALUE!</v>
      </c>
    </row>
    <row r="125" spans="1:44" x14ac:dyDescent="0.3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8"/>
      <c r="R125" s="57"/>
      <c r="S125" s="59"/>
      <c r="T125" s="57"/>
      <c r="U125" s="57"/>
      <c r="V125" s="59"/>
      <c r="W125" s="59"/>
      <c r="X125" s="57"/>
      <c r="Y125" s="57"/>
      <c r="Z125" s="59"/>
      <c r="AA125" s="59"/>
      <c r="AB125" s="57"/>
      <c r="AC125" s="57"/>
      <c r="AD125" s="59"/>
      <c r="AE125" s="59"/>
      <c r="AF125" s="57"/>
      <c r="AG125" s="57"/>
      <c r="AH125" s="59"/>
      <c r="AI125" s="59"/>
      <c r="AJ125" s="57"/>
      <c r="AK125" s="57"/>
      <c r="AL125" s="59"/>
      <c r="AM125" s="59"/>
      <c r="AN125" s="59"/>
      <c r="AO125" s="60"/>
      <c r="AP125" s="57"/>
      <c r="AQ125" s="77"/>
      <c r="AR125" s="76" t="e">
        <f t="shared" si="1"/>
        <v>#VALUE!</v>
      </c>
    </row>
    <row r="126" spans="1:44" x14ac:dyDescent="0.3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8"/>
      <c r="R126" s="57"/>
      <c r="S126" s="59"/>
      <c r="T126" s="57"/>
      <c r="U126" s="57"/>
      <c r="V126" s="59"/>
      <c r="W126" s="59"/>
      <c r="X126" s="57"/>
      <c r="Y126" s="57"/>
      <c r="Z126" s="59"/>
      <c r="AA126" s="59"/>
      <c r="AB126" s="57"/>
      <c r="AC126" s="57"/>
      <c r="AD126" s="59"/>
      <c r="AE126" s="59"/>
      <c r="AF126" s="57"/>
      <c r="AG126" s="57"/>
      <c r="AH126" s="59"/>
      <c r="AI126" s="59"/>
      <c r="AJ126" s="57"/>
      <c r="AK126" s="57"/>
      <c r="AL126" s="59"/>
      <c r="AM126" s="59"/>
      <c r="AN126" s="59"/>
      <c r="AO126" s="60"/>
      <c r="AP126" s="57"/>
      <c r="AQ126" s="77"/>
      <c r="AR126" s="76" t="e">
        <f t="shared" si="1"/>
        <v>#VALUE!</v>
      </c>
    </row>
    <row r="127" spans="1:44" x14ac:dyDescent="0.3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8"/>
      <c r="R127" s="57"/>
      <c r="S127" s="59"/>
      <c r="T127" s="57"/>
      <c r="U127" s="57"/>
      <c r="V127" s="59"/>
      <c r="W127" s="59"/>
      <c r="X127" s="57"/>
      <c r="Y127" s="57"/>
      <c r="Z127" s="59"/>
      <c r="AA127" s="59"/>
      <c r="AB127" s="57"/>
      <c r="AC127" s="57"/>
      <c r="AD127" s="59"/>
      <c r="AE127" s="59"/>
      <c r="AF127" s="57"/>
      <c r="AG127" s="57"/>
      <c r="AH127" s="59"/>
      <c r="AI127" s="59"/>
      <c r="AJ127" s="57"/>
      <c r="AK127" s="57"/>
      <c r="AL127" s="59"/>
      <c r="AM127" s="59"/>
      <c r="AN127" s="59"/>
      <c r="AO127" s="60"/>
      <c r="AP127" s="57"/>
      <c r="AQ127" s="77"/>
      <c r="AR127" s="76" t="e">
        <f t="shared" si="1"/>
        <v>#VALUE!</v>
      </c>
    </row>
    <row r="128" spans="1:44" x14ac:dyDescent="0.3">
      <c r="A128" s="56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8"/>
      <c r="R128" s="57"/>
      <c r="S128" s="59"/>
      <c r="T128" s="57"/>
      <c r="U128" s="57"/>
      <c r="V128" s="59"/>
      <c r="W128" s="59"/>
      <c r="X128" s="57"/>
      <c r="Y128" s="57"/>
      <c r="Z128" s="59"/>
      <c r="AA128" s="59"/>
      <c r="AB128" s="57"/>
      <c r="AC128" s="57"/>
      <c r="AD128" s="59"/>
      <c r="AE128" s="59"/>
      <c r="AF128" s="57"/>
      <c r="AG128" s="57"/>
      <c r="AH128" s="59"/>
      <c r="AI128" s="59"/>
      <c r="AJ128" s="57"/>
      <c r="AK128" s="57"/>
      <c r="AL128" s="59"/>
      <c r="AM128" s="59"/>
      <c r="AN128" s="59"/>
      <c r="AO128" s="60"/>
      <c r="AP128" s="57"/>
      <c r="AQ128" s="77"/>
      <c r="AR128" s="76" t="e">
        <f t="shared" si="1"/>
        <v>#VALUE!</v>
      </c>
    </row>
    <row r="129" spans="1:44" x14ac:dyDescent="0.3">
      <c r="A129" s="56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8"/>
      <c r="R129" s="57"/>
      <c r="S129" s="59"/>
      <c r="T129" s="57"/>
      <c r="U129" s="57"/>
      <c r="V129" s="59"/>
      <c r="W129" s="59"/>
      <c r="X129" s="57"/>
      <c r="Y129" s="57"/>
      <c r="Z129" s="59"/>
      <c r="AA129" s="59"/>
      <c r="AB129" s="57"/>
      <c r="AC129" s="57"/>
      <c r="AD129" s="59"/>
      <c r="AE129" s="59"/>
      <c r="AF129" s="57"/>
      <c r="AG129" s="57"/>
      <c r="AH129" s="59"/>
      <c r="AI129" s="59"/>
      <c r="AJ129" s="57"/>
      <c r="AK129" s="57"/>
      <c r="AL129" s="59"/>
      <c r="AM129" s="59"/>
      <c r="AN129" s="59"/>
      <c r="AO129" s="60"/>
      <c r="AP129" s="57"/>
      <c r="AQ129" s="77"/>
      <c r="AR129" s="76" t="e">
        <f t="shared" si="1"/>
        <v>#VALUE!</v>
      </c>
    </row>
    <row r="130" spans="1:44" x14ac:dyDescent="0.3">
      <c r="A130" s="56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8"/>
      <c r="R130" s="57"/>
      <c r="S130" s="59"/>
      <c r="T130" s="57"/>
      <c r="U130" s="57"/>
      <c r="V130" s="59"/>
      <c r="W130" s="59"/>
      <c r="X130" s="57"/>
      <c r="Y130" s="57"/>
      <c r="Z130" s="59"/>
      <c r="AA130" s="59"/>
      <c r="AB130" s="57"/>
      <c r="AC130" s="57"/>
      <c r="AD130" s="59"/>
      <c r="AE130" s="59"/>
      <c r="AF130" s="57"/>
      <c r="AG130" s="57"/>
      <c r="AH130" s="59"/>
      <c r="AI130" s="59"/>
      <c r="AJ130" s="57"/>
      <c r="AK130" s="57"/>
      <c r="AL130" s="59"/>
      <c r="AM130" s="59"/>
      <c r="AN130" s="59"/>
      <c r="AO130" s="60"/>
      <c r="AP130" s="57"/>
      <c r="AQ130" s="77"/>
      <c r="AR130" s="76" t="e">
        <f t="shared" si="1"/>
        <v>#VALUE!</v>
      </c>
    </row>
    <row r="131" spans="1:44" x14ac:dyDescent="0.3">
      <c r="A131" s="56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8"/>
      <c r="R131" s="57"/>
      <c r="S131" s="59"/>
      <c r="T131" s="57"/>
      <c r="U131" s="57"/>
      <c r="V131" s="59"/>
      <c r="W131" s="59"/>
      <c r="X131" s="57"/>
      <c r="Y131" s="57"/>
      <c r="Z131" s="59"/>
      <c r="AA131" s="59"/>
      <c r="AB131" s="57"/>
      <c r="AC131" s="57"/>
      <c r="AD131" s="59"/>
      <c r="AE131" s="59"/>
      <c r="AF131" s="57"/>
      <c r="AG131" s="57"/>
      <c r="AH131" s="59"/>
      <c r="AI131" s="59"/>
      <c r="AJ131" s="57"/>
      <c r="AK131" s="57"/>
      <c r="AL131" s="59"/>
      <c r="AM131" s="59"/>
      <c r="AN131" s="59"/>
      <c r="AO131" s="60"/>
      <c r="AP131" s="57"/>
      <c r="AQ131" s="77"/>
      <c r="AR131" s="76" t="e">
        <f t="shared" ref="AR131:AR194" si="2">DATEVALUE(SUBSTITUTE(AP131,";",":"))+TIMEVALUE(SUBSTITUTE(AP131,";",":"))</f>
        <v>#VALUE!</v>
      </c>
    </row>
    <row r="132" spans="1:44" x14ac:dyDescent="0.3">
      <c r="A132" s="56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8"/>
      <c r="R132" s="57"/>
      <c r="S132" s="59"/>
      <c r="T132" s="57"/>
      <c r="U132" s="57"/>
      <c r="V132" s="59"/>
      <c r="W132" s="59"/>
      <c r="X132" s="57"/>
      <c r="Y132" s="57"/>
      <c r="Z132" s="59"/>
      <c r="AA132" s="59"/>
      <c r="AB132" s="57"/>
      <c r="AC132" s="57"/>
      <c r="AD132" s="59"/>
      <c r="AE132" s="59"/>
      <c r="AF132" s="57"/>
      <c r="AG132" s="57"/>
      <c r="AH132" s="59"/>
      <c r="AI132" s="59"/>
      <c r="AJ132" s="57"/>
      <c r="AK132" s="57"/>
      <c r="AL132" s="59"/>
      <c r="AM132" s="59"/>
      <c r="AN132" s="59"/>
      <c r="AO132" s="60"/>
      <c r="AP132" s="57"/>
      <c r="AQ132" s="77"/>
      <c r="AR132" s="76" t="e">
        <f t="shared" si="2"/>
        <v>#VALUE!</v>
      </c>
    </row>
    <row r="133" spans="1:44" x14ac:dyDescent="0.3">
      <c r="A133" s="56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8"/>
      <c r="R133" s="57"/>
      <c r="S133" s="59"/>
      <c r="T133" s="57"/>
      <c r="U133" s="57"/>
      <c r="V133" s="59"/>
      <c r="W133" s="59"/>
      <c r="X133" s="57"/>
      <c r="Y133" s="57"/>
      <c r="Z133" s="59"/>
      <c r="AA133" s="59"/>
      <c r="AB133" s="57"/>
      <c r="AC133" s="57"/>
      <c r="AD133" s="59"/>
      <c r="AE133" s="59"/>
      <c r="AF133" s="57"/>
      <c r="AG133" s="57"/>
      <c r="AH133" s="59"/>
      <c r="AI133" s="59"/>
      <c r="AJ133" s="57"/>
      <c r="AK133" s="57"/>
      <c r="AL133" s="59"/>
      <c r="AM133" s="59"/>
      <c r="AN133" s="59"/>
      <c r="AO133" s="60"/>
      <c r="AP133" s="57"/>
      <c r="AQ133" s="77"/>
      <c r="AR133" s="76" t="e">
        <f t="shared" si="2"/>
        <v>#VALUE!</v>
      </c>
    </row>
    <row r="134" spans="1:44" x14ac:dyDescent="0.3">
      <c r="A134" s="56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8"/>
      <c r="R134" s="57"/>
      <c r="S134" s="59"/>
      <c r="T134" s="57"/>
      <c r="U134" s="57"/>
      <c r="V134" s="59"/>
      <c r="W134" s="59"/>
      <c r="X134" s="57"/>
      <c r="Y134" s="57"/>
      <c r="Z134" s="59"/>
      <c r="AA134" s="59"/>
      <c r="AB134" s="57"/>
      <c r="AC134" s="57"/>
      <c r="AD134" s="59"/>
      <c r="AE134" s="59"/>
      <c r="AF134" s="57"/>
      <c r="AG134" s="57"/>
      <c r="AH134" s="59"/>
      <c r="AI134" s="59"/>
      <c r="AJ134" s="57"/>
      <c r="AK134" s="57"/>
      <c r="AL134" s="59"/>
      <c r="AM134" s="59"/>
      <c r="AN134" s="59"/>
      <c r="AO134" s="60"/>
      <c r="AP134" s="57"/>
      <c r="AQ134" s="77"/>
      <c r="AR134" s="76" t="e">
        <f t="shared" si="2"/>
        <v>#VALUE!</v>
      </c>
    </row>
    <row r="135" spans="1:44" x14ac:dyDescent="0.3">
      <c r="A135" s="56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8"/>
      <c r="R135" s="57"/>
      <c r="S135" s="59"/>
      <c r="T135" s="57"/>
      <c r="U135" s="57"/>
      <c r="V135" s="59"/>
      <c r="W135" s="59"/>
      <c r="X135" s="57"/>
      <c r="Y135" s="57"/>
      <c r="Z135" s="59"/>
      <c r="AA135" s="59"/>
      <c r="AB135" s="57"/>
      <c r="AC135" s="57"/>
      <c r="AD135" s="59"/>
      <c r="AE135" s="59"/>
      <c r="AF135" s="57"/>
      <c r="AG135" s="57"/>
      <c r="AH135" s="59"/>
      <c r="AI135" s="59"/>
      <c r="AJ135" s="57"/>
      <c r="AK135" s="57"/>
      <c r="AL135" s="59"/>
      <c r="AM135" s="59"/>
      <c r="AN135" s="59"/>
      <c r="AO135" s="60"/>
      <c r="AP135" s="57"/>
      <c r="AQ135" s="77"/>
      <c r="AR135" s="76" t="e">
        <f t="shared" si="2"/>
        <v>#VALUE!</v>
      </c>
    </row>
    <row r="136" spans="1:44" x14ac:dyDescent="0.3">
      <c r="A136" s="56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8"/>
      <c r="R136" s="57"/>
      <c r="S136" s="59"/>
      <c r="T136" s="57"/>
      <c r="U136" s="57"/>
      <c r="V136" s="59"/>
      <c r="W136" s="59"/>
      <c r="X136" s="57"/>
      <c r="Y136" s="57"/>
      <c r="Z136" s="59"/>
      <c r="AA136" s="59"/>
      <c r="AB136" s="57"/>
      <c r="AC136" s="57"/>
      <c r="AD136" s="59"/>
      <c r="AE136" s="59"/>
      <c r="AF136" s="57"/>
      <c r="AG136" s="57"/>
      <c r="AH136" s="59"/>
      <c r="AI136" s="59"/>
      <c r="AJ136" s="57"/>
      <c r="AK136" s="57"/>
      <c r="AL136" s="59"/>
      <c r="AM136" s="59"/>
      <c r="AN136" s="59"/>
      <c r="AO136" s="60"/>
      <c r="AP136" s="57"/>
      <c r="AQ136" s="77"/>
      <c r="AR136" s="76" t="e">
        <f t="shared" si="2"/>
        <v>#VALUE!</v>
      </c>
    </row>
    <row r="137" spans="1:44" x14ac:dyDescent="0.3">
      <c r="A137" s="56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8"/>
      <c r="R137" s="57"/>
      <c r="S137" s="59"/>
      <c r="T137" s="57"/>
      <c r="U137" s="57"/>
      <c r="V137" s="59"/>
      <c r="W137" s="59"/>
      <c r="X137" s="57"/>
      <c r="Y137" s="57"/>
      <c r="Z137" s="59"/>
      <c r="AA137" s="59"/>
      <c r="AB137" s="57"/>
      <c r="AC137" s="57"/>
      <c r="AD137" s="59"/>
      <c r="AE137" s="59"/>
      <c r="AF137" s="57"/>
      <c r="AG137" s="57"/>
      <c r="AH137" s="59"/>
      <c r="AI137" s="59"/>
      <c r="AJ137" s="57"/>
      <c r="AK137" s="57"/>
      <c r="AL137" s="59"/>
      <c r="AM137" s="59"/>
      <c r="AN137" s="59"/>
      <c r="AO137" s="60"/>
      <c r="AP137" s="57"/>
      <c r="AQ137" s="77"/>
      <c r="AR137" s="76" t="e">
        <f t="shared" si="2"/>
        <v>#VALUE!</v>
      </c>
    </row>
    <row r="138" spans="1:44" x14ac:dyDescent="0.3">
      <c r="A138" s="56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8"/>
      <c r="R138" s="57"/>
      <c r="S138" s="59"/>
      <c r="T138" s="57"/>
      <c r="U138" s="57"/>
      <c r="V138" s="59"/>
      <c r="W138" s="59"/>
      <c r="X138" s="57"/>
      <c r="Y138" s="57"/>
      <c r="Z138" s="59"/>
      <c r="AA138" s="59"/>
      <c r="AB138" s="57"/>
      <c r="AC138" s="57"/>
      <c r="AD138" s="59"/>
      <c r="AE138" s="59"/>
      <c r="AF138" s="57"/>
      <c r="AG138" s="57"/>
      <c r="AH138" s="59"/>
      <c r="AI138" s="59"/>
      <c r="AJ138" s="57"/>
      <c r="AK138" s="57"/>
      <c r="AL138" s="59"/>
      <c r="AM138" s="59"/>
      <c r="AN138" s="59"/>
      <c r="AO138" s="60"/>
      <c r="AP138" s="57"/>
      <c r="AQ138" s="77"/>
      <c r="AR138" s="76" t="e">
        <f t="shared" si="2"/>
        <v>#VALUE!</v>
      </c>
    </row>
    <row r="139" spans="1:44" x14ac:dyDescent="0.3">
      <c r="A139" s="56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8"/>
      <c r="R139" s="57"/>
      <c r="S139" s="59"/>
      <c r="T139" s="57"/>
      <c r="U139" s="57"/>
      <c r="V139" s="59"/>
      <c r="W139" s="59"/>
      <c r="X139" s="57"/>
      <c r="Y139" s="57"/>
      <c r="Z139" s="59"/>
      <c r="AA139" s="59"/>
      <c r="AB139" s="57"/>
      <c r="AC139" s="57"/>
      <c r="AD139" s="59"/>
      <c r="AE139" s="59"/>
      <c r="AF139" s="57"/>
      <c r="AG139" s="57"/>
      <c r="AH139" s="59"/>
      <c r="AI139" s="59"/>
      <c r="AJ139" s="57"/>
      <c r="AK139" s="57"/>
      <c r="AL139" s="59"/>
      <c r="AM139" s="59"/>
      <c r="AN139" s="59"/>
      <c r="AO139" s="60"/>
      <c r="AP139" s="57"/>
      <c r="AQ139" s="77"/>
      <c r="AR139" s="76" t="e">
        <f t="shared" si="2"/>
        <v>#VALUE!</v>
      </c>
    </row>
    <row r="140" spans="1:44" x14ac:dyDescent="0.3">
      <c r="A140" s="56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8"/>
      <c r="R140" s="57"/>
      <c r="S140" s="59"/>
      <c r="T140" s="57"/>
      <c r="U140" s="57"/>
      <c r="V140" s="59"/>
      <c r="W140" s="59"/>
      <c r="X140" s="57"/>
      <c r="Y140" s="57"/>
      <c r="Z140" s="59"/>
      <c r="AA140" s="59"/>
      <c r="AB140" s="57"/>
      <c r="AC140" s="57"/>
      <c r="AD140" s="59"/>
      <c r="AE140" s="59"/>
      <c r="AF140" s="57"/>
      <c r="AG140" s="57"/>
      <c r="AH140" s="59"/>
      <c r="AI140" s="59"/>
      <c r="AJ140" s="57"/>
      <c r="AK140" s="57"/>
      <c r="AL140" s="59"/>
      <c r="AM140" s="59"/>
      <c r="AN140" s="59"/>
      <c r="AO140" s="60"/>
      <c r="AP140" s="57"/>
      <c r="AQ140" s="77"/>
      <c r="AR140" s="76" t="e">
        <f t="shared" si="2"/>
        <v>#VALUE!</v>
      </c>
    </row>
    <row r="141" spans="1:44" x14ac:dyDescent="0.3">
      <c r="A141" s="56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8"/>
      <c r="R141" s="57"/>
      <c r="S141" s="59"/>
      <c r="T141" s="57"/>
      <c r="U141" s="57"/>
      <c r="V141" s="59"/>
      <c r="W141" s="59"/>
      <c r="X141" s="57"/>
      <c r="Y141" s="57"/>
      <c r="Z141" s="59"/>
      <c r="AA141" s="59"/>
      <c r="AB141" s="57"/>
      <c r="AC141" s="57"/>
      <c r="AD141" s="59"/>
      <c r="AE141" s="59"/>
      <c r="AF141" s="57"/>
      <c r="AG141" s="57"/>
      <c r="AH141" s="59"/>
      <c r="AI141" s="59"/>
      <c r="AJ141" s="57"/>
      <c r="AK141" s="57"/>
      <c r="AL141" s="59"/>
      <c r="AM141" s="59"/>
      <c r="AN141" s="59"/>
      <c r="AO141" s="60"/>
      <c r="AP141" s="57"/>
      <c r="AQ141" s="77"/>
      <c r="AR141" s="76" t="e">
        <f t="shared" si="2"/>
        <v>#VALUE!</v>
      </c>
    </row>
    <row r="142" spans="1:44" x14ac:dyDescent="0.3">
      <c r="A142" s="56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8"/>
      <c r="R142" s="57"/>
      <c r="S142" s="59"/>
      <c r="T142" s="57"/>
      <c r="U142" s="57"/>
      <c r="V142" s="59"/>
      <c r="W142" s="59"/>
      <c r="X142" s="57"/>
      <c r="Y142" s="57"/>
      <c r="Z142" s="59"/>
      <c r="AA142" s="59"/>
      <c r="AB142" s="57"/>
      <c r="AC142" s="57"/>
      <c r="AD142" s="59"/>
      <c r="AE142" s="59"/>
      <c r="AF142" s="57"/>
      <c r="AG142" s="57"/>
      <c r="AH142" s="59"/>
      <c r="AI142" s="59"/>
      <c r="AJ142" s="57"/>
      <c r="AK142" s="57"/>
      <c r="AL142" s="59"/>
      <c r="AM142" s="59"/>
      <c r="AN142" s="59"/>
      <c r="AO142" s="60"/>
      <c r="AP142" s="57"/>
      <c r="AQ142" s="77"/>
      <c r="AR142" s="76" t="e">
        <f t="shared" si="2"/>
        <v>#VALUE!</v>
      </c>
    </row>
    <row r="143" spans="1:44" x14ac:dyDescent="0.3">
      <c r="A143" s="56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8"/>
      <c r="R143" s="57"/>
      <c r="S143" s="59"/>
      <c r="T143" s="57"/>
      <c r="U143" s="57"/>
      <c r="V143" s="59"/>
      <c r="W143" s="59"/>
      <c r="X143" s="57"/>
      <c r="Y143" s="57"/>
      <c r="Z143" s="59"/>
      <c r="AA143" s="59"/>
      <c r="AB143" s="57"/>
      <c r="AC143" s="57"/>
      <c r="AD143" s="59"/>
      <c r="AE143" s="59"/>
      <c r="AF143" s="57"/>
      <c r="AG143" s="57"/>
      <c r="AH143" s="59"/>
      <c r="AI143" s="59"/>
      <c r="AJ143" s="57"/>
      <c r="AK143" s="57"/>
      <c r="AL143" s="59"/>
      <c r="AM143" s="59"/>
      <c r="AN143" s="59"/>
      <c r="AO143" s="60"/>
      <c r="AP143" s="57"/>
      <c r="AQ143" s="77"/>
      <c r="AR143" s="76" t="e">
        <f t="shared" si="2"/>
        <v>#VALUE!</v>
      </c>
    </row>
    <row r="144" spans="1:44" x14ac:dyDescent="0.3">
      <c r="A144" s="56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8"/>
      <c r="R144" s="57"/>
      <c r="S144" s="59"/>
      <c r="T144" s="57"/>
      <c r="U144" s="57"/>
      <c r="V144" s="59"/>
      <c r="W144" s="59"/>
      <c r="X144" s="57"/>
      <c r="Y144" s="57"/>
      <c r="Z144" s="59"/>
      <c r="AA144" s="59"/>
      <c r="AB144" s="57"/>
      <c r="AC144" s="57"/>
      <c r="AD144" s="59"/>
      <c r="AE144" s="59"/>
      <c r="AF144" s="57"/>
      <c r="AG144" s="57"/>
      <c r="AH144" s="59"/>
      <c r="AI144" s="59"/>
      <c r="AJ144" s="57"/>
      <c r="AK144" s="57"/>
      <c r="AL144" s="59"/>
      <c r="AM144" s="59"/>
      <c r="AN144" s="59"/>
      <c r="AO144" s="60"/>
      <c r="AP144" s="57"/>
      <c r="AQ144" s="77"/>
      <c r="AR144" s="76" t="e">
        <f t="shared" si="2"/>
        <v>#VALUE!</v>
      </c>
    </row>
    <row r="145" spans="1:44" x14ac:dyDescent="0.3">
      <c r="A145" s="56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8"/>
      <c r="R145" s="57"/>
      <c r="S145" s="59"/>
      <c r="T145" s="57"/>
      <c r="U145" s="57"/>
      <c r="V145" s="59"/>
      <c r="W145" s="59"/>
      <c r="X145" s="57"/>
      <c r="Y145" s="57"/>
      <c r="Z145" s="59"/>
      <c r="AA145" s="59"/>
      <c r="AB145" s="57"/>
      <c r="AC145" s="57"/>
      <c r="AD145" s="59"/>
      <c r="AE145" s="59"/>
      <c r="AF145" s="57"/>
      <c r="AG145" s="57"/>
      <c r="AH145" s="59"/>
      <c r="AI145" s="59"/>
      <c r="AJ145" s="57"/>
      <c r="AK145" s="57"/>
      <c r="AL145" s="59"/>
      <c r="AM145" s="59"/>
      <c r="AN145" s="59"/>
      <c r="AO145" s="60"/>
      <c r="AP145" s="57"/>
      <c r="AQ145" s="77"/>
      <c r="AR145" s="76" t="e">
        <f t="shared" si="2"/>
        <v>#VALUE!</v>
      </c>
    </row>
    <row r="146" spans="1:44" x14ac:dyDescent="0.3">
      <c r="A146" s="56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8"/>
      <c r="R146" s="57"/>
      <c r="S146" s="59"/>
      <c r="T146" s="57"/>
      <c r="U146" s="57"/>
      <c r="V146" s="59"/>
      <c r="W146" s="59"/>
      <c r="X146" s="57"/>
      <c r="Y146" s="57"/>
      <c r="Z146" s="59"/>
      <c r="AA146" s="59"/>
      <c r="AB146" s="57"/>
      <c r="AC146" s="57"/>
      <c r="AD146" s="59"/>
      <c r="AE146" s="59"/>
      <c r="AF146" s="57"/>
      <c r="AG146" s="57"/>
      <c r="AH146" s="59"/>
      <c r="AI146" s="59"/>
      <c r="AJ146" s="57"/>
      <c r="AK146" s="57"/>
      <c r="AL146" s="59"/>
      <c r="AM146" s="59"/>
      <c r="AN146" s="59"/>
      <c r="AO146" s="60"/>
      <c r="AP146" s="57"/>
      <c r="AQ146" s="77"/>
      <c r="AR146" s="76" t="e">
        <f t="shared" si="2"/>
        <v>#VALUE!</v>
      </c>
    </row>
    <row r="147" spans="1:44" x14ac:dyDescent="0.3">
      <c r="A147" s="56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8"/>
      <c r="R147" s="57"/>
      <c r="S147" s="59"/>
      <c r="T147" s="57"/>
      <c r="U147" s="57"/>
      <c r="V147" s="59"/>
      <c r="W147" s="59"/>
      <c r="X147" s="57"/>
      <c r="Y147" s="57"/>
      <c r="Z147" s="59"/>
      <c r="AA147" s="59"/>
      <c r="AB147" s="57"/>
      <c r="AC147" s="57"/>
      <c r="AD147" s="59"/>
      <c r="AE147" s="59"/>
      <c r="AF147" s="57"/>
      <c r="AG147" s="57"/>
      <c r="AH147" s="59"/>
      <c r="AI147" s="59"/>
      <c r="AJ147" s="57"/>
      <c r="AK147" s="57"/>
      <c r="AL147" s="59"/>
      <c r="AM147" s="59"/>
      <c r="AN147" s="59"/>
      <c r="AO147" s="60"/>
      <c r="AP147" s="57"/>
      <c r="AQ147" s="77"/>
      <c r="AR147" s="76" t="e">
        <f t="shared" si="2"/>
        <v>#VALUE!</v>
      </c>
    </row>
    <row r="148" spans="1:44" x14ac:dyDescent="0.3">
      <c r="A148" s="56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8"/>
      <c r="R148" s="57"/>
      <c r="S148" s="59"/>
      <c r="T148" s="57"/>
      <c r="U148" s="57"/>
      <c r="V148" s="59"/>
      <c r="W148" s="59"/>
      <c r="X148" s="57"/>
      <c r="Y148" s="57"/>
      <c r="Z148" s="59"/>
      <c r="AA148" s="59"/>
      <c r="AB148" s="57"/>
      <c r="AC148" s="57"/>
      <c r="AD148" s="59"/>
      <c r="AE148" s="59"/>
      <c r="AF148" s="57"/>
      <c r="AG148" s="57"/>
      <c r="AH148" s="59"/>
      <c r="AI148" s="59"/>
      <c r="AJ148" s="57"/>
      <c r="AK148" s="57"/>
      <c r="AL148" s="59"/>
      <c r="AM148" s="59"/>
      <c r="AN148" s="59"/>
      <c r="AO148" s="60"/>
      <c r="AP148" s="57"/>
      <c r="AQ148" s="77"/>
      <c r="AR148" s="76" t="e">
        <f t="shared" si="2"/>
        <v>#VALUE!</v>
      </c>
    </row>
    <row r="149" spans="1:44" x14ac:dyDescent="0.3">
      <c r="A149" s="56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8"/>
      <c r="R149" s="57"/>
      <c r="S149" s="59"/>
      <c r="T149" s="57"/>
      <c r="U149" s="57"/>
      <c r="V149" s="59"/>
      <c r="W149" s="59"/>
      <c r="X149" s="57"/>
      <c r="Y149" s="57"/>
      <c r="Z149" s="59"/>
      <c r="AA149" s="59"/>
      <c r="AB149" s="57"/>
      <c r="AC149" s="57"/>
      <c r="AD149" s="59"/>
      <c r="AE149" s="59"/>
      <c r="AF149" s="57"/>
      <c r="AG149" s="57"/>
      <c r="AH149" s="59"/>
      <c r="AI149" s="59"/>
      <c r="AJ149" s="57"/>
      <c r="AK149" s="57"/>
      <c r="AL149" s="59"/>
      <c r="AM149" s="59"/>
      <c r="AN149" s="59"/>
      <c r="AO149" s="60"/>
      <c r="AP149" s="57"/>
      <c r="AQ149" s="77"/>
      <c r="AR149" s="76" t="e">
        <f t="shared" si="2"/>
        <v>#VALUE!</v>
      </c>
    </row>
    <row r="150" spans="1:44" x14ac:dyDescent="0.3">
      <c r="A150" s="56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8"/>
      <c r="R150" s="57"/>
      <c r="S150" s="59"/>
      <c r="T150" s="57"/>
      <c r="U150" s="57"/>
      <c r="V150" s="59"/>
      <c r="W150" s="59"/>
      <c r="X150" s="57"/>
      <c r="Y150" s="57"/>
      <c r="Z150" s="59"/>
      <c r="AA150" s="59"/>
      <c r="AB150" s="57"/>
      <c r="AC150" s="57"/>
      <c r="AD150" s="59"/>
      <c r="AE150" s="59"/>
      <c r="AF150" s="57"/>
      <c r="AG150" s="57"/>
      <c r="AH150" s="59"/>
      <c r="AI150" s="59"/>
      <c r="AJ150" s="57"/>
      <c r="AK150" s="57"/>
      <c r="AL150" s="59"/>
      <c r="AM150" s="59"/>
      <c r="AN150" s="59"/>
      <c r="AO150" s="60"/>
      <c r="AP150" s="57"/>
      <c r="AQ150" s="77"/>
      <c r="AR150" s="76" t="e">
        <f t="shared" si="2"/>
        <v>#VALUE!</v>
      </c>
    </row>
    <row r="151" spans="1:44" x14ac:dyDescent="0.3">
      <c r="A151" s="56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8"/>
      <c r="R151" s="57"/>
      <c r="S151" s="59"/>
      <c r="T151" s="57"/>
      <c r="U151" s="57"/>
      <c r="V151" s="59"/>
      <c r="W151" s="59"/>
      <c r="X151" s="57"/>
      <c r="Y151" s="57"/>
      <c r="Z151" s="59"/>
      <c r="AA151" s="59"/>
      <c r="AB151" s="57"/>
      <c r="AC151" s="57"/>
      <c r="AD151" s="59"/>
      <c r="AE151" s="59"/>
      <c r="AF151" s="57"/>
      <c r="AG151" s="57"/>
      <c r="AH151" s="59"/>
      <c r="AI151" s="59"/>
      <c r="AJ151" s="57"/>
      <c r="AK151" s="57"/>
      <c r="AL151" s="59"/>
      <c r="AM151" s="59"/>
      <c r="AN151" s="59"/>
      <c r="AO151" s="60"/>
      <c r="AP151" s="57"/>
      <c r="AQ151" s="77"/>
      <c r="AR151" s="76" t="e">
        <f t="shared" si="2"/>
        <v>#VALUE!</v>
      </c>
    </row>
    <row r="152" spans="1:44" x14ac:dyDescent="0.3">
      <c r="A152" s="56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8"/>
      <c r="R152" s="57"/>
      <c r="S152" s="59"/>
      <c r="T152" s="57"/>
      <c r="U152" s="57"/>
      <c r="V152" s="59"/>
      <c r="W152" s="59"/>
      <c r="X152" s="57"/>
      <c r="Y152" s="57"/>
      <c r="Z152" s="59"/>
      <c r="AA152" s="59"/>
      <c r="AB152" s="57"/>
      <c r="AC152" s="57"/>
      <c r="AD152" s="59"/>
      <c r="AE152" s="59"/>
      <c r="AF152" s="57"/>
      <c r="AG152" s="57"/>
      <c r="AH152" s="59"/>
      <c r="AI152" s="59"/>
      <c r="AJ152" s="57"/>
      <c r="AK152" s="57"/>
      <c r="AL152" s="59"/>
      <c r="AM152" s="59"/>
      <c r="AN152" s="59"/>
      <c r="AO152" s="60"/>
      <c r="AP152" s="57"/>
      <c r="AQ152" s="77"/>
      <c r="AR152" s="76" t="e">
        <f t="shared" si="2"/>
        <v>#VALUE!</v>
      </c>
    </row>
    <row r="153" spans="1:44" x14ac:dyDescent="0.3">
      <c r="A153" s="56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8"/>
      <c r="R153" s="57"/>
      <c r="S153" s="59"/>
      <c r="T153" s="57"/>
      <c r="U153" s="57"/>
      <c r="V153" s="59"/>
      <c r="W153" s="59"/>
      <c r="X153" s="57"/>
      <c r="Y153" s="57"/>
      <c r="Z153" s="59"/>
      <c r="AA153" s="59"/>
      <c r="AB153" s="57"/>
      <c r="AC153" s="57"/>
      <c r="AD153" s="59"/>
      <c r="AE153" s="59"/>
      <c r="AF153" s="57"/>
      <c r="AG153" s="57"/>
      <c r="AH153" s="59"/>
      <c r="AI153" s="59"/>
      <c r="AJ153" s="57"/>
      <c r="AK153" s="57"/>
      <c r="AL153" s="59"/>
      <c r="AM153" s="59"/>
      <c r="AN153" s="59"/>
      <c r="AO153" s="60"/>
      <c r="AP153" s="57"/>
      <c r="AQ153" s="77"/>
      <c r="AR153" s="76" t="e">
        <f t="shared" si="2"/>
        <v>#VALUE!</v>
      </c>
    </row>
    <row r="154" spans="1:44" x14ac:dyDescent="0.3">
      <c r="A154" s="56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8"/>
      <c r="R154" s="57"/>
      <c r="S154" s="59"/>
      <c r="T154" s="57"/>
      <c r="U154" s="57"/>
      <c r="V154" s="59"/>
      <c r="W154" s="59"/>
      <c r="X154" s="57"/>
      <c r="Y154" s="57"/>
      <c r="Z154" s="59"/>
      <c r="AA154" s="59"/>
      <c r="AB154" s="57"/>
      <c r="AC154" s="57"/>
      <c r="AD154" s="59"/>
      <c r="AE154" s="59"/>
      <c r="AF154" s="57"/>
      <c r="AG154" s="57"/>
      <c r="AH154" s="59"/>
      <c r="AI154" s="59"/>
      <c r="AJ154" s="57"/>
      <c r="AK154" s="57"/>
      <c r="AL154" s="59"/>
      <c r="AM154" s="59"/>
      <c r="AN154" s="59"/>
      <c r="AO154" s="60"/>
      <c r="AP154" s="57"/>
      <c r="AQ154" s="77"/>
      <c r="AR154" s="76" t="e">
        <f t="shared" si="2"/>
        <v>#VALUE!</v>
      </c>
    </row>
    <row r="155" spans="1:44" x14ac:dyDescent="0.3">
      <c r="A155" s="56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8"/>
      <c r="R155" s="57"/>
      <c r="S155" s="59"/>
      <c r="T155" s="57"/>
      <c r="U155" s="57"/>
      <c r="V155" s="59"/>
      <c r="W155" s="59"/>
      <c r="X155" s="57"/>
      <c r="Y155" s="57"/>
      <c r="Z155" s="59"/>
      <c r="AA155" s="59"/>
      <c r="AB155" s="57"/>
      <c r="AC155" s="57"/>
      <c r="AD155" s="59"/>
      <c r="AE155" s="59"/>
      <c r="AF155" s="57"/>
      <c r="AG155" s="57"/>
      <c r="AH155" s="59"/>
      <c r="AI155" s="59"/>
      <c r="AJ155" s="57"/>
      <c r="AK155" s="57"/>
      <c r="AL155" s="59"/>
      <c r="AM155" s="59"/>
      <c r="AN155" s="59"/>
      <c r="AO155" s="60"/>
      <c r="AP155" s="57"/>
      <c r="AQ155" s="77"/>
      <c r="AR155" s="76" t="e">
        <f t="shared" si="2"/>
        <v>#VALUE!</v>
      </c>
    </row>
    <row r="156" spans="1:44" x14ac:dyDescent="0.3">
      <c r="A156" s="56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8"/>
      <c r="R156" s="57"/>
      <c r="S156" s="59"/>
      <c r="T156" s="57"/>
      <c r="U156" s="57"/>
      <c r="V156" s="59"/>
      <c r="W156" s="59"/>
      <c r="X156" s="57"/>
      <c r="Y156" s="57"/>
      <c r="Z156" s="59"/>
      <c r="AA156" s="59"/>
      <c r="AB156" s="57"/>
      <c r="AC156" s="57"/>
      <c r="AD156" s="59"/>
      <c r="AE156" s="59"/>
      <c r="AF156" s="57"/>
      <c r="AG156" s="57"/>
      <c r="AH156" s="59"/>
      <c r="AI156" s="59"/>
      <c r="AJ156" s="57"/>
      <c r="AK156" s="57"/>
      <c r="AL156" s="59"/>
      <c r="AM156" s="59"/>
      <c r="AN156" s="59"/>
      <c r="AO156" s="60"/>
      <c r="AP156" s="57"/>
      <c r="AQ156" s="77"/>
      <c r="AR156" s="76" t="e">
        <f t="shared" si="2"/>
        <v>#VALUE!</v>
      </c>
    </row>
    <row r="157" spans="1:44" x14ac:dyDescent="0.3">
      <c r="A157" s="56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8"/>
      <c r="R157" s="57"/>
      <c r="S157" s="59"/>
      <c r="T157" s="57"/>
      <c r="U157" s="57"/>
      <c r="V157" s="59"/>
      <c r="W157" s="59"/>
      <c r="X157" s="57"/>
      <c r="Y157" s="57"/>
      <c r="Z157" s="59"/>
      <c r="AA157" s="59"/>
      <c r="AB157" s="57"/>
      <c r="AC157" s="57"/>
      <c r="AD157" s="59"/>
      <c r="AE157" s="59"/>
      <c r="AF157" s="57"/>
      <c r="AG157" s="57"/>
      <c r="AH157" s="59"/>
      <c r="AI157" s="59"/>
      <c r="AJ157" s="57"/>
      <c r="AK157" s="57"/>
      <c r="AL157" s="59"/>
      <c r="AM157" s="59"/>
      <c r="AN157" s="59"/>
      <c r="AO157" s="60"/>
      <c r="AP157" s="57"/>
      <c r="AQ157" s="77"/>
      <c r="AR157" s="76" t="e">
        <f t="shared" si="2"/>
        <v>#VALUE!</v>
      </c>
    </row>
    <row r="158" spans="1:44" x14ac:dyDescent="0.3">
      <c r="A158" s="56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8"/>
      <c r="R158" s="57"/>
      <c r="S158" s="59"/>
      <c r="T158" s="57"/>
      <c r="U158" s="57"/>
      <c r="V158" s="59"/>
      <c r="W158" s="59"/>
      <c r="X158" s="57"/>
      <c r="Y158" s="57"/>
      <c r="Z158" s="59"/>
      <c r="AA158" s="59"/>
      <c r="AB158" s="57"/>
      <c r="AC158" s="57"/>
      <c r="AD158" s="59"/>
      <c r="AE158" s="59"/>
      <c r="AF158" s="57"/>
      <c r="AG158" s="57"/>
      <c r="AH158" s="59"/>
      <c r="AI158" s="59"/>
      <c r="AJ158" s="57"/>
      <c r="AK158" s="57"/>
      <c r="AL158" s="59"/>
      <c r="AM158" s="59"/>
      <c r="AN158" s="59"/>
      <c r="AO158" s="60"/>
      <c r="AP158" s="57"/>
      <c r="AQ158" s="77"/>
      <c r="AR158" s="76" t="e">
        <f t="shared" si="2"/>
        <v>#VALUE!</v>
      </c>
    </row>
    <row r="159" spans="1:44" x14ac:dyDescent="0.3">
      <c r="A159" s="56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8"/>
      <c r="R159" s="57"/>
      <c r="S159" s="59"/>
      <c r="T159" s="57"/>
      <c r="U159" s="57"/>
      <c r="V159" s="59"/>
      <c r="W159" s="59"/>
      <c r="X159" s="57"/>
      <c r="Y159" s="57"/>
      <c r="Z159" s="59"/>
      <c r="AA159" s="59"/>
      <c r="AB159" s="57"/>
      <c r="AC159" s="57"/>
      <c r="AD159" s="59"/>
      <c r="AE159" s="59"/>
      <c r="AF159" s="57"/>
      <c r="AG159" s="57"/>
      <c r="AH159" s="59"/>
      <c r="AI159" s="59"/>
      <c r="AJ159" s="57"/>
      <c r="AK159" s="57"/>
      <c r="AL159" s="59"/>
      <c r="AM159" s="59"/>
      <c r="AN159" s="59"/>
      <c r="AO159" s="60"/>
      <c r="AP159" s="57"/>
      <c r="AQ159" s="77"/>
      <c r="AR159" s="76" t="e">
        <f t="shared" si="2"/>
        <v>#VALUE!</v>
      </c>
    </row>
    <row r="160" spans="1:44" x14ac:dyDescent="0.3">
      <c r="A160" s="56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8"/>
      <c r="R160" s="57"/>
      <c r="S160" s="59"/>
      <c r="T160" s="57"/>
      <c r="U160" s="57"/>
      <c r="V160" s="59"/>
      <c r="W160" s="59"/>
      <c r="X160" s="57"/>
      <c r="Y160" s="57"/>
      <c r="Z160" s="59"/>
      <c r="AA160" s="59"/>
      <c r="AB160" s="57"/>
      <c r="AC160" s="57"/>
      <c r="AD160" s="59"/>
      <c r="AE160" s="59"/>
      <c r="AF160" s="57"/>
      <c r="AG160" s="57"/>
      <c r="AH160" s="59"/>
      <c r="AI160" s="59"/>
      <c r="AJ160" s="57"/>
      <c r="AK160" s="57"/>
      <c r="AL160" s="59"/>
      <c r="AM160" s="59"/>
      <c r="AN160" s="59"/>
      <c r="AO160" s="60"/>
      <c r="AP160" s="57"/>
      <c r="AQ160" s="77"/>
      <c r="AR160" s="76" t="e">
        <f t="shared" si="2"/>
        <v>#VALUE!</v>
      </c>
    </row>
    <row r="161" spans="1:44" x14ac:dyDescent="0.3">
      <c r="A161" s="56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8"/>
      <c r="R161" s="57"/>
      <c r="S161" s="59"/>
      <c r="T161" s="57"/>
      <c r="U161" s="57"/>
      <c r="V161" s="59"/>
      <c r="W161" s="59"/>
      <c r="X161" s="57"/>
      <c r="Y161" s="57"/>
      <c r="Z161" s="59"/>
      <c r="AA161" s="59"/>
      <c r="AB161" s="57"/>
      <c r="AC161" s="57"/>
      <c r="AD161" s="59"/>
      <c r="AE161" s="59"/>
      <c r="AF161" s="57"/>
      <c r="AG161" s="57"/>
      <c r="AH161" s="59"/>
      <c r="AI161" s="59"/>
      <c r="AJ161" s="57"/>
      <c r="AK161" s="57"/>
      <c r="AL161" s="59"/>
      <c r="AM161" s="59"/>
      <c r="AN161" s="59"/>
      <c r="AO161" s="60"/>
      <c r="AP161" s="57"/>
      <c r="AQ161" s="77"/>
      <c r="AR161" s="76" t="e">
        <f t="shared" si="2"/>
        <v>#VALUE!</v>
      </c>
    </row>
    <row r="162" spans="1:44" x14ac:dyDescent="0.3">
      <c r="A162" s="56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8"/>
      <c r="R162" s="57"/>
      <c r="S162" s="59"/>
      <c r="T162" s="57"/>
      <c r="U162" s="57"/>
      <c r="V162" s="59"/>
      <c r="W162" s="59"/>
      <c r="X162" s="57"/>
      <c r="Y162" s="57"/>
      <c r="Z162" s="59"/>
      <c r="AA162" s="59"/>
      <c r="AB162" s="57"/>
      <c r="AC162" s="57"/>
      <c r="AD162" s="59"/>
      <c r="AE162" s="59"/>
      <c r="AF162" s="57"/>
      <c r="AG162" s="57"/>
      <c r="AH162" s="59"/>
      <c r="AI162" s="59"/>
      <c r="AJ162" s="57"/>
      <c r="AK162" s="57"/>
      <c r="AL162" s="59"/>
      <c r="AM162" s="59"/>
      <c r="AN162" s="59"/>
      <c r="AO162" s="60"/>
      <c r="AP162" s="57"/>
      <c r="AQ162" s="77"/>
      <c r="AR162" s="76" t="e">
        <f t="shared" si="2"/>
        <v>#VALUE!</v>
      </c>
    </row>
    <row r="163" spans="1:44" x14ac:dyDescent="0.3">
      <c r="A163" s="56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8"/>
      <c r="R163" s="57"/>
      <c r="S163" s="59"/>
      <c r="T163" s="57"/>
      <c r="U163" s="57"/>
      <c r="V163" s="59"/>
      <c r="W163" s="59"/>
      <c r="X163" s="57"/>
      <c r="Y163" s="57"/>
      <c r="Z163" s="59"/>
      <c r="AA163" s="59"/>
      <c r="AB163" s="57"/>
      <c r="AC163" s="57"/>
      <c r="AD163" s="59"/>
      <c r="AE163" s="59"/>
      <c r="AF163" s="57"/>
      <c r="AG163" s="57"/>
      <c r="AH163" s="59"/>
      <c r="AI163" s="59"/>
      <c r="AJ163" s="57"/>
      <c r="AK163" s="57"/>
      <c r="AL163" s="59"/>
      <c r="AM163" s="59"/>
      <c r="AN163" s="59"/>
      <c r="AO163" s="60"/>
      <c r="AP163" s="57"/>
      <c r="AQ163" s="77"/>
      <c r="AR163" s="76" t="e">
        <f t="shared" si="2"/>
        <v>#VALUE!</v>
      </c>
    </row>
    <row r="164" spans="1:44" x14ac:dyDescent="0.3">
      <c r="A164" s="56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8"/>
      <c r="R164" s="57"/>
      <c r="S164" s="59"/>
      <c r="T164" s="57"/>
      <c r="U164" s="57"/>
      <c r="V164" s="59"/>
      <c r="W164" s="59"/>
      <c r="X164" s="57"/>
      <c r="Y164" s="57"/>
      <c r="Z164" s="59"/>
      <c r="AA164" s="59"/>
      <c r="AB164" s="57"/>
      <c r="AC164" s="57"/>
      <c r="AD164" s="59"/>
      <c r="AE164" s="59"/>
      <c r="AF164" s="57"/>
      <c r="AG164" s="57"/>
      <c r="AH164" s="59"/>
      <c r="AI164" s="59"/>
      <c r="AJ164" s="57"/>
      <c r="AK164" s="57"/>
      <c r="AL164" s="59"/>
      <c r="AM164" s="59"/>
      <c r="AN164" s="59"/>
      <c r="AO164" s="60"/>
      <c r="AP164" s="57"/>
      <c r="AQ164" s="77"/>
      <c r="AR164" s="76" t="e">
        <f t="shared" si="2"/>
        <v>#VALUE!</v>
      </c>
    </row>
    <row r="165" spans="1:44" x14ac:dyDescent="0.3">
      <c r="A165" s="56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8"/>
      <c r="R165" s="57"/>
      <c r="S165" s="59"/>
      <c r="T165" s="57"/>
      <c r="U165" s="57"/>
      <c r="V165" s="59"/>
      <c r="W165" s="59"/>
      <c r="X165" s="57"/>
      <c r="Y165" s="57"/>
      <c r="Z165" s="59"/>
      <c r="AA165" s="59"/>
      <c r="AB165" s="57"/>
      <c r="AC165" s="57"/>
      <c r="AD165" s="59"/>
      <c r="AE165" s="59"/>
      <c r="AF165" s="57"/>
      <c r="AG165" s="57"/>
      <c r="AH165" s="59"/>
      <c r="AI165" s="59"/>
      <c r="AJ165" s="57"/>
      <c r="AK165" s="57"/>
      <c r="AL165" s="59"/>
      <c r="AM165" s="59"/>
      <c r="AN165" s="59"/>
      <c r="AO165" s="60"/>
      <c r="AP165" s="57"/>
      <c r="AQ165" s="77"/>
      <c r="AR165" s="76" t="e">
        <f t="shared" si="2"/>
        <v>#VALUE!</v>
      </c>
    </row>
    <row r="166" spans="1:44" x14ac:dyDescent="0.3">
      <c r="A166" s="56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8"/>
      <c r="R166" s="57"/>
      <c r="S166" s="59"/>
      <c r="T166" s="57"/>
      <c r="U166" s="57"/>
      <c r="V166" s="59"/>
      <c r="W166" s="59"/>
      <c r="X166" s="57"/>
      <c r="Y166" s="57"/>
      <c r="Z166" s="59"/>
      <c r="AA166" s="59"/>
      <c r="AB166" s="57"/>
      <c r="AC166" s="57"/>
      <c r="AD166" s="59"/>
      <c r="AE166" s="59"/>
      <c r="AF166" s="57"/>
      <c r="AG166" s="57"/>
      <c r="AH166" s="59"/>
      <c r="AI166" s="59"/>
      <c r="AJ166" s="57"/>
      <c r="AK166" s="57"/>
      <c r="AL166" s="59"/>
      <c r="AM166" s="59"/>
      <c r="AN166" s="59"/>
      <c r="AO166" s="60"/>
      <c r="AP166" s="57"/>
      <c r="AQ166" s="77"/>
      <c r="AR166" s="76" t="e">
        <f t="shared" si="2"/>
        <v>#VALUE!</v>
      </c>
    </row>
    <row r="167" spans="1:44" x14ac:dyDescent="0.3">
      <c r="A167" s="56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8"/>
      <c r="R167" s="57"/>
      <c r="S167" s="59"/>
      <c r="T167" s="57"/>
      <c r="U167" s="57"/>
      <c r="V167" s="59"/>
      <c r="W167" s="59"/>
      <c r="X167" s="57"/>
      <c r="Y167" s="57"/>
      <c r="Z167" s="59"/>
      <c r="AA167" s="59"/>
      <c r="AB167" s="57"/>
      <c r="AC167" s="57"/>
      <c r="AD167" s="59"/>
      <c r="AE167" s="59"/>
      <c r="AF167" s="57"/>
      <c r="AG167" s="57"/>
      <c r="AH167" s="59"/>
      <c r="AI167" s="59"/>
      <c r="AJ167" s="57"/>
      <c r="AK167" s="57"/>
      <c r="AL167" s="59"/>
      <c r="AM167" s="59"/>
      <c r="AN167" s="59"/>
      <c r="AO167" s="60"/>
      <c r="AP167" s="57"/>
      <c r="AQ167" s="77"/>
      <c r="AR167" s="76" t="e">
        <f t="shared" si="2"/>
        <v>#VALUE!</v>
      </c>
    </row>
    <row r="168" spans="1:44" x14ac:dyDescent="0.3">
      <c r="A168" s="56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8"/>
      <c r="R168" s="57"/>
      <c r="S168" s="59"/>
      <c r="T168" s="57"/>
      <c r="U168" s="57"/>
      <c r="V168" s="59"/>
      <c r="W168" s="59"/>
      <c r="X168" s="57"/>
      <c r="Y168" s="57"/>
      <c r="Z168" s="59"/>
      <c r="AA168" s="59"/>
      <c r="AB168" s="57"/>
      <c r="AC168" s="57"/>
      <c r="AD168" s="59"/>
      <c r="AE168" s="59"/>
      <c r="AF168" s="57"/>
      <c r="AG168" s="57"/>
      <c r="AH168" s="59"/>
      <c r="AI168" s="59"/>
      <c r="AJ168" s="57"/>
      <c r="AK168" s="57"/>
      <c r="AL168" s="59"/>
      <c r="AM168" s="59"/>
      <c r="AN168" s="59"/>
      <c r="AO168" s="60"/>
      <c r="AP168" s="57"/>
      <c r="AQ168" s="77"/>
      <c r="AR168" s="76" t="e">
        <f t="shared" si="2"/>
        <v>#VALUE!</v>
      </c>
    </row>
    <row r="169" spans="1:44" x14ac:dyDescent="0.3">
      <c r="A169" s="56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8"/>
      <c r="R169" s="57"/>
      <c r="S169" s="59"/>
      <c r="T169" s="57"/>
      <c r="U169" s="57"/>
      <c r="V169" s="59"/>
      <c r="W169" s="59"/>
      <c r="X169" s="57"/>
      <c r="Y169" s="57"/>
      <c r="Z169" s="59"/>
      <c r="AA169" s="59"/>
      <c r="AB169" s="57"/>
      <c r="AC169" s="57"/>
      <c r="AD169" s="59"/>
      <c r="AE169" s="59"/>
      <c r="AF169" s="57"/>
      <c r="AG169" s="57"/>
      <c r="AH169" s="59"/>
      <c r="AI169" s="59"/>
      <c r="AJ169" s="57"/>
      <c r="AK169" s="57"/>
      <c r="AL169" s="59"/>
      <c r="AM169" s="59"/>
      <c r="AN169" s="59"/>
      <c r="AO169" s="60"/>
      <c r="AP169" s="57"/>
      <c r="AQ169" s="77"/>
      <c r="AR169" s="76" t="e">
        <f t="shared" si="2"/>
        <v>#VALUE!</v>
      </c>
    </row>
    <row r="170" spans="1:44" x14ac:dyDescent="0.3">
      <c r="A170" s="56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8"/>
      <c r="R170" s="57"/>
      <c r="S170" s="59"/>
      <c r="T170" s="57"/>
      <c r="U170" s="57"/>
      <c r="V170" s="59"/>
      <c r="W170" s="59"/>
      <c r="X170" s="57"/>
      <c r="Y170" s="57"/>
      <c r="Z170" s="59"/>
      <c r="AA170" s="59"/>
      <c r="AB170" s="57"/>
      <c r="AC170" s="57"/>
      <c r="AD170" s="59"/>
      <c r="AE170" s="59"/>
      <c r="AF170" s="57"/>
      <c r="AG170" s="57"/>
      <c r="AH170" s="59"/>
      <c r="AI170" s="59"/>
      <c r="AJ170" s="57"/>
      <c r="AK170" s="57"/>
      <c r="AL170" s="59"/>
      <c r="AM170" s="59"/>
      <c r="AN170" s="59"/>
      <c r="AO170" s="60"/>
      <c r="AP170" s="57"/>
      <c r="AQ170" s="77"/>
      <c r="AR170" s="76" t="e">
        <f t="shared" si="2"/>
        <v>#VALUE!</v>
      </c>
    </row>
    <row r="171" spans="1:44" x14ac:dyDescent="0.3">
      <c r="A171" s="56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8"/>
      <c r="R171" s="57"/>
      <c r="S171" s="59"/>
      <c r="T171" s="57"/>
      <c r="U171" s="57"/>
      <c r="V171" s="59"/>
      <c r="W171" s="59"/>
      <c r="X171" s="57"/>
      <c r="Y171" s="57"/>
      <c r="Z171" s="59"/>
      <c r="AA171" s="59"/>
      <c r="AB171" s="57"/>
      <c r="AC171" s="57"/>
      <c r="AD171" s="59"/>
      <c r="AE171" s="59"/>
      <c r="AF171" s="57"/>
      <c r="AG171" s="57"/>
      <c r="AH171" s="59"/>
      <c r="AI171" s="59"/>
      <c r="AJ171" s="57"/>
      <c r="AK171" s="57"/>
      <c r="AL171" s="59"/>
      <c r="AM171" s="59"/>
      <c r="AN171" s="59"/>
      <c r="AO171" s="60"/>
      <c r="AP171" s="57"/>
      <c r="AQ171" s="77"/>
      <c r="AR171" s="76" t="e">
        <f t="shared" si="2"/>
        <v>#VALUE!</v>
      </c>
    </row>
    <row r="172" spans="1:44" x14ac:dyDescent="0.3">
      <c r="A172" s="56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8"/>
      <c r="R172" s="57"/>
      <c r="S172" s="59"/>
      <c r="T172" s="57"/>
      <c r="U172" s="57"/>
      <c r="V172" s="59"/>
      <c r="W172" s="59"/>
      <c r="X172" s="57"/>
      <c r="Y172" s="57"/>
      <c r="Z172" s="59"/>
      <c r="AA172" s="59"/>
      <c r="AB172" s="57"/>
      <c r="AC172" s="57"/>
      <c r="AD172" s="59"/>
      <c r="AE172" s="59"/>
      <c r="AF172" s="57"/>
      <c r="AG172" s="57"/>
      <c r="AH172" s="59"/>
      <c r="AI172" s="59"/>
      <c r="AJ172" s="57"/>
      <c r="AK172" s="57"/>
      <c r="AL172" s="59"/>
      <c r="AM172" s="59"/>
      <c r="AN172" s="59"/>
      <c r="AO172" s="60"/>
      <c r="AP172" s="57"/>
      <c r="AQ172" s="77"/>
      <c r="AR172" s="76" t="e">
        <f t="shared" si="2"/>
        <v>#VALUE!</v>
      </c>
    </row>
    <row r="173" spans="1:44" x14ac:dyDescent="0.3">
      <c r="A173" s="56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8"/>
      <c r="R173" s="57"/>
      <c r="S173" s="59"/>
      <c r="T173" s="57"/>
      <c r="U173" s="57"/>
      <c r="V173" s="59"/>
      <c r="W173" s="59"/>
      <c r="X173" s="57"/>
      <c r="Y173" s="57"/>
      <c r="Z173" s="59"/>
      <c r="AA173" s="59"/>
      <c r="AB173" s="57"/>
      <c r="AC173" s="57"/>
      <c r="AD173" s="59"/>
      <c r="AE173" s="59"/>
      <c r="AF173" s="57"/>
      <c r="AG173" s="57"/>
      <c r="AH173" s="59"/>
      <c r="AI173" s="59"/>
      <c r="AJ173" s="57"/>
      <c r="AK173" s="57"/>
      <c r="AL173" s="59"/>
      <c r="AM173" s="59"/>
      <c r="AN173" s="59"/>
      <c r="AO173" s="60"/>
      <c r="AP173" s="57"/>
      <c r="AQ173" s="77"/>
      <c r="AR173" s="76" t="e">
        <f t="shared" si="2"/>
        <v>#VALUE!</v>
      </c>
    </row>
    <row r="174" spans="1:44" x14ac:dyDescent="0.3">
      <c r="A174" s="56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8"/>
      <c r="R174" s="57"/>
      <c r="S174" s="59"/>
      <c r="T174" s="57"/>
      <c r="U174" s="57"/>
      <c r="V174" s="59"/>
      <c r="W174" s="59"/>
      <c r="X174" s="57"/>
      <c r="Y174" s="57"/>
      <c r="Z174" s="59"/>
      <c r="AA174" s="59"/>
      <c r="AB174" s="57"/>
      <c r="AC174" s="57"/>
      <c r="AD174" s="59"/>
      <c r="AE174" s="59"/>
      <c r="AF174" s="57"/>
      <c r="AG174" s="57"/>
      <c r="AH174" s="59"/>
      <c r="AI174" s="59"/>
      <c r="AJ174" s="57"/>
      <c r="AK174" s="57"/>
      <c r="AL174" s="59"/>
      <c r="AM174" s="59"/>
      <c r="AN174" s="59"/>
      <c r="AO174" s="60"/>
      <c r="AP174" s="57"/>
      <c r="AQ174" s="77"/>
      <c r="AR174" s="76" t="e">
        <f t="shared" si="2"/>
        <v>#VALUE!</v>
      </c>
    </row>
    <row r="175" spans="1:44" x14ac:dyDescent="0.3">
      <c r="A175" s="56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8"/>
      <c r="R175" s="57"/>
      <c r="S175" s="59"/>
      <c r="T175" s="57"/>
      <c r="U175" s="57"/>
      <c r="V175" s="59"/>
      <c r="W175" s="59"/>
      <c r="X175" s="57"/>
      <c r="Y175" s="57"/>
      <c r="Z175" s="59"/>
      <c r="AA175" s="59"/>
      <c r="AB175" s="57"/>
      <c r="AC175" s="57"/>
      <c r="AD175" s="59"/>
      <c r="AE175" s="59"/>
      <c r="AF175" s="57"/>
      <c r="AG175" s="57"/>
      <c r="AH175" s="59"/>
      <c r="AI175" s="59"/>
      <c r="AJ175" s="57"/>
      <c r="AK175" s="57"/>
      <c r="AL175" s="59"/>
      <c r="AM175" s="59"/>
      <c r="AN175" s="59"/>
      <c r="AO175" s="60"/>
      <c r="AP175" s="57"/>
      <c r="AQ175" s="77"/>
      <c r="AR175" s="76" t="e">
        <f t="shared" si="2"/>
        <v>#VALUE!</v>
      </c>
    </row>
    <row r="176" spans="1:44" x14ac:dyDescent="0.3">
      <c r="A176" s="56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8"/>
      <c r="R176" s="57"/>
      <c r="S176" s="59"/>
      <c r="T176" s="57"/>
      <c r="U176" s="57"/>
      <c r="V176" s="59"/>
      <c r="W176" s="59"/>
      <c r="X176" s="57"/>
      <c r="Y176" s="57"/>
      <c r="Z176" s="59"/>
      <c r="AA176" s="59"/>
      <c r="AB176" s="57"/>
      <c r="AC176" s="57"/>
      <c r="AD176" s="59"/>
      <c r="AE176" s="59"/>
      <c r="AF176" s="57"/>
      <c r="AG176" s="57"/>
      <c r="AH176" s="59"/>
      <c r="AI176" s="59"/>
      <c r="AJ176" s="57"/>
      <c r="AK176" s="57"/>
      <c r="AL176" s="59"/>
      <c r="AM176" s="59"/>
      <c r="AN176" s="59"/>
      <c r="AO176" s="60"/>
      <c r="AP176" s="57"/>
      <c r="AQ176" s="77"/>
      <c r="AR176" s="76" t="e">
        <f t="shared" si="2"/>
        <v>#VALUE!</v>
      </c>
    </row>
    <row r="177" spans="1:44" x14ac:dyDescent="0.3">
      <c r="A177" s="56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8"/>
      <c r="R177" s="57"/>
      <c r="S177" s="59"/>
      <c r="T177" s="57"/>
      <c r="U177" s="57"/>
      <c r="V177" s="59"/>
      <c r="W177" s="59"/>
      <c r="X177" s="57"/>
      <c r="Y177" s="57"/>
      <c r="Z177" s="59"/>
      <c r="AA177" s="59"/>
      <c r="AB177" s="57"/>
      <c r="AC177" s="57"/>
      <c r="AD177" s="59"/>
      <c r="AE177" s="59"/>
      <c r="AF177" s="57"/>
      <c r="AG177" s="57"/>
      <c r="AH177" s="59"/>
      <c r="AI177" s="59"/>
      <c r="AJ177" s="57"/>
      <c r="AK177" s="57"/>
      <c r="AL177" s="59"/>
      <c r="AM177" s="59"/>
      <c r="AN177" s="59"/>
      <c r="AO177" s="60"/>
      <c r="AP177" s="57"/>
      <c r="AQ177" s="77"/>
      <c r="AR177" s="76" t="e">
        <f t="shared" si="2"/>
        <v>#VALUE!</v>
      </c>
    </row>
    <row r="178" spans="1:44" x14ac:dyDescent="0.3">
      <c r="A178" s="56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8"/>
      <c r="R178" s="57"/>
      <c r="S178" s="59"/>
      <c r="T178" s="57"/>
      <c r="U178" s="57"/>
      <c r="V178" s="59"/>
      <c r="W178" s="59"/>
      <c r="X178" s="57"/>
      <c r="Y178" s="57"/>
      <c r="Z178" s="59"/>
      <c r="AA178" s="59"/>
      <c r="AB178" s="57"/>
      <c r="AC178" s="57"/>
      <c r="AD178" s="59"/>
      <c r="AE178" s="59"/>
      <c r="AF178" s="57"/>
      <c r="AG178" s="57"/>
      <c r="AH178" s="59"/>
      <c r="AI178" s="59"/>
      <c r="AJ178" s="57"/>
      <c r="AK178" s="57"/>
      <c r="AL178" s="59"/>
      <c r="AM178" s="59"/>
      <c r="AN178" s="59"/>
      <c r="AO178" s="60"/>
      <c r="AP178" s="57"/>
      <c r="AQ178" s="77"/>
      <c r="AR178" s="76" t="e">
        <f t="shared" si="2"/>
        <v>#VALUE!</v>
      </c>
    </row>
    <row r="179" spans="1:44" x14ac:dyDescent="0.3">
      <c r="A179" s="56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8"/>
      <c r="R179" s="57"/>
      <c r="S179" s="59"/>
      <c r="T179" s="57"/>
      <c r="U179" s="57"/>
      <c r="V179" s="59"/>
      <c r="W179" s="59"/>
      <c r="X179" s="57"/>
      <c r="Y179" s="57"/>
      <c r="Z179" s="59"/>
      <c r="AA179" s="59"/>
      <c r="AB179" s="57"/>
      <c r="AC179" s="57"/>
      <c r="AD179" s="59"/>
      <c r="AE179" s="59"/>
      <c r="AF179" s="57"/>
      <c r="AG179" s="57"/>
      <c r="AH179" s="59"/>
      <c r="AI179" s="59"/>
      <c r="AJ179" s="57"/>
      <c r="AK179" s="57"/>
      <c r="AL179" s="59"/>
      <c r="AM179" s="59"/>
      <c r="AN179" s="59"/>
      <c r="AO179" s="60"/>
      <c r="AP179" s="57"/>
      <c r="AQ179" s="77"/>
      <c r="AR179" s="76" t="e">
        <f t="shared" si="2"/>
        <v>#VALUE!</v>
      </c>
    </row>
    <row r="180" spans="1:44" x14ac:dyDescent="0.3">
      <c r="A180" s="56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8"/>
      <c r="R180" s="57"/>
      <c r="S180" s="59"/>
      <c r="T180" s="57"/>
      <c r="U180" s="57"/>
      <c r="V180" s="59"/>
      <c r="W180" s="59"/>
      <c r="X180" s="57"/>
      <c r="Y180" s="57"/>
      <c r="Z180" s="59"/>
      <c r="AA180" s="59"/>
      <c r="AB180" s="57"/>
      <c r="AC180" s="57"/>
      <c r="AD180" s="59"/>
      <c r="AE180" s="59"/>
      <c r="AF180" s="57"/>
      <c r="AG180" s="57"/>
      <c r="AH180" s="59"/>
      <c r="AI180" s="59"/>
      <c r="AJ180" s="57"/>
      <c r="AK180" s="57"/>
      <c r="AL180" s="59"/>
      <c r="AM180" s="59"/>
      <c r="AN180" s="59"/>
      <c r="AO180" s="60"/>
      <c r="AP180" s="57"/>
      <c r="AQ180" s="77"/>
      <c r="AR180" s="76" t="e">
        <f t="shared" si="2"/>
        <v>#VALUE!</v>
      </c>
    </row>
    <row r="181" spans="1:44" x14ac:dyDescent="0.3">
      <c r="A181" s="56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8"/>
      <c r="R181" s="57"/>
      <c r="S181" s="59"/>
      <c r="T181" s="57"/>
      <c r="U181" s="57"/>
      <c r="V181" s="59"/>
      <c r="W181" s="59"/>
      <c r="X181" s="57"/>
      <c r="Y181" s="57"/>
      <c r="Z181" s="59"/>
      <c r="AA181" s="59"/>
      <c r="AB181" s="57"/>
      <c r="AC181" s="57"/>
      <c r="AD181" s="59"/>
      <c r="AE181" s="59"/>
      <c r="AF181" s="57"/>
      <c r="AG181" s="57"/>
      <c r="AH181" s="59"/>
      <c r="AI181" s="59"/>
      <c r="AJ181" s="57"/>
      <c r="AK181" s="57"/>
      <c r="AL181" s="59"/>
      <c r="AM181" s="59"/>
      <c r="AN181" s="59"/>
      <c r="AO181" s="60"/>
      <c r="AP181" s="57"/>
      <c r="AQ181" s="77"/>
      <c r="AR181" s="76" t="e">
        <f t="shared" si="2"/>
        <v>#VALUE!</v>
      </c>
    </row>
    <row r="182" spans="1:44" x14ac:dyDescent="0.3">
      <c r="A182" s="56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8"/>
      <c r="R182" s="57"/>
      <c r="S182" s="59"/>
      <c r="T182" s="57"/>
      <c r="U182" s="57"/>
      <c r="V182" s="59"/>
      <c r="W182" s="59"/>
      <c r="X182" s="57"/>
      <c r="Y182" s="57"/>
      <c r="Z182" s="59"/>
      <c r="AA182" s="59"/>
      <c r="AB182" s="57"/>
      <c r="AC182" s="57"/>
      <c r="AD182" s="59"/>
      <c r="AE182" s="59"/>
      <c r="AF182" s="57"/>
      <c r="AG182" s="57"/>
      <c r="AH182" s="59"/>
      <c r="AI182" s="59"/>
      <c r="AJ182" s="57"/>
      <c r="AK182" s="57"/>
      <c r="AL182" s="59"/>
      <c r="AM182" s="59"/>
      <c r="AN182" s="59"/>
      <c r="AO182" s="60"/>
      <c r="AP182" s="57"/>
      <c r="AQ182" s="77"/>
      <c r="AR182" s="76" t="e">
        <f t="shared" si="2"/>
        <v>#VALUE!</v>
      </c>
    </row>
    <row r="183" spans="1:44" x14ac:dyDescent="0.3">
      <c r="A183" s="56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8"/>
      <c r="R183" s="57"/>
      <c r="S183" s="59"/>
      <c r="T183" s="57"/>
      <c r="U183" s="57"/>
      <c r="V183" s="59"/>
      <c r="W183" s="59"/>
      <c r="X183" s="57"/>
      <c r="Y183" s="57"/>
      <c r="Z183" s="59"/>
      <c r="AA183" s="59"/>
      <c r="AB183" s="57"/>
      <c r="AC183" s="57"/>
      <c r="AD183" s="59"/>
      <c r="AE183" s="59"/>
      <c r="AF183" s="57"/>
      <c r="AG183" s="57"/>
      <c r="AH183" s="59"/>
      <c r="AI183" s="59"/>
      <c r="AJ183" s="57"/>
      <c r="AK183" s="57"/>
      <c r="AL183" s="59"/>
      <c r="AM183" s="59"/>
      <c r="AN183" s="59"/>
      <c r="AO183" s="60"/>
      <c r="AP183" s="57"/>
      <c r="AQ183" s="77"/>
      <c r="AR183" s="76" t="e">
        <f t="shared" si="2"/>
        <v>#VALUE!</v>
      </c>
    </row>
    <row r="184" spans="1:44" x14ac:dyDescent="0.3">
      <c r="A184" s="56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8"/>
      <c r="R184" s="57"/>
      <c r="S184" s="59"/>
      <c r="T184" s="57"/>
      <c r="U184" s="57"/>
      <c r="V184" s="59"/>
      <c r="W184" s="59"/>
      <c r="X184" s="57"/>
      <c r="Y184" s="57"/>
      <c r="Z184" s="59"/>
      <c r="AA184" s="59"/>
      <c r="AB184" s="57"/>
      <c r="AC184" s="57"/>
      <c r="AD184" s="59"/>
      <c r="AE184" s="59"/>
      <c r="AF184" s="57"/>
      <c r="AG184" s="57"/>
      <c r="AH184" s="59"/>
      <c r="AI184" s="59"/>
      <c r="AJ184" s="57"/>
      <c r="AK184" s="57"/>
      <c r="AL184" s="59"/>
      <c r="AM184" s="59"/>
      <c r="AN184" s="59"/>
      <c r="AO184" s="60"/>
      <c r="AP184" s="57"/>
      <c r="AQ184" s="77"/>
      <c r="AR184" s="76" t="e">
        <f t="shared" si="2"/>
        <v>#VALUE!</v>
      </c>
    </row>
    <row r="185" spans="1:44" x14ac:dyDescent="0.3">
      <c r="A185" s="56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8"/>
      <c r="R185" s="57"/>
      <c r="S185" s="59"/>
      <c r="T185" s="57"/>
      <c r="U185" s="57"/>
      <c r="V185" s="59"/>
      <c r="W185" s="59"/>
      <c r="X185" s="57"/>
      <c r="Y185" s="57"/>
      <c r="Z185" s="59"/>
      <c r="AA185" s="59"/>
      <c r="AB185" s="57"/>
      <c r="AC185" s="57"/>
      <c r="AD185" s="59"/>
      <c r="AE185" s="59"/>
      <c r="AF185" s="57"/>
      <c r="AG185" s="57"/>
      <c r="AH185" s="59"/>
      <c r="AI185" s="59"/>
      <c r="AJ185" s="57"/>
      <c r="AK185" s="57"/>
      <c r="AL185" s="59"/>
      <c r="AM185" s="59"/>
      <c r="AN185" s="59"/>
      <c r="AO185" s="60"/>
      <c r="AP185" s="57"/>
      <c r="AQ185" s="77"/>
      <c r="AR185" s="76" t="e">
        <f t="shared" si="2"/>
        <v>#VALUE!</v>
      </c>
    </row>
    <row r="186" spans="1:44" x14ac:dyDescent="0.3">
      <c r="A186" s="56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8"/>
      <c r="R186" s="57"/>
      <c r="S186" s="59"/>
      <c r="T186" s="57"/>
      <c r="U186" s="57"/>
      <c r="V186" s="59"/>
      <c r="W186" s="59"/>
      <c r="X186" s="57"/>
      <c r="Y186" s="57"/>
      <c r="Z186" s="59"/>
      <c r="AA186" s="59"/>
      <c r="AB186" s="57"/>
      <c r="AC186" s="57"/>
      <c r="AD186" s="59"/>
      <c r="AE186" s="59"/>
      <c r="AF186" s="57"/>
      <c r="AG186" s="57"/>
      <c r="AH186" s="59"/>
      <c r="AI186" s="59"/>
      <c r="AJ186" s="57"/>
      <c r="AK186" s="57"/>
      <c r="AL186" s="59"/>
      <c r="AM186" s="59"/>
      <c r="AN186" s="59"/>
      <c r="AO186" s="60"/>
      <c r="AP186" s="57"/>
      <c r="AQ186" s="77"/>
      <c r="AR186" s="76" t="e">
        <f t="shared" si="2"/>
        <v>#VALUE!</v>
      </c>
    </row>
    <row r="187" spans="1:44" x14ac:dyDescent="0.3">
      <c r="A187" s="56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8"/>
      <c r="R187" s="57"/>
      <c r="S187" s="59"/>
      <c r="T187" s="57"/>
      <c r="U187" s="57"/>
      <c r="V187" s="59"/>
      <c r="W187" s="59"/>
      <c r="X187" s="57"/>
      <c r="Y187" s="57"/>
      <c r="Z187" s="59"/>
      <c r="AA187" s="59"/>
      <c r="AB187" s="57"/>
      <c r="AC187" s="57"/>
      <c r="AD187" s="59"/>
      <c r="AE187" s="59"/>
      <c r="AF187" s="57"/>
      <c r="AG187" s="57"/>
      <c r="AH187" s="59"/>
      <c r="AI187" s="59"/>
      <c r="AJ187" s="57"/>
      <c r="AK187" s="57"/>
      <c r="AL187" s="59"/>
      <c r="AM187" s="59"/>
      <c r="AN187" s="59"/>
      <c r="AO187" s="60"/>
      <c r="AP187" s="57"/>
      <c r="AQ187" s="77"/>
      <c r="AR187" s="76" t="e">
        <f t="shared" si="2"/>
        <v>#VALUE!</v>
      </c>
    </row>
    <row r="188" spans="1:44" x14ac:dyDescent="0.3">
      <c r="A188" s="56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8"/>
      <c r="R188" s="57"/>
      <c r="S188" s="59"/>
      <c r="T188" s="57"/>
      <c r="U188" s="57"/>
      <c r="V188" s="59"/>
      <c r="W188" s="59"/>
      <c r="X188" s="57"/>
      <c r="Y188" s="57"/>
      <c r="Z188" s="59"/>
      <c r="AA188" s="59"/>
      <c r="AB188" s="57"/>
      <c r="AC188" s="57"/>
      <c r="AD188" s="59"/>
      <c r="AE188" s="59"/>
      <c r="AF188" s="57"/>
      <c r="AG188" s="57"/>
      <c r="AH188" s="59"/>
      <c r="AI188" s="59"/>
      <c r="AJ188" s="57"/>
      <c r="AK188" s="57"/>
      <c r="AL188" s="59"/>
      <c r="AM188" s="59"/>
      <c r="AN188" s="59"/>
      <c r="AO188" s="60"/>
      <c r="AP188" s="57"/>
      <c r="AQ188" s="77"/>
      <c r="AR188" s="76" t="e">
        <f t="shared" si="2"/>
        <v>#VALUE!</v>
      </c>
    </row>
    <row r="189" spans="1:44" x14ac:dyDescent="0.3">
      <c r="A189" s="56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8"/>
      <c r="R189" s="57"/>
      <c r="S189" s="59"/>
      <c r="T189" s="57"/>
      <c r="U189" s="57"/>
      <c r="V189" s="59"/>
      <c r="W189" s="59"/>
      <c r="X189" s="57"/>
      <c r="Y189" s="57"/>
      <c r="Z189" s="59"/>
      <c r="AA189" s="59"/>
      <c r="AB189" s="57"/>
      <c r="AC189" s="57"/>
      <c r="AD189" s="59"/>
      <c r="AE189" s="59"/>
      <c r="AF189" s="57"/>
      <c r="AG189" s="57"/>
      <c r="AH189" s="59"/>
      <c r="AI189" s="59"/>
      <c r="AJ189" s="57"/>
      <c r="AK189" s="57"/>
      <c r="AL189" s="59"/>
      <c r="AM189" s="59"/>
      <c r="AN189" s="59"/>
      <c r="AO189" s="60"/>
      <c r="AP189" s="57"/>
      <c r="AQ189" s="77"/>
      <c r="AR189" s="76" t="e">
        <f t="shared" si="2"/>
        <v>#VALUE!</v>
      </c>
    </row>
    <row r="190" spans="1:44" x14ac:dyDescent="0.3">
      <c r="A190" s="56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8"/>
      <c r="R190" s="57"/>
      <c r="S190" s="59"/>
      <c r="T190" s="57"/>
      <c r="U190" s="57"/>
      <c r="V190" s="59"/>
      <c r="W190" s="59"/>
      <c r="X190" s="57"/>
      <c r="Y190" s="57"/>
      <c r="Z190" s="59"/>
      <c r="AA190" s="59"/>
      <c r="AB190" s="57"/>
      <c r="AC190" s="57"/>
      <c r="AD190" s="59"/>
      <c r="AE190" s="59"/>
      <c r="AF190" s="57"/>
      <c r="AG190" s="57"/>
      <c r="AH190" s="59"/>
      <c r="AI190" s="59"/>
      <c r="AJ190" s="57"/>
      <c r="AK190" s="57"/>
      <c r="AL190" s="59"/>
      <c r="AM190" s="59"/>
      <c r="AN190" s="59"/>
      <c r="AO190" s="60"/>
      <c r="AP190" s="57"/>
      <c r="AQ190" s="77"/>
      <c r="AR190" s="76" t="e">
        <f t="shared" si="2"/>
        <v>#VALUE!</v>
      </c>
    </row>
    <row r="191" spans="1:44" x14ac:dyDescent="0.3">
      <c r="A191" s="56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8"/>
      <c r="R191" s="57"/>
      <c r="S191" s="59"/>
      <c r="T191" s="57"/>
      <c r="U191" s="57"/>
      <c r="V191" s="59"/>
      <c r="W191" s="59"/>
      <c r="X191" s="57"/>
      <c r="Y191" s="57"/>
      <c r="Z191" s="59"/>
      <c r="AA191" s="59"/>
      <c r="AB191" s="57"/>
      <c r="AC191" s="57"/>
      <c r="AD191" s="59"/>
      <c r="AE191" s="59"/>
      <c r="AF191" s="57"/>
      <c r="AG191" s="57"/>
      <c r="AH191" s="59"/>
      <c r="AI191" s="59"/>
      <c r="AJ191" s="57"/>
      <c r="AK191" s="57"/>
      <c r="AL191" s="59"/>
      <c r="AM191" s="59"/>
      <c r="AN191" s="59"/>
      <c r="AO191" s="60"/>
      <c r="AP191" s="57"/>
      <c r="AQ191" s="77"/>
      <c r="AR191" s="76" t="e">
        <f t="shared" si="2"/>
        <v>#VALUE!</v>
      </c>
    </row>
    <row r="192" spans="1:44" x14ac:dyDescent="0.3">
      <c r="A192" s="56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8"/>
      <c r="R192" s="57"/>
      <c r="S192" s="59"/>
      <c r="T192" s="57"/>
      <c r="U192" s="57"/>
      <c r="V192" s="59"/>
      <c r="W192" s="59"/>
      <c r="X192" s="57"/>
      <c r="Y192" s="57"/>
      <c r="Z192" s="59"/>
      <c r="AA192" s="59"/>
      <c r="AB192" s="57"/>
      <c r="AC192" s="57"/>
      <c r="AD192" s="59"/>
      <c r="AE192" s="59"/>
      <c r="AF192" s="57"/>
      <c r="AG192" s="57"/>
      <c r="AH192" s="59"/>
      <c r="AI192" s="59"/>
      <c r="AJ192" s="57"/>
      <c r="AK192" s="57"/>
      <c r="AL192" s="59"/>
      <c r="AM192" s="59"/>
      <c r="AN192" s="59"/>
      <c r="AO192" s="60"/>
      <c r="AP192" s="57"/>
      <c r="AQ192" s="77"/>
      <c r="AR192" s="76" t="e">
        <f t="shared" si="2"/>
        <v>#VALUE!</v>
      </c>
    </row>
    <row r="193" spans="1:44" x14ac:dyDescent="0.3">
      <c r="A193" s="56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8"/>
      <c r="R193" s="57"/>
      <c r="S193" s="59"/>
      <c r="T193" s="57"/>
      <c r="U193" s="57"/>
      <c r="V193" s="59"/>
      <c r="W193" s="59"/>
      <c r="X193" s="57"/>
      <c r="Y193" s="57"/>
      <c r="Z193" s="59"/>
      <c r="AA193" s="59"/>
      <c r="AB193" s="57"/>
      <c r="AC193" s="57"/>
      <c r="AD193" s="59"/>
      <c r="AE193" s="59"/>
      <c r="AF193" s="57"/>
      <c r="AG193" s="57"/>
      <c r="AH193" s="59"/>
      <c r="AI193" s="59"/>
      <c r="AJ193" s="57"/>
      <c r="AK193" s="57"/>
      <c r="AL193" s="59"/>
      <c r="AM193" s="59"/>
      <c r="AN193" s="59"/>
      <c r="AO193" s="60"/>
      <c r="AP193" s="57"/>
      <c r="AQ193" s="77"/>
      <c r="AR193" s="76" t="e">
        <f t="shared" si="2"/>
        <v>#VALUE!</v>
      </c>
    </row>
    <row r="194" spans="1:44" x14ac:dyDescent="0.3">
      <c r="A194" s="56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8"/>
      <c r="R194" s="57"/>
      <c r="S194" s="59"/>
      <c r="T194" s="57"/>
      <c r="U194" s="57"/>
      <c r="V194" s="59"/>
      <c r="W194" s="59"/>
      <c r="X194" s="57"/>
      <c r="Y194" s="57"/>
      <c r="Z194" s="59"/>
      <c r="AA194" s="59"/>
      <c r="AB194" s="57"/>
      <c r="AC194" s="57"/>
      <c r="AD194" s="59"/>
      <c r="AE194" s="59"/>
      <c r="AF194" s="57"/>
      <c r="AG194" s="57"/>
      <c r="AH194" s="59"/>
      <c r="AI194" s="59"/>
      <c r="AJ194" s="57"/>
      <c r="AK194" s="57"/>
      <c r="AL194" s="59"/>
      <c r="AM194" s="59"/>
      <c r="AN194" s="59"/>
      <c r="AO194" s="60"/>
      <c r="AP194" s="57"/>
      <c r="AQ194" s="77"/>
      <c r="AR194" s="76" t="e">
        <f t="shared" si="2"/>
        <v>#VALUE!</v>
      </c>
    </row>
    <row r="195" spans="1:44" x14ac:dyDescent="0.3">
      <c r="A195" s="56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8"/>
      <c r="R195" s="57"/>
      <c r="S195" s="59"/>
      <c r="T195" s="57"/>
      <c r="U195" s="57"/>
      <c r="V195" s="59"/>
      <c r="W195" s="59"/>
      <c r="X195" s="57"/>
      <c r="Y195" s="57"/>
      <c r="Z195" s="59"/>
      <c r="AA195" s="59"/>
      <c r="AB195" s="57"/>
      <c r="AC195" s="57"/>
      <c r="AD195" s="59"/>
      <c r="AE195" s="59"/>
      <c r="AF195" s="57"/>
      <c r="AG195" s="57"/>
      <c r="AH195" s="59"/>
      <c r="AI195" s="59"/>
      <c r="AJ195" s="57"/>
      <c r="AK195" s="57"/>
      <c r="AL195" s="59"/>
      <c r="AM195" s="59"/>
      <c r="AN195" s="59"/>
      <c r="AO195" s="60"/>
      <c r="AP195" s="57"/>
      <c r="AQ195" s="77"/>
      <c r="AR195" s="76" t="e">
        <f t="shared" ref="AR195:AR258" si="3">DATEVALUE(SUBSTITUTE(AP195,";",":"))+TIMEVALUE(SUBSTITUTE(AP195,";",":"))</f>
        <v>#VALUE!</v>
      </c>
    </row>
    <row r="196" spans="1:44" x14ac:dyDescent="0.3">
      <c r="A196" s="56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8"/>
      <c r="R196" s="57"/>
      <c r="S196" s="59"/>
      <c r="T196" s="57"/>
      <c r="U196" s="57"/>
      <c r="V196" s="59"/>
      <c r="W196" s="59"/>
      <c r="X196" s="57"/>
      <c r="Y196" s="57"/>
      <c r="Z196" s="59"/>
      <c r="AA196" s="59"/>
      <c r="AB196" s="57"/>
      <c r="AC196" s="57"/>
      <c r="AD196" s="59"/>
      <c r="AE196" s="59"/>
      <c r="AF196" s="57"/>
      <c r="AG196" s="57"/>
      <c r="AH196" s="59"/>
      <c r="AI196" s="59"/>
      <c r="AJ196" s="57"/>
      <c r="AK196" s="57"/>
      <c r="AL196" s="59"/>
      <c r="AM196" s="59"/>
      <c r="AN196" s="59"/>
      <c r="AO196" s="60"/>
      <c r="AP196" s="57"/>
      <c r="AQ196" s="77"/>
      <c r="AR196" s="76" t="e">
        <f t="shared" si="3"/>
        <v>#VALUE!</v>
      </c>
    </row>
    <row r="197" spans="1:44" x14ac:dyDescent="0.3">
      <c r="A197" s="56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8"/>
      <c r="R197" s="57"/>
      <c r="S197" s="59"/>
      <c r="T197" s="57"/>
      <c r="U197" s="57"/>
      <c r="V197" s="59"/>
      <c r="W197" s="59"/>
      <c r="X197" s="57"/>
      <c r="Y197" s="57"/>
      <c r="Z197" s="59"/>
      <c r="AA197" s="59"/>
      <c r="AB197" s="57"/>
      <c r="AC197" s="57"/>
      <c r="AD197" s="59"/>
      <c r="AE197" s="59"/>
      <c r="AF197" s="57"/>
      <c r="AG197" s="57"/>
      <c r="AH197" s="59"/>
      <c r="AI197" s="59"/>
      <c r="AJ197" s="57"/>
      <c r="AK197" s="57"/>
      <c r="AL197" s="59"/>
      <c r="AM197" s="59"/>
      <c r="AN197" s="59"/>
      <c r="AO197" s="60"/>
      <c r="AP197" s="57"/>
      <c r="AQ197" s="77"/>
      <c r="AR197" s="76" t="e">
        <f t="shared" si="3"/>
        <v>#VALUE!</v>
      </c>
    </row>
    <row r="198" spans="1:44" x14ac:dyDescent="0.3">
      <c r="A198" s="56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8"/>
      <c r="R198" s="57"/>
      <c r="S198" s="59"/>
      <c r="T198" s="57"/>
      <c r="U198" s="57"/>
      <c r="V198" s="59"/>
      <c r="W198" s="59"/>
      <c r="X198" s="57"/>
      <c r="Y198" s="57"/>
      <c r="Z198" s="59"/>
      <c r="AA198" s="59"/>
      <c r="AB198" s="57"/>
      <c r="AC198" s="57"/>
      <c r="AD198" s="59"/>
      <c r="AE198" s="59"/>
      <c r="AF198" s="57"/>
      <c r="AG198" s="57"/>
      <c r="AH198" s="59"/>
      <c r="AI198" s="59"/>
      <c r="AJ198" s="57"/>
      <c r="AK198" s="57"/>
      <c r="AL198" s="59"/>
      <c r="AM198" s="59"/>
      <c r="AN198" s="59"/>
      <c r="AO198" s="60"/>
      <c r="AP198" s="57"/>
      <c r="AQ198" s="77"/>
      <c r="AR198" s="76" t="e">
        <f t="shared" si="3"/>
        <v>#VALUE!</v>
      </c>
    </row>
    <row r="199" spans="1:44" x14ac:dyDescent="0.3">
      <c r="A199" s="56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8"/>
      <c r="R199" s="57"/>
      <c r="S199" s="59"/>
      <c r="T199" s="57"/>
      <c r="U199" s="57"/>
      <c r="V199" s="59"/>
      <c r="W199" s="59"/>
      <c r="X199" s="57"/>
      <c r="Y199" s="57"/>
      <c r="Z199" s="59"/>
      <c r="AA199" s="59"/>
      <c r="AB199" s="57"/>
      <c r="AC199" s="57"/>
      <c r="AD199" s="59"/>
      <c r="AE199" s="59"/>
      <c r="AF199" s="57"/>
      <c r="AG199" s="57"/>
      <c r="AH199" s="59"/>
      <c r="AI199" s="59"/>
      <c r="AJ199" s="57"/>
      <c r="AK199" s="57"/>
      <c r="AL199" s="59"/>
      <c r="AM199" s="59"/>
      <c r="AN199" s="59"/>
      <c r="AO199" s="60"/>
      <c r="AP199" s="57"/>
      <c r="AQ199" s="77"/>
      <c r="AR199" s="76" t="e">
        <f t="shared" si="3"/>
        <v>#VALUE!</v>
      </c>
    </row>
    <row r="200" spans="1:44" x14ac:dyDescent="0.3">
      <c r="A200" s="56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8"/>
      <c r="R200" s="57"/>
      <c r="S200" s="59"/>
      <c r="T200" s="57"/>
      <c r="U200" s="57"/>
      <c r="V200" s="59"/>
      <c r="W200" s="59"/>
      <c r="X200" s="57"/>
      <c r="Y200" s="57"/>
      <c r="Z200" s="59"/>
      <c r="AA200" s="59"/>
      <c r="AB200" s="57"/>
      <c r="AC200" s="57"/>
      <c r="AD200" s="59"/>
      <c r="AE200" s="59"/>
      <c r="AF200" s="57"/>
      <c r="AG200" s="57"/>
      <c r="AH200" s="59"/>
      <c r="AI200" s="59"/>
      <c r="AJ200" s="57"/>
      <c r="AK200" s="57"/>
      <c r="AL200" s="59"/>
      <c r="AM200" s="59"/>
      <c r="AN200" s="59"/>
      <c r="AO200" s="60"/>
      <c r="AP200" s="57"/>
      <c r="AQ200" s="77"/>
      <c r="AR200" s="76" t="e">
        <f t="shared" si="3"/>
        <v>#VALUE!</v>
      </c>
    </row>
    <row r="201" spans="1:44" x14ac:dyDescent="0.3">
      <c r="A201" s="56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8"/>
      <c r="R201" s="57"/>
      <c r="S201" s="59"/>
      <c r="T201" s="57"/>
      <c r="U201" s="57"/>
      <c r="V201" s="59"/>
      <c r="W201" s="59"/>
      <c r="X201" s="57"/>
      <c r="Y201" s="57"/>
      <c r="Z201" s="59"/>
      <c r="AA201" s="59"/>
      <c r="AB201" s="57"/>
      <c r="AC201" s="57"/>
      <c r="AD201" s="59"/>
      <c r="AE201" s="59"/>
      <c r="AF201" s="57"/>
      <c r="AG201" s="57"/>
      <c r="AH201" s="59"/>
      <c r="AI201" s="59"/>
      <c r="AJ201" s="57"/>
      <c r="AK201" s="57"/>
      <c r="AL201" s="59"/>
      <c r="AM201" s="59"/>
      <c r="AN201" s="59"/>
      <c r="AO201" s="60"/>
      <c r="AP201" s="57"/>
      <c r="AQ201" s="77"/>
      <c r="AR201" s="76" t="e">
        <f t="shared" si="3"/>
        <v>#VALUE!</v>
      </c>
    </row>
    <row r="202" spans="1:44" x14ac:dyDescent="0.3">
      <c r="A202" s="56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8"/>
      <c r="R202" s="57"/>
      <c r="S202" s="59"/>
      <c r="T202" s="57"/>
      <c r="U202" s="57"/>
      <c r="V202" s="59"/>
      <c r="W202" s="59"/>
      <c r="X202" s="57"/>
      <c r="Y202" s="57"/>
      <c r="Z202" s="59"/>
      <c r="AA202" s="59"/>
      <c r="AB202" s="57"/>
      <c r="AC202" s="57"/>
      <c r="AD202" s="59"/>
      <c r="AE202" s="59"/>
      <c r="AF202" s="57"/>
      <c r="AG202" s="57"/>
      <c r="AH202" s="59"/>
      <c r="AI202" s="59"/>
      <c r="AJ202" s="57"/>
      <c r="AK202" s="57"/>
      <c r="AL202" s="59"/>
      <c r="AM202" s="59"/>
      <c r="AN202" s="59"/>
      <c r="AO202" s="60"/>
      <c r="AP202" s="57"/>
      <c r="AQ202" s="77"/>
      <c r="AR202" s="76" t="e">
        <f t="shared" si="3"/>
        <v>#VALUE!</v>
      </c>
    </row>
    <row r="203" spans="1:44" x14ac:dyDescent="0.3">
      <c r="A203" s="56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8"/>
      <c r="R203" s="57"/>
      <c r="S203" s="59"/>
      <c r="T203" s="57"/>
      <c r="U203" s="57"/>
      <c r="V203" s="59"/>
      <c r="W203" s="59"/>
      <c r="X203" s="57"/>
      <c r="Y203" s="57"/>
      <c r="Z203" s="59"/>
      <c r="AA203" s="59"/>
      <c r="AB203" s="57"/>
      <c r="AC203" s="57"/>
      <c r="AD203" s="59"/>
      <c r="AE203" s="59"/>
      <c r="AF203" s="57"/>
      <c r="AG203" s="57"/>
      <c r="AH203" s="59"/>
      <c r="AI203" s="59"/>
      <c r="AJ203" s="57"/>
      <c r="AK203" s="57"/>
      <c r="AL203" s="59"/>
      <c r="AM203" s="59"/>
      <c r="AN203" s="59"/>
      <c r="AO203" s="60"/>
      <c r="AP203" s="57"/>
      <c r="AQ203" s="77"/>
      <c r="AR203" s="76" t="e">
        <f t="shared" si="3"/>
        <v>#VALUE!</v>
      </c>
    </row>
    <row r="204" spans="1:44" x14ac:dyDescent="0.3">
      <c r="A204" s="56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8"/>
      <c r="R204" s="57"/>
      <c r="S204" s="59"/>
      <c r="T204" s="57"/>
      <c r="U204" s="57"/>
      <c r="V204" s="59"/>
      <c r="W204" s="59"/>
      <c r="X204" s="57"/>
      <c r="Y204" s="57"/>
      <c r="Z204" s="59"/>
      <c r="AA204" s="59"/>
      <c r="AB204" s="57"/>
      <c r="AC204" s="57"/>
      <c r="AD204" s="59"/>
      <c r="AE204" s="59"/>
      <c r="AF204" s="57"/>
      <c r="AG204" s="57"/>
      <c r="AH204" s="59"/>
      <c r="AI204" s="59"/>
      <c r="AJ204" s="57"/>
      <c r="AK204" s="57"/>
      <c r="AL204" s="59"/>
      <c r="AM204" s="59"/>
      <c r="AN204" s="59"/>
      <c r="AO204" s="60"/>
      <c r="AP204" s="57"/>
      <c r="AQ204" s="77"/>
      <c r="AR204" s="76" t="e">
        <f t="shared" si="3"/>
        <v>#VALUE!</v>
      </c>
    </row>
    <row r="205" spans="1:44" x14ac:dyDescent="0.3">
      <c r="A205" s="56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8"/>
      <c r="R205" s="57"/>
      <c r="S205" s="59"/>
      <c r="T205" s="57"/>
      <c r="U205" s="57"/>
      <c r="V205" s="59"/>
      <c r="W205" s="59"/>
      <c r="X205" s="57"/>
      <c r="Y205" s="57"/>
      <c r="Z205" s="59"/>
      <c r="AA205" s="59"/>
      <c r="AB205" s="57"/>
      <c r="AC205" s="57"/>
      <c r="AD205" s="59"/>
      <c r="AE205" s="59"/>
      <c r="AF205" s="57"/>
      <c r="AG205" s="57"/>
      <c r="AH205" s="59"/>
      <c r="AI205" s="59"/>
      <c r="AJ205" s="57"/>
      <c r="AK205" s="57"/>
      <c r="AL205" s="59"/>
      <c r="AM205" s="59"/>
      <c r="AN205" s="59"/>
      <c r="AO205" s="60"/>
      <c r="AP205" s="57"/>
      <c r="AQ205" s="77"/>
      <c r="AR205" s="76" t="e">
        <f t="shared" si="3"/>
        <v>#VALUE!</v>
      </c>
    </row>
    <row r="206" spans="1:44" x14ac:dyDescent="0.3">
      <c r="A206" s="56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8"/>
      <c r="R206" s="57"/>
      <c r="S206" s="59"/>
      <c r="T206" s="57"/>
      <c r="U206" s="57"/>
      <c r="V206" s="59"/>
      <c r="W206" s="59"/>
      <c r="X206" s="57"/>
      <c r="Y206" s="57"/>
      <c r="Z206" s="59"/>
      <c r="AA206" s="59"/>
      <c r="AB206" s="57"/>
      <c r="AC206" s="57"/>
      <c r="AD206" s="59"/>
      <c r="AE206" s="59"/>
      <c r="AF206" s="57"/>
      <c r="AG206" s="57"/>
      <c r="AH206" s="59"/>
      <c r="AI206" s="59"/>
      <c r="AJ206" s="57"/>
      <c r="AK206" s="57"/>
      <c r="AL206" s="59"/>
      <c r="AM206" s="59"/>
      <c r="AN206" s="59"/>
      <c r="AO206" s="60"/>
      <c r="AP206" s="57"/>
      <c r="AQ206" s="77"/>
      <c r="AR206" s="76" t="e">
        <f t="shared" si="3"/>
        <v>#VALUE!</v>
      </c>
    </row>
    <row r="207" spans="1:44" x14ac:dyDescent="0.3">
      <c r="A207" s="56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8"/>
      <c r="R207" s="57"/>
      <c r="S207" s="59"/>
      <c r="T207" s="57"/>
      <c r="U207" s="57"/>
      <c r="V207" s="59"/>
      <c r="W207" s="59"/>
      <c r="X207" s="57"/>
      <c r="Y207" s="57"/>
      <c r="Z207" s="59"/>
      <c r="AA207" s="59"/>
      <c r="AB207" s="57"/>
      <c r="AC207" s="57"/>
      <c r="AD207" s="59"/>
      <c r="AE207" s="59"/>
      <c r="AF207" s="57"/>
      <c r="AG207" s="57"/>
      <c r="AH207" s="59"/>
      <c r="AI207" s="59"/>
      <c r="AJ207" s="57"/>
      <c r="AK207" s="57"/>
      <c r="AL207" s="59"/>
      <c r="AM207" s="59"/>
      <c r="AN207" s="59"/>
      <c r="AO207" s="60"/>
      <c r="AP207" s="57"/>
      <c r="AQ207" s="77"/>
      <c r="AR207" s="76" t="e">
        <f t="shared" si="3"/>
        <v>#VALUE!</v>
      </c>
    </row>
    <row r="208" spans="1:44" x14ac:dyDescent="0.3">
      <c r="A208" s="56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8"/>
      <c r="R208" s="57"/>
      <c r="S208" s="59"/>
      <c r="T208" s="57"/>
      <c r="U208" s="57"/>
      <c r="V208" s="59"/>
      <c r="W208" s="59"/>
      <c r="X208" s="57"/>
      <c r="Y208" s="57"/>
      <c r="Z208" s="59"/>
      <c r="AA208" s="59"/>
      <c r="AB208" s="57"/>
      <c r="AC208" s="57"/>
      <c r="AD208" s="59"/>
      <c r="AE208" s="59"/>
      <c r="AF208" s="57"/>
      <c r="AG208" s="57"/>
      <c r="AH208" s="59"/>
      <c r="AI208" s="59"/>
      <c r="AJ208" s="57"/>
      <c r="AK208" s="57"/>
      <c r="AL208" s="59"/>
      <c r="AM208" s="59"/>
      <c r="AN208" s="59"/>
      <c r="AO208" s="60"/>
      <c r="AP208" s="57"/>
      <c r="AQ208" s="77"/>
      <c r="AR208" s="76" t="e">
        <f t="shared" si="3"/>
        <v>#VALUE!</v>
      </c>
    </row>
    <row r="209" spans="1:44" x14ac:dyDescent="0.3">
      <c r="A209" s="56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8"/>
      <c r="R209" s="57"/>
      <c r="S209" s="59"/>
      <c r="T209" s="57"/>
      <c r="U209" s="57"/>
      <c r="V209" s="59"/>
      <c r="W209" s="59"/>
      <c r="X209" s="57"/>
      <c r="Y209" s="57"/>
      <c r="Z209" s="59"/>
      <c r="AA209" s="59"/>
      <c r="AB209" s="57"/>
      <c r="AC209" s="57"/>
      <c r="AD209" s="59"/>
      <c r="AE209" s="59"/>
      <c r="AF209" s="57"/>
      <c r="AG209" s="57"/>
      <c r="AH209" s="59"/>
      <c r="AI209" s="59"/>
      <c r="AJ209" s="57"/>
      <c r="AK209" s="57"/>
      <c r="AL209" s="59"/>
      <c r="AM209" s="59"/>
      <c r="AN209" s="59"/>
      <c r="AO209" s="60"/>
      <c r="AP209" s="57"/>
      <c r="AQ209" s="77"/>
      <c r="AR209" s="76" t="e">
        <f t="shared" si="3"/>
        <v>#VALUE!</v>
      </c>
    </row>
    <row r="210" spans="1:44" x14ac:dyDescent="0.3">
      <c r="A210" s="56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8"/>
      <c r="R210" s="57"/>
      <c r="S210" s="59"/>
      <c r="T210" s="57"/>
      <c r="U210" s="57"/>
      <c r="V210" s="59"/>
      <c r="W210" s="59"/>
      <c r="X210" s="57"/>
      <c r="Y210" s="57"/>
      <c r="Z210" s="59"/>
      <c r="AA210" s="59"/>
      <c r="AB210" s="57"/>
      <c r="AC210" s="57"/>
      <c r="AD210" s="59"/>
      <c r="AE210" s="59"/>
      <c r="AF210" s="57"/>
      <c r="AG210" s="57"/>
      <c r="AH210" s="59"/>
      <c r="AI210" s="59"/>
      <c r="AJ210" s="57"/>
      <c r="AK210" s="57"/>
      <c r="AL210" s="59"/>
      <c r="AM210" s="59"/>
      <c r="AN210" s="59"/>
      <c r="AO210" s="60"/>
      <c r="AP210" s="57"/>
      <c r="AQ210" s="77"/>
      <c r="AR210" s="76" t="e">
        <f t="shared" si="3"/>
        <v>#VALUE!</v>
      </c>
    </row>
    <row r="211" spans="1:44" x14ac:dyDescent="0.3">
      <c r="A211" s="56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8"/>
      <c r="R211" s="57"/>
      <c r="S211" s="59"/>
      <c r="T211" s="57"/>
      <c r="U211" s="57"/>
      <c r="V211" s="59"/>
      <c r="W211" s="59"/>
      <c r="X211" s="57"/>
      <c r="Y211" s="57"/>
      <c r="Z211" s="59"/>
      <c r="AA211" s="59"/>
      <c r="AB211" s="57"/>
      <c r="AC211" s="57"/>
      <c r="AD211" s="59"/>
      <c r="AE211" s="59"/>
      <c r="AF211" s="57"/>
      <c r="AG211" s="57"/>
      <c r="AH211" s="59"/>
      <c r="AI211" s="59"/>
      <c r="AJ211" s="57"/>
      <c r="AK211" s="57"/>
      <c r="AL211" s="59"/>
      <c r="AM211" s="59"/>
      <c r="AN211" s="59"/>
      <c r="AO211" s="60"/>
      <c r="AP211" s="57"/>
      <c r="AQ211" s="77"/>
      <c r="AR211" s="76" t="e">
        <f t="shared" si="3"/>
        <v>#VALUE!</v>
      </c>
    </row>
    <row r="212" spans="1:44" x14ac:dyDescent="0.3">
      <c r="A212" s="56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8"/>
      <c r="R212" s="57"/>
      <c r="S212" s="59"/>
      <c r="T212" s="57"/>
      <c r="U212" s="57"/>
      <c r="V212" s="59"/>
      <c r="W212" s="59"/>
      <c r="X212" s="57"/>
      <c r="Y212" s="57"/>
      <c r="Z212" s="59"/>
      <c r="AA212" s="59"/>
      <c r="AB212" s="57"/>
      <c r="AC212" s="57"/>
      <c r="AD212" s="59"/>
      <c r="AE212" s="59"/>
      <c r="AF212" s="57"/>
      <c r="AG212" s="57"/>
      <c r="AH212" s="59"/>
      <c r="AI212" s="59"/>
      <c r="AJ212" s="57"/>
      <c r="AK212" s="57"/>
      <c r="AL212" s="59"/>
      <c r="AM212" s="59"/>
      <c r="AN212" s="59"/>
      <c r="AO212" s="60"/>
      <c r="AP212" s="57"/>
      <c r="AQ212" s="77"/>
      <c r="AR212" s="76" t="e">
        <f t="shared" si="3"/>
        <v>#VALUE!</v>
      </c>
    </row>
    <row r="213" spans="1:44" x14ac:dyDescent="0.3">
      <c r="A213" s="56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8"/>
      <c r="R213" s="57"/>
      <c r="S213" s="59"/>
      <c r="T213" s="57"/>
      <c r="U213" s="57"/>
      <c r="V213" s="59"/>
      <c r="W213" s="59"/>
      <c r="X213" s="57"/>
      <c r="Y213" s="57"/>
      <c r="Z213" s="59"/>
      <c r="AA213" s="59"/>
      <c r="AB213" s="57"/>
      <c r="AC213" s="57"/>
      <c r="AD213" s="59"/>
      <c r="AE213" s="59"/>
      <c r="AF213" s="57"/>
      <c r="AG213" s="57"/>
      <c r="AH213" s="59"/>
      <c r="AI213" s="59"/>
      <c r="AJ213" s="57"/>
      <c r="AK213" s="57"/>
      <c r="AL213" s="59"/>
      <c r="AM213" s="59"/>
      <c r="AN213" s="59"/>
      <c r="AO213" s="60"/>
      <c r="AP213" s="57"/>
      <c r="AQ213" s="77"/>
      <c r="AR213" s="76" t="e">
        <f t="shared" si="3"/>
        <v>#VALUE!</v>
      </c>
    </row>
    <row r="214" spans="1:44" x14ac:dyDescent="0.3">
      <c r="A214" s="56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8"/>
      <c r="R214" s="57"/>
      <c r="S214" s="59"/>
      <c r="T214" s="57"/>
      <c r="U214" s="57"/>
      <c r="V214" s="59"/>
      <c r="W214" s="59"/>
      <c r="X214" s="57"/>
      <c r="Y214" s="57"/>
      <c r="Z214" s="59"/>
      <c r="AA214" s="59"/>
      <c r="AB214" s="57"/>
      <c r="AC214" s="57"/>
      <c r="AD214" s="59"/>
      <c r="AE214" s="59"/>
      <c r="AF214" s="57"/>
      <c r="AG214" s="57"/>
      <c r="AH214" s="59"/>
      <c r="AI214" s="59"/>
      <c r="AJ214" s="57"/>
      <c r="AK214" s="57"/>
      <c r="AL214" s="59"/>
      <c r="AM214" s="59"/>
      <c r="AN214" s="59"/>
      <c r="AO214" s="60"/>
      <c r="AP214" s="57"/>
      <c r="AQ214" s="77"/>
      <c r="AR214" s="76" t="e">
        <f t="shared" si="3"/>
        <v>#VALUE!</v>
      </c>
    </row>
    <row r="215" spans="1:44" x14ac:dyDescent="0.3">
      <c r="A215" s="56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8"/>
      <c r="R215" s="57"/>
      <c r="S215" s="59"/>
      <c r="T215" s="57"/>
      <c r="U215" s="57"/>
      <c r="V215" s="59"/>
      <c r="W215" s="59"/>
      <c r="X215" s="57"/>
      <c r="Y215" s="57"/>
      <c r="Z215" s="59"/>
      <c r="AA215" s="59"/>
      <c r="AB215" s="57"/>
      <c r="AC215" s="57"/>
      <c r="AD215" s="59"/>
      <c r="AE215" s="59"/>
      <c r="AF215" s="57"/>
      <c r="AG215" s="57"/>
      <c r="AH215" s="59"/>
      <c r="AI215" s="59"/>
      <c r="AJ215" s="57"/>
      <c r="AK215" s="57"/>
      <c r="AL215" s="59"/>
      <c r="AM215" s="59"/>
      <c r="AN215" s="59"/>
      <c r="AO215" s="60"/>
      <c r="AP215" s="57"/>
      <c r="AQ215" s="77"/>
      <c r="AR215" s="76" t="e">
        <f t="shared" si="3"/>
        <v>#VALUE!</v>
      </c>
    </row>
    <row r="216" spans="1:44" x14ac:dyDescent="0.3">
      <c r="A216" s="56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8"/>
      <c r="R216" s="57"/>
      <c r="S216" s="59"/>
      <c r="T216" s="57"/>
      <c r="U216" s="57"/>
      <c r="V216" s="59"/>
      <c r="W216" s="59"/>
      <c r="X216" s="57"/>
      <c r="Y216" s="57"/>
      <c r="Z216" s="59"/>
      <c r="AA216" s="59"/>
      <c r="AB216" s="57"/>
      <c r="AC216" s="57"/>
      <c r="AD216" s="59"/>
      <c r="AE216" s="59"/>
      <c r="AF216" s="57"/>
      <c r="AG216" s="57"/>
      <c r="AH216" s="59"/>
      <c r="AI216" s="59"/>
      <c r="AJ216" s="57"/>
      <c r="AK216" s="57"/>
      <c r="AL216" s="59"/>
      <c r="AM216" s="59"/>
      <c r="AN216" s="59"/>
      <c r="AO216" s="60"/>
      <c r="AP216" s="57"/>
      <c r="AQ216" s="77"/>
      <c r="AR216" s="76" t="e">
        <f t="shared" si="3"/>
        <v>#VALUE!</v>
      </c>
    </row>
    <row r="217" spans="1:44" x14ac:dyDescent="0.3">
      <c r="A217" s="56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8"/>
      <c r="R217" s="57"/>
      <c r="S217" s="59"/>
      <c r="T217" s="57"/>
      <c r="U217" s="57"/>
      <c r="V217" s="59"/>
      <c r="W217" s="59"/>
      <c r="X217" s="57"/>
      <c r="Y217" s="57"/>
      <c r="Z217" s="59"/>
      <c r="AA217" s="59"/>
      <c r="AB217" s="57"/>
      <c r="AC217" s="57"/>
      <c r="AD217" s="59"/>
      <c r="AE217" s="59"/>
      <c r="AF217" s="57"/>
      <c r="AG217" s="57"/>
      <c r="AH217" s="59"/>
      <c r="AI217" s="59"/>
      <c r="AJ217" s="57"/>
      <c r="AK217" s="57"/>
      <c r="AL217" s="59"/>
      <c r="AM217" s="59"/>
      <c r="AN217" s="59"/>
      <c r="AO217" s="60"/>
      <c r="AP217" s="57"/>
      <c r="AQ217" s="77"/>
      <c r="AR217" s="76" t="e">
        <f t="shared" si="3"/>
        <v>#VALUE!</v>
      </c>
    </row>
    <row r="218" spans="1:44" x14ac:dyDescent="0.3">
      <c r="A218" s="56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8"/>
      <c r="R218" s="57"/>
      <c r="S218" s="59"/>
      <c r="T218" s="57"/>
      <c r="U218" s="57"/>
      <c r="V218" s="59"/>
      <c r="W218" s="59"/>
      <c r="X218" s="57"/>
      <c r="Y218" s="57"/>
      <c r="Z218" s="59"/>
      <c r="AA218" s="59"/>
      <c r="AB218" s="57"/>
      <c r="AC218" s="57"/>
      <c r="AD218" s="59"/>
      <c r="AE218" s="59"/>
      <c r="AF218" s="57"/>
      <c r="AG218" s="57"/>
      <c r="AH218" s="59"/>
      <c r="AI218" s="59"/>
      <c r="AJ218" s="57"/>
      <c r="AK218" s="57"/>
      <c r="AL218" s="59"/>
      <c r="AM218" s="59"/>
      <c r="AN218" s="59"/>
      <c r="AO218" s="60"/>
      <c r="AP218" s="57"/>
      <c r="AQ218" s="77"/>
      <c r="AR218" s="76" t="e">
        <f t="shared" si="3"/>
        <v>#VALUE!</v>
      </c>
    </row>
    <row r="219" spans="1:44" x14ac:dyDescent="0.3">
      <c r="A219" s="56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8"/>
      <c r="R219" s="57"/>
      <c r="S219" s="59"/>
      <c r="T219" s="57"/>
      <c r="U219" s="57"/>
      <c r="V219" s="59"/>
      <c r="W219" s="59"/>
      <c r="X219" s="57"/>
      <c r="Y219" s="57"/>
      <c r="Z219" s="59"/>
      <c r="AA219" s="59"/>
      <c r="AB219" s="57"/>
      <c r="AC219" s="57"/>
      <c r="AD219" s="59"/>
      <c r="AE219" s="59"/>
      <c r="AF219" s="57"/>
      <c r="AG219" s="57"/>
      <c r="AH219" s="59"/>
      <c r="AI219" s="59"/>
      <c r="AJ219" s="57"/>
      <c r="AK219" s="57"/>
      <c r="AL219" s="59"/>
      <c r="AM219" s="59"/>
      <c r="AN219" s="59"/>
      <c r="AO219" s="60"/>
      <c r="AP219" s="57"/>
      <c r="AQ219" s="77"/>
      <c r="AR219" s="76" t="e">
        <f t="shared" si="3"/>
        <v>#VALUE!</v>
      </c>
    </row>
    <row r="220" spans="1:44" x14ac:dyDescent="0.3">
      <c r="A220" s="56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8"/>
      <c r="R220" s="57"/>
      <c r="S220" s="59"/>
      <c r="T220" s="57"/>
      <c r="U220" s="57"/>
      <c r="V220" s="59"/>
      <c r="W220" s="59"/>
      <c r="X220" s="57"/>
      <c r="Y220" s="57"/>
      <c r="Z220" s="59"/>
      <c r="AA220" s="59"/>
      <c r="AB220" s="57"/>
      <c r="AC220" s="57"/>
      <c r="AD220" s="59"/>
      <c r="AE220" s="59"/>
      <c r="AF220" s="57"/>
      <c r="AG220" s="57"/>
      <c r="AH220" s="59"/>
      <c r="AI220" s="59"/>
      <c r="AJ220" s="57"/>
      <c r="AK220" s="57"/>
      <c r="AL220" s="59"/>
      <c r="AM220" s="59"/>
      <c r="AN220" s="59"/>
      <c r="AO220" s="60"/>
      <c r="AP220" s="57"/>
      <c r="AQ220" s="77"/>
      <c r="AR220" s="76" t="e">
        <f t="shared" si="3"/>
        <v>#VALUE!</v>
      </c>
    </row>
    <row r="221" spans="1:44" x14ac:dyDescent="0.3">
      <c r="A221" s="56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8"/>
      <c r="R221" s="57"/>
      <c r="S221" s="59"/>
      <c r="T221" s="57"/>
      <c r="U221" s="57"/>
      <c r="V221" s="59"/>
      <c r="W221" s="59"/>
      <c r="X221" s="57"/>
      <c r="Y221" s="57"/>
      <c r="Z221" s="59"/>
      <c r="AA221" s="59"/>
      <c r="AB221" s="57"/>
      <c r="AC221" s="57"/>
      <c r="AD221" s="59"/>
      <c r="AE221" s="59"/>
      <c r="AF221" s="57"/>
      <c r="AG221" s="57"/>
      <c r="AH221" s="59"/>
      <c r="AI221" s="59"/>
      <c r="AJ221" s="57"/>
      <c r="AK221" s="57"/>
      <c r="AL221" s="59"/>
      <c r="AM221" s="59"/>
      <c r="AN221" s="59"/>
      <c r="AO221" s="60"/>
      <c r="AP221" s="57"/>
      <c r="AQ221" s="77"/>
      <c r="AR221" s="76" t="e">
        <f t="shared" si="3"/>
        <v>#VALUE!</v>
      </c>
    </row>
    <row r="222" spans="1:44" x14ac:dyDescent="0.3">
      <c r="A222" s="56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8"/>
      <c r="R222" s="57"/>
      <c r="S222" s="59"/>
      <c r="T222" s="57"/>
      <c r="U222" s="57"/>
      <c r="V222" s="59"/>
      <c r="W222" s="59"/>
      <c r="X222" s="57"/>
      <c r="Y222" s="57"/>
      <c r="Z222" s="59"/>
      <c r="AA222" s="59"/>
      <c r="AB222" s="57"/>
      <c r="AC222" s="57"/>
      <c r="AD222" s="59"/>
      <c r="AE222" s="59"/>
      <c r="AF222" s="57"/>
      <c r="AG222" s="57"/>
      <c r="AH222" s="59"/>
      <c r="AI222" s="59"/>
      <c r="AJ222" s="57"/>
      <c r="AK222" s="57"/>
      <c r="AL222" s="59"/>
      <c r="AM222" s="59"/>
      <c r="AN222" s="59"/>
      <c r="AO222" s="60"/>
      <c r="AP222" s="57"/>
      <c r="AQ222" s="77"/>
      <c r="AR222" s="76" t="e">
        <f t="shared" si="3"/>
        <v>#VALUE!</v>
      </c>
    </row>
    <row r="223" spans="1:44" x14ac:dyDescent="0.3">
      <c r="A223" s="56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8"/>
      <c r="R223" s="57"/>
      <c r="S223" s="59"/>
      <c r="T223" s="57"/>
      <c r="U223" s="57"/>
      <c r="V223" s="59"/>
      <c r="W223" s="59"/>
      <c r="X223" s="57"/>
      <c r="Y223" s="57"/>
      <c r="Z223" s="59"/>
      <c r="AA223" s="59"/>
      <c r="AB223" s="57"/>
      <c r="AC223" s="57"/>
      <c r="AD223" s="59"/>
      <c r="AE223" s="59"/>
      <c r="AF223" s="57"/>
      <c r="AG223" s="57"/>
      <c r="AH223" s="59"/>
      <c r="AI223" s="59"/>
      <c r="AJ223" s="57"/>
      <c r="AK223" s="57"/>
      <c r="AL223" s="59"/>
      <c r="AM223" s="59"/>
      <c r="AN223" s="59"/>
      <c r="AO223" s="60"/>
      <c r="AP223" s="57"/>
      <c r="AQ223" s="77"/>
      <c r="AR223" s="76" t="e">
        <f t="shared" si="3"/>
        <v>#VALUE!</v>
      </c>
    </row>
    <row r="224" spans="1:44" x14ac:dyDescent="0.3">
      <c r="A224" s="56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8"/>
      <c r="R224" s="57"/>
      <c r="S224" s="59"/>
      <c r="T224" s="57"/>
      <c r="U224" s="57"/>
      <c r="V224" s="59"/>
      <c r="W224" s="59"/>
      <c r="X224" s="57"/>
      <c r="Y224" s="57"/>
      <c r="Z224" s="59"/>
      <c r="AA224" s="59"/>
      <c r="AB224" s="57"/>
      <c r="AC224" s="57"/>
      <c r="AD224" s="59"/>
      <c r="AE224" s="59"/>
      <c r="AF224" s="57"/>
      <c r="AG224" s="57"/>
      <c r="AH224" s="59"/>
      <c r="AI224" s="59"/>
      <c r="AJ224" s="57"/>
      <c r="AK224" s="57"/>
      <c r="AL224" s="59"/>
      <c r="AM224" s="59"/>
      <c r="AN224" s="59"/>
      <c r="AO224" s="60"/>
      <c r="AP224" s="57"/>
      <c r="AQ224" s="77"/>
      <c r="AR224" s="76" t="e">
        <f t="shared" si="3"/>
        <v>#VALUE!</v>
      </c>
    </row>
    <row r="225" spans="1:44" x14ac:dyDescent="0.3">
      <c r="A225" s="56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8"/>
      <c r="R225" s="57"/>
      <c r="S225" s="59"/>
      <c r="T225" s="57"/>
      <c r="U225" s="57"/>
      <c r="V225" s="59"/>
      <c r="W225" s="59"/>
      <c r="X225" s="57"/>
      <c r="Y225" s="57"/>
      <c r="Z225" s="59"/>
      <c r="AA225" s="59"/>
      <c r="AB225" s="57"/>
      <c r="AC225" s="57"/>
      <c r="AD225" s="59"/>
      <c r="AE225" s="59"/>
      <c r="AF225" s="57"/>
      <c r="AG225" s="57"/>
      <c r="AH225" s="59"/>
      <c r="AI225" s="59"/>
      <c r="AJ225" s="57"/>
      <c r="AK225" s="57"/>
      <c r="AL225" s="59"/>
      <c r="AM225" s="59"/>
      <c r="AN225" s="59"/>
      <c r="AO225" s="60"/>
      <c r="AP225" s="57"/>
      <c r="AQ225" s="77"/>
      <c r="AR225" s="76" t="e">
        <f t="shared" si="3"/>
        <v>#VALUE!</v>
      </c>
    </row>
    <row r="226" spans="1:44" x14ac:dyDescent="0.3">
      <c r="A226" s="56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8"/>
      <c r="R226" s="57"/>
      <c r="S226" s="59"/>
      <c r="T226" s="57"/>
      <c r="U226" s="57"/>
      <c r="V226" s="59"/>
      <c r="W226" s="59"/>
      <c r="X226" s="57"/>
      <c r="Y226" s="57"/>
      <c r="Z226" s="59"/>
      <c r="AA226" s="59"/>
      <c r="AB226" s="57"/>
      <c r="AC226" s="57"/>
      <c r="AD226" s="59"/>
      <c r="AE226" s="59"/>
      <c r="AF226" s="57"/>
      <c r="AG226" s="57"/>
      <c r="AH226" s="59"/>
      <c r="AI226" s="59"/>
      <c r="AJ226" s="57"/>
      <c r="AK226" s="57"/>
      <c r="AL226" s="59"/>
      <c r="AM226" s="59"/>
      <c r="AN226" s="59"/>
      <c r="AO226" s="60"/>
      <c r="AP226" s="57"/>
      <c r="AQ226" s="77"/>
      <c r="AR226" s="76" t="e">
        <f t="shared" si="3"/>
        <v>#VALUE!</v>
      </c>
    </row>
    <row r="227" spans="1:44" x14ac:dyDescent="0.3">
      <c r="A227" s="56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8"/>
      <c r="R227" s="57"/>
      <c r="S227" s="59"/>
      <c r="T227" s="57"/>
      <c r="U227" s="57"/>
      <c r="V227" s="59"/>
      <c r="W227" s="59"/>
      <c r="X227" s="57"/>
      <c r="Y227" s="57"/>
      <c r="Z227" s="59"/>
      <c r="AA227" s="59"/>
      <c r="AB227" s="57"/>
      <c r="AC227" s="57"/>
      <c r="AD227" s="59"/>
      <c r="AE227" s="59"/>
      <c r="AF227" s="57"/>
      <c r="AG227" s="57"/>
      <c r="AH227" s="59"/>
      <c r="AI227" s="59"/>
      <c r="AJ227" s="57"/>
      <c r="AK227" s="57"/>
      <c r="AL227" s="59"/>
      <c r="AM227" s="59"/>
      <c r="AN227" s="59"/>
      <c r="AO227" s="60"/>
      <c r="AP227" s="57"/>
      <c r="AQ227" s="77"/>
      <c r="AR227" s="76" t="e">
        <f t="shared" si="3"/>
        <v>#VALUE!</v>
      </c>
    </row>
    <row r="228" spans="1:44" x14ac:dyDescent="0.3">
      <c r="A228" s="56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8"/>
      <c r="R228" s="57"/>
      <c r="S228" s="59"/>
      <c r="T228" s="57"/>
      <c r="U228" s="57"/>
      <c r="V228" s="59"/>
      <c r="W228" s="59"/>
      <c r="X228" s="57"/>
      <c r="Y228" s="57"/>
      <c r="Z228" s="59"/>
      <c r="AA228" s="59"/>
      <c r="AB228" s="57"/>
      <c r="AC228" s="57"/>
      <c r="AD228" s="59"/>
      <c r="AE228" s="59"/>
      <c r="AF228" s="57"/>
      <c r="AG228" s="57"/>
      <c r="AH228" s="59"/>
      <c r="AI228" s="59"/>
      <c r="AJ228" s="57"/>
      <c r="AK228" s="57"/>
      <c r="AL228" s="59"/>
      <c r="AM228" s="59"/>
      <c r="AN228" s="59"/>
      <c r="AO228" s="60"/>
      <c r="AP228" s="57"/>
      <c r="AQ228" s="77"/>
      <c r="AR228" s="76" t="e">
        <f t="shared" si="3"/>
        <v>#VALUE!</v>
      </c>
    </row>
    <row r="229" spans="1:44" x14ac:dyDescent="0.3">
      <c r="A229" s="56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8"/>
      <c r="R229" s="57"/>
      <c r="S229" s="59"/>
      <c r="T229" s="57"/>
      <c r="U229" s="57"/>
      <c r="V229" s="59"/>
      <c r="W229" s="59"/>
      <c r="X229" s="57"/>
      <c r="Y229" s="57"/>
      <c r="Z229" s="59"/>
      <c r="AA229" s="59"/>
      <c r="AB229" s="57"/>
      <c r="AC229" s="57"/>
      <c r="AD229" s="59"/>
      <c r="AE229" s="59"/>
      <c r="AF229" s="57"/>
      <c r="AG229" s="57"/>
      <c r="AH229" s="59"/>
      <c r="AI229" s="59"/>
      <c r="AJ229" s="57"/>
      <c r="AK229" s="57"/>
      <c r="AL229" s="59"/>
      <c r="AM229" s="59"/>
      <c r="AN229" s="59"/>
      <c r="AO229" s="60"/>
      <c r="AP229" s="57"/>
      <c r="AQ229" s="77"/>
      <c r="AR229" s="76" t="e">
        <f t="shared" si="3"/>
        <v>#VALUE!</v>
      </c>
    </row>
    <row r="230" spans="1:44" x14ac:dyDescent="0.3">
      <c r="A230" s="56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8"/>
      <c r="R230" s="57"/>
      <c r="S230" s="59"/>
      <c r="T230" s="57"/>
      <c r="U230" s="57"/>
      <c r="V230" s="59"/>
      <c r="W230" s="59"/>
      <c r="X230" s="57"/>
      <c r="Y230" s="57"/>
      <c r="Z230" s="59"/>
      <c r="AA230" s="59"/>
      <c r="AB230" s="57"/>
      <c r="AC230" s="57"/>
      <c r="AD230" s="59"/>
      <c r="AE230" s="59"/>
      <c r="AF230" s="57"/>
      <c r="AG230" s="57"/>
      <c r="AH230" s="59"/>
      <c r="AI230" s="59"/>
      <c r="AJ230" s="57"/>
      <c r="AK230" s="57"/>
      <c r="AL230" s="59"/>
      <c r="AM230" s="59"/>
      <c r="AN230" s="59"/>
      <c r="AO230" s="60"/>
      <c r="AP230" s="57"/>
      <c r="AQ230" s="77"/>
      <c r="AR230" s="76" t="e">
        <f t="shared" si="3"/>
        <v>#VALUE!</v>
      </c>
    </row>
    <row r="231" spans="1:44" x14ac:dyDescent="0.3">
      <c r="A231" s="56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8"/>
      <c r="R231" s="57"/>
      <c r="S231" s="59"/>
      <c r="T231" s="57"/>
      <c r="U231" s="57"/>
      <c r="V231" s="59"/>
      <c r="W231" s="59"/>
      <c r="X231" s="57"/>
      <c r="Y231" s="57"/>
      <c r="Z231" s="59"/>
      <c r="AA231" s="59"/>
      <c r="AB231" s="57"/>
      <c r="AC231" s="57"/>
      <c r="AD231" s="59"/>
      <c r="AE231" s="59"/>
      <c r="AF231" s="57"/>
      <c r="AG231" s="57"/>
      <c r="AH231" s="59"/>
      <c r="AI231" s="59"/>
      <c r="AJ231" s="57"/>
      <c r="AK231" s="57"/>
      <c r="AL231" s="59"/>
      <c r="AM231" s="59"/>
      <c r="AN231" s="59"/>
      <c r="AO231" s="60"/>
      <c r="AP231" s="57"/>
      <c r="AQ231" s="77"/>
      <c r="AR231" s="76" t="e">
        <f t="shared" si="3"/>
        <v>#VALUE!</v>
      </c>
    </row>
    <row r="232" spans="1:44" x14ac:dyDescent="0.3">
      <c r="A232" s="56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8"/>
      <c r="R232" s="57"/>
      <c r="S232" s="59"/>
      <c r="T232" s="57"/>
      <c r="U232" s="57"/>
      <c r="V232" s="59"/>
      <c r="W232" s="59"/>
      <c r="X232" s="57"/>
      <c r="Y232" s="57"/>
      <c r="Z232" s="59"/>
      <c r="AA232" s="59"/>
      <c r="AB232" s="57"/>
      <c r="AC232" s="57"/>
      <c r="AD232" s="59"/>
      <c r="AE232" s="59"/>
      <c r="AF232" s="57"/>
      <c r="AG232" s="57"/>
      <c r="AH232" s="59"/>
      <c r="AI232" s="59"/>
      <c r="AJ232" s="57"/>
      <c r="AK232" s="57"/>
      <c r="AL232" s="59"/>
      <c r="AM232" s="59"/>
      <c r="AN232" s="59"/>
      <c r="AO232" s="60"/>
      <c r="AP232" s="57"/>
      <c r="AQ232" s="77"/>
      <c r="AR232" s="76" t="e">
        <f t="shared" si="3"/>
        <v>#VALUE!</v>
      </c>
    </row>
    <row r="233" spans="1:44" x14ac:dyDescent="0.3">
      <c r="A233" s="56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8"/>
      <c r="R233" s="57"/>
      <c r="S233" s="59"/>
      <c r="T233" s="57"/>
      <c r="U233" s="57"/>
      <c r="V233" s="59"/>
      <c r="W233" s="59"/>
      <c r="X233" s="57"/>
      <c r="Y233" s="57"/>
      <c r="Z233" s="59"/>
      <c r="AA233" s="59"/>
      <c r="AB233" s="57"/>
      <c r="AC233" s="57"/>
      <c r="AD233" s="59"/>
      <c r="AE233" s="59"/>
      <c r="AF233" s="57"/>
      <c r="AG233" s="57"/>
      <c r="AH233" s="59"/>
      <c r="AI233" s="59"/>
      <c r="AJ233" s="57"/>
      <c r="AK233" s="57"/>
      <c r="AL233" s="59"/>
      <c r="AM233" s="59"/>
      <c r="AN233" s="59"/>
      <c r="AO233" s="60"/>
      <c r="AP233" s="57"/>
      <c r="AQ233" s="77"/>
      <c r="AR233" s="76" t="e">
        <f t="shared" si="3"/>
        <v>#VALUE!</v>
      </c>
    </row>
    <row r="234" spans="1:44" x14ac:dyDescent="0.3">
      <c r="A234" s="56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8"/>
      <c r="R234" s="57"/>
      <c r="S234" s="59"/>
      <c r="T234" s="57"/>
      <c r="U234" s="57"/>
      <c r="V234" s="59"/>
      <c r="W234" s="59"/>
      <c r="X234" s="57"/>
      <c r="Y234" s="57"/>
      <c r="Z234" s="59"/>
      <c r="AA234" s="59"/>
      <c r="AB234" s="57"/>
      <c r="AC234" s="57"/>
      <c r="AD234" s="59"/>
      <c r="AE234" s="59"/>
      <c r="AF234" s="57"/>
      <c r="AG234" s="57"/>
      <c r="AH234" s="59"/>
      <c r="AI234" s="59"/>
      <c r="AJ234" s="57"/>
      <c r="AK234" s="57"/>
      <c r="AL234" s="59"/>
      <c r="AM234" s="59"/>
      <c r="AN234" s="59"/>
      <c r="AO234" s="60"/>
      <c r="AP234" s="57"/>
      <c r="AQ234" s="77"/>
      <c r="AR234" s="76" t="e">
        <f t="shared" si="3"/>
        <v>#VALUE!</v>
      </c>
    </row>
    <row r="235" spans="1:44" x14ac:dyDescent="0.3">
      <c r="A235" s="56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8"/>
      <c r="R235" s="57"/>
      <c r="S235" s="59"/>
      <c r="T235" s="57"/>
      <c r="U235" s="57"/>
      <c r="V235" s="59"/>
      <c r="W235" s="59"/>
      <c r="X235" s="57"/>
      <c r="Y235" s="57"/>
      <c r="Z235" s="59"/>
      <c r="AA235" s="59"/>
      <c r="AB235" s="57"/>
      <c r="AC235" s="57"/>
      <c r="AD235" s="59"/>
      <c r="AE235" s="59"/>
      <c r="AF235" s="57"/>
      <c r="AG235" s="57"/>
      <c r="AH235" s="59"/>
      <c r="AI235" s="59"/>
      <c r="AJ235" s="57"/>
      <c r="AK235" s="57"/>
      <c r="AL235" s="59"/>
      <c r="AM235" s="59"/>
      <c r="AN235" s="59"/>
      <c r="AO235" s="60"/>
      <c r="AP235" s="57"/>
      <c r="AQ235" s="77"/>
      <c r="AR235" s="76" t="e">
        <f t="shared" si="3"/>
        <v>#VALUE!</v>
      </c>
    </row>
    <row r="236" spans="1:44" x14ac:dyDescent="0.3">
      <c r="A236" s="56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8"/>
      <c r="R236" s="57"/>
      <c r="S236" s="59"/>
      <c r="T236" s="57"/>
      <c r="U236" s="57"/>
      <c r="V236" s="59"/>
      <c r="W236" s="59"/>
      <c r="X236" s="57"/>
      <c r="Y236" s="57"/>
      <c r="Z236" s="59"/>
      <c r="AA236" s="59"/>
      <c r="AB236" s="57"/>
      <c r="AC236" s="57"/>
      <c r="AD236" s="59"/>
      <c r="AE236" s="59"/>
      <c r="AF236" s="57"/>
      <c r="AG236" s="57"/>
      <c r="AH236" s="59"/>
      <c r="AI236" s="59"/>
      <c r="AJ236" s="57"/>
      <c r="AK236" s="57"/>
      <c r="AL236" s="59"/>
      <c r="AM236" s="59"/>
      <c r="AN236" s="59"/>
      <c r="AO236" s="60"/>
      <c r="AP236" s="57"/>
      <c r="AQ236" s="77"/>
      <c r="AR236" s="76" t="e">
        <f t="shared" si="3"/>
        <v>#VALUE!</v>
      </c>
    </row>
    <row r="237" spans="1:44" x14ac:dyDescent="0.3">
      <c r="A237" s="56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8"/>
      <c r="R237" s="57"/>
      <c r="S237" s="59"/>
      <c r="T237" s="57"/>
      <c r="U237" s="57"/>
      <c r="V237" s="59"/>
      <c r="W237" s="59"/>
      <c r="X237" s="57"/>
      <c r="Y237" s="57"/>
      <c r="Z237" s="59"/>
      <c r="AA237" s="59"/>
      <c r="AB237" s="57"/>
      <c r="AC237" s="57"/>
      <c r="AD237" s="59"/>
      <c r="AE237" s="59"/>
      <c r="AF237" s="57"/>
      <c r="AG237" s="57"/>
      <c r="AH237" s="59"/>
      <c r="AI237" s="59"/>
      <c r="AJ237" s="57"/>
      <c r="AK237" s="57"/>
      <c r="AL237" s="59"/>
      <c r="AM237" s="59"/>
      <c r="AN237" s="59"/>
      <c r="AO237" s="60"/>
      <c r="AP237" s="57"/>
      <c r="AQ237" s="77"/>
      <c r="AR237" s="76" t="e">
        <f t="shared" si="3"/>
        <v>#VALUE!</v>
      </c>
    </row>
    <row r="238" spans="1:44" x14ac:dyDescent="0.3">
      <c r="A238" s="56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8"/>
      <c r="R238" s="57"/>
      <c r="S238" s="59"/>
      <c r="T238" s="57"/>
      <c r="U238" s="57"/>
      <c r="V238" s="59"/>
      <c r="W238" s="59"/>
      <c r="X238" s="57"/>
      <c r="Y238" s="57"/>
      <c r="Z238" s="59"/>
      <c r="AA238" s="59"/>
      <c r="AB238" s="57"/>
      <c r="AC238" s="57"/>
      <c r="AD238" s="59"/>
      <c r="AE238" s="59"/>
      <c r="AF238" s="57"/>
      <c r="AG238" s="57"/>
      <c r="AH238" s="59"/>
      <c r="AI238" s="59"/>
      <c r="AJ238" s="57"/>
      <c r="AK238" s="57"/>
      <c r="AL238" s="59"/>
      <c r="AM238" s="59"/>
      <c r="AN238" s="59"/>
      <c r="AO238" s="60"/>
      <c r="AP238" s="57"/>
      <c r="AQ238" s="77"/>
      <c r="AR238" s="76" t="e">
        <f t="shared" si="3"/>
        <v>#VALUE!</v>
      </c>
    </row>
    <row r="239" spans="1:44" x14ac:dyDescent="0.3">
      <c r="A239" s="56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8"/>
      <c r="R239" s="57"/>
      <c r="S239" s="59"/>
      <c r="T239" s="57"/>
      <c r="U239" s="57"/>
      <c r="V239" s="59"/>
      <c r="W239" s="59"/>
      <c r="X239" s="57"/>
      <c r="Y239" s="57"/>
      <c r="Z239" s="59"/>
      <c r="AA239" s="59"/>
      <c r="AB239" s="57"/>
      <c r="AC239" s="57"/>
      <c r="AD239" s="59"/>
      <c r="AE239" s="59"/>
      <c r="AF239" s="57"/>
      <c r="AG239" s="57"/>
      <c r="AH239" s="59"/>
      <c r="AI239" s="59"/>
      <c r="AJ239" s="57"/>
      <c r="AK239" s="57"/>
      <c r="AL239" s="59"/>
      <c r="AM239" s="59"/>
      <c r="AN239" s="59"/>
      <c r="AO239" s="60"/>
      <c r="AP239" s="57"/>
      <c r="AQ239" s="77"/>
      <c r="AR239" s="76" t="e">
        <f t="shared" si="3"/>
        <v>#VALUE!</v>
      </c>
    </row>
    <row r="240" spans="1:44" x14ac:dyDescent="0.3">
      <c r="A240" s="56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8"/>
      <c r="R240" s="57"/>
      <c r="S240" s="59"/>
      <c r="T240" s="57"/>
      <c r="U240" s="57"/>
      <c r="V240" s="59"/>
      <c r="W240" s="59"/>
      <c r="X240" s="57"/>
      <c r="Y240" s="57"/>
      <c r="Z240" s="59"/>
      <c r="AA240" s="59"/>
      <c r="AB240" s="57"/>
      <c r="AC240" s="57"/>
      <c r="AD240" s="59"/>
      <c r="AE240" s="59"/>
      <c r="AF240" s="57"/>
      <c r="AG240" s="57"/>
      <c r="AH240" s="59"/>
      <c r="AI240" s="59"/>
      <c r="AJ240" s="57"/>
      <c r="AK240" s="57"/>
      <c r="AL240" s="59"/>
      <c r="AM240" s="59"/>
      <c r="AN240" s="59"/>
      <c r="AO240" s="60"/>
      <c r="AP240" s="57"/>
      <c r="AQ240" s="77"/>
      <c r="AR240" s="76" t="e">
        <f t="shared" si="3"/>
        <v>#VALUE!</v>
      </c>
    </row>
    <row r="241" spans="1:44" x14ac:dyDescent="0.3">
      <c r="A241" s="56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8"/>
      <c r="R241" s="57"/>
      <c r="S241" s="59"/>
      <c r="T241" s="57"/>
      <c r="U241" s="57"/>
      <c r="V241" s="59"/>
      <c r="W241" s="59"/>
      <c r="X241" s="57"/>
      <c r="Y241" s="57"/>
      <c r="Z241" s="59"/>
      <c r="AA241" s="59"/>
      <c r="AB241" s="57"/>
      <c r="AC241" s="57"/>
      <c r="AD241" s="59"/>
      <c r="AE241" s="59"/>
      <c r="AF241" s="57"/>
      <c r="AG241" s="57"/>
      <c r="AH241" s="59"/>
      <c r="AI241" s="59"/>
      <c r="AJ241" s="57"/>
      <c r="AK241" s="57"/>
      <c r="AL241" s="59"/>
      <c r="AM241" s="59"/>
      <c r="AN241" s="59"/>
      <c r="AO241" s="60"/>
      <c r="AP241" s="57"/>
      <c r="AQ241" s="77"/>
      <c r="AR241" s="76" t="e">
        <f t="shared" si="3"/>
        <v>#VALUE!</v>
      </c>
    </row>
    <row r="242" spans="1:44" x14ac:dyDescent="0.3">
      <c r="A242" s="56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8"/>
      <c r="R242" s="57"/>
      <c r="S242" s="59"/>
      <c r="T242" s="57"/>
      <c r="U242" s="57"/>
      <c r="V242" s="59"/>
      <c r="W242" s="59"/>
      <c r="X242" s="57"/>
      <c r="Y242" s="57"/>
      <c r="Z242" s="59"/>
      <c r="AA242" s="59"/>
      <c r="AB242" s="57"/>
      <c r="AC242" s="57"/>
      <c r="AD242" s="59"/>
      <c r="AE242" s="59"/>
      <c r="AF242" s="57"/>
      <c r="AG242" s="57"/>
      <c r="AH242" s="59"/>
      <c r="AI242" s="59"/>
      <c r="AJ242" s="57"/>
      <c r="AK242" s="57"/>
      <c r="AL242" s="59"/>
      <c r="AM242" s="59"/>
      <c r="AN242" s="59"/>
      <c r="AO242" s="60"/>
      <c r="AP242" s="57"/>
      <c r="AQ242" s="77"/>
      <c r="AR242" s="76" t="e">
        <f t="shared" si="3"/>
        <v>#VALUE!</v>
      </c>
    </row>
    <row r="243" spans="1:44" x14ac:dyDescent="0.3">
      <c r="A243" s="56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8"/>
      <c r="R243" s="57"/>
      <c r="S243" s="59"/>
      <c r="T243" s="57"/>
      <c r="U243" s="57"/>
      <c r="V243" s="59"/>
      <c r="W243" s="59"/>
      <c r="X243" s="57"/>
      <c r="Y243" s="57"/>
      <c r="Z243" s="59"/>
      <c r="AA243" s="59"/>
      <c r="AB243" s="57"/>
      <c r="AC243" s="57"/>
      <c r="AD243" s="59"/>
      <c r="AE243" s="59"/>
      <c r="AF243" s="57"/>
      <c r="AG243" s="57"/>
      <c r="AH243" s="59"/>
      <c r="AI243" s="59"/>
      <c r="AJ243" s="57"/>
      <c r="AK243" s="57"/>
      <c r="AL243" s="59"/>
      <c r="AM243" s="59"/>
      <c r="AN243" s="59"/>
      <c r="AO243" s="60"/>
      <c r="AP243" s="57"/>
      <c r="AQ243" s="77"/>
      <c r="AR243" s="76" t="e">
        <f t="shared" si="3"/>
        <v>#VALUE!</v>
      </c>
    </row>
    <row r="244" spans="1:44" x14ac:dyDescent="0.3">
      <c r="A244" s="56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8"/>
      <c r="R244" s="57"/>
      <c r="S244" s="59"/>
      <c r="T244" s="57"/>
      <c r="U244" s="57"/>
      <c r="V244" s="59"/>
      <c r="W244" s="59"/>
      <c r="X244" s="57"/>
      <c r="Y244" s="57"/>
      <c r="Z244" s="59"/>
      <c r="AA244" s="59"/>
      <c r="AB244" s="57"/>
      <c r="AC244" s="57"/>
      <c r="AD244" s="59"/>
      <c r="AE244" s="59"/>
      <c r="AF244" s="57"/>
      <c r="AG244" s="57"/>
      <c r="AH244" s="59"/>
      <c r="AI244" s="59"/>
      <c r="AJ244" s="57"/>
      <c r="AK244" s="57"/>
      <c r="AL244" s="59"/>
      <c r="AM244" s="59"/>
      <c r="AN244" s="59"/>
      <c r="AO244" s="60"/>
      <c r="AP244" s="57"/>
      <c r="AQ244" s="77"/>
      <c r="AR244" s="76" t="e">
        <f t="shared" si="3"/>
        <v>#VALUE!</v>
      </c>
    </row>
    <row r="245" spans="1:44" x14ac:dyDescent="0.3">
      <c r="A245" s="56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8"/>
      <c r="R245" s="57"/>
      <c r="S245" s="59"/>
      <c r="T245" s="57"/>
      <c r="U245" s="57"/>
      <c r="V245" s="59"/>
      <c r="W245" s="59"/>
      <c r="X245" s="57"/>
      <c r="Y245" s="57"/>
      <c r="Z245" s="59"/>
      <c r="AA245" s="59"/>
      <c r="AB245" s="57"/>
      <c r="AC245" s="57"/>
      <c r="AD245" s="59"/>
      <c r="AE245" s="59"/>
      <c r="AF245" s="57"/>
      <c r="AG245" s="57"/>
      <c r="AH245" s="59"/>
      <c r="AI245" s="59"/>
      <c r="AJ245" s="57"/>
      <c r="AK245" s="57"/>
      <c r="AL245" s="59"/>
      <c r="AM245" s="59"/>
      <c r="AN245" s="59"/>
      <c r="AO245" s="60"/>
      <c r="AP245" s="57"/>
      <c r="AQ245" s="77"/>
      <c r="AR245" s="76" t="e">
        <f t="shared" si="3"/>
        <v>#VALUE!</v>
      </c>
    </row>
    <row r="246" spans="1:44" x14ac:dyDescent="0.3">
      <c r="A246" s="56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8"/>
      <c r="R246" s="57"/>
      <c r="S246" s="59"/>
      <c r="T246" s="57"/>
      <c r="U246" s="57"/>
      <c r="V246" s="59"/>
      <c r="W246" s="59"/>
      <c r="X246" s="57"/>
      <c r="Y246" s="57"/>
      <c r="Z246" s="59"/>
      <c r="AA246" s="59"/>
      <c r="AB246" s="57"/>
      <c r="AC246" s="57"/>
      <c r="AD246" s="59"/>
      <c r="AE246" s="59"/>
      <c r="AF246" s="57"/>
      <c r="AG246" s="57"/>
      <c r="AH246" s="59"/>
      <c r="AI246" s="59"/>
      <c r="AJ246" s="57"/>
      <c r="AK246" s="57"/>
      <c r="AL246" s="59"/>
      <c r="AM246" s="59"/>
      <c r="AN246" s="59"/>
      <c r="AO246" s="60"/>
      <c r="AP246" s="57"/>
      <c r="AQ246" s="77"/>
      <c r="AR246" s="76" t="e">
        <f t="shared" si="3"/>
        <v>#VALUE!</v>
      </c>
    </row>
    <row r="247" spans="1:44" x14ac:dyDescent="0.3">
      <c r="A247" s="56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8"/>
      <c r="R247" s="57"/>
      <c r="S247" s="59"/>
      <c r="T247" s="57"/>
      <c r="U247" s="57"/>
      <c r="V247" s="59"/>
      <c r="W247" s="59"/>
      <c r="X247" s="57"/>
      <c r="Y247" s="57"/>
      <c r="Z247" s="59"/>
      <c r="AA247" s="59"/>
      <c r="AB247" s="57"/>
      <c r="AC247" s="57"/>
      <c r="AD247" s="59"/>
      <c r="AE247" s="59"/>
      <c r="AF247" s="57"/>
      <c r="AG247" s="57"/>
      <c r="AH247" s="59"/>
      <c r="AI247" s="59"/>
      <c r="AJ247" s="57"/>
      <c r="AK247" s="57"/>
      <c r="AL247" s="59"/>
      <c r="AM247" s="59"/>
      <c r="AN247" s="59"/>
      <c r="AO247" s="60"/>
      <c r="AP247" s="57"/>
      <c r="AQ247" s="77"/>
      <c r="AR247" s="76" t="e">
        <f t="shared" si="3"/>
        <v>#VALUE!</v>
      </c>
    </row>
    <row r="248" spans="1:44" x14ac:dyDescent="0.3">
      <c r="A248" s="56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8"/>
      <c r="R248" s="57"/>
      <c r="S248" s="59"/>
      <c r="T248" s="57"/>
      <c r="U248" s="57"/>
      <c r="V248" s="59"/>
      <c r="W248" s="59"/>
      <c r="X248" s="57"/>
      <c r="Y248" s="57"/>
      <c r="Z248" s="59"/>
      <c r="AA248" s="59"/>
      <c r="AB248" s="57"/>
      <c r="AC248" s="57"/>
      <c r="AD248" s="59"/>
      <c r="AE248" s="59"/>
      <c r="AF248" s="57"/>
      <c r="AG248" s="57"/>
      <c r="AH248" s="59"/>
      <c r="AI248" s="59"/>
      <c r="AJ248" s="57"/>
      <c r="AK248" s="57"/>
      <c r="AL248" s="59"/>
      <c r="AM248" s="59"/>
      <c r="AN248" s="59"/>
      <c r="AO248" s="60"/>
      <c r="AP248" s="57"/>
      <c r="AQ248" s="77"/>
      <c r="AR248" s="76" t="e">
        <f t="shared" si="3"/>
        <v>#VALUE!</v>
      </c>
    </row>
    <row r="249" spans="1:44" x14ac:dyDescent="0.3">
      <c r="A249" s="56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8"/>
      <c r="R249" s="57"/>
      <c r="S249" s="59"/>
      <c r="T249" s="57"/>
      <c r="U249" s="57"/>
      <c r="V249" s="59"/>
      <c r="W249" s="59"/>
      <c r="X249" s="57"/>
      <c r="Y249" s="57"/>
      <c r="Z249" s="59"/>
      <c r="AA249" s="59"/>
      <c r="AB249" s="57"/>
      <c r="AC249" s="57"/>
      <c r="AD249" s="59"/>
      <c r="AE249" s="59"/>
      <c r="AF249" s="57"/>
      <c r="AG249" s="57"/>
      <c r="AH249" s="59"/>
      <c r="AI249" s="59"/>
      <c r="AJ249" s="57"/>
      <c r="AK249" s="57"/>
      <c r="AL249" s="59"/>
      <c r="AM249" s="59"/>
      <c r="AN249" s="59"/>
      <c r="AO249" s="60"/>
      <c r="AP249" s="57"/>
      <c r="AQ249" s="77"/>
      <c r="AR249" s="76" t="e">
        <f t="shared" si="3"/>
        <v>#VALUE!</v>
      </c>
    </row>
    <row r="250" spans="1:44" x14ac:dyDescent="0.3">
      <c r="A250" s="56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8"/>
      <c r="R250" s="57"/>
      <c r="S250" s="59"/>
      <c r="T250" s="57"/>
      <c r="U250" s="57"/>
      <c r="V250" s="59"/>
      <c r="W250" s="59"/>
      <c r="X250" s="57"/>
      <c r="Y250" s="57"/>
      <c r="Z250" s="59"/>
      <c r="AA250" s="59"/>
      <c r="AB250" s="57"/>
      <c r="AC250" s="57"/>
      <c r="AD250" s="59"/>
      <c r="AE250" s="59"/>
      <c r="AF250" s="57"/>
      <c r="AG250" s="57"/>
      <c r="AH250" s="59"/>
      <c r="AI250" s="59"/>
      <c r="AJ250" s="57"/>
      <c r="AK250" s="57"/>
      <c r="AL250" s="59"/>
      <c r="AM250" s="59"/>
      <c r="AN250" s="59"/>
      <c r="AO250" s="60"/>
      <c r="AP250" s="57"/>
      <c r="AQ250" s="77"/>
      <c r="AR250" s="76" t="e">
        <f t="shared" si="3"/>
        <v>#VALUE!</v>
      </c>
    </row>
    <row r="251" spans="1:44" x14ac:dyDescent="0.3">
      <c r="A251" s="56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8"/>
      <c r="R251" s="57"/>
      <c r="S251" s="59"/>
      <c r="T251" s="57"/>
      <c r="U251" s="57"/>
      <c r="V251" s="59"/>
      <c r="W251" s="59"/>
      <c r="X251" s="57"/>
      <c r="Y251" s="57"/>
      <c r="Z251" s="59"/>
      <c r="AA251" s="59"/>
      <c r="AB251" s="57"/>
      <c r="AC251" s="57"/>
      <c r="AD251" s="59"/>
      <c r="AE251" s="59"/>
      <c r="AF251" s="57"/>
      <c r="AG251" s="57"/>
      <c r="AH251" s="59"/>
      <c r="AI251" s="59"/>
      <c r="AJ251" s="57"/>
      <c r="AK251" s="57"/>
      <c r="AL251" s="59"/>
      <c r="AM251" s="59"/>
      <c r="AN251" s="59"/>
      <c r="AO251" s="60"/>
      <c r="AP251" s="57"/>
      <c r="AQ251" s="77"/>
      <c r="AR251" s="76" t="e">
        <f t="shared" si="3"/>
        <v>#VALUE!</v>
      </c>
    </row>
    <row r="252" spans="1:44" x14ac:dyDescent="0.3">
      <c r="A252" s="56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8"/>
      <c r="R252" s="57"/>
      <c r="S252" s="59"/>
      <c r="T252" s="57"/>
      <c r="U252" s="57"/>
      <c r="V252" s="59"/>
      <c r="W252" s="59"/>
      <c r="X252" s="57"/>
      <c r="Y252" s="57"/>
      <c r="Z252" s="59"/>
      <c r="AA252" s="59"/>
      <c r="AB252" s="57"/>
      <c r="AC252" s="57"/>
      <c r="AD252" s="59"/>
      <c r="AE252" s="59"/>
      <c r="AF252" s="57"/>
      <c r="AG252" s="57"/>
      <c r="AH252" s="59"/>
      <c r="AI252" s="59"/>
      <c r="AJ252" s="57"/>
      <c r="AK252" s="57"/>
      <c r="AL252" s="59"/>
      <c r="AM252" s="59"/>
      <c r="AN252" s="59"/>
      <c r="AO252" s="60"/>
      <c r="AP252" s="57"/>
      <c r="AQ252" s="77"/>
      <c r="AR252" s="76" t="e">
        <f t="shared" si="3"/>
        <v>#VALUE!</v>
      </c>
    </row>
    <row r="253" spans="1:44" x14ac:dyDescent="0.3">
      <c r="A253" s="56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8"/>
      <c r="R253" s="57"/>
      <c r="S253" s="59"/>
      <c r="T253" s="57"/>
      <c r="U253" s="57"/>
      <c r="V253" s="59"/>
      <c r="W253" s="59"/>
      <c r="X253" s="57"/>
      <c r="Y253" s="57"/>
      <c r="Z253" s="59"/>
      <c r="AA253" s="59"/>
      <c r="AB253" s="57"/>
      <c r="AC253" s="57"/>
      <c r="AD253" s="59"/>
      <c r="AE253" s="59"/>
      <c r="AF253" s="57"/>
      <c r="AG253" s="57"/>
      <c r="AH253" s="59"/>
      <c r="AI253" s="59"/>
      <c r="AJ253" s="57"/>
      <c r="AK253" s="57"/>
      <c r="AL253" s="59"/>
      <c r="AM253" s="59"/>
      <c r="AN253" s="59"/>
      <c r="AO253" s="60"/>
      <c r="AP253" s="57"/>
      <c r="AQ253" s="77"/>
      <c r="AR253" s="76" t="e">
        <f t="shared" si="3"/>
        <v>#VALUE!</v>
      </c>
    </row>
    <row r="254" spans="1:44" x14ac:dyDescent="0.3">
      <c r="A254" s="56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8"/>
      <c r="R254" s="57"/>
      <c r="S254" s="59"/>
      <c r="T254" s="57"/>
      <c r="U254" s="57"/>
      <c r="V254" s="59"/>
      <c r="W254" s="59"/>
      <c r="X254" s="57"/>
      <c r="Y254" s="57"/>
      <c r="Z254" s="59"/>
      <c r="AA254" s="59"/>
      <c r="AB254" s="57"/>
      <c r="AC254" s="57"/>
      <c r="AD254" s="59"/>
      <c r="AE254" s="59"/>
      <c r="AF254" s="57"/>
      <c r="AG254" s="57"/>
      <c r="AH254" s="59"/>
      <c r="AI254" s="59"/>
      <c r="AJ254" s="57"/>
      <c r="AK254" s="57"/>
      <c r="AL254" s="59"/>
      <c r="AM254" s="59"/>
      <c r="AN254" s="59"/>
      <c r="AO254" s="60"/>
      <c r="AP254" s="57"/>
      <c r="AQ254" s="77"/>
      <c r="AR254" s="76" t="e">
        <f t="shared" si="3"/>
        <v>#VALUE!</v>
      </c>
    </row>
    <row r="255" spans="1:44" x14ac:dyDescent="0.3">
      <c r="A255" s="56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8"/>
      <c r="R255" s="57"/>
      <c r="S255" s="59"/>
      <c r="T255" s="57"/>
      <c r="U255" s="57"/>
      <c r="V255" s="59"/>
      <c r="W255" s="59"/>
      <c r="X255" s="57"/>
      <c r="Y255" s="57"/>
      <c r="Z255" s="59"/>
      <c r="AA255" s="59"/>
      <c r="AB255" s="57"/>
      <c r="AC255" s="57"/>
      <c r="AD255" s="59"/>
      <c r="AE255" s="59"/>
      <c r="AF255" s="57"/>
      <c r="AG255" s="57"/>
      <c r="AH255" s="59"/>
      <c r="AI255" s="59"/>
      <c r="AJ255" s="57"/>
      <c r="AK255" s="57"/>
      <c r="AL255" s="59"/>
      <c r="AM255" s="59"/>
      <c r="AN255" s="59"/>
      <c r="AO255" s="60"/>
      <c r="AP255" s="57"/>
      <c r="AQ255" s="77"/>
      <c r="AR255" s="76" t="e">
        <f t="shared" si="3"/>
        <v>#VALUE!</v>
      </c>
    </row>
    <row r="256" spans="1:44" x14ac:dyDescent="0.3">
      <c r="A256" s="56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8"/>
      <c r="R256" s="57"/>
      <c r="S256" s="59"/>
      <c r="T256" s="57"/>
      <c r="U256" s="57"/>
      <c r="V256" s="59"/>
      <c r="W256" s="59"/>
      <c r="X256" s="57"/>
      <c r="Y256" s="57"/>
      <c r="Z256" s="59"/>
      <c r="AA256" s="59"/>
      <c r="AB256" s="57"/>
      <c r="AC256" s="57"/>
      <c r="AD256" s="59"/>
      <c r="AE256" s="59"/>
      <c r="AF256" s="57"/>
      <c r="AG256" s="57"/>
      <c r="AH256" s="59"/>
      <c r="AI256" s="59"/>
      <c r="AJ256" s="57"/>
      <c r="AK256" s="57"/>
      <c r="AL256" s="59"/>
      <c r="AM256" s="59"/>
      <c r="AN256" s="59"/>
      <c r="AO256" s="60"/>
      <c r="AP256" s="57"/>
      <c r="AQ256" s="77"/>
      <c r="AR256" s="76" t="e">
        <f t="shared" si="3"/>
        <v>#VALUE!</v>
      </c>
    </row>
    <row r="257" spans="1:44" x14ac:dyDescent="0.3">
      <c r="A257" s="56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8"/>
      <c r="R257" s="57"/>
      <c r="S257" s="59"/>
      <c r="T257" s="57"/>
      <c r="U257" s="57"/>
      <c r="V257" s="59"/>
      <c r="W257" s="59"/>
      <c r="X257" s="57"/>
      <c r="Y257" s="57"/>
      <c r="Z257" s="59"/>
      <c r="AA257" s="59"/>
      <c r="AB257" s="57"/>
      <c r="AC257" s="57"/>
      <c r="AD257" s="59"/>
      <c r="AE257" s="59"/>
      <c r="AF257" s="57"/>
      <c r="AG257" s="57"/>
      <c r="AH257" s="59"/>
      <c r="AI257" s="59"/>
      <c r="AJ257" s="57"/>
      <c r="AK257" s="57"/>
      <c r="AL257" s="59"/>
      <c r="AM257" s="59"/>
      <c r="AN257" s="59"/>
      <c r="AO257" s="60"/>
      <c r="AP257" s="57"/>
      <c r="AQ257" s="77"/>
      <c r="AR257" s="76" t="e">
        <f t="shared" si="3"/>
        <v>#VALUE!</v>
      </c>
    </row>
    <row r="258" spans="1:44" x14ac:dyDescent="0.3">
      <c r="A258" s="56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8"/>
      <c r="R258" s="57"/>
      <c r="S258" s="59"/>
      <c r="T258" s="57"/>
      <c r="U258" s="57"/>
      <c r="V258" s="59"/>
      <c r="W258" s="59"/>
      <c r="X258" s="57"/>
      <c r="Y258" s="57"/>
      <c r="Z258" s="59"/>
      <c r="AA258" s="59"/>
      <c r="AB258" s="57"/>
      <c r="AC258" s="57"/>
      <c r="AD258" s="59"/>
      <c r="AE258" s="59"/>
      <c r="AF258" s="57"/>
      <c r="AG258" s="57"/>
      <c r="AH258" s="59"/>
      <c r="AI258" s="59"/>
      <c r="AJ258" s="57"/>
      <c r="AK258" s="57"/>
      <c r="AL258" s="59"/>
      <c r="AM258" s="59"/>
      <c r="AN258" s="59"/>
      <c r="AO258" s="60"/>
      <c r="AP258" s="57"/>
      <c r="AQ258" s="77"/>
      <c r="AR258" s="76" t="e">
        <f t="shared" si="3"/>
        <v>#VALUE!</v>
      </c>
    </row>
    <row r="259" spans="1:44" x14ac:dyDescent="0.3">
      <c r="A259" s="56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8"/>
      <c r="R259" s="57"/>
      <c r="S259" s="59"/>
      <c r="T259" s="57"/>
      <c r="U259" s="57"/>
      <c r="V259" s="59"/>
      <c r="W259" s="59"/>
      <c r="X259" s="57"/>
      <c r="Y259" s="57"/>
      <c r="Z259" s="59"/>
      <c r="AA259" s="59"/>
      <c r="AB259" s="57"/>
      <c r="AC259" s="57"/>
      <c r="AD259" s="59"/>
      <c r="AE259" s="59"/>
      <c r="AF259" s="57"/>
      <c r="AG259" s="57"/>
      <c r="AH259" s="59"/>
      <c r="AI259" s="59"/>
      <c r="AJ259" s="57"/>
      <c r="AK259" s="57"/>
      <c r="AL259" s="59"/>
      <c r="AM259" s="59"/>
      <c r="AN259" s="59"/>
      <c r="AO259" s="60"/>
      <c r="AP259" s="57"/>
      <c r="AQ259" s="77"/>
      <c r="AR259" s="76" t="e">
        <f t="shared" ref="AR259:AR322" si="4">DATEVALUE(SUBSTITUTE(AP259,";",":"))+TIMEVALUE(SUBSTITUTE(AP259,";",":"))</f>
        <v>#VALUE!</v>
      </c>
    </row>
    <row r="260" spans="1:44" x14ac:dyDescent="0.3">
      <c r="A260" s="56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8"/>
      <c r="R260" s="57"/>
      <c r="S260" s="59"/>
      <c r="T260" s="57"/>
      <c r="U260" s="57"/>
      <c r="V260" s="59"/>
      <c r="W260" s="59"/>
      <c r="X260" s="57"/>
      <c r="Y260" s="57"/>
      <c r="Z260" s="59"/>
      <c r="AA260" s="59"/>
      <c r="AB260" s="57"/>
      <c r="AC260" s="57"/>
      <c r="AD260" s="59"/>
      <c r="AE260" s="59"/>
      <c r="AF260" s="57"/>
      <c r="AG260" s="57"/>
      <c r="AH260" s="59"/>
      <c r="AI260" s="59"/>
      <c r="AJ260" s="57"/>
      <c r="AK260" s="57"/>
      <c r="AL260" s="59"/>
      <c r="AM260" s="59"/>
      <c r="AN260" s="59"/>
      <c r="AO260" s="60"/>
      <c r="AP260" s="57"/>
      <c r="AQ260" s="77"/>
      <c r="AR260" s="76" t="e">
        <f t="shared" si="4"/>
        <v>#VALUE!</v>
      </c>
    </row>
    <row r="261" spans="1:44" x14ac:dyDescent="0.3">
      <c r="A261" s="56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8"/>
      <c r="R261" s="57"/>
      <c r="S261" s="59"/>
      <c r="T261" s="57"/>
      <c r="U261" s="57"/>
      <c r="V261" s="59"/>
      <c r="W261" s="59"/>
      <c r="X261" s="57"/>
      <c r="Y261" s="57"/>
      <c r="Z261" s="59"/>
      <c r="AA261" s="59"/>
      <c r="AB261" s="57"/>
      <c r="AC261" s="57"/>
      <c r="AD261" s="59"/>
      <c r="AE261" s="59"/>
      <c r="AF261" s="57"/>
      <c r="AG261" s="57"/>
      <c r="AH261" s="59"/>
      <c r="AI261" s="59"/>
      <c r="AJ261" s="57"/>
      <c r="AK261" s="57"/>
      <c r="AL261" s="59"/>
      <c r="AM261" s="59"/>
      <c r="AN261" s="59"/>
      <c r="AO261" s="60"/>
      <c r="AP261" s="57"/>
      <c r="AQ261" s="77"/>
      <c r="AR261" s="76" t="e">
        <f t="shared" si="4"/>
        <v>#VALUE!</v>
      </c>
    </row>
    <row r="262" spans="1:44" x14ac:dyDescent="0.3">
      <c r="A262" s="56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8"/>
      <c r="R262" s="57"/>
      <c r="S262" s="59"/>
      <c r="T262" s="57"/>
      <c r="U262" s="57"/>
      <c r="V262" s="59"/>
      <c r="W262" s="59"/>
      <c r="X262" s="57"/>
      <c r="Y262" s="57"/>
      <c r="Z262" s="59"/>
      <c r="AA262" s="59"/>
      <c r="AB262" s="57"/>
      <c r="AC262" s="57"/>
      <c r="AD262" s="59"/>
      <c r="AE262" s="59"/>
      <c r="AF262" s="57"/>
      <c r="AG262" s="57"/>
      <c r="AH262" s="59"/>
      <c r="AI262" s="59"/>
      <c r="AJ262" s="57"/>
      <c r="AK262" s="57"/>
      <c r="AL262" s="59"/>
      <c r="AM262" s="59"/>
      <c r="AN262" s="59"/>
      <c r="AO262" s="60"/>
      <c r="AP262" s="57"/>
      <c r="AQ262" s="77"/>
      <c r="AR262" s="76" t="e">
        <f t="shared" si="4"/>
        <v>#VALUE!</v>
      </c>
    </row>
    <row r="263" spans="1:44" x14ac:dyDescent="0.3">
      <c r="A263" s="56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8"/>
      <c r="R263" s="57"/>
      <c r="S263" s="59"/>
      <c r="T263" s="57"/>
      <c r="U263" s="57"/>
      <c r="V263" s="59"/>
      <c r="W263" s="59"/>
      <c r="X263" s="57"/>
      <c r="Y263" s="57"/>
      <c r="Z263" s="59"/>
      <c r="AA263" s="59"/>
      <c r="AB263" s="57"/>
      <c r="AC263" s="57"/>
      <c r="AD263" s="59"/>
      <c r="AE263" s="59"/>
      <c r="AF263" s="57"/>
      <c r="AG263" s="57"/>
      <c r="AH263" s="59"/>
      <c r="AI263" s="59"/>
      <c r="AJ263" s="57"/>
      <c r="AK263" s="57"/>
      <c r="AL263" s="59"/>
      <c r="AM263" s="59"/>
      <c r="AN263" s="59"/>
      <c r="AO263" s="60"/>
      <c r="AP263" s="57"/>
      <c r="AQ263" s="77"/>
      <c r="AR263" s="76" t="e">
        <f t="shared" si="4"/>
        <v>#VALUE!</v>
      </c>
    </row>
    <row r="264" spans="1:44" x14ac:dyDescent="0.3">
      <c r="A264" s="56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8"/>
      <c r="R264" s="57"/>
      <c r="S264" s="59"/>
      <c r="T264" s="57"/>
      <c r="U264" s="57"/>
      <c r="V264" s="59"/>
      <c r="W264" s="59"/>
      <c r="X264" s="57"/>
      <c r="Y264" s="57"/>
      <c r="Z264" s="59"/>
      <c r="AA264" s="59"/>
      <c r="AB264" s="57"/>
      <c r="AC264" s="57"/>
      <c r="AD264" s="59"/>
      <c r="AE264" s="59"/>
      <c r="AF264" s="57"/>
      <c r="AG264" s="57"/>
      <c r="AH264" s="59"/>
      <c r="AI264" s="59"/>
      <c r="AJ264" s="57"/>
      <c r="AK264" s="57"/>
      <c r="AL264" s="59"/>
      <c r="AM264" s="59"/>
      <c r="AN264" s="59"/>
      <c r="AO264" s="60"/>
      <c r="AP264" s="57"/>
      <c r="AQ264" s="77"/>
      <c r="AR264" s="76" t="e">
        <f t="shared" si="4"/>
        <v>#VALUE!</v>
      </c>
    </row>
    <row r="265" spans="1:44" x14ac:dyDescent="0.3">
      <c r="A265" s="56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8"/>
      <c r="R265" s="57"/>
      <c r="S265" s="59"/>
      <c r="T265" s="57"/>
      <c r="U265" s="57"/>
      <c r="V265" s="59"/>
      <c r="W265" s="59"/>
      <c r="X265" s="57"/>
      <c r="Y265" s="57"/>
      <c r="Z265" s="59"/>
      <c r="AA265" s="59"/>
      <c r="AB265" s="57"/>
      <c r="AC265" s="57"/>
      <c r="AD265" s="59"/>
      <c r="AE265" s="59"/>
      <c r="AF265" s="57"/>
      <c r="AG265" s="57"/>
      <c r="AH265" s="59"/>
      <c r="AI265" s="59"/>
      <c r="AJ265" s="57"/>
      <c r="AK265" s="57"/>
      <c r="AL265" s="59"/>
      <c r="AM265" s="59"/>
      <c r="AN265" s="59"/>
      <c r="AO265" s="60"/>
      <c r="AP265" s="57"/>
      <c r="AQ265" s="77"/>
      <c r="AR265" s="76" t="e">
        <f t="shared" si="4"/>
        <v>#VALUE!</v>
      </c>
    </row>
    <row r="266" spans="1:44" x14ac:dyDescent="0.3">
      <c r="A266" s="56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8"/>
      <c r="R266" s="57"/>
      <c r="S266" s="59"/>
      <c r="T266" s="57"/>
      <c r="U266" s="57"/>
      <c r="V266" s="59"/>
      <c r="W266" s="59"/>
      <c r="X266" s="57"/>
      <c r="Y266" s="57"/>
      <c r="Z266" s="59"/>
      <c r="AA266" s="59"/>
      <c r="AB266" s="57"/>
      <c r="AC266" s="57"/>
      <c r="AD266" s="59"/>
      <c r="AE266" s="59"/>
      <c r="AF266" s="57"/>
      <c r="AG266" s="57"/>
      <c r="AH266" s="59"/>
      <c r="AI266" s="59"/>
      <c r="AJ266" s="57"/>
      <c r="AK266" s="57"/>
      <c r="AL266" s="59"/>
      <c r="AM266" s="59"/>
      <c r="AN266" s="59"/>
      <c r="AO266" s="60"/>
      <c r="AP266" s="57"/>
      <c r="AQ266" s="77"/>
      <c r="AR266" s="76" t="e">
        <f t="shared" si="4"/>
        <v>#VALUE!</v>
      </c>
    </row>
    <row r="267" spans="1:44" x14ac:dyDescent="0.3">
      <c r="A267" s="56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8"/>
      <c r="R267" s="57"/>
      <c r="S267" s="59"/>
      <c r="T267" s="57"/>
      <c r="U267" s="57"/>
      <c r="V267" s="59"/>
      <c r="W267" s="59"/>
      <c r="X267" s="57"/>
      <c r="Y267" s="57"/>
      <c r="Z267" s="59"/>
      <c r="AA267" s="59"/>
      <c r="AB267" s="57"/>
      <c r="AC267" s="57"/>
      <c r="AD267" s="59"/>
      <c r="AE267" s="59"/>
      <c r="AF267" s="57"/>
      <c r="AG267" s="57"/>
      <c r="AH267" s="59"/>
      <c r="AI267" s="59"/>
      <c r="AJ267" s="57"/>
      <c r="AK267" s="57"/>
      <c r="AL267" s="59"/>
      <c r="AM267" s="59"/>
      <c r="AN267" s="59"/>
      <c r="AO267" s="60"/>
      <c r="AP267" s="57"/>
      <c r="AQ267" s="77"/>
      <c r="AR267" s="76" t="e">
        <f t="shared" si="4"/>
        <v>#VALUE!</v>
      </c>
    </row>
    <row r="268" spans="1:44" x14ac:dyDescent="0.3">
      <c r="A268" s="56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8"/>
      <c r="R268" s="57"/>
      <c r="S268" s="59"/>
      <c r="T268" s="57"/>
      <c r="U268" s="57"/>
      <c r="V268" s="59"/>
      <c r="W268" s="59"/>
      <c r="X268" s="57"/>
      <c r="Y268" s="57"/>
      <c r="Z268" s="59"/>
      <c r="AA268" s="59"/>
      <c r="AB268" s="57"/>
      <c r="AC268" s="57"/>
      <c r="AD268" s="59"/>
      <c r="AE268" s="59"/>
      <c r="AF268" s="57"/>
      <c r="AG268" s="57"/>
      <c r="AH268" s="59"/>
      <c r="AI268" s="59"/>
      <c r="AJ268" s="57"/>
      <c r="AK268" s="57"/>
      <c r="AL268" s="59"/>
      <c r="AM268" s="59"/>
      <c r="AN268" s="59"/>
      <c r="AO268" s="60"/>
      <c r="AP268" s="57"/>
      <c r="AQ268" s="77"/>
      <c r="AR268" s="76" t="e">
        <f t="shared" si="4"/>
        <v>#VALUE!</v>
      </c>
    </row>
    <row r="269" spans="1:44" x14ac:dyDescent="0.3">
      <c r="A269" s="56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8"/>
      <c r="R269" s="57"/>
      <c r="S269" s="59"/>
      <c r="T269" s="57"/>
      <c r="U269" s="57"/>
      <c r="V269" s="59"/>
      <c r="W269" s="59"/>
      <c r="X269" s="57"/>
      <c r="Y269" s="57"/>
      <c r="Z269" s="59"/>
      <c r="AA269" s="59"/>
      <c r="AB269" s="57"/>
      <c r="AC269" s="57"/>
      <c r="AD269" s="59"/>
      <c r="AE269" s="59"/>
      <c r="AF269" s="57"/>
      <c r="AG269" s="57"/>
      <c r="AH269" s="59"/>
      <c r="AI269" s="59"/>
      <c r="AJ269" s="57"/>
      <c r="AK269" s="57"/>
      <c r="AL269" s="59"/>
      <c r="AM269" s="59"/>
      <c r="AN269" s="59"/>
      <c r="AO269" s="60"/>
      <c r="AP269" s="57"/>
      <c r="AQ269" s="77"/>
      <c r="AR269" s="76" t="e">
        <f t="shared" si="4"/>
        <v>#VALUE!</v>
      </c>
    </row>
    <row r="270" spans="1:44" x14ac:dyDescent="0.3">
      <c r="A270" s="56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8"/>
      <c r="R270" s="57"/>
      <c r="S270" s="59"/>
      <c r="T270" s="57"/>
      <c r="U270" s="57"/>
      <c r="V270" s="59"/>
      <c r="W270" s="59"/>
      <c r="X270" s="57"/>
      <c r="Y270" s="57"/>
      <c r="Z270" s="59"/>
      <c r="AA270" s="59"/>
      <c r="AB270" s="57"/>
      <c r="AC270" s="57"/>
      <c r="AD270" s="59"/>
      <c r="AE270" s="59"/>
      <c r="AF270" s="57"/>
      <c r="AG270" s="57"/>
      <c r="AH270" s="59"/>
      <c r="AI270" s="59"/>
      <c r="AJ270" s="57"/>
      <c r="AK270" s="57"/>
      <c r="AL270" s="59"/>
      <c r="AM270" s="59"/>
      <c r="AN270" s="59"/>
      <c r="AO270" s="60"/>
      <c r="AP270" s="57"/>
      <c r="AQ270" s="77"/>
      <c r="AR270" s="76" t="e">
        <f t="shared" si="4"/>
        <v>#VALUE!</v>
      </c>
    </row>
    <row r="271" spans="1:44" x14ac:dyDescent="0.3">
      <c r="A271" s="56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8"/>
      <c r="R271" s="57"/>
      <c r="S271" s="59"/>
      <c r="T271" s="57"/>
      <c r="U271" s="57"/>
      <c r="V271" s="59"/>
      <c r="W271" s="59"/>
      <c r="X271" s="57"/>
      <c r="Y271" s="57"/>
      <c r="Z271" s="59"/>
      <c r="AA271" s="59"/>
      <c r="AB271" s="57"/>
      <c r="AC271" s="57"/>
      <c r="AD271" s="59"/>
      <c r="AE271" s="59"/>
      <c r="AF271" s="57"/>
      <c r="AG271" s="57"/>
      <c r="AH271" s="59"/>
      <c r="AI271" s="59"/>
      <c r="AJ271" s="57"/>
      <c r="AK271" s="57"/>
      <c r="AL271" s="59"/>
      <c r="AM271" s="59"/>
      <c r="AN271" s="59"/>
      <c r="AO271" s="60"/>
      <c r="AP271" s="57"/>
      <c r="AQ271" s="77"/>
      <c r="AR271" s="76" t="e">
        <f t="shared" si="4"/>
        <v>#VALUE!</v>
      </c>
    </row>
    <row r="272" spans="1:44" x14ac:dyDescent="0.3">
      <c r="A272" s="56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8"/>
      <c r="R272" s="57"/>
      <c r="S272" s="59"/>
      <c r="T272" s="57"/>
      <c r="U272" s="57"/>
      <c r="V272" s="59"/>
      <c r="W272" s="59"/>
      <c r="X272" s="57"/>
      <c r="Y272" s="57"/>
      <c r="Z272" s="59"/>
      <c r="AA272" s="59"/>
      <c r="AB272" s="57"/>
      <c r="AC272" s="57"/>
      <c r="AD272" s="59"/>
      <c r="AE272" s="59"/>
      <c r="AF272" s="57"/>
      <c r="AG272" s="57"/>
      <c r="AH272" s="59"/>
      <c r="AI272" s="59"/>
      <c r="AJ272" s="57"/>
      <c r="AK272" s="57"/>
      <c r="AL272" s="59"/>
      <c r="AM272" s="59"/>
      <c r="AN272" s="59"/>
      <c r="AO272" s="60"/>
      <c r="AP272" s="57"/>
      <c r="AQ272" s="77"/>
      <c r="AR272" s="76" t="e">
        <f t="shared" si="4"/>
        <v>#VALUE!</v>
      </c>
    </row>
    <row r="273" spans="1:44" x14ac:dyDescent="0.3">
      <c r="A273" s="56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8"/>
      <c r="R273" s="57"/>
      <c r="S273" s="59"/>
      <c r="T273" s="57"/>
      <c r="U273" s="57"/>
      <c r="V273" s="59"/>
      <c r="W273" s="59"/>
      <c r="X273" s="57"/>
      <c r="Y273" s="57"/>
      <c r="Z273" s="59"/>
      <c r="AA273" s="59"/>
      <c r="AB273" s="57"/>
      <c r="AC273" s="57"/>
      <c r="AD273" s="59"/>
      <c r="AE273" s="59"/>
      <c r="AF273" s="57"/>
      <c r="AG273" s="57"/>
      <c r="AH273" s="59"/>
      <c r="AI273" s="59"/>
      <c r="AJ273" s="57"/>
      <c r="AK273" s="57"/>
      <c r="AL273" s="59"/>
      <c r="AM273" s="59"/>
      <c r="AN273" s="59"/>
      <c r="AO273" s="60"/>
      <c r="AP273" s="57"/>
      <c r="AQ273" s="77"/>
      <c r="AR273" s="76" t="e">
        <f t="shared" si="4"/>
        <v>#VALUE!</v>
      </c>
    </row>
    <row r="274" spans="1:44" x14ac:dyDescent="0.3">
      <c r="A274" s="56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8"/>
      <c r="R274" s="57"/>
      <c r="S274" s="59"/>
      <c r="T274" s="57"/>
      <c r="U274" s="57"/>
      <c r="V274" s="59"/>
      <c r="W274" s="59"/>
      <c r="X274" s="57"/>
      <c r="Y274" s="57"/>
      <c r="Z274" s="59"/>
      <c r="AA274" s="59"/>
      <c r="AB274" s="57"/>
      <c r="AC274" s="57"/>
      <c r="AD274" s="59"/>
      <c r="AE274" s="59"/>
      <c r="AF274" s="57"/>
      <c r="AG274" s="57"/>
      <c r="AH274" s="59"/>
      <c r="AI274" s="59"/>
      <c r="AJ274" s="57"/>
      <c r="AK274" s="57"/>
      <c r="AL274" s="59"/>
      <c r="AM274" s="59"/>
      <c r="AN274" s="59"/>
      <c r="AO274" s="60"/>
      <c r="AP274" s="57"/>
      <c r="AQ274" s="77"/>
      <c r="AR274" s="76" t="e">
        <f t="shared" si="4"/>
        <v>#VALUE!</v>
      </c>
    </row>
    <row r="275" spans="1:44" x14ac:dyDescent="0.3">
      <c r="A275" s="56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8"/>
      <c r="R275" s="57"/>
      <c r="S275" s="59"/>
      <c r="T275" s="57"/>
      <c r="U275" s="57"/>
      <c r="V275" s="59"/>
      <c r="W275" s="59"/>
      <c r="X275" s="57"/>
      <c r="Y275" s="57"/>
      <c r="Z275" s="59"/>
      <c r="AA275" s="59"/>
      <c r="AB275" s="57"/>
      <c r="AC275" s="57"/>
      <c r="AD275" s="59"/>
      <c r="AE275" s="59"/>
      <c r="AF275" s="57"/>
      <c r="AG275" s="57"/>
      <c r="AH275" s="59"/>
      <c r="AI275" s="59"/>
      <c r="AJ275" s="57"/>
      <c r="AK275" s="57"/>
      <c r="AL275" s="59"/>
      <c r="AM275" s="59"/>
      <c r="AN275" s="59"/>
      <c r="AO275" s="60"/>
      <c r="AP275" s="57"/>
      <c r="AQ275" s="77"/>
      <c r="AR275" s="76" t="e">
        <f t="shared" si="4"/>
        <v>#VALUE!</v>
      </c>
    </row>
    <row r="276" spans="1:44" x14ac:dyDescent="0.3">
      <c r="A276" s="56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8"/>
      <c r="R276" s="57"/>
      <c r="S276" s="59"/>
      <c r="T276" s="57"/>
      <c r="U276" s="57"/>
      <c r="V276" s="59"/>
      <c r="W276" s="59"/>
      <c r="X276" s="57"/>
      <c r="Y276" s="57"/>
      <c r="Z276" s="59"/>
      <c r="AA276" s="59"/>
      <c r="AB276" s="57"/>
      <c r="AC276" s="57"/>
      <c r="AD276" s="59"/>
      <c r="AE276" s="59"/>
      <c r="AF276" s="57"/>
      <c r="AG276" s="57"/>
      <c r="AH276" s="59"/>
      <c r="AI276" s="59"/>
      <c r="AJ276" s="57"/>
      <c r="AK276" s="57"/>
      <c r="AL276" s="59"/>
      <c r="AM276" s="59"/>
      <c r="AN276" s="59"/>
      <c r="AO276" s="60"/>
      <c r="AP276" s="57"/>
      <c r="AQ276" s="77"/>
      <c r="AR276" s="76" t="e">
        <f t="shared" si="4"/>
        <v>#VALUE!</v>
      </c>
    </row>
    <row r="277" spans="1:44" x14ac:dyDescent="0.3">
      <c r="A277" s="56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8"/>
      <c r="R277" s="57"/>
      <c r="S277" s="59"/>
      <c r="T277" s="57"/>
      <c r="U277" s="57"/>
      <c r="V277" s="59"/>
      <c r="W277" s="59"/>
      <c r="X277" s="57"/>
      <c r="Y277" s="57"/>
      <c r="Z277" s="59"/>
      <c r="AA277" s="59"/>
      <c r="AB277" s="57"/>
      <c r="AC277" s="57"/>
      <c r="AD277" s="59"/>
      <c r="AE277" s="59"/>
      <c r="AF277" s="57"/>
      <c r="AG277" s="57"/>
      <c r="AH277" s="59"/>
      <c r="AI277" s="59"/>
      <c r="AJ277" s="57"/>
      <c r="AK277" s="57"/>
      <c r="AL277" s="59"/>
      <c r="AM277" s="59"/>
      <c r="AN277" s="59"/>
      <c r="AO277" s="60"/>
      <c r="AP277" s="57"/>
      <c r="AQ277" s="77"/>
      <c r="AR277" s="76" t="e">
        <f t="shared" si="4"/>
        <v>#VALUE!</v>
      </c>
    </row>
    <row r="278" spans="1:44" x14ac:dyDescent="0.3">
      <c r="A278" s="56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8"/>
      <c r="R278" s="57"/>
      <c r="S278" s="59"/>
      <c r="T278" s="57"/>
      <c r="U278" s="57"/>
      <c r="V278" s="59"/>
      <c r="W278" s="59"/>
      <c r="X278" s="57"/>
      <c r="Y278" s="57"/>
      <c r="Z278" s="59"/>
      <c r="AA278" s="59"/>
      <c r="AB278" s="57"/>
      <c r="AC278" s="57"/>
      <c r="AD278" s="59"/>
      <c r="AE278" s="59"/>
      <c r="AF278" s="57"/>
      <c r="AG278" s="57"/>
      <c r="AH278" s="59"/>
      <c r="AI278" s="59"/>
      <c r="AJ278" s="57"/>
      <c r="AK278" s="57"/>
      <c r="AL278" s="59"/>
      <c r="AM278" s="59"/>
      <c r="AN278" s="59"/>
      <c r="AO278" s="60"/>
      <c r="AP278" s="57"/>
      <c r="AQ278" s="77"/>
      <c r="AR278" s="76" t="e">
        <f t="shared" si="4"/>
        <v>#VALUE!</v>
      </c>
    </row>
    <row r="279" spans="1:44" x14ac:dyDescent="0.3">
      <c r="A279" s="56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8"/>
      <c r="R279" s="57"/>
      <c r="S279" s="59"/>
      <c r="T279" s="57"/>
      <c r="U279" s="57"/>
      <c r="V279" s="59"/>
      <c r="W279" s="59"/>
      <c r="X279" s="57"/>
      <c r="Y279" s="57"/>
      <c r="Z279" s="59"/>
      <c r="AA279" s="59"/>
      <c r="AB279" s="57"/>
      <c r="AC279" s="57"/>
      <c r="AD279" s="59"/>
      <c r="AE279" s="59"/>
      <c r="AF279" s="57"/>
      <c r="AG279" s="57"/>
      <c r="AH279" s="59"/>
      <c r="AI279" s="59"/>
      <c r="AJ279" s="57"/>
      <c r="AK279" s="57"/>
      <c r="AL279" s="59"/>
      <c r="AM279" s="59"/>
      <c r="AN279" s="59"/>
      <c r="AO279" s="60"/>
      <c r="AP279" s="57"/>
      <c r="AQ279" s="77"/>
      <c r="AR279" s="76" t="e">
        <f t="shared" si="4"/>
        <v>#VALUE!</v>
      </c>
    </row>
    <row r="280" spans="1:44" x14ac:dyDescent="0.3">
      <c r="A280" s="56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8"/>
      <c r="R280" s="57"/>
      <c r="S280" s="59"/>
      <c r="T280" s="57"/>
      <c r="U280" s="57"/>
      <c r="V280" s="59"/>
      <c r="W280" s="59"/>
      <c r="X280" s="57"/>
      <c r="Y280" s="57"/>
      <c r="Z280" s="59"/>
      <c r="AA280" s="59"/>
      <c r="AB280" s="57"/>
      <c r="AC280" s="57"/>
      <c r="AD280" s="59"/>
      <c r="AE280" s="59"/>
      <c r="AF280" s="57"/>
      <c r="AG280" s="57"/>
      <c r="AH280" s="59"/>
      <c r="AI280" s="59"/>
      <c r="AJ280" s="57"/>
      <c r="AK280" s="57"/>
      <c r="AL280" s="59"/>
      <c r="AM280" s="59"/>
      <c r="AN280" s="59"/>
      <c r="AO280" s="60"/>
      <c r="AP280" s="57"/>
      <c r="AQ280" s="77"/>
      <c r="AR280" s="76" t="e">
        <f t="shared" si="4"/>
        <v>#VALUE!</v>
      </c>
    </row>
    <row r="281" spans="1:44" x14ac:dyDescent="0.3">
      <c r="A281" s="56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8"/>
      <c r="R281" s="57"/>
      <c r="S281" s="59"/>
      <c r="T281" s="57"/>
      <c r="U281" s="57"/>
      <c r="V281" s="59"/>
      <c r="W281" s="59"/>
      <c r="X281" s="57"/>
      <c r="Y281" s="57"/>
      <c r="Z281" s="59"/>
      <c r="AA281" s="59"/>
      <c r="AB281" s="57"/>
      <c r="AC281" s="57"/>
      <c r="AD281" s="59"/>
      <c r="AE281" s="59"/>
      <c r="AF281" s="57"/>
      <c r="AG281" s="57"/>
      <c r="AH281" s="59"/>
      <c r="AI281" s="59"/>
      <c r="AJ281" s="57"/>
      <c r="AK281" s="57"/>
      <c r="AL281" s="59"/>
      <c r="AM281" s="59"/>
      <c r="AN281" s="59"/>
      <c r="AO281" s="60"/>
      <c r="AP281" s="57"/>
      <c r="AQ281" s="77"/>
      <c r="AR281" s="76" t="e">
        <f t="shared" si="4"/>
        <v>#VALUE!</v>
      </c>
    </row>
    <row r="282" spans="1:44" x14ac:dyDescent="0.3">
      <c r="A282" s="56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8"/>
      <c r="R282" s="57"/>
      <c r="S282" s="59"/>
      <c r="T282" s="57"/>
      <c r="U282" s="57"/>
      <c r="V282" s="59"/>
      <c r="W282" s="59"/>
      <c r="X282" s="57"/>
      <c r="Y282" s="57"/>
      <c r="Z282" s="59"/>
      <c r="AA282" s="59"/>
      <c r="AB282" s="57"/>
      <c r="AC282" s="57"/>
      <c r="AD282" s="59"/>
      <c r="AE282" s="59"/>
      <c r="AF282" s="57"/>
      <c r="AG282" s="57"/>
      <c r="AH282" s="59"/>
      <c r="AI282" s="59"/>
      <c r="AJ282" s="57"/>
      <c r="AK282" s="57"/>
      <c r="AL282" s="59"/>
      <c r="AM282" s="59"/>
      <c r="AN282" s="59"/>
      <c r="AO282" s="60"/>
      <c r="AP282" s="57"/>
      <c r="AQ282" s="77"/>
      <c r="AR282" s="76" t="e">
        <f t="shared" si="4"/>
        <v>#VALUE!</v>
      </c>
    </row>
    <row r="283" spans="1:44" x14ac:dyDescent="0.3">
      <c r="A283" s="56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8"/>
      <c r="R283" s="57"/>
      <c r="S283" s="59"/>
      <c r="T283" s="57"/>
      <c r="U283" s="57"/>
      <c r="V283" s="59"/>
      <c r="W283" s="59"/>
      <c r="X283" s="57"/>
      <c r="Y283" s="57"/>
      <c r="Z283" s="59"/>
      <c r="AA283" s="59"/>
      <c r="AB283" s="57"/>
      <c r="AC283" s="57"/>
      <c r="AD283" s="59"/>
      <c r="AE283" s="59"/>
      <c r="AF283" s="57"/>
      <c r="AG283" s="57"/>
      <c r="AH283" s="59"/>
      <c r="AI283" s="59"/>
      <c r="AJ283" s="57"/>
      <c r="AK283" s="57"/>
      <c r="AL283" s="59"/>
      <c r="AM283" s="59"/>
      <c r="AN283" s="59"/>
      <c r="AO283" s="60"/>
      <c r="AP283" s="57"/>
      <c r="AQ283" s="77"/>
      <c r="AR283" s="76" t="e">
        <f t="shared" si="4"/>
        <v>#VALUE!</v>
      </c>
    </row>
    <row r="284" spans="1:44" x14ac:dyDescent="0.3">
      <c r="A284" s="56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8"/>
      <c r="R284" s="57"/>
      <c r="S284" s="59"/>
      <c r="T284" s="57"/>
      <c r="U284" s="57"/>
      <c r="V284" s="59"/>
      <c r="W284" s="59"/>
      <c r="X284" s="57"/>
      <c r="Y284" s="57"/>
      <c r="Z284" s="59"/>
      <c r="AA284" s="59"/>
      <c r="AB284" s="57"/>
      <c r="AC284" s="57"/>
      <c r="AD284" s="59"/>
      <c r="AE284" s="59"/>
      <c r="AF284" s="57"/>
      <c r="AG284" s="57"/>
      <c r="AH284" s="59"/>
      <c r="AI284" s="59"/>
      <c r="AJ284" s="57"/>
      <c r="AK284" s="57"/>
      <c r="AL284" s="59"/>
      <c r="AM284" s="59"/>
      <c r="AN284" s="59"/>
      <c r="AO284" s="60"/>
      <c r="AP284" s="57"/>
      <c r="AQ284" s="77"/>
      <c r="AR284" s="76" t="e">
        <f t="shared" si="4"/>
        <v>#VALUE!</v>
      </c>
    </row>
    <row r="285" spans="1:44" x14ac:dyDescent="0.3">
      <c r="A285" s="56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8"/>
      <c r="R285" s="57"/>
      <c r="S285" s="59"/>
      <c r="T285" s="57"/>
      <c r="U285" s="57"/>
      <c r="V285" s="59"/>
      <c r="W285" s="59"/>
      <c r="X285" s="57"/>
      <c r="Y285" s="57"/>
      <c r="Z285" s="59"/>
      <c r="AA285" s="59"/>
      <c r="AB285" s="57"/>
      <c r="AC285" s="57"/>
      <c r="AD285" s="59"/>
      <c r="AE285" s="59"/>
      <c r="AF285" s="57"/>
      <c r="AG285" s="57"/>
      <c r="AH285" s="59"/>
      <c r="AI285" s="59"/>
      <c r="AJ285" s="57"/>
      <c r="AK285" s="57"/>
      <c r="AL285" s="59"/>
      <c r="AM285" s="59"/>
      <c r="AN285" s="59"/>
      <c r="AO285" s="60"/>
      <c r="AP285" s="57"/>
      <c r="AQ285" s="77"/>
      <c r="AR285" s="76" t="e">
        <f t="shared" si="4"/>
        <v>#VALUE!</v>
      </c>
    </row>
    <row r="286" spans="1:44" x14ac:dyDescent="0.3">
      <c r="A286" s="56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8"/>
      <c r="R286" s="57"/>
      <c r="S286" s="59"/>
      <c r="T286" s="57"/>
      <c r="U286" s="57"/>
      <c r="V286" s="59"/>
      <c r="W286" s="59"/>
      <c r="X286" s="57"/>
      <c r="Y286" s="57"/>
      <c r="Z286" s="59"/>
      <c r="AA286" s="59"/>
      <c r="AB286" s="57"/>
      <c r="AC286" s="57"/>
      <c r="AD286" s="59"/>
      <c r="AE286" s="59"/>
      <c r="AF286" s="57"/>
      <c r="AG286" s="57"/>
      <c r="AH286" s="59"/>
      <c r="AI286" s="59"/>
      <c r="AJ286" s="57"/>
      <c r="AK286" s="57"/>
      <c r="AL286" s="59"/>
      <c r="AM286" s="59"/>
      <c r="AN286" s="59"/>
      <c r="AO286" s="60"/>
      <c r="AP286" s="57"/>
      <c r="AQ286" s="77"/>
      <c r="AR286" s="76" t="e">
        <f t="shared" si="4"/>
        <v>#VALUE!</v>
      </c>
    </row>
    <row r="287" spans="1:44" x14ac:dyDescent="0.3">
      <c r="A287" s="56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8"/>
      <c r="R287" s="57"/>
      <c r="S287" s="59"/>
      <c r="T287" s="57"/>
      <c r="U287" s="57"/>
      <c r="V287" s="59"/>
      <c r="W287" s="59"/>
      <c r="X287" s="57"/>
      <c r="Y287" s="57"/>
      <c r="Z287" s="59"/>
      <c r="AA287" s="59"/>
      <c r="AB287" s="57"/>
      <c r="AC287" s="57"/>
      <c r="AD287" s="59"/>
      <c r="AE287" s="59"/>
      <c r="AF287" s="57"/>
      <c r="AG287" s="57"/>
      <c r="AH287" s="59"/>
      <c r="AI287" s="59"/>
      <c r="AJ287" s="57"/>
      <c r="AK287" s="57"/>
      <c r="AL287" s="59"/>
      <c r="AM287" s="59"/>
      <c r="AN287" s="59"/>
      <c r="AO287" s="60"/>
      <c r="AP287" s="57"/>
      <c r="AQ287" s="77"/>
      <c r="AR287" s="76" t="e">
        <f t="shared" si="4"/>
        <v>#VALUE!</v>
      </c>
    </row>
    <row r="288" spans="1:44" x14ac:dyDescent="0.3">
      <c r="A288" s="56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8"/>
      <c r="R288" s="57"/>
      <c r="S288" s="59"/>
      <c r="T288" s="57"/>
      <c r="U288" s="57"/>
      <c r="V288" s="59"/>
      <c r="W288" s="59"/>
      <c r="X288" s="57"/>
      <c r="Y288" s="57"/>
      <c r="Z288" s="59"/>
      <c r="AA288" s="59"/>
      <c r="AB288" s="57"/>
      <c r="AC288" s="57"/>
      <c r="AD288" s="59"/>
      <c r="AE288" s="59"/>
      <c r="AF288" s="57"/>
      <c r="AG288" s="57"/>
      <c r="AH288" s="59"/>
      <c r="AI288" s="59"/>
      <c r="AJ288" s="57"/>
      <c r="AK288" s="57"/>
      <c r="AL288" s="59"/>
      <c r="AM288" s="59"/>
      <c r="AN288" s="59"/>
      <c r="AO288" s="60"/>
      <c r="AP288" s="57"/>
      <c r="AQ288" s="77"/>
      <c r="AR288" s="76" t="e">
        <f t="shared" si="4"/>
        <v>#VALUE!</v>
      </c>
    </row>
    <row r="289" spans="1:44" x14ac:dyDescent="0.3">
      <c r="A289" s="56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8"/>
      <c r="R289" s="57"/>
      <c r="S289" s="59"/>
      <c r="T289" s="57"/>
      <c r="U289" s="57"/>
      <c r="V289" s="59"/>
      <c r="W289" s="59"/>
      <c r="X289" s="57"/>
      <c r="Y289" s="57"/>
      <c r="Z289" s="59"/>
      <c r="AA289" s="59"/>
      <c r="AB289" s="57"/>
      <c r="AC289" s="57"/>
      <c r="AD289" s="59"/>
      <c r="AE289" s="59"/>
      <c r="AF289" s="57"/>
      <c r="AG289" s="57"/>
      <c r="AH289" s="59"/>
      <c r="AI289" s="59"/>
      <c r="AJ289" s="57"/>
      <c r="AK289" s="57"/>
      <c r="AL289" s="59"/>
      <c r="AM289" s="59"/>
      <c r="AN289" s="59"/>
      <c r="AO289" s="60"/>
      <c r="AP289" s="57"/>
      <c r="AQ289" s="77"/>
      <c r="AR289" s="76" t="e">
        <f t="shared" si="4"/>
        <v>#VALUE!</v>
      </c>
    </row>
    <row r="290" spans="1:44" x14ac:dyDescent="0.3">
      <c r="A290" s="56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8"/>
      <c r="R290" s="57"/>
      <c r="S290" s="59"/>
      <c r="T290" s="57"/>
      <c r="U290" s="57"/>
      <c r="V290" s="59"/>
      <c r="W290" s="59"/>
      <c r="X290" s="57"/>
      <c r="Y290" s="57"/>
      <c r="Z290" s="59"/>
      <c r="AA290" s="59"/>
      <c r="AB290" s="57"/>
      <c r="AC290" s="57"/>
      <c r="AD290" s="59"/>
      <c r="AE290" s="59"/>
      <c r="AF290" s="57"/>
      <c r="AG290" s="57"/>
      <c r="AH290" s="59"/>
      <c r="AI290" s="59"/>
      <c r="AJ290" s="57"/>
      <c r="AK290" s="57"/>
      <c r="AL290" s="59"/>
      <c r="AM290" s="59"/>
      <c r="AN290" s="59"/>
      <c r="AO290" s="60"/>
      <c r="AP290" s="57"/>
      <c r="AQ290" s="77"/>
      <c r="AR290" s="76" t="e">
        <f t="shared" si="4"/>
        <v>#VALUE!</v>
      </c>
    </row>
    <row r="291" spans="1:44" x14ac:dyDescent="0.3">
      <c r="A291" s="56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8"/>
      <c r="R291" s="57"/>
      <c r="S291" s="59"/>
      <c r="T291" s="57"/>
      <c r="U291" s="57"/>
      <c r="V291" s="59"/>
      <c r="W291" s="59"/>
      <c r="X291" s="57"/>
      <c r="Y291" s="57"/>
      <c r="Z291" s="59"/>
      <c r="AA291" s="59"/>
      <c r="AB291" s="57"/>
      <c r="AC291" s="57"/>
      <c r="AD291" s="59"/>
      <c r="AE291" s="59"/>
      <c r="AF291" s="57"/>
      <c r="AG291" s="57"/>
      <c r="AH291" s="59"/>
      <c r="AI291" s="59"/>
      <c r="AJ291" s="57"/>
      <c r="AK291" s="57"/>
      <c r="AL291" s="59"/>
      <c r="AM291" s="59"/>
      <c r="AN291" s="59"/>
      <c r="AO291" s="60"/>
      <c r="AP291" s="57"/>
      <c r="AQ291" s="77"/>
      <c r="AR291" s="76" t="e">
        <f t="shared" si="4"/>
        <v>#VALUE!</v>
      </c>
    </row>
    <row r="292" spans="1:44" x14ac:dyDescent="0.3">
      <c r="A292" s="56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8"/>
      <c r="R292" s="57"/>
      <c r="S292" s="59"/>
      <c r="T292" s="57"/>
      <c r="U292" s="57"/>
      <c r="V292" s="59"/>
      <c r="W292" s="59"/>
      <c r="X292" s="57"/>
      <c r="Y292" s="57"/>
      <c r="Z292" s="59"/>
      <c r="AA292" s="59"/>
      <c r="AB292" s="57"/>
      <c r="AC292" s="57"/>
      <c r="AD292" s="59"/>
      <c r="AE292" s="59"/>
      <c r="AF292" s="57"/>
      <c r="AG292" s="57"/>
      <c r="AH292" s="59"/>
      <c r="AI292" s="59"/>
      <c r="AJ292" s="57"/>
      <c r="AK292" s="57"/>
      <c r="AL292" s="59"/>
      <c r="AM292" s="59"/>
      <c r="AN292" s="59"/>
      <c r="AO292" s="60"/>
      <c r="AP292" s="57"/>
      <c r="AQ292" s="77"/>
      <c r="AR292" s="76" t="e">
        <f t="shared" si="4"/>
        <v>#VALUE!</v>
      </c>
    </row>
    <row r="293" spans="1:44" x14ac:dyDescent="0.3">
      <c r="A293" s="56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8"/>
      <c r="R293" s="57"/>
      <c r="S293" s="59"/>
      <c r="T293" s="57"/>
      <c r="U293" s="57"/>
      <c r="V293" s="59"/>
      <c r="W293" s="59"/>
      <c r="X293" s="57"/>
      <c r="Y293" s="57"/>
      <c r="Z293" s="59"/>
      <c r="AA293" s="59"/>
      <c r="AB293" s="57"/>
      <c r="AC293" s="57"/>
      <c r="AD293" s="59"/>
      <c r="AE293" s="59"/>
      <c r="AF293" s="57"/>
      <c r="AG293" s="57"/>
      <c r="AH293" s="59"/>
      <c r="AI293" s="59"/>
      <c r="AJ293" s="57"/>
      <c r="AK293" s="57"/>
      <c r="AL293" s="59"/>
      <c r="AM293" s="59"/>
      <c r="AN293" s="59"/>
      <c r="AO293" s="60"/>
      <c r="AP293" s="57"/>
      <c r="AQ293" s="77"/>
      <c r="AR293" s="76" t="e">
        <f t="shared" si="4"/>
        <v>#VALUE!</v>
      </c>
    </row>
    <row r="294" spans="1:44" x14ac:dyDescent="0.3">
      <c r="A294" s="56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8"/>
      <c r="R294" s="57"/>
      <c r="S294" s="59"/>
      <c r="T294" s="57"/>
      <c r="U294" s="57"/>
      <c r="V294" s="59"/>
      <c r="W294" s="59"/>
      <c r="X294" s="57"/>
      <c r="Y294" s="57"/>
      <c r="Z294" s="59"/>
      <c r="AA294" s="59"/>
      <c r="AB294" s="57"/>
      <c r="AC294" s="57"/>
      <c r="AD294" s="59"/>
      <c r="AE294" s="59"/>
      <c r="AF294" s="57"/>
      <c r="AG294" s="57"/>
      <c r="AH294" s="59"/>
      <c r="AI294" s="59"/>
      <c r="AJ294" s="57"/>
      <c r="AK294" s="57"/>
      <c r="AL294" s="59"/>
      <c r="AM294" s="59"/>
      <c r="AN294" s="59"/>
      <c r="AO294" s="60"/>
      <c r="AP294" s="57"/>
      <c r="AQ294" s="77"/>
      <c r="AR294" s="76" t="e">
        <f t="shared" si="4"/>
        <v>#VALUE!</v>
      </c>
    </row>
    <row r="295" spans="1:44" x14ac:dyDescent="0.3">
      <c r="A295" s="56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8"/>
      <c r="R295" s="57"/>
      <c r="S295" s="59"/>
      <c r="T295" s="57"/>
      <c r="U295" s="57"/>
      <c r="V295" s="59"/>
      <c r="W295" s="59"/>
      <c r="X295" s="57"/>
      <c r="Y295" s="57"/>
      <c r="Z295" s="59"/>
      <c r="AA295" s="59"/>
      <c r="AB295" s="57"/>
      <c r="AC295" s="57"/>
      <c r="AD295" s="59"/>
      <c r="AE295" s="59"/>
      <c r="AF295" s="57"/>
      <c r="AG295" s="57"/>
      <c r="AH295" s="59"/>
      <c r="AI295" s="59"/>
      <c r="AJ295" s="57"/>
      <c r="AK295" s="57"/>
      <c r="AL295" s="59"/>
      <c r="AM295" s="59"/>
      <c r="AN295" s="59"/>
      <c r="AO295" s="60"/>
      <c r="AP295" s="57"/>
      <c r="AQ295" s="77"/>
      <c r="AR295" s="76" t="e">
        <f t="shared" si="4"/>
        <v>#VALUE!</v>
      </c>
    </row>
    <row r="296" spans="1:44" x14ac:dyDescent="0.3">
      <c r="A296" s="56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8"/>
      <c r="R296" s="57"/>
      <c r="S296" s="59"/>
      <c r="T296" s="57"/>
      <c r="U296" s="57"/>
      <c r="V296" s="59"/>
      <c r="W296" s="59"/>
      <c r="X296" s="57"/>
      <c r="Y296" s="57"/>
      <c r="Z296" s="59"/>
      <c r="AA296" s="59"/>
      <c r="AB296" s="57"/>
      <c r="AC296" s="57"/>
      <c r="AD296" s="59"/>
      <c r="AE296" s="59"/>
      <c r="AF296" s="57"/>
      <c r="AG296" s="57"/>
      <c r="AH296" s="59"/>
      <c r="AI296" s="59"/>
      <c r="AJ296" s="57"/>
      <c r="AK296" s="57"/>
      <c r="AL296" s="59"/>
      <c r="AM296" s="59"/>
      <c r="AN296" s="59"/>
      <c r="AO296" s="60"/>
      <c r="AP296" s="57"/>
      <c r="AQ296" s="77"/>
      <c r="AR296" s="76" t="e">
        <f t="shared" si="4"/>
        <v>#VALUE!</v>
      </c>
    </row>
    <row r="297" spans="1:44" x14ac:dyDescent="0.3">
      <c r="A297" s="56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8"/>
      <c r="R297" s="57"/>
      <c r="S297" s="59"/>
      <c r="T297" s="57"/>
      <c r="U297" s="57"/>
      <c r="V297" s="59"/>
      <c r="W297" s="59"/>
      <c r="X297" s="57"/>
      <c r="Y297" s="57"/>
      <c r="Z297" s="59"/>
      <c r="AA297" s="59"/>
      <c r="AB297" s="57"/>
      <c r="AC297" s="57"/>
      <c r="AD297" s="59"/>
      <c r="AE297" s="59"/>
      <c r="AF297" s="57"/>
      <c r="AG297" s="57"/>
      <c r="AH297" s="59"/>
      <c r="AI297" s="59"/>
      <c r="AJ297" s="57"/>
      <c r="AK297" s="57"/>
      <c r="AL297" s="59"/>
      <c r="AM297" s="59"/>
      <c r="AN297" s="59"/>
      <c r="AO297" s="60"/>
      <c r="AP297" s="57"/>
      <c r="AQ297" s="77"/>
      <c r="AR297" s="76" t="e">
        <f t="shared" si="4"/>
        <v>#VALUE!</v>
      </c>
    </row>
    <row r="298" spans="1:44" x14ac:dyDescent="0.3">
      <c r="A298" s="56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8"/>
      <c r="R298" s="57"/>
      <c r="S298" s="59"/>
      <c r="T298" s="57"/>
      <c r="U298" s="57"/>
      <c r="V298" s="59"/>
      <c r="W298" s="59"/>
      <c r="X298" s="57"/>
      <c r="Y298" s="57"/>
      <c r="Z298" s="59"/>
      <c r="AA298" s="59"/>
      <c r="AB298" s="57"/>
      <c r="AC298" s="57"/>
      <c r="AD298" s="59"/>
      <c r="AE298" s="59"/>
      <c r="AF298" s="57"/>
      <c r="AG298" s="57"/>
      <c r="AH298" s="59"/>
      <c r="AI298" s="59"/>
      <c r="AJ298" s="57"/>
      <c r="AK298" s="57"/>
      <c r="AL298" s="59"/>
      <c r="AM298" s="59"/>
      <c r="AN298" s="59"/>
      <c r="AO298" s="60"/>
      <c r="AP298" s="57"/>
      <c r="AQ298" s="77"/>
      <c r="AR298" s="76" t="e">
        <f t="shared" si="4"/>
        <v>#VALUE!</v>
      </c>
    </row>
    <row r="299" spans="1:44" x14ac:dyDescent="0.3">
      <c r="A299" s="56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8"/>
      <c r="R299" s="57"/>
      <c r="S299" s="59"/>
      <c r="T299" s="57"/>
      <c r="U299" s="57"/>
      <c r="V299" s="59"/>
      <c r="W299" s="59"/>
      <c r="X299" s="57"/>
      <c r="Y299" s="57"/>
      <c r="Z299" s="59"/>
      <c r="AA299" s="59"/>
      <c r="AB299" s="57"/>
      <c r="AC299" s="57"/>
      <c r="AD299" s="59"/>
      <c r="AE299" s="59"/>
      <c r="AF299" s="57"/>
      <c r="AG299" s="57"/>
      <c r="AH299" s="59"/>
      <c r="AI299" s="59"/>
      <c r="AJ299" s="57"/>
      <c r="AK299" s="57"/>
      <c r="AL299" s="59"/>
      <c r="AM299" s="59"/>
      <c r="AN299" s="59"/>
      <c r="AO299" s="60"/>
      <c r="AP299" s="57"/>
      <c r="AQ299" s="77"/>
      <c r="AR299" s="76" t="e">
        <f t="shared" si="4"/>
        <v>#VALUE!</v>
      </c>
    </row>
    <row r="300" spans="1:44" x14ac:dyDescent="0.3">
      <c r="A300" s="56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8"/>
      <c r="R300" s="57"/>
      <c r="S300" s="59"/>
      <c r="T300" s="57"/>
      <c r="U300" s="57"/>
      <c r="V300" s="59"/>
      <c r="W300" s="59"/>
      <c r="X300" s="57"/>
      <c r="Y300" s="57"/>
      <c r="Z300" s="59"/>
      <c r="AA300" s="59"/>
      <c r="AB300" s="57"/>
      <c r="AC300" s="57"/>
      <c r="AD300" s="59"/>
      <c r="AE300" s="59"/>
      <c r="AF300" s="57"/>
      <c r="AG300" s="57"/>
      <c r="AH300" s="59"/>
      <c r="AI300" s="59"/>
      <c r="AJ300" s="57"/>
      <c r="AK300" s="57"/>
      <c r="AL300" s="59"/>
      <c r="AM300" s="59"/>
      <c r="AN300" s="59"/>
      <c r="AO300" s="60"/>
      <c r="AP300" s="57"/>
      <c r="AQ300" s="77"/>
      <c r="AR300" s="76" t="e">
        <f t="shared" si="4"/>
        <v>#VALUE!</v>
      </c>
    </row>
    <row r="301" spans="1:44" x14ac:dyDescent="0.3">
      <c r="A301" s="56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8"/>
      <c r="R301" s="57"/>
      <c r="S301" s="59"/>
      <c r="T301" s="57"/>
      <c r="U301" s="57"/>
      <c r="V301" s="59"/>
      <c r="W301" s="59"/>
      <c r="X301" s="57"/>
      <c r="Y301" s="57"/>
      <c r="Z301" s="59"/>
      <c r="AA301" s="59"/>
      <c r="AB301" s="57"/>
      <c r="AC301" s="57"/>
      <c r="AD301" s="59"/>
      <c r="AE301" s="59"/>
      <c r="AF301" s="57"/>
      <c r="AG301" s="57"/>
      <c r="AH301" s="59"/>
      <c r="AI301" s="59"/>
      <c r="AJ301" s="57"/>
      <c r="AK301" s="57"/>
      <c r="AL301" s="59"/>
      <c r="AM301" s="59"/>
      <c r="AN301" s="59"/>
      <c r="AO301" s="60"/>
      <c r="AP301" s="57"/>
      <c r="AQ301" s="77"/>
      <c r="AR301" s="76" t="e">
        <f t="shared" si="4"/>
        <v>#VALUE!</v>
      </c>
    </row>
    <row r="302" spans="1:44" x14ac:dyDescent="0.3">
      <c r="A302" s="56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8"/>
      <c r="R302" s="57"/>
      <c r="S302" s="59"/>
      <c r="T302" s="57"/>
      <c r="U302" s="57"/>
      <c r="V302" s="59"/>
      <c r="W302" s="59"/>
      <c r="X302" s="57"/>
      <c r="Y302" s="57"/>
      <c r="Z302" s="59"/>
      <c r="AA302" s="59"/>
      <c r="AB302" s="57"/>
      <c r="AC302" s="57"/>
      <c r="AD302" s="59"/>
      <c r="AE302" s="59"/>
      <c r="AF302" s="57"/>
      <c r="AG302" s="57"/>
      <c r="AH302" s="59"/>
      <c r="AI302" s="59"/>
      <c r="AJ302" s="57"/>
      <c r="AK302" s="57"/>
      <c r="AL302" s="59"/>
      <c r="AM302" s="59"/>
      <c r="AN302" s="59"/>
      <c r="AO302" s="60"/>
      <c r="AP302" s="57"/>
      <c r="AQ302" s="77"/>
      <c r="AR302" s="76" t="e">
        <f t="shared" si="4"/>
        <v>#VALUE!</v>
      </c>
    </row>
    <row r="303" spans="1:44" x14ac:dyDescent="0.3">
      <c r="A303" s="56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8"/>
      <c r="R303" s="57"/>
      <c r="S303" s="59"/>
      <c r="T303" s="57"/>
      <c r="U303" s="57"/>
      <c r="V303" s="59"/>
      <c r="W303" s="59"/>
      <c r="X303" s="57"/>
      <c r="Y303" s="57"/>
      <c r="Z303" s="59"/>
      <c r="AA303" s="59"/>
      <c r="AB303" s="57"/>
      <c r="AC303" s="57"/>
      <c r="AD303" s="59"/>
      <c r="AE303" s="59"/>
      <c r="AF303" s="57"/>
      <c r="AG303" s="57"/>
      <c r="AH303" s="59"/>
      <c r="AI303" s="59"/>
      <c r="AJ303" s="57"/>
      <c r="AK303" s="57"/>
      <c r="AL303" s="59"/>
      <c r="AM303" s="59"/>
      <c r="AN303" s="59"/>
      <c r="AO303" s="60"/>
      <c r="AP303" s="57"/>
      <c r="AQ303" s="77"/>
      <c r="AR303" s="76" t="e">
        <f t="shared" si="4"/>
        <v>#VALUE!</v>
      </c>
    </row>
    <row r="304" spans="1:44" x14ac:dyDescent="0.3">
      <c r="A304" s="56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8"/>
      <c r="R304" s="57"/>
      <c r="S304" s="59"/>
      <c r="T304" s="57"/>
      <c r="U304" s="57"/>
      <c r="V304" s="59"/>
      <c r="W304" s="59"/>
      <c r="X304" s="57"/>
      <c r="Y304" s="57"/>
      <c r="Z304" s="59"/>
      <c r="AA304" s="59"/>
      <c r="AB304" s="57"/>
      <c r="AC304" s="57"/>
      <c r="AD304" s="59"/>
      <c r="AE304" s="59"/>
      <c r="AF304" s="57"/>
      <c r="AG304" s="57"/>
      <c r="AH304" s="59"/>
      <c r="AI304" s="59"/>
      <c r="AJ304" s="57"/>
      <c r="AK304" s="57"/>
      <c r="AL304" s="59"/>
      <c r="AM304" s="59"/>
      <c r="AN304" s="59"/>
      <c r="AO304" s="60"/>
      <c r="AP304" s="57"/>
      <c r="AQ304" s="77"/>
      <c r="AR304" s="76" t="e">
        <f t="shared" si="4"/>
        <v>#VALUE!</v>
      </c>
    </row>
    <row r="305" spans="1:44" x14ac:dyDescent="0.3">
      <c r="A305" s="56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8"/>
      <c r="R305" s="57"/>
      <c r="S305" s="59"/>
      <c r="T305" s="57"/>
      <c r="U305" s="57"/>
      <c r="V305" s="59"/>
      <c r="W305" s="59"/>
      <c r="X305" s="57"/>
      <c r="Y305" s="57"/>
      <c r="Z305" s="59"/>
      <c r="AA305" s="59"/>
      <c r="AB305" s="57"/>
      <c r="AC305" s="57"/>
      <c r="AD305" s="59"/>
      <c r="AE305" s="59"/>
      <c r="AF305" s="57"/>
      <c r="AG305" s="57"/>
      <c r="AH305" s="59"/>
      <c r="AI305" s="59"/>
      <c r="AJ305" s="57"/>
      <c r="AK305" s="57"/>
      <c r="AL305" s="59"/>
      <c r="AM305" s="59"/>
      <c r="AN305" s="59"/>
      <c r="AO305" s="60"/>
      <c r="AP305" s="57"/>
      <c r="AQ305" s="77"/>
      <c r="AR305" s="76" t="e">
        <f t="shared" si="4"/>
        <v>#VALUE!</v>
      </c>
    </row>
    <row r="306" spans="1:44" x14ac:dyDescent="0.3">
      <c r="A306" s="56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8"/>
      <c r="R306" s="57"/>
      <c r="S306" s="59"/>
      <c r="T306" s="57"/>
      <c r="U306" s="57"/>
      <c r="V306" s="59"/>
      <c r="W306" s="59"/>
      <c r="X306" s="57"/>
      <c r="Y306" s="57"/>
      <c r="Z306" s="59"/>
      <c r="AA306" s="59"/>
      <c r="AB306" s="57"/>
      <c r="AC306" s="57"/>
      <c r="AD306" s="59"/>
      <c r="AE306" s="59"/>
      <c r="AF306" s="57"/>
      <c r="AG306" s="57"/>
      <c r="AH306" s="59"/>
      <c r="AI306" s="59"/>
      <c r="AJ306" s="57"/>
      <c r="AK306" s="57"/>
      <c r="AL306" s="59"/>
      <c r="AM306" s="59"/>
      <c r="AN306" s="59"/>
      <c r="AO306" s="60"/>
      <c r="AP306" s="57"/>
      <c r="AQ306" s="77"/>
      <c r="AR306" s="76" t="e">
        <f t="shared" si="4"/>
        <v>#VALUE!</v>
      </c>
    </row>
    <row r="307" spans="1:44" x14ac:dyDescent="0.3">
      <c r="A307" s="56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8"/>
      <c r="R307" s="57"/>
      <c r="S307" s="59"/>
      <c r="T307" s="57"/>
      <c r="U307" s="57"/>
      <c r="V307" s="59"/>
      <c r="W307" s="59"/>
      <c r="X307" s="57"/>
      <c r="Y307" s="57"/>
      <c r="Z307" s="59"/>
      <c r="AA307" s="59"/>
      <c r="AB307" s="57"/>
      <c r="AC307" s="57"/>
      <c r="AD307" s="59"/>
      <c r="AE307" s="59"/>
      <c r="AF307" s="57"/>
      <c r="AG307" s="57"/>
      <c r="AH307" s="59"/>
      <c r="AI307" s="59"/>
      <c r="AJ307" s="57"/>
      <c r="AK307" s="57"/>
      <c r="AL307" s="59"/>
      <c r="AM307" s="59"/>
      <c r="AN307" s="59"/>
      <c r="AO307" s="60"/>
      <c r="AP307" s="57"/>
      <c r="AQ307" s="77"/>
      <c r="AR307" s="76" t="e">
        <f t="shared" si="4"/>
        <v>#VALUE!</v>
      </c>
    </row>
    <row r="308" spans="1:44" x14ac:dyDescent="0.3">
      <c r="A308" s="56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8"/>
      <c r="R308" s="57"/>
      <c r="S308" s="59"/>
      <c r="T308" s="57"/>
      <c r="U308" s="57"/>
      <c r="V308" s="59"/>
      <c r="W308" s="59"/>
      <c r="X308" s="57"/>
      <c r="Y308" s="57"/>
      <c r="Z308" s="59"/>
      <c r="AA308" s="59"/>
      <c r="AB308" s="57"/>
      <c r="AC308" s="57"/>
      <c r="AD308" s="59"/>
      <c r="AE308" s="59"/>
      <c r="AF308" s="57"/>
      <c r="AG308" s="57"/>
      <c r="AH308" s="59"/>
      <c r="AI308" s="59"/>
      <c r="AJ308" s="57"/>
      <c r="AK308" s="57"/>
      <c r="AL308" s="59"/>
      <c r="AM308" s="59"/>
      <c r="AN308" s="59"/>
      <c r="AO308" s="60"/>
      <c r="AP308" s="57"/>
      <c r="AQ308" s="77"/>
      <c r="AR308" s="76" t="e">
        <f t="shared" si="4"/>
        <v>#VALUE!</v>
      </c>
    </row>
    <row r="309" spans="1:44" x14ac:dyDescent="0.3">
      <c r="A309" s="56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8"/>
      <c r="R309" s="57"/>
      <c r="S309" s="59"/>
      <c r="T309" s="57"/>
      <c r="U309" s="57"/>
      <c r="V309" s="59"/>
      <c r="W309" s="59"/>
      <c r="X309" s="57"/>
      <c r="Y309" s="57"/>
      <c r="Z309" s="59"/>
      <c r="AA309" s="59"/>
      <c r="AB309" s="57"/>
      <c r="AC309" s="57"/>
      <c r="AD309" s="59"/>
      <c r="AE309" s="59"/>
      <c r="AF309" s="57"/>
      <c r="AG309" s="57"/>
      <c r="AH309" s="59"/>
      <c r="AI309" s="59"/>
      <c r="AJ309" s="57"/>
      <c r="AK309" s="57"/>
      <c r="AL309" s="59"/>
      <c r="AM309" s="59"/>
      <c r="AN309" s="59"/>
      <c r="AO309" s="60"/>
      <c r="AP309" s="57"/>
      <c r="AQ309" s="77"/>
      <c r="AR309" s="76" t="e">
        <f t="shared" si="4"/>
        <v>#VALUE!</v>
      </c>
    </row>
    <row r="310" spans="1:44" x14ac:dyDescent="0.3">
      <c r="A310" s="56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8"/>
      <c r="R310" s="57"/>
      <c r="S310" s="59"/>
      <c r="T310" s="57"/>
      <c r="U310" s="57"/>
      <c r="V310" s="59"/>
      <c r="W310" s="59"/>
      <c r="X310" s="57"/>
      <c r="Y310" s="57"/>
      <c r="Z310" s="59"/>
      <c r="AA310" s="59"/>
      <c r="AB310" s="57"/>
      <c r="AC310" s="57"/>
      <c r="AD310" s="59"/>
      <c r="AE310" s="59"/>
      <c r="AF310" s="57"/>
      <c r="AG310" s="57"/>
      <c r="AH310" s="59"/>
      <c r="AI310" s="59"/>
      <c r="AJ310" s="57"/>
      <c r="AK310" s="57"/>
      <c r="AL310" s="59"/>
      <c r="AM310" s="59"/>
      <c r="AN310" s="59"/>
      <c r="AO310" s="60"/>
      <c r="AP310" s="57"/>
      <c r="AQ310" s="77"/>
      <c r="AR310" s="76" t="e">
        <f t="shared" si="4"/>
        <v>#VALUE!</v>
      </c>
    </row>
    <row r="311" spans="1:44" x14ac:dyDescent="0.3">
      <c r="A311" s="56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8"/>
      <c r="R311" s="57"/>
      <c r="S311" s="59"/>
      <c r="T311" s="57"/>
      <c r="U311" s="57"/>
      <c r="V311" s="59"/>
      <c r="W311" s="59"/>
      <c r="X311" s="57"/>
      <c r="Y311" s="57"/>
      <c r="Z311" s="59"/>
      <c r="AA311" s="59"/>
      <c r="AB311" s="57"/>
      <c r="AC311" s="57"/>
      <c r="AD311" s="59"/>
      <c r="AE311" s="59"/>
      <c r="AF311" s="57"/>
      <c r="AG311" s="57"/>
      <c r="AH311" s="59"/>
      <c r="AI311" s="59"/>
      <c r="AJ311" s="57"/>
      <c r="AK311" s="57"/>
      <c r="AL311" s="59"/>
      <c r="AM311" s="59"/>
      <c r="AN311" s="59"/>
      <c r="AO311" s="60"/>
      <c r="AP311" s="57"/>
      <c r="AQ311" s="77"/>
      <c r="AR311" s="76" t="e">
        <f t="shared" si="4"/>
        <v>#VALUE!</v>
      </c>
    </row>
    <row r="312" spans="1:44" x14ac:dyDescent="0.3">
      <c r="A312" s="56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8"/>
      <c r="R312" s="57"/>
      <c r="S312" s="59"/>
      <c r="T312" s="57"/>
      <c r="U312" s="57"/>
      <c r="V312" s="59"/>
      <c r="W312" s="59"/>
      <c r="X312" s="57"/>
      <c r="Y312" s="57"/>
      <c r="Z312" s="59"/>
      <c r="AA312" s="59"/>
      <c r="AB312" s="57"/>
      <c r="AC312" s="57"/>
      <c r="AD312" s="59"/>
      <c r="AE312" s="59"/>
      <c r="AF312" s="57"/>
      <c r="AG312" s="57"/>
      <c r="AH312" s="59"/>
      <c r="AI312" s="59"/>
      <c r="AJ312" s="57"/>
      <c r="AK312" s="57"/>
      <c r="AL312" s="59"/>
      <c r="AM312" s="59"/>
      <c r="AN312" s="59"/>
      <c r="AO312" s="60"/>
      <c r="AP312" s="57"/>
      <c r="AQ312" s="77"/>
      <c r="AR312" s="76" t="e">
        <f t="shared" si="4"/>
        <v>#VALUE!</v>
      </c>
    </row>
    <row r="313" spans="1:44" x14ac:dyDescent="0.3">
      <c r="A313" s="56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8"/>
      <c r="R313" s="57"/>
      <c r="S313" s="59"/>
      <c r="T313" s="57"/>
      <c r="U313" s="57"/>
      <c r="V313" s="59"/>
      <c r="W313" s="59"/>
      <c r="X313" s="57"/>
      <c r="Y313" s="57"/>
      <c r="Z313" s="59"/>
      <c r="AA313" s="59"/>
      <c r="AB313" s="57"/>
      <c r="AC313" s="57"/>
      <c r="AD313" s="59"/>
      <c r="AE313" s="59"/>
      <c r="AF313" s="57"/>
      <c r="AG313" s="57"/>
      <c r="AH313" s="59"/>
      <c r="AI313" s="59"/>
      <c r="AJ313" s="57"/>
      <c r="AK313" s="57"/>
      <c r="AL313" s="59"/>
      <c r="AM313" s="59"/>
      <c r="AN313" s="59"/>
      <c r="AO313" s="60"/>
      <c r="AP313" s="57"/>
      <c r="AQ313" s="77"/>
      <c r="AR313" s="76" t="e">
        <f t="shared" si="4"/>
        <v>#VALUE!</v>
      </c>
    </row>
    <row r="314" spans="1:44" x14ac:dyDescent="0.3">
      <c r="A314" s="56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8"/>
      <c r="R314" s="57"/>
      <c r="S314" s="59"/>
      <c r="T314" s="57"/>
      <c r="U314" s="57"/>
      <c r="V314" s="59"/>
      <c r="W314" s="59"/>
      <c r="X314" s="57"/>
      <c r="Y314" s="57"/>
      <c r="Z314" s="59"/>
      <c r="AA314" s="59"/>
      <c r="AB314" s="57"/>
      <c r="AC314" s="57"/>
      <c r="AD314" s="59"/>
      <c r="AE314" s="59"/>
      <c r="AF314" s="57"/>
      <c r="AG314" s="57"/>
      <c r="AH314" s="59"/>
      <c r="AI314" s="59"/>
      <c r="AJ314" s="57"/>
      <c r="AK314" s="57"/>
      <c r="AL314" s="59"/>
      <c r="AM314" s="59"/>
      <c r="AN314" s="59"/>
      <c r="AO314" s="60"/>
      <c r="AP314" s="57"/>
      <c r="AQ314" s="77"/>
      <c r="AR314" s="76" t="e">
        <f t="shared" si="4"/>
        <v>#VALUE!</v>
      </c>
    </row>
    <row r="315" spans="1:44" x14ac:dyDescent="0.3">
      <c r="A315" s="56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8"/>
      <c r="R315" s="57"/>
      <c r="S315" s="59"/>
      <c r="T315" s="57"/>
      <c r="U315" s="57"/>
      <c r="V315" s="59"/>
      <c r="W315" s="59"/>
      <c r="X315" s="57"/>
      <c r="Y315" s="57"/>
      <c r="Z315" s="59"/>
      <c r="AA315" s="59"/>
      <c r="AB315" s="57"/>
      <c r="AC315" s="57"/>
      <c r="AD315" s="59"/>
      <c r="AE315" s="59"/>
      <c r="AF315" s="57"/>
      <c r="AG315" s="57"/>
      <c r="AH315" s="59"/>
      <c r="AI315" s="59"/>
      <c r="AJ315" s="57"/>
      <c r="AK315" s="57"/>
      <c r="AL315" s="59"/>
      <c r="AM315" s="59"/>
      <c r="AN315" s="59"/>
      <c r="AO315" s="60"/>
      <c r="AP315" s="57"/>
      <c r="AQ315" s="77"/>
      <c r="AR315" s="76" t="e">
        <f t="shared" si="4"/>
        <v>#VALUE!</v>
      </c>
    </row>
    <row r="316" spans="1:44" x14ac:dyDescent="0.3">
      <c r="A316" s="56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8"/>
      <c r="R316" s="57"/>
      <c r="S316" s="59"/>
      <c r="T316" s="57"/>
      <c r="U316" s="57"/>
      <c r="V316" s="59"/>
      <c r="W316" s="59"/>
      <c r="X316" s="57"/>
      <c r="Y316" s="57"/>
      <c r="Z316" s="59"/>
      <c r="AA316" s="59"/>
      <c r="AB316" s="57"/>
      <c r="AC316" s="57"/>
      <c r="AD316" s="59"/>
      <c r="AE316" s="59"/>
      <c r="AF316" s="57"/>
      <c r="AG316" s="57"/>
      <c r="AH316" s="59"/>
      <c r="AI316" s="59"/>
      <c r="AJ316" s="57"/>
      <c r="AK316" s="57"/>
      <c r="AL316" s="59"/>
      <c r="AM316" s="59"/>
      <c r="AN316" s="59"/>
      <c r="AO316" s="60"/>
      <c r="AP316" s="57"/>
      <c r="AQ316" s="77"/>
      <c r="AR316" s="76" t="e">
        <f t="shared" si="4"/>
        <v>#VALUE!</v>
      </c>
    </row>
    <row r="317" spans="1:44" x14ac:dyDescent="0.3">
      <c r="A317" s="56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8"/>
      <c r="R317" s="57"/>
      <c r="S317" s="59"/>
      <c r="T317" s="57"/>
      <c r="U317" s="57"/>
      <c r="V317" s="59"/>
      <c r="W317" s="59"/>
      <c r="X317" s="57"/>
      <c r="Y317" s="57"/>
      <c r="Z317" s="59"/>
      <c r="AA317" s="59"/>
      <c r="AB317" s="57"/>
      <c r="AC317" s="57"/>
      <c r="AD317" s="59"/>
      <c r="AE317" s="59"/>
      <c r="AF317" s="57"/>
      <c r="AG317" s="57"/>
      <c r="AH317" s="59"/>
      <c r="AI317" s="59"/>
      <c r="AJ317" s="57"/>
      <c r="AK317" s="57"/>
      <c r="AL317" s="59"/>
      <c r="AM317" s="59"/>
      <c r="AN317" s="59"/>
      <c r="AO317" s="60"/>
      <c r="AP317" s="57"/>
      <c r="AQ317" s="77"/>
      <c r="AR317" s="76" t="e">
        <f t="shared" si="4"/>
        <v>#VALUE!</v>
      </c>
    </row>
    <row r="318" spans="1:44" x14ac:dyDescent="0.3">
      <c r="A318" s="56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8"/>
      <c r="R318" s="57"/>
      <c r="S318" s="59"/>
      <c r="T318" s="57"/>
      <c r="U318" s="57"/>
      <c r="V318" s="59"/>
      <c r="W318" s="59"/>
      <c r="X318" s="57"/>
      <c r="Y318" s="57"/>
      <c r="Z318" s="59"/>
      <c r="AA318" s="59"/>
      <c r="AB318" s="57"/>
      <c r="AC318" s="57"/>
      <c r="AD318" s="59"/>
      <c r="AE318" s="59"/>
      <c r="AF318" s="57"/>
      <c r="AG318" s="57"/>
      <c r="AH318" s="59"/>
      <c r="AI318" s="59"/>
      <c r="AJ318" s="57"/>
      <c r="AK318" s="57"/>
      <c r="AL318" s="59"/>
      <c r="AM318" s="59"/>
      <c r="AN318" s="59"/>
      <c r="AO318" s="60"/>
      <c r="AP318" s="57"/>
      <c r="AQ318" s="77"/>
      <c r="AR318" s="76" t="e">
        <f t="shared" si="4"/>
        <v>#VALUE!</v>
      </c>
    </row>
    <row r="319" spans="1:44" x14ac:dyDescent="0.3">
      <c r="A319" s="56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8"/>
      <c r="R319" s="57"/>
      <c r="S319" s="59"/>
      <c r="T319" s="57"/>
      <c r="U319" s="57"/>
      <c r="V319" s="59"/>
      <c r="W319" s="59"/>
      <c r="X319" s="57"/>
      <c r="Y319" s="57"/>
      <c r="Z319" s="59"/>
      <c r="AA319" s="59"/>
      <c r="AB319" s="57"/>
      <c r="AC319" s="57"/>
      <c r="AD319" s="59"/>
      <c r="AE319" s="59"/>
      <c r="AF319" s="57"/>
      <c r="AG319" s="57"/>
      <c r="AH319" s="59"/>
      <c r="AI319" s="59"/>
      <c r="AJ319" s="57"/>
      <c r="AK319" s="57"/>
      <c r="AL319" s="59"/>
      <c r="AM319" s="59"/>
      <c r="AN319" s="59"/>
      <c r="AO319" s="60"/>
      <c r="AP319" s="57"/>
      <c r="AQ319" s="77"/>
      <c r="AR319" s="76" t="e">
        <f t="shared" si="4"/>
        <v>#VALUE!</v>
      </c>
    </row>
    <row r="320" spans="1:44" x14ac:dyDescent="0.3">
      <c r="A320" s="56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8"/>
      <c r="R320" s="57"/>
      <c r="S320" s="59"/>
      <c r="T320" s="57"/>
      <c r="U320" s="57"/>
      <c r="V320" s="59"/>
      <c r="W320" s="59"/>
      <c r="X320" s="57"/>
      <c r="Y320" s="57"/>
      <c r="Z320" s="59"/>
      <c r="AA320" s="59"/>
      <c r="AB320" s="57"/>
      <c r="AC320" s="57"/>
      <c r="AD320" s="59"/>
      <c r="AE320" s="59"/>
      <c r="AF320" s="57"/>
      <c r="AG320" s="57"/>
      <c r="AH320" s="59"/>
      <c r="AI320" s="59"/>
      <c r="AJ320" s="57"/>
      <c r="AK320" s="57"/>
      <c r="AL320" s="59"/>
      <c r="AM320" s="59"/>
      <c r="AN320" s="59"/>
      <c r="AO320" s="60"/>
      <c r="AP320" s="57"/>
      <c r="AQ320" s="77"/>
      <c r="AR320" s="76" t="e">
        <f t="shared" si="4"/>
        <v>#VALUE!</v>
      </c>
    </row>
    <row r="321" spans="1:44" x14ac:dyDescent="0.3">
      <c r="A321" s="56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8"/>
      <c r="R321" s="57"/>
      <c r="S321" s="59"/>
      <c r="T321" s="57"/>
      <c r="U321" s="57"/>
      <c r="V321" s="59"/>
      <c r="W321" s="59"/>
      <c r="X321" s="57"/>
      <c r="Y321" s="57"/>
      <c r="Z321" s="59"/>
      <c r="AA321" s="59"/>
      <c r="AB321" s="57"/>
      <c r="AC321" s="57"/>
      <c r="AD321" s="59"/>
      <c r="AE321" s="59"/>
      <c r="AF321" s="57"/>
      <c r="AG321" s="57"/>
      <c r="AH321" s="59"/>
      <c r="AI321" s="59"/>
      <c r="AJ321" s="57"/>
      <c r="AK321" s="57"/>
      <c r="AL321" s="59"/>
      <c r="AM321" s="59"/>
      <c r="AN321" s="59"/>
      <c r="AO321" s="60"/>
      <c r="AP321" s="57"/>
      <c r="AQ321" s="77"/>
      <c r="AR321" s="76" t="e">
        <f t="shared" si="4"/>
        <v>#VALUE!</v>
      </c>
    </row>
    <row r="322" spans="1:44" x14ac:dyDescent="0.3">
      <c r="A322" s="56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8"/>
      <c r="R322" s="57"/>
      <c r="S322" s="59"/>
      <c r="T322" s="57"/>
      <c r="U322" s="57"/>
      <c r="V322" s="59"/>
      <c r="W322" s="59"/>
      <c r="X322" s="57"/>
      <c r="Y322" s="57"/>
      <c r="Z322" s="59"/>
      <c r="AA322" s="59"/>
      <c r="AB322" s="57"/>
      <c r="AC322" s="57"/>
      <c r="AD322" s="59"/>
      <c r="AE322" s="59"/>
      <c r="AF322" s="57"/>
      <c r="AG322" s="57"/>
      <c r="AH322" s="59"/>
      <c r="AI322" s="59"/>
      <c r="AJ322" s="57"/>
      <c r="AK322" s="57"/>
      <c r="AL322" s="59"/>
      <c r="AM322" s="59"/>
      <c r="AN322" s="59"/>
      <c r="AO322" s="60"/>
      <c r="AP322" s="57"/>
      <c r="AQ322" s="77"/>
      <c r="AR322" s="76" t="e">
        <f t="shared" si="4"/>
        <v>#VALUE!</v>
      </c>
    </row>
    <row r="323" spans="1:44" x14ac:dyDescent="0.3">
      <c r="A323" s="56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8"/>
      <c r="R323" s="57"/>
      <c r="S323" s="59"/>
      <c r="T323" s="57"/>
      <c r="U323" s="57"/>
      <c r="V323" s="59"/>
      <c r="W323" s="59"/>
      <c r="X323" s="57"/>
      <c r="Y323" s="57"/>
      <c r="Z323" s="59"/>
      <c r="AA323" s="59"/>
      <c r="AB323" s="57"/>
      <c r="AC323" s="57"/>
      <c r="AD323" s="59"/>
      <c r="AE323" s="59"/>
      <c r="AF323" s="57"/>
      <c r="AG323" s="57"/>
      <c r="AH323" s="59"/>
      <c r="AI323" s="59"/>
      <c r="AJ323" s="57"/>
      <c r="AK323" s="57"/>
      <c r="AL323" s="59"/>
      <c r="AM323" s="59"/>
      <c r="AN323" s="59"/>
      <c r="AO323" s="60"/>
      <c r="AP323" s="57"/>
      <c r="AQ323" s="77"/>
      <c r="AR323" s="76" t="e">
        <f t="shared" ref="AR323:AR350" si="5">DATEVALUE(SUBSTITUTE(AP323,";",":"))+TIMEVALUE(SUBSTITUTE(AP323,";",":"))</f>
        <v>#VALUE!</v>
      </c>
    </row>
    <row r="324" spans="1:44" x14ac:dyDescent="0.3">
      <c r="A324" s="56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8"/>
      <c r="R324" s="57"/>
      <c r="S324" s="59"/>
      <c r="T324" s="57"/>
      <c r="U324" s="57"/>
      <c r="V324" s="59"/>
      <c r="W324" s="59"/>
      <c r="X324" s="57"/>
      <c r="Y324" s="57"/>
      <c r="Z324" s="59"/>
      <c r="AA324" s="59"/>
      <c r="AB324" s="57"/>
      <c r="AC324" s="57"/>
      <c r="AD324" s="59"/>
      <c r="AE324" s="59"/>
      <c r="AF324" s="57"/>
      <c r="AG324" s="57"/>
      <c r="AH324" s="59"/>
      <c r="AI324" s="59"/>
      <c r="AJ324" s="57"/>
      <c r="AK324" s="57"/>
      <c r="AL324" s="59"/>
      <c r="AM324" s="59"/>
      <c r="AN324" s="59"/>
      <c r="AO324" s="60"/>
      <c r="AP324" s="57"/>
      <c r="AQ324" s="77"/>
      <c r="AR324" s="76" t="e">
        <f t="shared" si="5"/>
        <v>#VALUE!</v>
      </c>
    </row>
    <row r="325" spans="1:44" x14ac:dyDescent="0.3">
      <c r="A325" s="56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8"/>
      <c r="R325" s="57"/>
      <c r="S325" s="59"/>
      <c r="T325" s="57"/>
      <c r="U325" s="57"/>
      <c r="V325" s="59"/>
      <c r="W325" s="59"/>
      <c r="X325" s="57"/>
      <c r="Y325" s="57"/>
      <c r="Z325" s="59"/>
      <c r="AA325" s="59"/>
      <c r="AB325" s="57"/>
      <c r="AC325" s="57"/>
      <c r="AD325" s="59"/>
      <c r="AE325" s="59"/>
      <c r="AF325" s="57"/>
      <c r="AG325" s="57"/>
      <c r="AH325" s="59"/>
      <c r="AI325" s="59"/>
      <c r="AJ325" s="57"/>
      <c r="AK325" s="57"/>
      <c r="AL325" s="59"/>
      <c r="AM325" s="59"/>
      <c r="AN325" s="59"/>
      <c r="AO325" s="60"/>
      <c r="AP325" s="57"/>
      <c r="AQ325" s="77"/>
      <c r="AR325" s="76" t="e">
        <f t="shared" si="5"/>
        <v>#VALUE!</v>
      </c>
    </row>
    <row r="326" spans="1:44" x14ac:dyDescent="0.3">
      <c r="A326" s="56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8"/>
      <c r="R326" s="57"/>
      <c r="S326" s="59"/>
      <c r="T326" s="57"/>
      <c r="U326" s="57"/>
      <c r="V326" s="59"/>
      <c r="W326" s="59"/>
      <c r="X326" s="57"/>
      <c r="Y326" s="57"/>
      <c r="Z326" s="59"/>
      <c r="AA326" s="59"/>
      <c r="AB326" s="57"/>
      <c r="AC326" s="57"/>
      <c r="AD326" s="59"/>
      <c r="AE326" s="59"/>
      <c r="AF326" s="57"/>
      <c r="AG326" s="57"/>
      <c r="AH326" s="59"/>
      <c r="AI326" s="59"/>
      <c r="AJ326" s="57"/>
      <c r="AK326" s="57"/>
      <c r="AL326" s="59"/>
      <c r="AM326" s="59"/>
      <c r="AN326" s="59"/>
      <c r="AO326" s="60"/>
      <c r="AP326" s="57"/>
      <c r="AQ326" s="77"/>
      <c r="AR326" s="76" t="e">
        <f t="shared" si="5"/>
        <v>#VALUE!</v>
      </c>
    </row>
    <row r="327" spans="1:44" x14ac:dyDescent="0.3">
      <c r="A327" s="56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8"/>
      <c r="R327" s="57"/>
      <c r="S327" s="59"/>
      <c r="T327" s="57"/>
      <c r="U327" s="57"/>
      <c r="V327" s="59"/>
      <c r="W327" s="59"/>
      <c r="X327" s="57"/>
      <c r="Y327" s="57"/>
      <c r="Z327" s="59"/>
      <c r="AA327" s="59"/>
      <c r="AB327" s="57"/>
      <c r="AC327" s="57"/>
      <c r="AD327" s="59"/>
      <c r="AE327" s="59"/>
      <c r="AF327" s="57"/>
      <c r="AG327" s="57"/>
      <c r="AH327" s="59"/>
      <c r="AI327" s="59"/>
      <c r="AJ327" s="57"/>
      <c r="AK327" s="57"/>
      <c r="AL327" s="59"/>
      <c r="AM327" s="59"/>
      <c r="AN327" s="59"/>
      <c r="AO327" s="60"/>
      <c r="AP327" s="57"/>
      <c r="AQ327" s="77"/>
      <c r="AR327" s="76" t="e">
        <f t="shared" si="5"/>
        <v>#VALUE!</v>
      </c>
    </row>
    <row r="328" spans="1:44" x14ac:dyDescent="0.3">
      <c r="A328" s="56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8"/>
      <c r="R328" s="57"/>
      <c r="S328" s="59"/>
      <c r="T328" s="57"/>
      <c r="U328" s="57"/>
      <c r="V328" s="59"/>
      <c r="W328" s="59"/>
      <c r="X328" s="57"/>
      <c r="Y328" s="57"/>
      <c r="Z328" s="59"/>
      <c r="AA328" s="59"/>
      <c r="AB328" s="57"/>
      <c r="AC328" s="57"/>
      <c r="AD328" s="59"/>
      <c r="AE328" s="59"/>
      <c r="AF328" s="57"/>
      <c r="AG328" s="57"/>
      <c r="AH328" s="59"/>
      <c r="AI328" s="59"/>
      <c r="AJ328" s="57"/>
      <c r="AK328" s="57"/>
      <c r="AL328" s="59"/>
      <c r="AM328" s="59"/>
      <c r="AN328" s="59"/>
      <c r="AO328" s="60"/>
      <c r="AP328" s="57"/>
      <c r="AQ328" s="77"/>
      <c r="AR328" s="76" t="e">
        <f t="shared" si="5"/>
        <v>#VALUE!</v>
      </c>
    </row>
    <row r="329" spans="1:44" x14ac:dyDescent="0.3">
      <c r="A329" s="56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8"/>
      <c r="R329" s="57"/>
      <c r="S329" s="59"/>
      <c r="T329" s="57"/>
      <c r="U329" s="57"/>
      <c r="V329" s="59"/>
      <c r="W329" s="59"/>
      <c r="X329" s="57"/>
      <c r="Y329" s="57"/>
      <c r="Z329" s="59"/>
      <c r="AA329" s="59"/>
      <c r="AB329" s="57"/>
      <c r="AC329" s="57"/>
      <c r="AD329" s="59"/>
      <c r="AE329" s="59"/>
      <c r="AF329" s="57"/>
      <c r="AG329" s="57"/>
      <c r="AH329" s="59"/>
      <c r="AI329" s="59"/>
      <c r="AJ329" s="57"/>
      <c r="AK329" s="57"/>
      <c r="AL329" s="59"/>
      <c r="AM329" s="59"/>
      <c r="AN329" s="59"/>
      <c r="AO329" s="60"/>
      <c r="AP329" s="57"/>
      <c r="AQ329" s="77"/>
      <c r="AR329" s="76" t="e">
        <f t="shared" si="5"/>
        <v>#VALUE!</v>
      </c>
    </row>
    <row r="330" spans="1:44" x14ac:dyDescent="0.3">
      <c r="A330" s="56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8"/>
      <c r="R330" s="57"/>
      <c r="S330" s="59"/>
      <c r="T330" s="57"/>
      <c r="U330" s="57"/>
      <c r="V330" s="59"/>
      <c r="W330" s="59"/>
      <c r="X330" s="57"/>
      <c r="Y330" s="57"/>
      <c r="Z330" s="59"/>
      <c r="AA330" s="59"/>
      <c r="AB330" s="57"/>
      <c r="AC330" s="57"/>
      <c r="AD330" s="59"/>
      <c r="AE330" s="59"/>
      <c r="AF330" s="57"/>
      <c r="AG330" s="57"/>
      <c r="AH330" s="59"/>
      <c r="AI330" s="59"/>
      <c r="AJ330" s="57"/>
      <c r="AK330" s="57"/>
      <c r="AL330" s="59"/>
      <c r="AM330" s="59"/>
      <c r="AN330" s="59"/>
      <c r="AO330" s="60"/>
      <c r="AP330" s="57"/>
      <c r="AQ330" s="77"/>
      <c r="AR330" s="76" t="e">
        <f t="shared" si="5"/>
        <v>#VALUE!</v>
      </c>
    </row>
    <row r="331" spans="1:44" x14ac:dyDescent="0.3">
      <c r="A331" s="56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8"/>
      <c r="R331" s="57"/>
      <c r="S331" s="59"/>
      <c r="T331" s="57"/>
      <c r="U331" s="57"/>
      <c r="V331" s="59"/>
      <c r="W331" s="59"/>
      <c r="X331" s="57"/>
      <c r="Y331" s="57"/>
      <c r="Z331" s="59"/>
      <c r="AA331" s="59"/>
      <c r="AB331" s="57"/>
      <c r="AC331" s="57"/>
      <c r="AD331" s="59"/>
      <c r="AE331" s="59"/>
      <c r="AF331" s="57"/>
      <c r="AG331" s="57"/>
      <c r="AH331" s="59"/>
      <c r="AI331" s="59"/>
      <c r="AJ331" s="57"/>
      <c r="AK331" s="57"/>
      <c r="AL331" s="59"/>
      <c r="AM331" s="59"/>
      <c r="AN331" s="59"/>
      <c r="AO331" s="60"/>
      <c r="AP331" s="57"/>
      <c r="AQ331" s="77"/>
      <c r="AR331" s="76" t="e">
        <f t="shared" si="5"/>
        <v>#VALUE!</v>
      </c>
    </row>
    <row r="332" spans="1:44" x14ac:dyDescent="0.3">
      <c r="A332" s="56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8"/>
      <c r="R332" s="57"/>
      <c r="S332" s="59"/>
      <c r="T332" s="57"/>
      <c r="U332" s="57"/>
      <c r="V332" s="59"/>
      <c r="W332" s="59"/>
      <c r="X332" s="57"/>
      <c r="Y332" s="57"/>
      <c r="Z332" s="59"/>
      <c r="AA332" s="59"/>
      <c r="AB332" s="57"/>
      <c r="AC332" s="57"/>
      <c r="AD332" s="59"/>
      <c r="AE332" s="59"/>
      <c r="AF332" s="57"/>
      <c r="AG332" s="57"/>
      <c r="AH332" s="59"/>
      <c r="AI332" s="59"/>
      <c r="AJ332" s="57"/>
      <c r="AK332" s="57"/>
      <c r="AL332" s="59"/>
      <c r="AM332" s="59"/>
      <c r="AN332" s="59"/>
      <c r="AO332" s="60"/>
      <c r="AP332" s="57"/>
      <c r="AQ332" s="77"/>
      <c r="AR332" s="76" t="e">
        <f t="shared" si="5"/>
        <v>#VALUE!</v>
      </c>
    </row>
    <row r="333" spans="1:44" x14ac:dyDescent="0.3">
      <c r="A333" s="56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8"/>
      <c r="R333" s="57"/>
      <c r="S333" s="59"/>
      <c r="T333" s="57"/>
      <c r="U333" s="57"/>
      <c r="V333" s="59"/>
      <c r="W333" s="59"/>
      <c r="X333" s="57"/>
      <c r="Y333" s="57"/>
      <c r="Z333" s="59"/>
      <c r="AA333" s="59"/>
      <c r="AB333" s="57"/>
      <c r="AC333" s="57"/>
      <c r="AD333" s="59"/>
      <c r="AE333" s="59"/>
      <c r="AF333" s="57"/>
      <c r="AG333" s="57"/>
      <c r="AH333" s="59"/>
      <c r="AI333" s="59"/>
      <c r="AJ333" s="57"/>
      <c r="AK333" s="57"/>
      <c r="AL333" s="59"/>
      <c r="AM333" s="59"/>
      <c r="AN333" s="59"/>
      <c r="AO333" s="60"/>
      <c r="AP333" s="57"/>
      <c r="AQ333" s="77"/>
      <c r="AR333" s="76" t="e">
        <f t="shared" si="5"/>
        <v>#VALUE!</v>
      </c>
    </row>
    <row r="334" spans="1:44" x14ac:dyDescent="0.3">
      <c r="A334" s="56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8"/>
      <c r="R334" s="57"/>
      <c r="S334" s="59"/>
      <c r="T334" s="57"/>
      <c r="U334" s="57"/>
      <c r="V334" s="59"/>
      <c r="W334" s="59"/>
      <c r="X334" s="57"/>
      <c r="Y334" s="57"/>
      <c r="Z334" s="59"/>
      <c r="AA334" s="59"/>
      <c r="AB334" s="57"/>
      <c r="AC334" s="57"/>
      <c r="AD334" s="59"/>
      <c r="AE334" s="59"/>
      <c r="AF334" s="57"/>
      <c r="AG334" s="57"/>
      <c r="AH334" s="59"/>
      <c r="AI334" s="59"/>
      <c r="AJ334" s="57"/>
      <c r="AK334" s="57"/>
      <c r="AL334" s="59"/>
      <c r="AM334" s="59"/>
      <c r="AN334" s="59"/>
      <c r="AO334" s="60"/>
      <c r="AP334" s="57"/>
      <c r="AQ334" s="77"/>
      <c r="AR334" s="76" t="e">
        <f t="shared" si="5"/>
        <v>#VALUE!</v>
      </c>
    </row>
    <row r="335" spans="1:44" x14ac:dyDescent="0.3">
      <c r="A335" s="56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8"/>
      <c r="R335" s="57"/>
      <c r="S335" s="59"/>
      <c r="T335" s="57"/>
      <c r="U335" s="57"/>
      <c r="V335" s="59"/>
      <c r="W335" s="59"/>
      <c r="X335" s="57"/>
      <c r="Y335" s="57"/>
      <c r="Z335" s="59"/>
      <c r="AA335" s="59"/>
      <c r="AB335" s="57"/>
      <c r="AC335" s="57"/>
      <c r="AD335" s="59"/>
      <c r="AE335" s="59"/>
      <c r="AF335" s="57"/>
      <c r="AG335" s="57"/>
      <c r="AH335" s="59"/>
      <c r="AI335" s="59"/>
      <c r="AJ335" s="57"/>
      <c r="AK335" s="57"/>
      <c r="AL335" s="59"/>
      <c r="AM335" s="59"/>
      <c r="AN335" s="59"/>
      <c r="AO335" s="60"/>
      <c r="AP335" s="57"/>
      <c r="AQ335" s="77"/>
      <c r="AR335" s="76" t="e">
        <f t="shared" si="5"/>
        <v>#VALUE!</v>
      </c>
    </row>
    <row r="336" spans="1:44" x14ac:dyDescent="0.3">
      <c r="A336" s="56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8"/>
      <c r="R336" s="57"/>
      <c r="S336" s="59"/>
      <c r="T336" s="57"/>
      <c r="U336" s="57"/>
      <c r="V336" s="59"/>
      <c r="W336" s="59"/>
      <c r="X336" s="57"/>
      <c r="Y336" s="57"/>
      <c r="Z336" s="59"/>
      <c r="AA336" s="59"/>
      <c r="AB336" s="57"/>
      <c r="AC336" s="57"/>
      <c r="AD336" s="59"/>
      <c r="AE336" s="59"/>
      <c r="AF336" s="57"/>
      <c r="AG336" s="57"/>
      <c r="AH336" s="59"/>
      <c r="AI336" s="59"/>
      <c r="AJ336" s="57"/>
      <c r="AK336" s="57"/>
      <c r="AL336" s="59"/>
      <c r="AM336" s="59"/>
      <c r="AN336" s="59"/>
      <c r="AO336" s="60"/>
      <c r="AP336" s="57"/>
      <c r="AQ336" s="77"/>
      <c r="AR336" s="76" t="e">
        <f t="shared" si="5"/>
        <v>#VALUE!</v>
      </c>
    </row>
    <row r="337" spans="1:44" x14ac:dyDescent="0.3">
      <c r="A337" s="56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8"/>
      <c r="R337" s="57"/>
      <c r="S337" s="59"/>
      <c r="T337" s="57"/>
      <c r="U337" s="57"/>
      <c r="V337" s="59"/>
      <c r="W337" s="59"/>
      <c r="X337" s="57"/>
      <c r="Y337" s="57"/>
      <c r="Z337" s="59"/>
      <c r="AA337" s="59"/>
      <c r="AB337" s="57"/>
      <c r="AC337" s="57"/>
      <c r="AD337" s="59"/>
      <c r="AE337" s="59"/>
      <c r="AF337" s="57"/>
      <c r="AG337" s="57"/>
      <c r="AH337" s="59"/>
      <c r="AI337" s="59"/>
      <c r="AJ337" s="57"/>
      <c r="AK337" s="57"/>
      <c r="AL337" s="59"/>
      <c r="AM337" s="59"/>
      <c r="AN337" s="59"/>
      <c r="AO337" s="60"/>
      <c r="AP337" s="57"/>
      <c r="AQ337" s="77"/>
      <c r="AR337" s="76" t="e">
        <f t="shared" si="5"/>
        <v>#VALUE!</v>
      </c>
    </row>
    <row r="338" spans="1:44" x14ac:dyDescent="0.3">
      <c r="A338" s="56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8"/>
      <c r="R338" s="57"/>
      <c r="S338" s="59"/>
      <c r="T338" s="57"/>
      <c r="U338" s="57"/>
      <c r="V338" s="59"/>
      <c r="W338" s="59"/>
      <c r="X338" s="57"/>
      <c r="Y338" s="57"/>
      <c r="Z338" s="59"/>
      <c r="AA338" s="59"/>
      <c r="AB338" s="57"/>
      <c r="AC338" s="57"/>
      <c r="AD338" s="59"/>
      <c r="AE338" s="59"/>
      <c r="AF338" s="57"/>
      <c r="AG338" s="57"/>
      <c r="AH338" s="59"/>
      <c r="AI338" s="59"/>
      <c r="AJ338" s="57"/>
      <c r="AK338" s="57"/>
      <c r="AL338" s="59"/>
      <c r="AM338" s="59"/>
      <c r="AN338" s="59"/>
      <c r="AO338" s="60"/>
      <c r="AP338" s="57"/>
      <c r="AQ338" s="77"/>
      <c r="AR338" s="76" t="e">
        <f t="shared" si="5"/>
        <v>#VALUE!</v>
      </c>
    </row>
    <row r="339" spans="1:44" x14ac:dyDescent="0.3">
      <c r="A339" s="56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8"/>
      <c r="R339" s="57"/>
      <c r="S339" s="59"/>
      <c r="T339" s="57"/>
      <c r="U339" s="57"/>
      <c r="V339" s="59"/>
      <c r="W339" s="59"/>
      <c r="X339" s="57"/>
      <c r="Y339" s="57"/>
      <c r="Z339" s="59"/>
      <c r="AA339" s="59"/>
      <c r="AB339" s="57"/>
      <c r="AC339" s="57"/>
      <c r="AD339" s="59"/>
      <c r="AE339" s="59"/>
      <c r="AF339" s="57"/>
      <c r="AG339" s="57"/>
      <c r="AH339" s="59"/>
      <c r="AI339" s="59"/>
      <c r="AJ339" s="57"/>
      <c r="AK339" s="57"/>
      <c r="AL339" s="59"/>
      <c r="AM339" s="59"/>
      <c r="AN339" s="59"/>
      <c r="AO339" s="60"/>
      <c r="AP339" s="57"/>
      <c r="AQ339" s="77"/>
      <c r="AR339" s="76" t="e">
        <f t="shared" si="5"/>
        <v>#VALUE!</v>
      </c>
    </row>
    <row r="340" spans="1:44" x14ac:dyDescent="0.3">
      <c r="A340" s="56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8"/>
      <c r="R340" s="57"/>
      <c r="S340" s="59"/>
      <c r="T340" s="57"/>
      <c r="U340" s="57"/>
      <c r="V340" s="59"/>
      <c r="W340" s="59"/>
      <c r="X340" s="57"/>
      <c r="Y340" s="57"/>
      <c r="Z340" s="59"/>
      <c r="AA340" s="59"/>
      <c r="AB340" s="57"/>
      <c r="AC340" s="57"/>
      <c r="AD340" s="59"/>
      <c r="AE340" s="59"/>
      <c r="AF340" s="57"/>
      <c r="AG340" s="57"/>
      <c r="AH340" s="59"/>
      <c r="AI340" s="59"/>
      <c r="AJ340" s="57"/>
      <c r="AK340" s="57"/>
      <c r="AL340" s="59"/>
      <c r="AM340" s="59"/>
      <c r="AN340" s="59"/>
      <c r="AO340" s="60"/>
      <c r="AP340" s="57"/>
      <c r="AQ340" s="77"/>
      <c r="AR340" s="76" t="e">
        <f t="shared" si="5"/>
        <v>#VALUE!</v>
      </c>
    </row>
    <row r="341" spans="1:44" x14ac:dyDescent="0.3">
      <c r="A341" s="56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8"/>
      <c r="R341" s="57"/>
      <c r="S341" s="59"/>
      <c r="T341" s="57"/>
      <c r="U341" s="57"/>
      <c r="V341" s="59"/>
      <c r="W341" s="59"/>
      <c r="X341" s="57"/>
      <c r="Y341" s="57"/>
      <c r="Z341" s="59"/>
      <c r="AA341" s="59"/>
      <c r="AB341" s="57"/>
      <c r="AC341" s="57"/>
      <c r="AD341" s="59"/>
      <c r="AE341" s="59"/>
      <c r="AF341" s="57"/>
      <c r="AG341" s="57"/>
      <c r="AH341" s="59"/>
      <c r="AI341" s="59"/>
      <c r="AJ341" s="57"/>
      <c r="AK341" s="57"/>
      <c r="AL341" s="59"/>
      <c r="AM341" s="59"/>
      <c r="AN341" s="59"/>
      <c r="AO341" s="60"/>
      <c r="AP341" s="57"/>
      <c r="AQ341" s="77"/>
      <c r="AR341" s="76" t="e">
        <f t="shared" si="5"/>
        <v>#VALUE!</v>
      </c>
    </row>
    <row r="342" spans="1:44" x14ac:dyDescent="0.3">
      <c r="A342" s="56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8"/>
      <c r="R342" s="57"/>
      <c r="S342" s="59"/>
      <c r="T342" s="57"/>
      <c r="U342" s="57"/>
      <c r="V342" s="59"/>
      <c r="W342" s="59"/>
      <c r="X342" s="57"/>
      <c r="Y342" s="57"/>
      <c r="Z342" s="59"/>
      <c r="AA342" s="59"/>
      <c r="AB342" s="57"/>
      <c r="AC342" s="57"/>
      <c r="AD342" s="59"/>
      <c r="AE342" s="59"/>
      <c r="AF342" s="57"/>
      <c r="AG342" s="57"/>
      <c r="AH342" s="59"/>
      <c r="AI342" s="59"/>
      <c r="AJ342" s="57"/>
      <c r="AK342" s="57"/>
      <c r="AL342" s="59"/>
      <c r="AM342" s="59"/>
      <c r="AN342" s="59"/>
      <c r="AO342" s="60"/>
      <c r="AP342" s="57"/>
      <c r="AQ342" s="77"/>
      <c r="AR342" s="76" t="e">
        <f t="shared" si="5"/>
        <v>#VALUE!</v>
      </c>
    </row>
    <row r="343" spans="1:44" x14ac:dyDescent="0.3">
      <c r="A343" s="56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8"/>
      <c r="R343" s="57"/>
      <c r="S343" s="59"/>
      <c r="T343" s="57"/>
      <c r="U343" s="57"/>
      <c r="V343" s="59"/>
      <c r="W343" s="59"/>
      <c r="X343" s="57"/>
      <c r="Y343" s="57"/>
      <c r="Z343" s="59"/>
      <c r="AA343" s="59"/>
      <c r="AB343" s="57"/>
      <c r="AC343" s="57"/>
      <c r="AD343" s="59"/>
      <c r="AE343" s="59"/>
      <c r="AF343" s="57"/>
      <c r="AG343" s="57"/>
      <c r="AH343" s="59"/>
      <c r="AI343" s="59"/>
      <c r="AJ343" s="57"/>
      <c r="AK343" s="57"/>
      <c r="AL343" s="59"/>
      <c r="AM343" s="59"/>
      <c r="AN343" s="59"/>
      <c r="AO343" s="60"/>
      <c r="AP343" s="57"/>
      <c r="AQ343" s="77"/>
      <c r="AR343" s="76" t="e">
        <f t="shared" si="5"/>
        <v>#VALUE!</v>
      </c>
    </row>
    <row r="344" spans="1:44" x14ac:dyDescent="0.3">
      <c r="A344" s="56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8"/>
      <c r="R344" s="57"/>
      <c r="S344" s="59"/>
      <c r="T344" s="57"/>
      <c r="U344" s="57"/>
      <c r="V344" s="59"/>
      <c r="W344" s="59"/>
      <c r="X344" s="57"/>
      <c r="Y344" s="57"/>
      <c r="Z344" s="59"/>
      <c r="AA344" s="59"/>
      <c r="AB344" s="57"/>
      <c r="AC344" s="57"/>
      <c r="AD344" s="59"/>
      <c r="AE344" s="59"/>
      <c r="AF344" s="57"/>
      <c r="AG344" s="57"/>
      <c r="AH344" s="59"/>
      <c r="AI344" s="59"/>
      <c r="AJ344" s="57"/>
      <c r="AK344" s="57"/>
      <c r="AL344" s="59"/>
      <c r="AM344" s="59"/>
      <c r="AN344" s="59"/>
      <c r="AO344" s="60"/>
      <c r="AP344" s="57"/>
      <c r="AQ344" s="77"/>
      <c r="AR344" s="76" t="e">
        <f t="shared" si="5"/>
        <v>#VALUE!</v>
      </c>
    </row>
    <row r="345" spans="1:44" x14ac:dyDescent="0.3">
      <c r="A345" s="56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8"/>
      <c r="R345" s="57"/>
      <c r="S345" s="59"/>
      <c r="T345" s="57"/>
      <c r="U345" s="57"/>
      <c r="V345" s="59"/>
      <c r="W345" s="59"/>
      <c r="X345" s="57"/>
      <c r="Y345" s="57"/>
      <c r="Z345" s="59"/>
      <c r="AA345" s="59"/>
      <c r="AB345" s="57"/>
      <c r="AC345" s="57"/>
      <c r="AD345" s="59"/>
      <c r="AE345" s="59"/>
      <c r="AF345" s="57"/>
      <c r="AG345" s="57"/>
      <c r="AH345" s="59"/>
      <c r="AI345" s="59"/>
      <c r="AJ345" s="57"/>
      <c r="AK345" s="57"/>
      <c r="AL345" s="59"/>
      <c r="AM345" s="59"/>
      <c r="AN345" s="59"/>
      <c r="AO345" s="60"/>
      <c r="AP345" s="57"/>
      <c r="AQ345" s="77"/>
      <c r="AR345" s="76" t="e">
        <f t="shared" si="5"/>
        <v>#VALUE!</v>
      </c>
    </row>
    <row r="346" spans="1:44" x14ac:dyDescent="0.3">
      <c r="A346" s="56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8"/>
      <c r="R346" s="57"/>
      <c r="S346" s="59"/>
      <c r="T346" s="57"/>
      <c r="U346" s="57"/>
      <c r="V346" s="59"/>
      <c r="W346" s="59"/>
      <c r="X346" s="57"/>
      <c r="Y346" s="57"/>
      <c r="Z346" s="59"/>
      <c r="AA346" s="59"/>
      <c r="AB346" s="57"/>
      <c r="AC346" s="57"/>
      <c r="AD346" s="59"/>
      <c r="AE346" s="59"/>
      <c r="AF346" s="57"/>
      <c r="AG346" s="57"/>
      <c r="AH346" s="59"/>
      <c r="AI346" s="59"/>
      <c r="AJ346" s="57"/>
      <c r="AK346" s="57"/>
      <c r="AL346" s="59"/>
      <c r="AM346" s="59"/>
      <c r="AN346" s="59"/>
      <c r="AO346" s="60"/>
      <c r="AP346" s="57"/>
      <c r="AQ346" s="77"/>
      <c r="AR346" s="76" t="e">
        <f t="shared" si="5"/>
        <v>#VALUE!</v>
      </c>
    </row>
    <row r="347" spans="1:44" x14ac:dyDescent="0.3">
      <c r="A347" s="56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8"/>
      <c r="R347" s="57"/>
      <c r="S347" s="59"/>
      <c r="T347" s="57"/>
      <c r="U347" s="57"/>
      <c r="V347" s="59"/>
      <c r="W347" s="59"/>
      <c r="X347" s="57"/>
      <c r="Y347" s="57"/>
      <c r="Z347" s="59"/>
      <c r="AA347" s="59"/>
      <c r="AB347" s="57"/>
      <c r="AC347" s="57"/>
      <c r="AD347" s="59"/>
      <c r="AE347" s="59"/>
      <c r="AF347" s="57"/>
      <c r="AG347" s="57"/>
      <c r="AH347" s="59"/>
      <c r="AI347" s="59"/>
      <c r="AJ347" s="57"/>
      <c r="AK347" s="57"/>
      <c r="AL347" s="59"/>
      <c r="AM347" s="59"/>
      <c r="AN347" s="59"/>
      <c r="AO347" s="60"/>
      <c r="AP347" s="57"/>
      <c r="AQ347" s="77"/>
      <c r="AR347" s="76" t="e">
        <f t="shared" si="5"/>
        <v>#VALUE!</v>
      </c>
    </row>
    <row r="348" spans="1:44" x14ac:dyDescent="0.3">
      <c r="A348" s="56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8"/>
      <c r="R348" s="57"/>
      <c r="S348" s="59"/>
      <c r="T348" s="57"/>
      <c r="U348" s="57"/>
      <c r="V348" s="59"/>
      <c r="W348" s="59"/>
      <c r="X348" s="57"/>
      <c r="Y348" s="57"/>
      <c r="Z348" s="59"/>
      <c r="AA348" s="59"/>
      <c r="AB348" s="57"/>
      <c r="AC348" s="57"/>
      <c r="AD348" s="59"/>
      <c r="AE348" s="59"/>
      <c r="AF348" s="57"/>
      <c r="AG348" s="57"/>
      <c r="AH348" s="59"/>
      <c r="AI348" s="59"/>
      <c r="AJ348" s="57"/>
      <c r="AK348" s="57"/>
      <c r="AL348" s="59"/>
      <c r="AM348" s="59"/>
      <c r="AN348" s="59"/>
      <c r="AO348" s="60"/>
      <c r="AP348" s="57"/>
      <c r="AQ348" s="77"/>
      <c r="AR348" s="76" t="e">
        <f t="shared" si="5"/>
        <v>#VALUE!</v>
      </c>
    </row>
    <row r="349" spans="1:44" x14ac:dyDescent="0.3">
      <c r="A349" s="56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8"/>
      <c r="R349" s="57"/>
      <c r="S349" s="59"/>
      <c r="T349" s="57"/>
      <c r="U349" s="57"/>
      <c r="V349" s="59"/>
      <c r="W349" s="59"/>
      <c r="X349" s="57"/>
      <c r="Y349" s="57"/>
      <c r="Z349" s="59"/>
      <c r="AA349" s="59"/>
      <c r="AB349" s="57"/>
      <c r="AC349" s="57"/>
      <c r="AD349" s="59"/>
      <c r="AE349" s="59"/>
      <c r="AF349" s="57"/>
      <c r="AG349" s="57"/>
      <c r="AH349" s="59"/>
      <c r="AI349" s="59"/>
      <c r="AJ349" s="57"/>
      <c r="AK349" s="57"/>
      <c r="AL349" s="59"/>
      <c r="AM349" s="59"/>
      <c r="AN349" s="59"/>
      <c r="AO349" s="60"/>
      <c r="AP349" s="57"/>
      <c r="AQ349" s="77"/>
      <c r="AR349" s="76" t="e">
        <f t="shared" si="5"/>
        <v>#VALUE!</v>
      </c>
    </row>
    <row r="350" spans="1:44" x14ac:dyDescent="0.3">
      <c r="A350" s="56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8"/>
      <c r="R350" s="57"/>
      <c r="S350" s="59"/>
      <c r="T350" s="57"/>
      <c r="U350" s="57"/>
      <c r="V350" s="59"/>
      <c r="W350" s="59"/>
      <c r="X350" s="57"/>
      <c r="Y350" s="57"/>
      <c r="Z350" s="59"/>
      <c r="AA350" s="59"/>
      <c r="AB350" s="57"/>
      <c r="AC350" s="57"/>
      <c r="AD350" s="59"/>
      <c r="AE350" s="59"/>
      <c r="AF350" s="57"/>
      <c r="AG350" s="57"/>
      <c r="AH350" s="59"/>
      <c r="AI350" s="59"/>
      <c r="AJ350" s="57"/>
      <c r="AK350" s="57"/>
      <c r="AL350" s="59"/>
      <c r="AM350" s="59"/>
      <c r="AN350" s="59"/>
      <c r="AO350" s="60"/>
      <c r="AP350" s="57"/>
      <c r="AQ350" s="77"/>
      <c r="AR350" s="76" t="e">
        <f t="shared" si="5"/>
        <v>#VALUE!</v>
      </c>
    </row>
    <row r="361" spans="1:1" x14ac:dyDescent="0.3">
      <c r="A361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388620</xdr:rowOff>
                  </from>
                  <to>
                    <xdr:col>1</xdr:col>
                    <xdr:colOff>60960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1</xdr:col>
                    <xdr:colOff>99060</xdr:colOff>
                    <xdr:row>0</xdr:row>
                    <xdr:rowOff>396240</xdr:rowOff>
                  </from>
                  <to>
                    <xdr:col>2</xdr:col>
                    <xdr:colOff>571500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tartTimer">
                <anchor moveWithCells="1" sizeWithCells="1">
                  <from>
                    <xdr:col>0</xdr:col>
                    <xdr:colOff>7620</xdr:colOff>
                    <xdr:row>0</xdr:row>
                    <xdr:rowOff>716280</xdr:rowOff>
                  </from>
                  <to>
                    <xdr:col>0</xdr:col>
                    <xdr:colOff>784860</xdr:colOff>
                    <xdr:row>0</xdr:row>
                    <xdr:rowOff>1089660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top_Timer">
                <anchor moveWithCells="1" sizeWithCells="1">
                  <from>
                    <xdr:col>1</xdr:col>
                    <xdr:colOff>7620</xdr:colOff>
                    <xdr:row>0</xdr:row>
                    <xdr:rowOff>731520</xdr:rowOff>
                  </from>
                  <to>
                    <xdr:col>2</xdr:col>
                    <xdr:colOff>236220</xdr:colOff>
                    <xdr:row>0</xdr:row>
                    <xdr:rowOff>1089660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pinner 13">
              <controlPr defaultSize="0" autoPict="0">
                <anchor moveWithCells="1" sizeWithCells="1">
                  <from>
                    <xdr:col>2</xdr:col>
                    <xdr:colOff>373380</xdr:colOff>
                    <xdr:row>0</xdr:row>
                    <xdr:rowOff>716280</xdr:rowOff>
                  </from>
                  <to>
                    <xdr:col>3</xdr:col>
                    <xdr:colOff>7620</xdr:colOff>
                    <xdr:row>0</xdr:row>
                    <xdr:rowOff>1219200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9" name="Button 14">
              <controlPr defaultSize="0" print="0" autoFill="0" autoPict="0" macro="[0]!IntradayBuySellVolume.pauseResumeExport">
                <anchor moveWithCells="1" sizeWithCells="1">
                  <from>
                    <xdr:col>0</xdr:col>
                    <xdr:colOff>7620</xdr:colOff>
                    <xdr:row>0</xdr:row>
                    <xdr:rowOff>68580</xdr:rowOff>
                  </from>
                  <to>
                    <xdr:col>1</xdr:col>
                    <xdr:colOff>327660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0" name="Button 15">
              <controlPr defaultSize="0" print="0" autoFill="0" autoPict="0" macro="[0]!ResetFile">
                <anchor moveWithCells="1" sizeWithCells="1">
                  <from>
                    <xdr:col>1</xdr:col>
                    <xdr:colOff>487680</xdr:colOff>
                    <xdr:row>0</xdr:row>
                    <xdr:rowOff>68580</xdr:rowOff>
                  </from>
                  <to>
                    <xdr:col>3</xdr:col>
                    <xdr:colOff>403860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C9"/>
  <sheetViews>
    <sheetView zoomScale="70" zoomScaleNormal="70" workbookViewId="0">
      <selection activeCell="E16" sqref="E16"/>
    </sheetView>
  </sheetViews>
  <sheetFormatPr defaultRowHeight="14.4" x14ac:dyDescent="0.3"/>
  <cols>
    <col min="1" max="1" width="17.88671875" bestFit="1" customWidth="1"/>
    <col min="2" max="2" width="14.6640625" bestFit="1" customWidth="1"/>
    <col min="32" max="32" width="14.44140625" customWidth="1"/>
  </cols>
  <sheetData>
    <row r="1" spans="1:3" x14ac:dyDescent="0.3">
      <c r="A1" s="89" t="s">
        <v>4812</v>
      </c>
      <c r="B1" s="90"/>
    </row>
    <row r="2" spans="1:3" x14ac:dyDescent="0.3">
      <c r="A2" s="81" t="s">
        <v>4813</v>
      </c>
      <c r="B2" s="82">
        <v>43302.375</v>
      </c>
    </row>
    <row r="3" spans="1:3" x14ac:dyDescent="0.3">
      <c r="A3" s="81" t="s">
        <v>4814</v>
      </c>
      <c r="B3" s="50">
        <v>43302.645833333299</v>
      </c>
    </row>
    <row r="4" spans="1:3" x14ac:dyDescent="0.3">
      <c r="A4" s="89" t="s">
        <v>4815</v>
      </c>
      <c r="B4" s="90"/>
    </row>
    <row r="5" spans="1:3" x14ac:dyDescent="0.3">
      <c r="A5" s="81" t="s">
        <v>4816</v>
      </c>
      <c r="B5" s="50">
        <v>1.0416666666666701E-2</v>
      </c>
    </row>
    <row r="6" spans="1:3" x14ac:dyDescent="0.3">
      <c r="A6" s="81" t="s">
        <v>4817</v>
      </c>
      <c r="B6" s="50">
        <f>B5/5</f>
        <v>2.0833333333333402E-3</v>
      </c>
    </row>
    <row r="7" spans="1:3" x14ac:dyDescent="0.3">
      <c r="A7" s="89" t="s">
        <v>4820</v>
      </c>
      <c r="B7" s="90"/>
    </row>
    <row r="8" spans="1:3" x14ac:dyDescent="0.3">
      <c r="A8" s="81" t="s">
        <v>4819</v>
      </c>
      <c r="B8" s="50">
        <v>7</v>
      </c>
      <c r="C8">
        <v>106</v>
      </c>
    </row>
    <row r="9" spans="1:3" x14ac:dyDescent="0.3">
      <c r="A9" s="81" t="s">
        <v>4824</v>
      </c>
      <c r="B9" s="50">
        <v>122</v>
      </c>
      <c r="C9">
        <v>104</v>
      </c>
    </row>
  </sheetData>
  <mergeCells count="3">
    <mergeCell ref="A1:B1"/>
    <mergeCell ref="A4:B4"/>
    <mergeCell ref="A7:B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B6" sqref="B6"/>
    </sheetView>
  </sheetViews>
  <sheetFormatPr defaultRowHeight="14.4" x14ac:dyDescent="0.3"/>
  <cols>
    <col min="1" max="1" width="18.109375" bestFit="1" customWidth="1"/>
    <col min="2" max="2" width="20.33203125" bestFit="1" customWidth="1"/>
    <col min="3" max="3" width="9.6640625" bestFit="1" customWidth="1"/>
    <col min="4" max="4" width="7.21875" customWidth="1"/>
    <col min="5" max="5" width="6.6640625" customWidth="1"/>
    <col min="6" max="6" width="4.109375" customWidth="1"/>
    <col min="7" max="7" width="5.77734375" customWidth="1"/>
    <col min="8" max="8" width="6.77734375" customWidth="1"/>
    <col min="9" max="9" width="7.5546875" customWidth="1"/>
    <col min="10" max="10" width="12.5546875" bestFit="1" customWidth="1"/>
  </cols>
  <sheetData>
    <row r="1" spans="1:11" x14ac:dyDescent="0.3">
      <c r="A1" s="74">
        <v>43302</v>
      </c>
      <c r="B1" s="65">
        <f>A1</f>
        <v>43302</v>
      </c>
      <c r="C1" t="s">
        <v>4809</v>
      </c>
      <c r="D1" t="s">
        <v>4808</v>
      </c>
    </row>
    <row r="2" spans="1:11" x14ac:dyDescent="0.3">
      <c r="A2" s="74">
        <f>B2</f>
        <v>1</v>
      </c>
      <c r="B2" s="65">
        <v>1</v>
      </c>
    </row>
    <row r="3" spans="1:11" x14ac:dyDescent="0.3">
      <c r="A3" s="74">
        <v>1.0034722222222223</v>
      </c>
      <c r="B3" s="75">
        <f>A3</f>
        <v>1.0034722222222223</v>
      </c>
      <c r="F3" t="s">
        <v>4807</v>
      </c>
      <c r="G3" t="s">
        <v>4806</v>
      </c>
      <c r="H3" t="s">
        <v>4805</v>
      </c>
      <c r="I3" t="s">
        <v>4804</v>
      </c>
    </row>
    <row r="4" spans="1:11" x14ac:dyDescent="0.3">
      <c r="A4" s="74">
        <v>1.000011574074074</v>
      </c>
      <c r="B4" s="73">
        <f>A4</f>
        <v>1.000011574074074</v>
      </c>
      <c r="F4">
        <v>1</v>
      </c>
      <c r="G4">
        <v>24</v>
      </c>
      <c r="H4">
        <f>G4*60</f>
        <v>1440</v>
      </c>
      <c r="I4">
        <f>H4*60</f>
        <v>86400</v>
      </c>
    </row>
    <row r="5" spans="1:11" x14ac:dyDescent="0.3">
      <c r="A5" s="69">
        <v>43301.375</v>
      </c>
      <c r="B5" s="68">
        <f>A5</f>
        <v>43301.375</v>
      </c>
      <c r="C5" s="72"/>
      <c r="H5">
        <v>5</v>
      </c>
      <c r="I5" s="71"/>
      <c r="J5" s="70">
        <f>F5/F4+G5/G4+H5/H4+I5/I4</f>
        <v>3.472222222222222E-3</v>
      </c>
      <c r="K5" t="s">
        <v>4810</v>
      </c>
    </row>
    <row r="6" spans="1:11" x14ac:dyDescent="0.3">
      <c r="A6" s="69">
        <v>43301.666666666664</v>
      </c>
      <c r="B6" s="68">
        <f>A6</f>
        <v>43301.666666666664</v>
      </c>
      <c r="C6" s="67">
        <f>B6-B5</f>
        <v>0.29166666666424135</v>
      </c>
      <c r="D6" s="66" t="s">
        <v>4803</v>
      </c>
      <c r="E6" s="65">
        <f>C6/J5</f>
        <v>83.999999999301508</v>
      </c>
      <c r="K6" t="s">
        <v>4811</v>
      </c>
    </row>
    <row r="13" spans="1:11" x14ac:dyDescent="0.3">
      <c r="E13" t="s">
        <v>4801</v>
      </c>
      <c r="F13" t="s">
        <v>4802</v>
      </c>
    </row>
    <row r="14" spans="1:11" x14ac:dyDescent="0.3">
      <c r="E14" s="54">
        <v>0.14722222222222223</v>
      </c>
      <c r="F14">
        <v>3</v>
      </c>
    </row>
    <row r="15" spans="1:11" x14ac:dyDescent="0.3">
      <c r="E15" s="54">
        <f t="shared" ref="E15:E24" si="0">E14+H15</f>
        <v>0.15069444444444444</v>
      </c>
      <c r="F15">
        <v>4</v>
      </c>
      <c r="H15" s="55">
        <v>3.472222222222222E-3</v>
      </c>
    </row>
    <row r="16" spans="1:11" x14ac:dyDescent="0.3">
      <c r="E16" s="54">
        <f t="shared" si="0"/>
        <v>0.15416666666666665</v>
      </c>
      <c r="F16">
        <v>5</v>
      </c>
      <c r="H16" s="55">
        <v>3.472222222222222E-3</v>
      </c>
    </row>
    <row r="17" spans="5:8" x14ac:dyDescent="0.3">
      <c r="E17" s="54">
        <f t="shared" si="0"/>
        <v>0.15763888888888886</v>
      </c>
      <c r="F17">
        <v>23</v>
      </c>
      <c r="H17" s="55">
        <v>3.472222222222222E-3</v>
      </c>
    </row>
    <row r="18" spans="5:8" x14ac:dyDescent="0.3">
      <c r="E18" s="54">
        <f t="shared" si="0"/>
        <v>0.16111111111111107</v>
      </c>
      <c r="F18">
        <v>34</v>
      </c>
      <c r="H18" s="55">
        <v>3.472222222222222E-3</v>
      </c>
    </row>
    <row r="19" spans="5:8" x14ac:dyDescent="0.3">
      <c r="E19" s="54">
        <f t="shared" si="0"/>
        <v>0.16458333333333328</v>
      </c>
      <c r="F19">
        <v>66</v>
      </c>
      <c r="H19" s="55">
        <v>3.472222222222222E-3</v>
      </c>
    </row>
    <row r="20" spans="5:8" x14ac:dyDescent="0.3">
      <c r="E20" s="54">
        <f t="shared" si="0"/>
        <v>0.16805555555555549</v>
      </c>
      <c r="F20">
        <v>34</v>
      </c>
      <c r="H20" s="55">
        <v>3.472222222222222E-3</v>
      </c>
    </row>
    <row r="21" spans="5:8" x14ac:dyDescent="0.3">
      <c r="E21" s="54">
        <f t="shared" si="0"/>
        <v>0.1715277777777777</v>
      </c>
      <c r="F21">
        <v>4</v>
      </c>
      <c r="H21" s="55">
        <v>3.472222222222222E-3</v>
      </c>
    </row>
    <row r="22" spans="5:8" x14ac:dyDescent="0.3">
      <c r="E22" s="54">
        <f t="shared" si="0"/>
        <v>0.17499999999999991</v>
      </c>
      <c r="F22">
        <v>23</v>
      </c>
      <c r="H22" s="55">
        <v>3.472222222222222E-3</v>
      </c>
    </row>
    <row r="23" spans="5:8" x14ac:dyDescent="0.3">
      <c r="E23" s="54">
        <f t="shared" si="0"/>
        <v>0.17847222222222212</v>
      </c>
      <c r="F23">
        <v>12</v>
      </c>
      <c r="H23" s="55">
        <v>3.472222222222222E-3</v>
      </c>
    </row>
    <row r="24" spans="5:8" x14ac:dyDescent="0.3">
      <c r="E24" s="54">
        <f t="shared" si="0"/>
        <v>0.18194444444444433</v>
      </c>
      <c r="F24">
        <v>66</v>
      </c>
      <c r="H24" s="55">
        <v>3.472222222222222E-3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Portfolio</vt:lpstr>
      <vt:lpstr>nse</vt:lpstr>
      <vt:lpstr>Stocks</vt:lpstr>
      <vt:lpstr>Sheet1</vt:lpstr>
      <vt:lpstr>Export Data</vt:lpstr>
      <vt:lpstr>Basic data</vt:lpstr>
      <vt:lpstr>Rough Calculation</vt:lpstr>
      <vt:lpstr>TotalBuySellGraph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2018-08-03T09:28:24Z</dcterms:modified>
</cp:coreProperties>
</file>