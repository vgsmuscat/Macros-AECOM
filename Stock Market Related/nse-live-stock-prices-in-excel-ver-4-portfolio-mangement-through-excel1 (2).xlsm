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GS\Miscelleneous\LANOSREP\Macros\Stock Market Related\"/>
    </mc:Choice>
  </mc:AlternateContent>
  <bookViews>
    <workbookView xWindow="0" yWindow="0" windowWidth="23040" windowHeight="8832"/>
  </bookViews>
  <sheets>
    <sheet name="Portfolio" sheetId="2" r:id="rId1"/>
    <sheet name="nse" sheetId="4" state="hidden" r:id="rId2"/>
  </sheets>
  <functionGroups builtInGroupCount="18"/>
  <definedNames>
    <definedName name="_xlnm._FilterDatabase" localSheetId="0" hidden="1">Portfolio!$B$4:$T$1600</definedName>
  </definedNames>
  <calcPr calcId="152511"/>
</workbook>
</file>

<file path=xl/calcChain.xml><?xml version="1.0" encoding="utf-8"?>
<calcChain xmlns="http://schemas.openxmlformats.org/spreadsheetml/2006/main">
  <c r="C6" i="2" l="1"/>
  <c r="C7" i="2"/>
  <c r="C8" i="2"/>
  <c r="D4667" i="2"/>
  <c r="D4668" i="2"/>
  <c r="D4669" i="2"/>
  <c r="D4670" i="2"/>
  <c r="D4671" i="2"/>
  <c r="D4672" i="2"/>
  <c r="D4673" i="2"/>
  <c r="D4674" i="2"/>
  <c r="D4675" i="2"/>
  <c r="D4676" i="2"/>
  <c r="D4677" i="2"/>
  <c r="D4678" i="2"/>
  <c r="D4679" i="2"/>
  <c r="D4680" i="2"/>
  <c r="D4681" i="2"/>
  <c r="D4682" i="2"/>
  <c r="D4683" i="2"/>
  <c r="D4684" i="2"/>
  <c r="D4685" i="2"/>
  <c r="D4686" i="2"/>
  <c r="D4687" i="2"/>
  <c r="D4688" i="2"/>
  <c r="D4689" i="2"/>
  <c r="D4690" i="2"/>
  <c r="D4691" i="2"/>
  <c r="D4692" i="2"/>
  <c r="D4693" i="2"/>
  <c r="D4694" i="2"/>
  <c r="D4695" i="2"/>
  <c r="D4696" i="2"/>
  <c r="D4697" i="2"/>
  <c r="D4698" i="2"/>
  <c r="D4699" i="2"/>
  <c r="D4700" i="2"/>
  <c r="D4701" i="2"/>
  <c r="D4702" i="2"/>
  <c r="D4703" i="2"/>
  <c r="D4704" i="2"/>
  <c r="D4705" i="2"/>
  <c r="D4706" i="2"/>
  <c r="D4707" i="2"/>
  <c r="D4708" i="2"/>
  <c r="D4709" i="2"/>
  <c r="D4710" i="2"/>
  <c r="D4711" i="2"/>
  <c r="D4712" i="2"/>
  <c r="D4713" i="2"/>
  <c r="D4714" i="2"/>
  <c r="D4715" i="2"/>
  <c r="D4716" i="2"/>
  <c r="D4717" i="2"/>
  <c r="D4718" i="2"/>
  <c r="D4719" i="2"/>
  <c r="D4720" i="2"/>
  <c r="D4721" i="2"/>
  <c r="D4722" i="2"/>
  <c r="D4723" i="2"/>
  <c r="D4724" i="2"/>
  <c r="D4725" i="2"/>
  <c r="D4726" i="2"/>
  <c r="D4727" i="2"/>
  <c r="D4728" i="2"/>
  <c r="D4729" i="2"/>
  <c r="D4730" i="2"/>
  <c r="D4731" i="2"/>
  <c r="D4732" i="2"/>
  <c r="D4733" i="2"/>
  <c r="D4734" i="2"/>
  <c r="D4735" i="2"/>
  <c r="D4736" i="2"/>
  <c r="D4737" i="2"/>
  <c r="D4738" i="2"/>
  <c r="D4739" i="2"/>
  <c r="D4740" i="2"/>
  <c r="D4741" i="2"/>
  <c r="D4742" i="2"/>
  <c r="D4743" i="2"/>
  <c r="D4744" i="2"/>
  <c r="D4745" i="2"/>
  <c r="D4746" i="2"/>
  <c r="D4747" i="2"/>
  <c r="D4748" i="2"/>
  <c r="D4749" i="2"/>
  <c r="D4750" i="2"/>
  <c r="D4751" i="2"/>
  <c r="D4752" i="2"/>
  <c r="D4753" i="2"/>
  <c r="D4754" i="2"/>
  <c r="D4755" i="2"/>
  <c r="D4756" i="2"/>
  <c r="D4757" i="2"/>
  <c r="D4758" i="2"/>
  <c r="D4759" i="2"/>
  <c r="D4760" i="2"/>
  <c r="D4761" i="2"/>
  <c r="D4762" i="2"/>
  <c r="D4763" i="2"/>
  <c r="D4764" i="2"/>
  <c r="D4765" i="2"/>
  <c r="D4766" i="2"/>
  <c r="D4767" i="2"/>
  <c r="D4768" i="2"/>
  <c r="D4769" i="2"/>
  <c r="D4770" i="2"/>
  <c r="D4771" i="2"/>
  <c r="D4772" i="2"/>
  <c r="D4773" i="2"/>
  <c r="D4774" i="2"/>
  <c r="D4775" i="2"/>
  <c r="D4776" i="2"/>
  <c r="D4777" i="2"/>
  <c r="D4778" i="2"/>
  <c r="D4779" i="2"/>
  <c r="D4780" i="2"/>
  <c r="D4781" i="2"/>
  <c r="D4782" i="2"/>
  <c r="D4783" i="2"/>
  <c r="D4784" i="2"/>
  <c r="D4785" i="2"/>
  <c r="D4786" i="2"/>
  <c r="D4787" i="2"/>
  <c r="D4788" i="2"/>
  <c r="D4789" i="2"/>
  <c r="D4790" i="2"/>
  <c r="D4791" i="2"/>
  <c r="D4792" i="2"/>
  <c r="D4793" i="2"/>
  <c r="D4794" i="2"/>
  <c r="D4795" i="2"/>
  <c r="D4796" i="2"/>
  <c r="D4797" i="2"/>
  <c r="D4798" i="2"/>
  <c r="D4799" i="2"/>
  <c r="D4800" i="2"/>
  <c r="D4801" i="2"/>
  <c r="D4802" i="2"/>
  <c r="D4803" i="2"/>
  <c r="D4804" i="2"/>
  <c r="D4805" i="2"/>
  <c r="D4806" i="2"/>
  <c r="D4807" i="2"/>
  <c r="D4808" i="2"/>
  <c r="D4809" i="2"/>
  <c r="D4810" i="2"/>
  <c r="D4811" i="2"/>
  <c r="D4812" i="2"/>
  <c r="D4813" i="2"/>
  <c r="D4814" i="2"/>
  <c r="D4815" i="2"/>
  <c r="D4816" i="2"/>
  <c r="D4817" i="2"/>
  <c r="D4818" i="2"/>
  <c r="D4819" i="2"/>
  <c r="D4820" i="2"/>
  <c r="D4821" i="2"/>
  <c r="D4822" i="2"/>
  <c r="D4823" i="2"/>
  <c r="D4824" i="2"/>
  <c r="D4825" i="2"/>
  <c r="D4826" i="2"/>
  <c r="D4827" i="2"/>
  <c r="D4828" i="2"/>
  <c r="D4829" i="2"/>
  <c r="D4830" i="2"/>
  <c r="D4831" i="2"/>
  <c r="D4832" i="2"/>
  <c r="D4833" i="2"/>
  <c r="D4834" i="2"/>
  <c r="D4835" i="2"/>
  <c r="D4836" i="2"/>
  <c r="D4837" i="2"/>
  <c r="D4838" i="2"/>
  <c r="D4839" i="2"/>
  <c r="D4840" i="2"/>
  <c r="D4841" i="2"/>
  <c r="D4842" i="2"/>
  <c r="D4843" i="2"/>
  <c r="D4844" i="2"/>
  <c r="D4845" i="2"/>
  <c r="D4846" i="2"/>
  <c r="D4847" i="2"/>
  <c r="D4848" i="2"/>
  <c r="D4849" i="2"/>
  <c r="D4850" i="2"/>
  <c r="D4851" i="2"/>
  <c r="D4852" i="2"/>
  <c r="D4853" i="2"/>
  <c r="D4854" i="2"/>
  <c r="D4855" i="2"/>
  <c r="D4856" i="2"/>
  <c r="D4857" i="2"/>
  <c r="D4858" i="2"/>
  <c r="D4859" i="2"/>
  <c r="D4860" i="2"/>
  <c r="D4861" i="2"/>
  <c r="D4862" i="2"/>
  <c r="D4863" i="2"/>
  <c r="D4864" i="2"/>
  <c r="D4865" i="2"/>
  <c r="D4866" i="2"/>
  <c r="D4867" i="2"/>
  <c r="D4868" i="2"/>
  <c r="D4869" i="2"/>
  <c r="D4870" i="2"/>
  <c r="D4871" i="2"/>
  <c r="D4872" i="2"/>
  <c r="D4873" i="2"/>
  <c r="D4874" i="2"/>
  <c r="D4875" i="2"/>
  <c r="D4876" i="2"/>
  <c r="D4877" i="2"/>
  <c r="D4878" i="2"/>
  <c r="D4879" i="2"/>
  <c r="D4880" i="2"/>
  <c r="D4881" i="2"/>
  <c r="D4882" i="2"/>
  <c r="D4883" i="2"/>
  <c r="D4884" i="2"/>
  <c r="D4885" i="2"/>
  <c r="D4886" i="2"/>
  <c r="D4887" i="2"/>
  <c r="D4888" i="2"/>
  <c r="D4889" i="2"/>
  <c r="D4890" i="2"/>
  <c r="D4891" i="2"/>
  <c r="D4892" i="2"/>
  <c r="D4893" i="2"/>
  <c r="D4894" i="2"/>
  <c r="D4895" i="2"/>
  <c r="D4896" i="2"/>
  <c r="D4897" i="2"/>
  <c r="D4898" i="2"/>
  <c r="D4899" i="2"/>
  <c r="D4900" i="2"/>
  <c r="D4901" i="2"/>
  <c r="D4902" i="2"/>
  <c r="D4903" i="2"/>
  <c r="D4904" i="2"/>
  <c r="D4905" i="2"/>
  <c r="D4906" i="2"/>
  <c r="D4907" i="2"/>
  <c r="D4908" i="2"/>
  <c r="D4909" i="2"/>
  <c r="D4910" i="2"/>
  <c r="D4911" i="2"/>
  <c r="D4912" i="2"/>
  <c r="D4913" i="2"/>
  <c r="D4914" i="2"/>
  <c r="D4915" i="2"/>
  <c r="D4916" i="2"/>
  <c r="D4917" i="2"/>
  <c r="D4918" i="2"/>
  <c r="D4919" i="2"/>
  <c r="D4920" i="2"/>
  <c r="D4921" i="2"/>
  <c r="D4922" i="2"/>
  <c r="D4923" i="2"/>
  <c r="D4924" i="2"/>
  <c r="D4925" i="2"/>
  <c r="D4926" i="2"/>
  <c r="D4927" i="2"/>
  <c r="D4928" i="2"/>
  <c r="D4929" i="2"/>
  <c r="D4930" i="2"/>
  <c r="D4931" i="2"/>
  <c r="D4932" i="2"/>
  <c r="D4933" i="2"/>
  <c r="D4934" i="2"/>
  <c r="D4935" i="2"/>
  <c r="D4936" i="2"/>
  <c r="D4937" i="2"/>
  <c r="D4938" i="2"/>
  <c r="D4939" i="2"/>
  <c r="D4940" i="2"/>
  <c r="D4941" i="2"/>
  <c r="D4942" i="2"/>
  <c r="D4943" i="2"/>
  <c r="D4944" i="2"/>
  <c r="D4945" i="2"/>
  <c r="D4946" i="2"/>
  <c r="D4947" i="2"/>
  <c r="D4948" i="2"/>
  <c r="D4949" i="2"/>
  <c r="D4950" i="2"/>
  <c r="D4951" i="2"/>
  <c r="D4952" i="2"/>
  <c r="D4953" i="2"/>
  <c r="D4954" i="2"/>
  <c r="D4955" i="2"/>
  <c r="D4956" i="2"/>
  <c r="D4957" i="2"/>
  <c r="D4958" i="2"/>
  <c r="D4959" i="2"/>
  <c r="D4960" i="2"/>
  <c r="D4961" i="2"/>
  <c r="D4962" i="2"/>
  <c r="D4963" i="2"/>
  <c r="D4964" i="2"/>
  <c r="D4965" i="2"/>
  <c r="D4966" i="2"/>
  <c r="D4967" i="2"/>
  <c r="D4968" i="2"/>
  <c r="D4969" i="2"/>
  <c r="D4970" i="2"/>
  <c r="D4971" i="2"/>
  <c r="D4972" i="2"/>
  <c r="D4973" i="2"/>
  <c r="D4974" i="2"/>
  <c r="D4975" i="2"/>
  <c r="D4976" i="2"/>
  <c r="D4977" i="2"/>
  <c r="D4978" i="2"/>
  <c r="D4979" i="2"/>
  <c r="D4980" i="2"/>
  <c r="D4981" i="2"/>
  <c r="D4982" i="2"/>
  <c r="D4983" i="2"/>
  <c r="D4984" i="2"/>
  <c r="D4985" i="2"/>
  <c r="D4986" i="2"/>
  <c r="D4987" i="2"/>
  <c r="D4988" i="2"/>
  <c r="D4989" i="2"/>
  <c r="D4990" i="2"/>
  <c r="D4991" i="2"/>
  <c r="D4992" i="2"/>
  <c r="D4993" i="2"/>
  <c r="D4994" i="2"/>
  <c r="D4995" i="2"/>
  <c r="D4996" i="2"/>
  <c r="D4997" i="2"/>
  <c r="D4998" i="2"/>
  <c r="D4999" i="2"/>
  <c r="D5000" i="2"/>
  <c r="D5001" i="2"/>
  <c r="D5002" i="2"/>
  <c r="D5003" i="2"/>
  <c r="D5004" i="2"/>
  <c r="D5005" i="2"/>
  <c r="D5006" i="2"/>
  <c r="D5007" i="2"/>
  <c r="D5008" i="2"/>
  <c r="D5009" i="2"/>
  <c r="D5010" i="2"/>
  <c r="D5011" i="2"/>
  <c r="D5012" i="2"/>
  <c r="D5013" i="2"/>
  <c r="D5014" i="2"/>
  <c r="D5015" i="2"/>
  <c r="D5016" i="2"/>
  <c r="D5017" i="2"/>
  <c r="D5018" i="2"/>
  <c r="D5019" i="2"/>
  <c r="D5020" i="2"/>
  <c r="D5021" i="2"/>
  <c r="D5022" i="2"/>
  <c r="D5023" i="2"/>
  <c r="D5024" i="2"/>
  <c r="D5025" i="2"/>
  <c r="D5026" i="2"/>
  <c r="D5027" i="2"/>
  <c r="D5028" i="2"/>
  <c r="D5029" i="2"/>
  <c r="D5030" i="2"/>
  <c r="D5031" i="2"/>
  <c r="D5032" i="2"/>
  <c r="D5033" i="2"/>
  <c r="D5034" i="2"/>
  <c r="D5035" i="2"/>
  <c r="D5036" i="2"/>
  <c r="D5037" i="2"/>
  <c r="D5038" i="2"/>
  <c r="D5039" i="2"/>
  <c r="D5040" i="2"/>
  <c r="D5041" i="2"/>
  <c r="D5042" i="2"/>
  <c r="D5043" i="2"/>
  <c r="D5044" i="2"/>
  <c r="D5045" i="2"/>
  <c r="D5046" i="2"/>
  <c r="D5047" i="2"/>
  <c r="D5048" i="2"/>
  <c r="D5049" i="2"/>
  <c r="D5050" i="2"/>
  <c r="D5051" i="2"/>
  <c r="D5052" i="2"/>
  <c r="D5053" i="2"/>
  <c r="D5054" i="2"/>
  <c r="D5055" i="2"/>
  <c r="D5056" i="2"/>
  <c r="D5057" i="2"/>
  <c r="D5058" i="2"/>
  <c r="D5059" i="2"/>
  <c r="D5060" i="2"/>
  <c r="D5061" i="2"/>
  <c r="D5062" i="2"/>
  <c r="D5063" i="2"/>
  <c r="D5064" i="2"/>
  <c r="D5065" i="2"/>
  <c r="D5066" i="2"/>
  <c r="D5067" i="2"/>
  <c r="D5068" i="2"/>
  <c r="D5069" i="2"/>
  <c r="D5070" i="2"/>
  <c r="D5071" i="2"/>
  <c r="D5072" i="2"/>
  <c r="D5073" i="2"/>
  <c r="D5074" i="2"/>
  <c r="D5075" i="2"/>
  <c r="D5076" i="2"/>
  <c r="D5077" i="2"/>
  <c r="D5078" i="2"/>
  <c r="D5079" i="2"/>
  <c r="D5080" i="2"/>
  <c r="D5081" i="2"/>
  <c r="D5082" i="2"/>
  <c r="D5083" i="2"/>
  <c r="D5084" i="2"/>
  <c r="D5085" i="2"/>
  <c r="D5086" i="2"/>
  <c r="D5087" i="2"/>
  <c r="D5088" i="2"/>
  <c r="D5089" i="2"/>
  <c r="D5090" i="2"/>
  <c r="D5091" i="2"/>
  <c r="D5092" i="2"/>
  <c r="D5093" i="2"/>
  <c r="D5094" i="2"/>
  <c r="D5095" i="2"/>
  <c r="D5096" i="2"/>
  <c r="D5097" i="2"/>
  <c r="D5098" i="2"/>
  <c r="D5099" i="2"/>
  <c r="D5100" i="2"/>
  <c r="D5101" i="2"/>
  <c r="D5102" i="2"/>
  <c r="D5103" i="2"/>
  <c r="D5104" i="2"/>
  <c r="D5105" i="2"/>
  <c r="D5106" i="2"/>
  <c r="D5107" i="2"/>
  <c r="D5108" i="2"/>
  <c r="D5109" i="2"/>
  <c r="D5110" i="2"/>
  <c r="D5111" i="2"/>
  <c r="D5112" i="2"/>
  <c r="D5113" i="2"/>
  <c r="D5114" i="2"/>
  <c r="D5115" i="2"/>
  <c r="D5116" i="2"/>
  <c r="D5117" i="2"/>
  <c r="D5118" i="2"/>
  <c r="D5119" i="2"/>
  <c r="D5120" i="2"/>
  <c r="D5121" i="2"/>
  <c r="D5122" i="2"/>
  <c r="D5123" i="2"/>
  <c r="D5124" i="2"/>
  <c r="D5125" i="2"/>
  <c r="D5126" i="2"/>
  <c r="D5127" i="2"/>
  <c r="D5128" i="2"/>
  <c r="D5129" i="2"/>
  <c r="D5130" i="2"/>
  <c r="D5131" i="2"/>
  <c r="D5132" i="2"/>
  <c r="D5133" i="2"/>
  <c r="D5134" i="2"/>
  <c r="D5135" i="2"/>
  <c r="D5136" i="2"/>
  <c r="D5137" i="2"/>
  <c r="D5138" i="2"/>
  <c r="D5139" i="2"/>
  <c r="D5140" i="2"/>
  <c r="D5141" i="2"/>
  <c r="D5142" i="2"/>
  <c r="D5143" i="2"/>
  <c r="D5144" i="2"/>
  <c r="D5145" i="2"/>
  <c r="D5146" i="2"/>
  <c r="D5147" i="2"/>
  <c r="D5148" i="2"/>
  <c r="D5149" i="2"/>
  <c r="D5150" i="2"/>
  <c r="D5151" i="2"/>
  <c r="D5152" i="2"/>
  <c r="D5153" i="2"/>
  <c r="D5154" i="2"/>
  <c r="D5155" i="2"/>
  <c r="D5156" i="2"/>
  <c r="D5157" i="2"/>
  <c r="D5158" i="2"/>
  <c r="D5159" i="2"/>
  <c r="D5160" i="2"/>
  <c r="D5161" i="2"/>
  <c r="D5162" i="2"/>
  <c r="D5163" i="2"/>
  <c r="D5164" i="2"/>
  <c r="D5165" i="2"/>
  <c r="D5166" i="2"/>
  <c r="D5167" i="2"/>
  <c r="D5168" i="2"/>
  <c r="D5169" i="2"/>
  <c r="D5170" i="2"/>
  <c r="D5171" i="2"/>
  <c r="D5172" i="2"/>
  <c r="D5173" i="2"/>
  <c r="D5174" i="2"/>
  <c r="D5175" i="2"/>
  <c r="D5176" i="2"/>
  <c r="D5177" i="2"/>
  <c r="D5178" i="2"/>
  <c r="D5179" i="2"/>
  <c r="D5180" i="2"/>
  <c r="D5181" i="2"/>
  <c r="D5182" i="2"/>
  <c r="D5183" i="2"/>
  <c r="D5184" i="2"/>
  <c r="D5185" i="2"/>
  <c r="D5186" i="2"/>
  <c r="D5187" i="2"/>
  <c r="D5188" i="2"/>
  <c r="D5189" i="2"/>
  <c r="D5190" i="2"/>
  <c r="D5191" i="2"/>
  <c r="D5192" i="2"/>
  <c r="D5193" i="2"/>
  <c r="D5194" i="2"/>
  <c r="D5195" i="2"/>
  <c r="D5196" i="2"/>
  <c r="D5197" i="2"/>
  <c r="D5198" i="2"/>
  <c r="D5199" i="2"/>
  <c r="D5200" i="2"/>
  <c r="D5201" i="2"/>
  <c r="D5202" i="2"/>
  <c r="D5203" i="2"/>
  <c r="D5204" i="2"/>
  <c r="D5205" i="2"/>
  <c r="D5206" i="2"/>
  <c r="D5207" i="2"/>
  <c r="D5208" i="2"/>
  <c r="D5209" i="2"/>
  <c r="D5210" i="2"/>
  <c r="D5211" i="2"/>
  <c r="D5212" i="2"/>
  <c r="D5213" i="2"/>
  <c r="D5214" i="2"/>
  <c r="D5215" i="2"/>
  <c r="D5216" i="2"/>
  <c r="D5217" i="2"/>
  <c r="D5218" i="2"/>
  <c r="D5219" i="2"/>
  <c r="D5220" i="2"/>
  <c r="D5221" i="2"/>
  <c r="D5222" i="2"/>
  <c r="D5223" i="2"/>
  <c r="D5224" i="2"/>
  <c r="D5225" i="2"/>
  <c r="D5226" i="2"/>
  <c r="D5227" i="2"/>
  <c r="D5228" i="2"/>
  <c r="D5229" i="2"/>
  <c r="D5230" i="2"/>
  <c r="D5231" i="2"/>
  <c r="D5232" i="2"/>
  <c r="D5233" i="2"/>
  <c r="D5234" i="2"/>
  <c r="D5235" i="2"/>
  <c r="D5236" i="2"/>
  <c r="D5237" i="2"/>
  <c r="D5238" i="2"/>
  <c r="D5239" i="2"/>
  <c r="D5240" i="2"/>
  <c r="D5241" i="2"/>
  <c r="D5242" i="2"/>
  <c r="D5243" i="2"/>
  <c r="D5244" i="2"/>
  <c r="D5245" i="2"/>
  <c r="D5246" i="2"/>
  <c r="D5247" i="2"/>
  <c r="D5248" i="2"/>
  <c r="D5249" i="2"/>
  <c r="D5250" i="2"/>
  <c r="D5251" i="2"/>
  <c r="D5252" i="2"/>
  <c r="D5253" i="2"/>
  <c r="D5254" i="2"/>
  <c r="D5255" i="2"/>
  <c r="D5256" i="2"/>
  <c r="D5257" i="2"/>
  <c r="D5258" i="2"/>
  <c r="D5259" i="2"/>
  <c r="D5260" i="2"/>
  <c r="D5261" i="2"/>
  <c r="D5262" i="2"/>
  <c r="D5263" i="2"/>
  <c r="D5264" i="2"/>
  <c r="D5265" i="2"/>
  <c r="D5266" i="2"/>
  <c r="D5267" i="2"/>
  <c r="D5268" i="2"/>
  <c r="D5269" i="2"/>
  <c r="D5270" i="2"/>
  <c r="D5271" i="2"/>
  <c r="D5272" i="2"/>
  <c r="D5273" i="2"/>
  <c r="D5274" i="2"/>
  <c r="D5275" i="2"/>
  <c r="D5276" i="2"/>
  <c r="D5277" i="2"/>
  <c r="D5278" i="2"/>
  <c r="D5279" i="2"/>
  <c r="D5280" i="2"/>
  <c r="D5281" i="2"/>
  <c r="D5282" i="2"/>
  <c r="D5283" i="2"/>
  <c r="D5284" i="2"/>
  <c r="D5285" i="2"/>
  <c r="D5286" i="2"/>
  <c r="D5287" i="2"/>
  <c r="D5288" i="2"/>
  <c r="D5289" i="2"/>
  <c r="D5290" i="2"/>
  <c r="D5291" i="2"/>
  <c r="D5292" i="2"/>
  <c r="D5293" i="2"/>
  <c r="D5294" i="2"/>
  <c r="D5295" i="2"/>
  <c r="D5296" i="2"/>
  <c r="D5297" i="2"/>
  <c r="D5298" i="2"/>
  <c r="D5299" i="2"/>
  <c r="D5300" i="2"/>
  <c r="D5301" i="2"/>
  <c r="D5302" i="2"/>
  <c r="D5303" i="2"/>
  <c r="D5304" i="2"/>
  <c r="D5305" i="2"/>
  <c r="D5306" i="2"/>
  <c r="D5307" i="2"/>
  <c r="D5308" i="2"/>
  <c r="D5309" i="2"/>
  <c r="D5310" i="2"/>
  <c r="D5311" i="2"/>
  <c r="D5312" i="2"/>
  <c r="D5313" i="2"/>
  <c r="D5314" i="2"/>
  <c r="D5315" i="2"/>
  <c r="D5316" i="2"/>
  <c r="D5317" i="2"/>
  <c r="D5318" i="2"/>
  <c r="D5319" i="2"/>
  <c r="D5320" i="2"/>
  <c r="D5321" i="2"/>
  <c r="D5322" i="2"/>
  <c r="D5323" i="2"/>
  <c r="D5324" i="2"/>
  <c r="D5325" i="2"/>
  <c r="D5326" i="2"/>
  <c r="D5327" i="2"/>
  <c r="D5328" i="2"/>
  <c r="D5329" i="2"/>
  <c r="D5330" i="2"/>
  <c r="D5331" i="2"/>
  <c r="D5332" i="2"/>
  <c r="D5333" i="2"/>
  <c r="D5334" i="2"/>
  <c r="D5335" i="2"/>
  <c r="D5336" i="2"/>
  <c r="D5337" i="2"/>
  <c r="D5338" i="2"/>
  <c r="D5339" i="2"/>
  <c r="D5340" i="2"/>
  <c r="D5341" i="2"/>
  <c r="D5342" i="2"/>
  <c r="D5343" i="2"/>
  <c r="D5344" i="2"/>
  <c r="D5345" i="2"/>
  <c r="D5346" i="2"/>
  <c r="D5347" i="2"/>
  <c r="D5348" i="2"/>
  <c r="D5349" i="2"/>
  <c r="D5350" i="2"/>
  <c r="D5351" i="2"/>
  <c r="D5352" i="2"/>
  <c r="D5353" i="2"/>
  <c r="D5354" i="2"/>
  <c r="D5355" i="2"/>
  <c r="D5356" i="2"/>
  <c r="D5357" i="2"/>
  <c r="D5358" i="2"/>
  <c r="D5359" i="2"/>
  <c r="D5360" i="2"/>
  <c r="D5361" i="2"/>
  <c r="D5362" i="2"/>
  <c r="D5363" i="2"/>
  <c r="D5364" i="2"/>
  <c r="D5365" i="2"/>
  <c r="D5366" i="2"/>
  <c r="D5367" i="2"/>
  <c r="D5368" i="2"/>
  <c r="D5369" i="2"/>
  <c r="D5370" i="2"/>
  <c r="D5371" i="2"/>
  <c r="D5372" i="2"/>
  <c r="D5373" i="2"/>
  <c r="D5374" i="2"/>
  <c r="D5375" i="2"/>
  <c r="D5376" i="2"/>
  <c r="D5377" i="2"/>
  <c r="D5378" i="2"/>
  <c r="D5379" i="2"/>
  <c r="D5380" i="2"/>
  <c r="D5381" i="2"/>
  <c r="D5382" i="2"/>
  <c r="D5383" i="2"/>
  <c r="D5384" i="2"/>
  <c r="D5385" i="2"/>
  <c r="D5386" i="2"/>
  <c r="D5387" i="2"/>
  <c r="D5388" i="2"/>
  <c r="D5389" i="2"/>
  <c r="D5390" i="2"/>
  <c r="D5391" i="2"/>
  <c r="D5392" i="2"/>
  <c r="D5393" i="2"/>
  <c r="D5394" i="2"/>
  <c r="D5395" i="2"/>
  <c r="D5396" i="2"/>
  <c r="D5397" i="2"/>
  <c r="D5398" i="2"/>
  <c r="D5399" i="2"/>
  <c r="D5400" i="2"/>
  <c r="D5401" i="2"/>
  <c r="D5402" i="2"/>
  <c r="D5403" i="2"/>
  <c r="D5404" i="2"/>
  <c r="D5405" i="2"/>
  <c r="D5406" i="2"/>
  <c r="D5407" i="2"/>
  <c r="D5408" i="2"/>
  <c r="D5409" i="2"/>
  <c r="D5410" i="2"/>
  <c r="D5411" i="2"/>
  <c r="D5412" i="2"/>
  <c r="D5413" i="2"/>
  <c r="D5414" i="2"/>
  <c r="D5415" i="2"/>
  <c r="D5416" i="2"/>
  <c r="D5417" i="2"/>
  <c r="D5418" i="2"/>
  <c r="D5419" i="2"/>
  <c r="D5420" i="2"/>
  <c r="D5421" i="2"/>
  <c r="D5422" i="2"/>
  <c r="D5423" i="2"/>
  <c r="D5424" i="2"/>
  <c r="D5425" i="2"/>
  <c r="D5426" i="2"/>
  <c r="D5427" i="2"/>
  <c r="D5428" i="2"/>
  <c r="D5429" i="2"/>
  <c r="D5430" i="2"/>
  <c r="D5431" i="2"/>
  <c r="D5432" i="2"/>
  <c r="D5433" i="2"/>
  <c r="D5434" i="2"/>
  <c r="D5435" i="2"/>
  <c r="D5436" i="2"/>
  <c r="D5437" i="2"/>
  <c r="D5438" i="2"/>
  <c r="D5439" i="2"/>
  <c r="D5440" i="2"/>
  <c r="D5441" i="2"/>
  <c r="D5442" i="2"/>
  <c r="D5443" i="2"/>
  <c r="D5444" i="2"/>
  <c r="D5445" i="2"/>
  <c r="D5446" i="2"/>
  <c r="D5447" i="2"/>
  <c r="D5448" i="2"/>
  <c r="D5449" i="2"/>
  <c r="D5450" i="2"/>
  <c r="D5451" i="2"/>
  <c r="D5452" i="2"/>
  <c r="D5453" i="2"/>
  <c r="D5454" i="2"/>
  <c r="D5455" i="2"/>
  <c r="D5456" i="2"/>
  <c r="D5457" i="2"/>
  <c r="D5458" i="2"/>
  <c r="D5459" i="2"/>
  <c r="D5460" i="2"/>
  <c r="D5461" i="2"/>
  <c r="D5462" i="2"/>
  <c r="D5463" i="2"/>
  <c r="D5464" i="2"/>
  <c r="D5465" i="2"/>
  <c r="D5466" i="2"/>
  <c r="D5467" i="2"/>
  <c r="D5468" i="2"/>
  <c r="D5469" i="2"/>
  <c r="D5470" i="2"/>
  <c r="D5471" i="2"/>
  <c r="D5472" i="2"/>
  <c r="D5473" i="2"/>
  <c r="D5474" i="2"/>
  <c r="D5475" i="2"/>
  <c r="D5476" i="2"/>
  <c r="D5477" i="2"/>
  <c r="D5478" i="2"/>
  <c r="D5479" i="2"/>
  <c r="D5480" i="2"/>
  <c r="D5481" i="2"/>
  <c r="D5482" i="2"/>
  <c r="D5483" i="2"/>
  <c r="D5484" i="2"/>
  <c r="D5485" i="2"/>
  <c r="D5486" i="2"/>
  <c r="D5487" i="2"/>
  <c r="D5488" i="2"/>
  <c r="D5489" i="2"/>
  <c r="D5490" i="2"/>
  <c r="D5491" i="2"/>
  <c r="D5492" i="2"/>
  <c r="D5493" i="2"/>
  <c r="D5494" i="2"/>
  <c r="D5495" i="2"/>
  <c r="D5496" i="2"/>
  <c r="D5497" i="2"/>
  <c r="D5498" i="2"/>
  <c r="D5499" i="2"/>
  <c r="D5500" i="2"/>
  <c r="D5501" i="2"/>
  <c r="D5502" i="2"/>
  <c r="D5503" i="2"/>
  <c r="D5504" i="2"/>
  <c r="D5505" i="2"/>
  <c r="D5506" i="2"/>
  <c r="D5507" i="2"/>
  <c r="D5508" i="2"/>
  <c r="D5509" i="2"/>
  <c r="D5510" i="2"/>
  <c r="D5511" i="2"/>
  <c r="D5512" i="2"/>
  <c r="D5513" i="2"/>
  <c r="D5514" i="2"/>
  <c r="D5515" i="2"/>
  <c r="D5516" i="2"/>
  <c r="D5517" i="2"/>
  <c r="D5518" i="2"/>
  <c r="D5519" i="2"/>
  <c r="D5520" i="2"/>
  <c r="D5521" i="2"/>
  <c r="D5522" i="2"/>
  <c r="D5523" i="2"/>
  <c r="D5524" i="2"/>
  <c r="D5525" i="2"/>
  <c r="D5526" i="2"/>
  <c r="D5527" i="2"/>
  <c r="D5528" i="2"/>
  <c r="D5529" i="2"/>
  <c r="D5530" i="2"/>
  <c r="D5531" i="2"/>
  <c r="D5532" i="2"/>
  <c r="D5533" i="2"/>
  <c r="D5534" i="2"/>
  <c r="D5535" i="2"/>
  <c r="D5536" i="2"/>
  <c r="D5537" i="2"/>
  <c r="D5538" i="2"/>
  <c r="D5539" i="2"/>
  <c r="D5540" i="2"/>
  <c r="D5541" i="2"/>
  <c r="D5542" i="2"/>
  <c r="D5543" i="2"/>
  <c r="D5544" i="2"/>
  <c r="D5545" i="2"/>
  <c r="D5546" i="2"/>
  <c r="D5547" i="2"/>
  <c r="D5548" i="2"/>
  <c r="D5549" i="2"/>
  <c r="D5550" i="2"/>
  <c r="D5551" i="2"/>
  <c r="D5552" i="2"/>
  <c r="D5553" i="2"/>
  <c r="D5554" i="2"/>
  <c r="D5555" i="2"/>
  <c r="D5556" i="2"/>
  <c r="D5557" i="2"/>
  <c r="D5558" i="2"/>
  <c r="D5559" i="2"/>
  <c r="D5560" i="2"/>
  <c r="D5561" i="2"/>
  <c r="D5562" i="2"/>
  <c r="D5563" i="2"/>
  <c r="D5564" i="2"/>
  <c r="D5565" i="2"/>
  <c r="D5566" i="2"/>
  <c r="D5567" i="2"/>
  <c r="D5568" i="2"/>
  <c r="D5569" i="2"/>
  <c r="D5570" i="2"/>
  <c r="D5571" i="2"/>
  <c r="D5572" i="2"/>
  <c r="D5573" i="2"/>
  <c r="D5574" i="2"/>
  <c r="D5575" i="2"/>
  <c r="D5576" i="2"/>
  <c r="D5577" i="2"/>
  <c r="D5578" i="2"/>
  <c r="D5579" i="2"/>
  <c r="D5580" i="2"/>
  <c r="D5581" i="2"/>
  <c r="D5582" i="2"/>
  <c r="D5583" i="2"/>
  <c r="D5584" i="2"/>
  <c r="D5585" i="2"/>
  <c r="D5586" i="2"/>
  <c r="D5587" i="2"/>
  <c r="D5588" i="2"/>
  <c r="D5589" i="2"/>
  <c r="D5590" i="2"/>
  <c r="D5591" i="2"/>
  <c r="D5592" i="2"/>
  <c r="D5593" i="2"/>
  <c r="D5594" i="2"/>
  <c r="D5595" i="2"/>
  <c r="D5596" i="2"/>
  <c r="D5597" i="2"/>
  <c r="D5598" i="2"/>
  <c r="D5599" i="2"/>
  <c r="D5600" i="2"/>
  <c r="D5601" i="2"/>
  <c r="D5602" i="2"/>
  <c r="D5603" i="2"/>
  <c r="D5604" i="2"/>
  <c r="D5605" i="2"/>
  <c r="D5606" i="2"/>
  <c r="D5607" i="2"/>
  <c r="D5608" i="2"/>
  <c r="D5609" i="2"/>
  <c r="D5610" i="2"/>
  <c r="D5611" i="2"/>
  <c r="D5612" i="2"/>
  <c r="D5613" i="2"/>
  <c r="D5614" i="2"/>
  <c r="D5615" i="2"/>
  <c r="D5616" i="2"/>
  <c r="D5617" i="2"/>
  <c r="D5618" i="2"/>
  <c r="D5619" i="2"/>
  <c r="D5620" i="2"/>
  <c r="D5621" i="2"/>
  <c r="D5622" i="2"/>
  <c r="D5623" i="2"/>
  <c r="D5624" i="2"/>
  <c r="D5625" i="2"/>
  <c r="D5626" i="2"/>
  <c r="D5627" i="2"/>
  <c r="D5628" i="2"/>
  <c r="D5629" i="2"/>
  <c r="D5630" i="2"/>
  <c r="D5631" i="2"/>
  <c r="D5632" i="2"/>
  <c r="D5633" i="2"/>
  <c r="D5634" i="2"/>
  <c r="D5635" i="2"/>
  <c r="D5636" i="2"/>
  <c r="D5637" i="2"/>
  <c r="D5638" i="2"/>
  <c r="D5639" i="2"/>
  <c r="D5640" i="2"/>
  <c r="D5641" i="2"/>
  <c r="D5642" i="2"/>
  <c r="D5643" i="2"/>
  <c r="D5644" i="2"/>
  <c r="D5645" i="2"/>
  <c r="D5646" i="2"/>
  <c r="D5647" i="2"/>
  <c r="D5648" i="2"/>
  <c r="D5649" i="2"/>
  <c r="D5650" i="2"/>
  <c r="D5651" i="2"/>
  <c r="D5652" i="2"/>
  <c r="D5653" i="2"/>
  <c r="D5654" i="2"/>
  <c r="D5655" i="2"/>
  <c r="D5656" i="2"/>
  <c r="D5657" i="2"/>
  <c r="D5658" i="2"/>
  <c r="D5659" i="2"/>
  <c r="D5660" i="2"/>
  <c r="D5661" i="2"/>
  <c r="D5662" i="2"/>
  <c r="D5663" i="2"/>
  <c r="D5664" i="2"/>
  <c r="D5665" i="2"/>
  <c r="D5666" i="2"/>
  <c r="D5667" i="2"/>
  <c r="D5668" i="2"/>
  <c r="D5669" i="2"/>
  <c r="D5670" i="2"/>
  <c r="D5671" i="2"/>
  <c r="D5672" i="2"/>
  <c r="D5673" i="2"/>
  <c r="D5674" i="2"/>
  <c r="D5675" i="2"/>
  <c r="D5676" i="2"/>
  <c r="D5677" i="2"/>
  <c r="D5678" i="2"/>
  <c r="D5679" i="2"/>
  <c r="D5680" i="2"/>
  <c r="D5681" i="2"/>
  <c r="D5682" i="2"/>
  <c r="D5683" i="2"/>
  <c r="D5684" i="2"/>
  <c r="D5685" i="2"/>
  <c r="D5686" i="2"/>
  <c r="D5687" i="2"/>
  <c r="D5688" i="2"/>
  <c r="D5689" i="2"/>
  <c r="D5690" i="2"/>
  <c r="D5691" i="2"/>
  <c r="D5692" i="2"/>
  <c r="D5693" i="2"/>
  <c r="D5694" i="2"/>
  <c r="D5695" i="2"/>
  <c r="D5696" i="2"/>
  <c r="D5697" i="2"/>
  <c r="D5698" i="2"/>
  <c r="D5699" i="2"/>
  <c r="D5700" i="2"/>
  <c r="D5701" i="2"/>
  <c r="D5702" i="2"/>
  <c r="D5703" i="2"/>
  <c r="D5704" i="2"/>
  <c r="D5705" i="2"/>
  <c r="D5706" i="2"/>
  <c r="D5707" i="2"/>
  <c r="D5708" i="2"/>
  <c r="D5709" i="2"/>
  <c r="D5710" i="2"/>
  <c r="D5711" i="2"/>
  <c r="D5712" i="2"/>
  <c r="D5713" i="2"/>
  <c r="D5714" i="2"/>
  <c r="D5715" i="2"/>
  <c r="D5716" i="2"/>
  <c r="D5717" i="2"/>
  <c r="D5718" i="2"/>
  <c r="D5719" i="2"/>
  <c r="D5720" i="2"/>
  <c r="D5721" i="2"/>
  <c r="D5722" i="2"/>
  <c r="D5723" i="2"/>
  <c r="D5724" i="2"/>
  <c r="D5725" i="2"/>
  <c r="D5726" i="2"/>
  <c r="D5727" i="2"/>
  <c r="D5728" i="2"/>
  <c r="D5729" i="2"/>
  <c r="D5730" i="2"/>
  <c r="D5731" i="2"/>
  <c r="D5732" i="2"/>
  <c r="D5733" i="2"/>
  <c r="D5734" i="2"/>
  <c r="D5735" i="2"/>
  <c r="D5736" i="2"/>
  <c r="D5737" i="2"/>
  <c r="D5738" i="2"/>
  <c r="D5739" i="2"/>
  <c r="D5740" i="2"/>
  <c r="D5741" i="2"/>
  <c r="D5742" i="2"/>
  <c r="D5743" i="2"/>
  <c r="D5744" i="2"/>
  <c r="D5745" i="2"/>
  <c r="D5746" i="2"/>
  <c r="D5747" i="2"/>
  <c r="D5748" i="2"/>
  <c r="D5749" i="2"/>
  <c r="D5750" i="2"/>
  <c r="D5751" i="2"/>
  <c r="D5752" i="2"/>
  <c r="D5753" i="2"/>
  <c r="D5754" i="2"/>
  <c r="D5755" i="2"/>
  <c r="D5756" i="2"/>
  <c r="D5757" i="2"/>
  <c r="D5758" i="2"/>
  <c r="D5759" i="2"/>
  <c r="D5760" i="2"/>
  <c r="D5761" i="2"/>
  <c r="D5762" i="2"/>
  <c r="D5763" i="2"/>
  <c r="D5764" i="2"/>
  <c r="D5765" i="2"/>
  <c r="D5766" i="2"/>
  <c r="D5767" i="2"/>
  <c r="D5768" i="2"/>
  <c r="D5769" i="2"/>
  <c r="D5770" i="2"/>
  <c r="D5771" i="2"/>
  <c r="D5772" i="2"/>
  <c r="D5773" i="2"/>
  <c r="D5774" i="2"/>
  <c r="D5775" i="2"/>
  <c r="D5776" i="2"/>
  <c r="D5777" i="2"/>
  <c r="D5778" i="2"/>
  <c r="D5779" i="2"/>
  <c r="D5780" i="2"/>
  <c r="D5781" i="2"/>
  <c r="D5782" i="2"/>
  <c r="D5783" i="2"/>
  <c r="D5784" i="2"/>
  <c r="D5785" i="2"/>
  <c r="D5786" i="2"/>
  <c r="D5787" i="2"/>
  <c r="D5788" i="2"/>
  <c r="D5789" i="2"/>
  <c r="D5790" i="2"/>
  <c r="D5791" i="2"/>
  <c r="D5792" i="2"/>
  <c r="D5793" i="2"/>
  <c r="D5794" i="2"/>
  <c r="D5795" i="2"/>
  <c r="D5796" i="2"/>
  <c r="D5797" i="2"/>
  <c r="D5798" i="2"/>
  <c r="D5799" i="2"/>
  <c r="D5800" i="2"/>
  <c r="D5801" i="2"/>
  <c r="D5802" i="2"/>
  <c r="D5803" i="2"/>
  <c r="D5804" i="2"/>
  <c r="D5805" i="2"/>
  <c r="D5806" i="2"/>
  <c r="D5807" i="2"/>
  <c r="D5808" i="2"/>
  <c r="D5809" i="2"/>
  <c r="D5810" i="2"/>
  <c r="D5811" i="2"/>
  <c r="D5812" i="2"/>
  <c r="D5813" i="2"/>
  <c r="D5814" i="2"/>
  <c r="D5815" i="2"/>
  <c r="D5816" i="2"/>
  <c r="D5817" i="2"/>
  <c r="D5818" i="2"/>
  <c r="D5819" i="2"/>
  <c r="D5820" i="2"/>
  <c r="D5821" i="2"/>
  <c r="D5822" i="2"/>
  <c r="D5823" i="2"/>
  <c r="D5824" i="2"/>
  <c r="D5825" i="2"/>
  <c r="D5826" i="2"/>
  <c r="D5827" i="2"/>
  <c r="D5828" i="2"/>
  <c r="D5829" i="2"/>
  <c r="D5830" i="2"/>
  <c r="D5831" i="2"/>
  <c r="D5832" i="2"/>
  <c r="D5833" i="2"/>
  <c r="D5834" i="2"/>
  <c r="D5835" i="2"/>
  <c r="D5836" i="2"/>
  <c r="D5837" i="2"/>
  <c r="D5838" i="2"/>
  <c r="D5839" i="2"/>
  <c r="D5840" i="2"/>
  <c r="D5841" i="2"/>
  <c r="D5842" i="2"/>
  <c r="D5843" i="2"/>
  <c r="D5844" i="2"/>
  <c r="D5845" i="2"/>
  <c r="D5846" i="2"/>
  <c r="D5847" i="2"/>
  <c r="D5848" i="2"/>
  <c r="D5849" i="2"/>
  <c r="D5850" i="2"/>
  <c r="D5851" i="2"/>
  <c r="D5852" i="2"/>
  <c r="D5853" i="2"/>
  <c r="D5854" i="2"/>
  <c r="D5855" i="2"/>
  <c r="D5856" i="2"/>
  <c r="D5857" i="2"/>
  <c r="D5858" i="2"/>
  <c r="D5859" i="2"/>
  <c r="D5860" i="2"/>
  <c r="D5861" i="2"/>
  <c r="D5862" i="2"/>
  <c r="D5863" i="2"/>
  <c r="D5864" i="2"/>
  <c r="D5865" i="2"/>
  <c r="D5866" i="2"/>
  <c r="D5867" i="2"/>
  <c r="D5868" i="2"/>
  <c r="D5869" i="2"/>
  <c r="D5870" i="2"/>
  <c r="D5871" i="2"/>
  <c r="D5872" i="2"/>
  <c r="D5873" i="2"/>
  <c r="D5874" i="2"/>
  <c r="D5875" i="2"/>
  <c r="D5876" i="2"/>
  <c r="D5877" i="2"/>
  <c r="D5878" i="2"/>
  <c r="D5879" i="2"/>
  <c r="D5880" i="2"/>
  <c r="D5881" i="2"/>
  <c r="D5882" i="2"/>
  <c r="D5883" i="2"/>
  <c r="D5884" i="2"/>
  <c r="D5885" i="2"/>
  <c r="D5886" i="2"/>
  <c r="D5887" i="2"/>
  <c r="D5888" i="2"/>
  <c r="D5889" i="2"/>
  <c r="D5890" i="2"/>
  <c r="D5891" i="2"/>
  <c r="D5892" i="2"/>
  <c r="D5893" i="2"/>
  <c r="D5894" i="2"/>
  <c r="D5895" i="2"/>
  <c r="D5896" i="2"/>
  <c r="D5897" i="2"/>
  <c r="D5898" i="2"/>
  <c r="D5899" i="2"/>
  <c r="D5900" i="2"/>
  <c r="D5901" i="2"/>
  <c r="D5902" i="2"/>
  <c r="D5903" i="2"/>
  <c r="D5904" i="2"/>
  <c r="D5905" i="2"/>
  <c r="D5906" i="2"/>
  <c r="D5907" i="2"/>
  <c r="D5908" i="2"/>
  <c r="D5909" i="2"/>
  <c r="D5910" i="2"/>
  <c r="D5911" i="2"/>
  <c r="D5912" i="2"/>
  <c r="D5913" i="2"/>
  <c r="D5914" i="2"/>
  <c r="D5915" i="2"/>
  <c r="D5916" i="2"/>
  <c r="D5917" i="2"/>
  <c r="D5918" i="2"/>
  <c r="D5919" i="2"/>
  <c r="D5920" i="2"/>
  <c r="D5921" i="2"/>
  <c r="D5922" i="2"/>
  <c r="D5923" i="2"/>
  <c r="D5924" i="2"/>
  <c r="D5925" i="2"/>
  <c r="D5926" i="2"/>
  <c r="D5927" i="2"/>
  <c r="D5928" i="2"/>
  <c r="D5929" i="2"/>
  <c r="D5930" i="2"/>
  <c r="D5931" i="2"/>
  <c r="D5932" i="2"/>
  <c r="D5933" i="2"/>
  <c r="D5934" i="2"/>
  <c r="D5935" i="2"/>
  <c r="D5936" i="2"/>
  <c r="D5937" i="2"/>
  <c r="D5938" i="2"/>
  <c r="D5939" i="2"/>
  <c r="D5940" i="2"/>
  <c r="D5941" i="2"/>
  <c r="D5942" i="2"/>
  <c r="D5943" i="2"/>
  <c r="D5944" i="2"/>
  <c r="D5945" i="2"/>
  <c r="D5946" i="2"/>
  <c r="D5947" i="2"/>
  <c r="D5948" i="2"/>
  <c r="D5949" i="2"/>
  <c r="D5950" i="2"/>
  <c r="D5951" i="2"/>
  <c r="D5952" i="2"/>
  <c r="D5953" i="2"/>
  <c r="D5954" i="2"/>
  <c r="D5955" i="2"/>
  <c r="D5956" i="2"/>
  <c r="D5957" i="2"/>
  <c r="D5958" i="2"/>
  <c r="D5959" i="2"/>
  <c r="D5960" i="2"/>
  <c r="D5961" i="2"/>
  <c r="D5962" i="2"/>
  <c r="D5963" i="2"/>
  <c r="D5964" i="2"/>
  <c r="D5965" i="2"/>
  <c r="D5966" i="2"/>
  <c r="D5967" i="2"/>
  <c r="D5968" i="2"/>
  <c r="D5969" i="2"/>
  <c r="D5970" i="2"/>
  <c r="D5971" i="2"/>
  <c r="D5972" i="2"/>
  <c r="D5973" i="2"/>
  <c r="D5974" i="2"/>
  <c r="D5975" i="2"/>
  <c r="D5976" i="2"/>
  <c r="D5977" i="2"/>
  <c r="D5978" i="2"/>
  <c r="D5979" i="2"/>
  <c r="D5980" i="2"/>
  <c r="D5981" i="2"/>
  <c r="D5982" i="2"/>
  <c r="D5983" i="2"/>
  <c r="D5984" i="2"/>
  <c r="D5985" i="2"/>
  <c r="D5986" i="2"/>
  <c r="D5987" i="2"/>
  <c r="D5988" i="2"/>
  <c r="D5989" i="2"/>
  <c r="D5990" i="2"/>
  <c r="D5991" i="2"/>
  <c r="D5992" i="2"/>
  <c r="D5993" i="2"/>
  <c r="D5994" i="2"/>
  <c r="D5995" i="2"/>
  <c r="D5996" i="2"/>
  <c r="D5997" i="2"/>
  <c r="D5998" i="2"/>
  <c r="D5999" i="2"/>
  <c r="D6000" i="2"/>
  <c r="D6001" i="2"/>
  <c r="D6002" i="2"/>
  <c r="D6003" i="2"/>
  <c r="D6004" i="2"/>
  <c r="D6005" i="2"/>
  <c r="D6006" i="2"/>
  <c r="D6007" i="2"/>
  <c r="D6008" i="2"/>
  <c r="D6009" i="2"/>
  <c r="D6010" i="2"/>
  <c r="D6011" i="2"/>
  <c r="D6012" i="2"/>
  <c r="D6013" i="2"/>
  <c r="D6014" i="2"/>
  <c r="D6015" i="2"/>
  <c r="D6016" i="2"/>
  <c r="D6017" i="2"/>
  <c r="D6018" i="2"/>
  <c r="D6019" i="2"/>
  <c r="D6020" i="2"/>
  <c r="D6021" i="2"/>
  <c r="D6022" i="2"/>
  <c r="D6023" i="2"/>
  <c r="D6024" i="2"/>
  <c r="D6025" i="2"/>
  <c r="D6026" i="2"/>
  <c r="D6027" i="2"/>
  <c r="D6028" i="2"/>
  <c r="D6029" i="2"/>
  <c r="D6030" i="2"/>
  <c r="D6031" i="2"/>
  <c r="D6032" i="2"/>
  <c r="D6033" i="2"/>
  <c r="D6034" i="2"/>
  <c r="D6035" i="2"/>
  <c r="D6036" i="2"/>
  <c r="D6037" i="2"/>
  <c r="D6038" i="2"/>
  <c r="D6039" i="2"/>
  <c r="D6040" i="2"/>
  <c r="D6041" i="2"/>
  <c r="D6042" i="2"/>
  <c r="D6043" i="2"/>
  <c r="D6044" i="2"/>
  <c r="D6045" i="2"/>
  <c r="D6046" i="2"/>
  <c r="D6047" i="2"/>
  <c r="D6048" i="2"/>
  <c r="D6049" i="2"/>
  <c r="D6050" i="2"/>
  <c r="D6051" i="2"/>
  <c r="D6052" i="2"/>
  <c r="D6053" i="2"/>
  <c r="D6054" i="2"/>
  <c r="D6055" i="2"/>
  <c r="D6056" i="2"/>
  <c r="D6057" i="2"/>
  <c r="D6058" i="2"/>
  <c r="D6059" i="2"/>
  <c r="D6060" i="2"/>
  <c r="D6061" i="2"/>
  <c r="D6062" i="2"/>
  <c r="D6063" i="2"/>
  <c r="D6064" i="2"/>
  <c r="D6065" i="2"/>
  <c r="D6066" i="2"/>
  <c r="D6067" i="2"/>
  <c r="D6068" i="2"/>
  <c r="D6069" i="2"/>
  <c r="D6070" i="2"/>
  <c r="D6071" i="2"/>
  <c r="D6072" i="2"/>
  <c r="D6073" i="2"/>
  <c r="D6074" i="2"/>
  <c r="D6075" i="2"/>
  <c r="D6076" i="2"/>
  <c r="D6077" i="2"/>
  <c r="D6078" i="2"/>
  <c r="D6079" i="2"/>
  <c r="D6080" i="2"/>
  <c r="D6081" i="2"/>
  <c r="D6082" i="2"/>
  <c r="D6083" i="2"/>
  <c r="D6084" i="2"/>
  <c r="D6085" i="2"/>
  <c r="D6086" i="2"/>
  <c r="D6087" i="2"/>
  <c r="D6088" i="2"/>
  <c r="D6089" i="2"/>
  <c r="D6090" i="2"/>
  <c r="D6091" i="2"/>
  <c r="D6092" i="2"/>
  <c r="D6093" i="2"/>
  <c r="D6094" i="2"/>
  <c r="D6095" i="2"/>
  <c r="D6096" i="2"/>
  <c r="D6097" i="2"/>
  <c r="D6098" i="2"/>
  <c r="D6099" i="2"/>
  <c r="D6100" i="2"/>
  <c r="D6101" i="2"/>
  <c r="D6102" i="2"/>
  <c r="D6103" i="2"/>
  <c r="D6104" i="2"/>
  <c r="D6105" i="2"/>
  <c r="D6106" i="2"/>
  <c r="D6107" i="2"/>
  <c r="D6108" i="2"/>
  <c r="D6109" i="2"/>
  <c r="D6110" i="2"/>
  <c r="D6111" i="2"/>
  <c r="D6112" i="2"/>
  <c r="D6113" i="2"/>
  <c r="D6114" i="2"/>
  <c r="D6115" i="2"/>
  <c r="D6116" i="2"/>
  <c r="D6117" i="2"/>
  <c r="D6118" i="2"/>
  <c r="D6119" i="2"/>
  <c r="D6120" i="2"/>
  <c r="D6121" i="2"/>
  <c r="D6122" i="2"/>
  <c r="D6123" i="2"/>
  <c r="D6124" i="2"/>
  <c r="D6125" i="2"/>
  <c r="D6126" i="2"/>
  <c r="D6127" i="2"/>
  <c r="D6128" i="2"/>
  <c r="D6129" i="2"/>
  <c r="D6130" i="2"/>
  <c r="D6131" i="2"/>
  <c r="D6132" i="2"/>
  <c r="D6133" i="2"/>
  <c r="D6134" i="2"/>
  <c r="D6135" i="2"/>
  <c r="D6136" i="2"/>
  <c r="D6137" i="2"/>
  <c r="D6138" i="2"/>
  <c r="D6139" i="2"/>
  <c r="D6140" i="2"/>
  <c r="D6141" i="2"/>
  <c r="D6142" i="2"/>
  <c r="D6143" i="2"/>
  <c r="D6144" i="2"/>
  <c r="D6145" i="2"/>
  <c r="D6146" i="2"/>
  <c r="D6147" i="2"/>
  <c r="D6148" i="2"/>
  <c r="D6149" i="2"/>
  <c r="D6150" i="2"/>
  <c r="D6151" i="2"/>
  <c r="D6152" i="2"/>
  <c r="D6153" i="2"/>
  <c r="D6154" i="2"/>
  <c r="D6155" i="2"/>
  <c r="D6156" i="2"/>
  <c r="D6157" i="2"/>
  <c r="D6158" i="2"/>
  <c r="D6159" i="2"/>
  <c r="D6160" i="2"/>
  <c r="D6161" i="2"/>
  <c r="D6162" i="2"/>
  <c r="D6163" i="2"/>
  <c r="D6164" i="2"/>
  <c r="D6165" i="2"/>
  <c r="D6166" i="2"/>
  <c r="D6167" i="2"/>
  <c r="D6168" i="2"/>
  <c r="D6169" i="2"/>
  <c r="D6170" i="2"/>
  <c r="D6171" i="2"/>
  <c r="D6172" i="2"/>
  <c r="D6173" i="2"/>
  <c r="D6174" i="2"/>
  <c r="D6175" i="2"/>
  <c r="D6176" i="2"/>
  <c r="D6177" i="2"/>
  <c r="D6178" i="2"/>
  <c r="D6179" i="2"/>
  <c r="D6180" i="2"/>
  <c r="D6181" i="2"/>
  <c r="D6182" i="2"/>
  <c r="D6183" i="2"/>
  <c r="D6184" i="2"/>
  <c r="D6185" i="2"/>
  <c r="D6186" i="2"/>
  <c r="D6187" i="2"/>
  <c r="D6188" i="2"/>
  <c r="D6189" i="2"/>
  <c r="D6190" i="2"/>
  <c r="D6191" i="2"/>
  <c r="D6192" i="2"/>
  <c r="D6193" i="2"/>
  <c r="D6194" i="2"/>
  <c r="D6195" i="2"/>
  <c r="D6196" i="2"/>
  <c r="D6197" i="2"/>
  <c r="D6198" i="2"/>
  <c r="D6199" i="2"/>
  <c r="D6200" i="2"/>
  <c r="D6201" i="2"/>
  <c r="D6202" i="2"/>
  <c r="D6203" i="2"/>
  <c r="D6204" i="2"/>
  <c r="D6205" i="2"/>
  <c r="D6206" i="2"/>
  <c r="D6207" i="2"/>
  <c r="D6208" i="2"/>
  <c r="D6209" i="2"/>
  <c r="D6210" i="2"/>
  <c r="D6211" i="2"/>
  <c r="D6212" i="2"/>
  <c r="D6213" i="2"/>
  <c r="D6214" i="2"/>
  <c r="D6215" i="2"/>
  <c r="D6216" i="2"/>
  <c r="D6217" i="2"/>
  <c r="D6218" i="2"/>
  <c r="D6219" i="2"/>
  <c r="D6220" i="2"/>
  <c r="D6221" i="2"/>
  <c r="D6222" i="2"/>
  <c r="D6223" i="2"/>
  <c r="D6224" i="2"/>
  <c r="D6225" i="2"/>
  <c r="D6226" i="2"/>
  <c r="D6227" i="2"/>
  <c r="D6228" i="2"/>
  <c r="D6229" i="2"/>
  <c r="D6230" i="2"/>
  <c r="D6231" i="2"/>
  <c r="D6232" i="2"/>
  <c r="D6233" i="2"/>
  <c r="D6234" i="2"/>
  <c r="D6235" i="2"/>
  <c r="D623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C5022" i="2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C5225" i="2"/>
  <c r="C5226" i="2"/>
  <c r="C5227" i="2"/>
  <c r="C5228" i="2"/>
  <c r="C5229" i="2"/>
  <c r="C5230" i="2"/>
  <c r="C5231" i="2"/>
  <c r="C5232" i="2"/>
  <c r="C5233" i="2"/>
  <c r="C5234" i="2"/>
  <c r="C5235" i="2"/>
  <c r="C5236" i="2"/>
  <c r="C5237" i="2"/>
  <c r="C5238" i="2"/>
  <c r="C5239" i="2"/>
  <c r="C5240" i="2"/>
  <c r="C5241" i="2"/>
  <c r="C5242" i="2"/>
  <c r="C5243" i="2"/>
  <c r="C5244" i="2"/>
  <c r="C5245" i="2"/>
  <c r="C5246" i="2"/>
  <c r="C5247" i="2"/>
  <c r="C5248" i="2"/>
  <c r="C5249" i="2"/>
  <c r="C5250" i="2"/>
  <c r="C5251" i="2"/>
  <c r="C5252" i="2"/>
  <c r="C5253" i="2"/>
  <c r="C5254" i="2"/>
  <c r="C5255" i="2"/>
  <c r="C5256" i="2"/>
  <c r="C5257" i="2"/>
  <c r="C5258" i="2"/>
  <c r="C5259" i="2"/>
  <c r="C5260" i="2"/>
  <c r="C5261" i="2"/>
  <c r="C5262" i="2"/>
  <c r="C5263" i="2"/>
  <c r="C5264" i="2"/>
  <c r="C5265" i="2"/>
  <c r="C5266" i="2"/>
  <c r="C5267" i="2"/>
  <c r="C5268" i="2"/>
  <c r="C5269" i="2"/>
  <c r="C5270" i="2"/>
  <c r="C5271" i="2"/>
  <c r="C5272" i="2"/>
  <c r="C5273" i="2"/>
  <c r="C5274" i="2"/>
  <c r="C5275" i="2"/>
  <c r="C5276" i="2"/>
  <c r="C5277" i="2"/>
  <c r="C5278" i="2"/>
  <c r="C5279" i="2"/>
  <c r="C5280" i="2"/>
  <c r="C5281" i="2"/>
  <c r="C5282" i="2"/>
  <c r="C5283" i="2"/>
  <c r="C5284" i="2"/>
  <c r="C5285" i="2"/>
  <c r="C5286" i="2"/>
  <c r="C5287" i="2"/>
  <c r="C5288" i="2"/>
  <c r="C5289" i="2"/>
  <c r="C5290" i="2"/>
  <c r="C5291" i="2"/>
  <c r="C5292" i="2"/>
  <c r="C5293" i="2"/>
  <c r="C5294" i="2"/>
  <c r="C5295" i="2"/>
  <c r="C5296" i="2"/>
  <c r="C5297" i="2"/>
  <c r="C5298" i="2"/>
  <c r="C5299" i="2"/>
  <c r="C5300" i="2"/>
  <c r="C5301" i="2"/>
  <c r="C5302" i="2"/>
  <c r="C5303" i="2"/>
  <c r="C5304" i="2"/>
  <c r="C5305" i="2"/>
  <c r="C5306" i="2"/>
  <c r="C5307" i="2"/>
  <c r="C5308" i="2"/>
  <c r="C5309" i="2"/>
  <c r="C5310" i="2"/>
  <c r="C5311" i="2"/>
  <c r="C5312" i="2"/>
  <c r="C5313" i="2"/>
  <c r="C5314" i="2"/>
  <c r="C5315" i="2"/>
  <c r="C5316" i="2"/>
  <c r="C5317" i="2"/>
  <c r="C5318" i="2"/>
  <c r="C5319" i="2"/>
  <c r="C5320" i="2"/>
  <c r="C5321" i="2"/>
  <c r="C5322" i="2"/>
  <c r="C5323" i="2"/>
  <c r="C5324" i="2"/>
  <c r="C5325" i="2"/>
  <c r="C5326" i="2"/>
  <c r="C5327" i="2"/>
  <c r="C5328" i="2"/>
  <c r="C5329" i="2"/>
  <c r="C5330" i="2"/>
  <c r="C5331" i="2"/>
  <c r="C5332" i="2"/>
  <c r="C5333" i="2"/>
  <c r="C5334" i="2"/>
  <c r="C5335" i="2"/>
  <c r="C5336" i="2"/>
  <c r="C5337" i="2"/>
  <c r="C5338" i="2"/>
  <c r="C5339" i="2"/>
  <c r="C5340" i="2"/>
  <c r="C5341" i="2"/>
  <c r="C5342" i="2"/>
  <c r="C5343" i="2"/>
  <c r="C5344" i="2"/>
  <c r="C5345" i="2"/>
  <c r="C5346" i="2"/>
  <c r="C5347" i="2"/>
  <c r="C5348" i="2"/>
  <c r="C5349" i="2"/>
  <c r="C5350" i="2"/>
  <c r="C5351" i="2"/>
  <c r="C5352" i="2"/>
  <c r="C5353" i="2"/>
  <c r="C5354" i="2"/>
  <c r="C5355" i="2"/>
  <c r="C5356" i="2"/>
  <c r="C5357" i="2"/>
  <c r="C5358" i="2"/>
  <c r="C5359" i="2"/>
  <c r="C5360" i="2"/>
  <c r="C5361" i="2"/>
  <c r="C5362" i="2"/>
  <c r="C5363" i="2"/>
  <c r="C5364" i="2"/>
  <c r="C5365" i="2"/>
  <c r="C5366" i="2"/>
  <c r="C5367" i="2"/>
  <c r="C5368" i="2"/>
  <c r="C5369" i="2"/>
  <c r="C5370" i="2"/>
  <c r="C5371" i="2"/>
  <c r="C5372" i="2"/>
  <c r="C5373" i="2"/>
  <c r="C5374" i="2"/>
  <c r="C5375" i="2"/>
  <c r="C5376" i="2"/>
  <c r="C5377" i="2"/>
  <c r="C5378" i="2"/>
  <c r="C5379" i="2"/>
  <c r="C5380" i="2"/>
  <c r="C5381" i="2"/>
  <c r="C5382" i="2"/>
  <c r="C5383" i="2"/>
  <c r="C5384" i="2"/>
  <c r="C5385" i="2"/>
  <c r="C5386" i="2"/>
  <c r="C5387" i="2"/>
  <c r="C5388" i="2"/>
  <c r="C5389" i="2"/>
  <c r="C5390" i="2"/>
  <c r="C5391" i="2"/>
  <c r="C5392" i="2"/>
  <c r="C5393" i="2"/>
  <c r="C5394" i="2"/>
  <c r="C5395" i="2"/>
  <c r="C5396" i="2"/>
  <c r="C5397" i="2"/>
  <c r="C5398" i="2"/>
  <c r="C5399" i="2"/>
  <c r="C5400" i="2"/>
  <c r="C5401" i="2"/>
  <c r="C5402" i="2"/>
  <c r="C5403" i="2"/>
  <c r="C5404" i="2"/>
  <c r="C5405" i="2"/>
  <c r="C5406" i="2"/>
  <c r="C5407" i="2"/>
  <c r="C5408" i="2"/>
  <c r="C5409" i="2"/>
  <c r="C5410" i="2"/>
  <c r="C5411" i="2"/>
  <c r="C5412" i="2"/>
  <c r="C5413" i="2"/>
  <c r="C5414" i="2"/>
  <c r="C5415" i="2"/>
  <c r="C5416" i="2"/>
  <c r="C5417" i="2"/>
  <c r="C5418" i="2"/>
  <c r="C5419" i="2"/>
  <c r="C5420" i="2"/>
  <c r="C5421" i="2"/>
  <c r="C5422" i="2"/>
  <c r="C5423" i="2"/>
  <c r="C5424" i="2"/>
  <c r="C5425" i="2"/>
  <c r="C5426" i="2"/>
  <c r="C5427" i="2"/>
  <c r="C5428" i="2"/>
  <c r="C5429" i="2"/>
  <c r="C5430" i="2"/>
  <c r="C5431" i="2"/>
  <c r="C5432" i="2"/>
  <c r="C5433" i="2"/>
  <c r="C5434" i="2"/>
  <c r="C5435" i="2"/>
  <c r="C5436" i="2"/>
  <c r="C5437" i="2"/>
  <c r="C5438" i="2"/>
  <c r="C5439" i="2"/>
  <c r="C5440" i="2"/>
  <c r="C5441" i="2"/>
  <c r="C5442" i="2"/>
  <c r="C5443" i="2"/>
  <c r="C5444" i="2"/>
  <c r="C5445" i="2"/>
  <c r="C5446" i="2"/>
  <c r="C5447" i="2"/>
  <c r="C5448" i="2"/>
  <c r="C5449" i="2"/>
  <c r="C5450" i="2"/>
  <c r="C5451" i="2"/>
  <c r="C5452" i="2"/>
  <c r="C5453" i="2"/>
  <c r="C5454" i="2"/>
  <c r="C5455" i="2"/>
  <c r="C5456" i="2"/>
  <c r="C5457" i="2"/>
  <c r="C5458" i="2"/>
  <c r="C5459" i="2"/>
  <c r="C5460" i="2"/>
  <c r="C5461" i="2"/>
  <c r="C5462" i="2"/>
  <c r="C5463" i="2"/>
  <c r="C5464" i="2"/>
  <c r="C5465" i="2"/>
  <c r="C5466" i="2"/>
  <c r="C5467" i="2"/>
  <c r="C5468" i="2"/>
  <c r="C5469" i="2"/>
  <c r="C5470" i="2"/>
  <c r="C5471" i="2"/>
  <c r="C5472" i="2"/>
  <c r="C5473" i="2"/>
  <c r="C5474" i="2"/>
  <c r="C5475" i="2"/>
  <c r="C5476" i="2"/>
  <c r="C5477" i="2"/>
  <c r="C5478" i="2"/>
  <c r="C5479" i="2"/>
  <c r="C5480" i="2"/>
  <c r="C5481" i="2"/>
  <c r="C5482" i="2"/>
  <c r="C5483" i="2"/>
  <c r="C5484" i="2"/>
  <c r="C5485" i="2"/>
  <c r="C5486" i="2"/>
  <c r="C5487" i="2"/>
  <c r="C5488" i="2"/>
  <c r="C5489" i="2"/>
  <c r="C5490" i="2"/>
  <c r="C5491" i="2"/>
  <c r="C5492" i="2"/>
  <c r="C5493" i="2"/>
  <c r="C5494" i="2"/>
  <c r="C5495" i="2"/>
  <c r="C5496" i="2"/>
  <c r="C5497" i="2"/>
  <c r="C5498" i="2"/>
  <c r="C5499" i="2"/>
  <c r="C5500" i="2"/>
  <c r="C5501" i="2"/>
  <c r="C5502" i="2"/>
  <c r="C5503" i="2"/>
  <c r="C5504" i="2"/>
  <c r="C5505" i="2"/>
  <c r="C5506" i="2"/>
  <c r="C5507" i="2"/>
  <c r="C5508" i="2"/>
  <c r="C5509" i="2"/>
  <c r="C5510" i="2"/>
  <c r="C5511" i="2"/>
  <c r="C5512" i="2"/>
  <c r="C5513" i="2"/>
  <c r="C5514" i="2"/>
  <c r="C5515" i="2"/>
  <c r="C5516" i="2"/>
  <c r="C5517" i="2"/>
  <c r="C5518" i="2"/>
  <c r="C5519" i="2"/>
  <c r="C5520" i="2"/>
  <c r="C5521" i="2"/>
  <c r="C5522" i="2"/>
  <c r="C5523" i="2"/>
  <c r="C5524" i="2"/>
  <c r="C5525" i="2"/>
  <c r="C5526" i="2"/>
  <c r="C5527" i="2"/>
  <c r="C5528" i="2"/>
  <c r="C5529" i="2"/>
  <c r="C5530" i="2"/>
  <c r="C5531" i="2"/>
  <c r="C5532" i="2"/>
  <c r="C5533" i="2"/>
  <c r="C5534" i="2"/>
  <c r="C5535" i="2"/>
  <c r="C5536" i="2"/>
  <c r="C5537" i="2"/>
  <c r="C5538" i="2"/>
  <c r="C5539" i="2"/>
  <c r="C5540" i="2"/>
  <c r="C5541" i="2"/>
  <c r="C5542" i="2"/>
  <c r="C5543" i="2"/>
  <c r="C5544" i="2"/>
  <c r="C5545" i="2"/>
  <c r="C5546" i="2"/>
  <c r="C5547" i="2"/>
  <c r="C5548" i="2"/>
  <c r="C5549" i="2"/>
  <c r="C5550" i="2"/>
  <c r="C5551" i="2"/>
  <c r="C5552" i="2"/>
  <c r="C5553" i="2"/>
  <c r="C5554" i="2"/>
  <c r="C5555" i="2"/>
  <c r="C5556" i="2"/>
  <c r="C5557" i="2"/>
  <c r="C5558" i="2"/>
  <c r="C5559" i="2"/>
  <c r="C5560" i="2"/>
  <c r="C5561" i="2"/>
  <c r="C5562" i="2"/>
  <c r="C5563" i="2"/>
  <c r="C5564" i="2"/>
  <c r="C5565" i="2"/>
  <c r="C5566" i="2"/>
  <c r="C5567" i="2"/>
  <c r="C5568" i="2"/>
  <c r="C5569" i="2"/>
  <c r="C5570" i="2"/>
  <c r="C5571" i="2"/>
  <c r="C5572" i="2"/>
  <c r="C5573" i="2"/>
  <c r="C5574" i="2"/>
  <c r="C5575" i="2"/>
  <c r="C5576" i="2"/>
  <c r="C5577" i="2"/>
  <c r="C5578" i="2"/>
  <c r="C5579" i="2"/>
  <c r="C5580" i="2"/>
  <c r="C5581" i="2"/>
  <c r="C5582" i="2"/>
  <c r="C5583" i="2"/>
  <c r="C5584" i="2"/>
  <c r="C5585" i="2"/>
  <c r="C5586" i="2"/>
  <c r="C5587" i="2"/>
  <c r="C5588" i="2"/>
  <c r="C5589" i="2"/>
  <c r="C5590" i="2"/>
  <c r="C5591" i="2"/>
  <c r="C5592" i="2"/>
  <c r="C5593" i="2"/>
  <c r="C5594" i="2"/>
  <c r="C5595" i="2"/>
  <c r="C5596" i="2"/>
  <c r="C5597" i="2"/>
  <c r="C5598" i="2"/>
  <c r="C5599" i="2"/>
  <c r="C5600" i="2"/>
  <c r="C5601" i="2"/>
  <c r="C5602" i="2"/>
  <c r="C5603" i="2"/>
  <c r="C5604" i="2"/>
  <c r="C5605" i="2"/>
  <c r="C5606" i="2"/>
  <c r="C5607" i="2"/>
  <c r="C5608" i="2"/>
  <c r="C5609" i="2"/>
  <c r="C5610" i="2"/>
  <c r="C5611" i="2"/>
  <c r="C5612" i="2"/>
  <c r="C5613" i="2"/>
  <c r="C5614" i="2"/>
  <c r="C5615" i="2"/>
  <c r="C5616" i="2"/>
  <c r="C5617" i="2"/>
  <c r="C5618" i="2"/>
  <c r="C5619" i="2"/>
  <c r="C5620" i="2"/>
  <c r="C5621" i="2"/>
  <c r="C5622" i="2"/>
  <c r="C5623" i="2"/>
  <c r="C5624" i="2"/>
  <c r="C5625" i="2"/>
  <c r="C5626" i="2"/>
  <c r="C5627" i="2"/>
  <c r="C5628" i="2"/>
  <c r="C5629" i="2"/>
  <c r="C5630" i="2"/>
  <c r="C5631" i="2"/>
  <c r="C5632" i="2"/>
  <c r="C5633" i="2"/>
  <c r="C5634" i="2"/>
  <c r="C5635" i="2"/>
  <c r="C5636" i="2"/>
  <c r="C5637" i="2"/>
  <c r="C5638" i="2"/>
  <c r="C5639" i="2"/>
  <c r="C5640" i="2"/>
  <c r="C5641" i="2"/>
  <c r="C5642" i="2"/>
  <c r="C5643" i="2"/>
  <c r="C5644" i="2"/>
  <c r="C5645" i="2"/>
  <c r="C5646" i="2"/>
  <c r="C5647" i="2"/>
  <c r="C5648" i="2"/>
  <c r="C5649" i="2"/>
  <c r="C5650" i="2"/>
  <c r="C5651" i="2"/>
  <c r="C5652" i="2"/>
  <c r="C5653" i="2"/>
  <c r="C5654" i="2"/>
  <c r="C5655" i="2"/>
  <c r="C5656" i="2"/>
  <c r="C5657" i="2"/>
  <c r="C5658" i="2"/>
  <c r="C5659" i="2"/>
  <c r="C5660" i="2"/>
  <c r="C5661" i="2"/>
  <c r="C5662" i="2"/>
  <c r="C5663" i="2"/>
  <c r="C5664" i="2"/>
  <c r="C5665" i="2"/>
  <c r="C5666" i="2"/>
  <c r="C5667" i="2"/>
  <c r="C5668" i="2"/>
  <c r="C5669" i="2"/>
  <c r="C5670" i="2"/>
  <c r="C5671" i="2"/>
  <c r="C5672" i="2"/>
  <c r="C5673" i="2"/>
  <c r="C5674" i="2"/>
  <c r="C5675" i="2"/>
  <c r="C5676" i="2"/>
  <c r="C5677" i="2"/>
  <c r="C5678" i="2"/>
  <c r="C5679" i="2"/>
  <c r="C5680" i="2"/>
  <c r="C5681" i="2"/>
  <c r="C5682" i="2"/>
  <c r="C5683" i="2"/>
  <c r="C5684" i="2"/>
  <c r="C5685" i="2"/>
  <c r="C5686" i="2"/>
  <c r="C5687" i="2"/>
  <c r="C5688" i="2"/>
  <c r="C5689" i="2"/>
  <c r="C5690" i="2"/>
  <c r="C5691" i="2"/>
  <c r="C5692" i="2"/>
  <c r="C5693" i="2"/>
  <c r="C5694" i="2"/>
  <c r="C5695" i="2"/>
  <c r="C5696" i="2"/>
  <c r="C5697" i="2"/>
  <c r="C5698" i="2"/>
  <c r="C5699" i="2"/>
  <c r="C5700" i="2"/>
  <c r="C5701" i="2"/>
  <c r="C5702" i="2"/>
  <c r="C5703" i="2"/>
  <c r="C5704" i="2"/>
  <c r="C5705" i="2"/>
  <c r="C5706" i="2"/>
  <c r="C5707" i="2"/>
  <c r="C5708" i="2"/>
  <c r="C5709" i="2"/>
  <c r="C5710" i="2"/>
  <c r="C5711" i="2"/>
  <c r="C5712" i="2"/>
  <c r="C5713" i="2"/>
  <c r="C5714" i="2"/>
  <c r="C5715" i="2"/>
  <c r="C5716" i="2"/>
  <c r="C5717" i="2"/>
  <c r="C5718" i="2"/>
  <c r="C5719" i="2"/>
  <c r="C5720" i="2"/>
  <c r="C5721" i="2"/>
  <c r="C5722" i="2"/>
  <c r="C5723" i="2"/>
  <c r="C5724" i="2"/>
  <c r="C5725" i="2"/>
  <c r="C5726" i="2"/>
  <c r="C5727" i="2"/>
  <c r="C5728" i="2"/>
  <c r="C5729" i="2"/>
  <c r="C5730" i="2"/>
  <c r="C5731" i="2"/>
  <c r="C5732" i="2"/>
  <c r="C5733" i="2"/>
  <c r="C5734" i="2"/>
  <c r="C5735" i="2"/>
  <c r="C5736" i="2"/>
  <c r="C5737" i="2"/>
  <c r="C5738" i="2"/>
  <c r="C5739" i="2"/>
  <c r="C5740" i="2"/>
  <c r="C5741" i="2"/>
  <c r="C5742" i="2"/>
  <c r="C5743" i="2"/>
  <c r="C5744" i="2"/>
  <c r="C5745" i="2"/>
  <c r="C5746" i="2"/>
  <c r="C5747" i="2"/>
  <c r="C5748" i="2"/>
  <c r="C5749" i="2"/>
  <c r="C5750" i="2"/>
  <c r="C5751" i="2"/>
  <c r="C5752" i="2"/>
  <c r="C5753" i="2"/>
  <c r="C5754" i="2"/>
  <c r="C5755" i="2"/>
  <c r="C5756" i="2"/>
  <c r="C5757" i="2"/>
  <c r="C5758" i="2"/>
  <c r="C5759" i="2"/>
  <c r="C5760" i="2"/>
  <c r="C5761" i="2"/>
  <c r="C5762" i="2"/>
  <c r="C5763" i="2"/>
  <c r="C5764" i="2"/>
  <c r="C5765" i="2"/>
  <c r="C5766" i="2"/>
  <c r="C5767" i="2"/>
  <c r="C5768" i="2"/>
  <c r="C5769" i="2"/>
  <c r="C5770" i="2"/>
  <c r="C5771" i="2"/>
  <c r="C5772" i="2"/>
  <c r="C5773" i="2"/>
  <c r="C5774" i="2"/>
  <c r="C5775" i="2"/>
  <c r="C5776" i="2"/>
  <c r="C5777" i="2"/>
  <c r="C5778" i="2"/>
  <c r="C5779" i="2"/>
  <c r="C5780" i="2"/>
  <c r="C5781" i="2"/>
  <c r="C5782" i="2"/>
  <c r="C5783" i="2"/>
  <c r="C5784" i="2"/>
  <c r="C5785" i="2"/>
  <c r="C5786" i="2"/>
  <c r="C5787" i="2"/>
  <c r="C5788" i="2"/>
  <c r="C5789" i="2"/>
  <c r="C5790" i="2"/>
  <c r="C5791" i="2"/>
  <c r="C5792" i="2"/>
  <c r="C5793" i="2"/>
  <c r="C5794" i="2"/>
  <c r="C5795" i="2"/>
  <c r="C5796" i="2"/>
  <c r="C5797" i="2"/>
  <c r="C5798" i="2"/>
  <c r="C5799" i="2"/>
  <c r="C5800" i="2"/>
  <c r="C5801" i="2"/>
  <c r="C5802" i="2"/>
  <c r="C5803" i="2"/>
  <c r="C5804" i="2"/>
  <c r="C5805" i="2"/>
  <c r="C5806" i="2"/>
  <c r="C5807" i="2"/>
  <c r="C5808" i="2"/>
  <c r="C5809" i="2"/>
  <c r="C5810" i="2"/>
  <c r="C5811" i="2"/>
  <c r="C5812" i="2"/>
  <c r="C5813" i="2"/>
  <c r="C5814" i="2"/>
  <c r="C5815" i="2"/>
  <c r="C5816" i="2"/>
  <c r="C5817" i="2"/>
  <c r="C5818" i="2"/>
  <c r="C5819" i="2"/>
  <c r="C5820" i="2"/>
  <c r="C5821" i="2"/>
  <c r="C5822" i="2"/>
  <c r="C5823" i="2"/>
  <c r="C5824" i="2"/>
  <c r="C5825" i="2"/>
  <c r="C5826" i="2"/>
  <c r="C5827" i="2"/>
  <c r="C5828" i="2"/>
  <c r="C5829" i="2"/>
  <c r="C5830" i="2"/>
  <c r="C5831" i="2"/>
  <c r="C5832" i="2"/>
  <c r="C5833" i="2"/>
  <c r="C5834" i="2"/>
  <c r="C5835" i="2"/>
  <c r="C5836" i="2"/>
  <c r="C5837" i="2"/>
  <c r="C5838" i="2"/>
  <c r="C5839" i="2"/>
  <c r="C5840" i="2"/>
  <c r="C5841" i="2"/>
  <c r="C5842" i="2"/>
  <c r="C5843" i="2"/>
  <c r="C5844" i="2"/>
  <c r="C5845" i="2"/>
  <c r="C5846" i="2"/>
  <c r="C5847" i="2"/>
  <c r="C5848" i="2"/>
  <c r="C5849" i="2"/>
  <c r="C5850" i="2"/>
  <c r="C5851" i="2"/>
  <c r="C5852" i="2"/>
  <c r="C5853" i="2"/>
  <c r="C5854" i="2"/>
  <c r="C5855" i="2"/>
  <c r="C5856" i="2"/>
  <c r="C5857" i="2"/>
  <c r="C5858" i="2"/>
  <c r="C5859" i="2"/>
  <c r="C5860" i="2"/>
  <c r="C5861" i="2"/>
  <c r="C5862" i="2"/>
  <c r="C5863" i="2"/>
  <c r="C5864" i="2"/>
  <c r="C5865" i="2"/>
  <c r="C5866" i="2"/>
  <c r="C5867" i="2"/>
  <c r="C5868" i="2"/>
  <c r="C5869" i="2"/>
  <c r="C5870" i="2"/>
  <c r="C5871" i="2"/>
  <c r="C5872" i="2"/>
  <c r="C5873" i="2"/>
  <c r="C5874" i="2"/>
  <c r="C5875" i="2"/>
  <c r="C5876" i="2"/>
  <c r="C5877" i="2"/>
  <c r="C5878" i="2"/>
  <c r="C5879" i="2"/>
  <c r="C5880" i="2"/>
  <c r="C5881" i="2"/>
  <c r="C5882" i="2"/>
  <c r="C5883" i="2"/>
  <c r="C5884" i="2"/>
  <c r="C5885" i="2"/>
  <c r="C5886" i="2"/>
  <c r="C5887" i="2"/>
  <c r="C5888" i="2"/>
  <c r="C5889" i="2"/>
  <c r="C5890" i="2"/>
  <c r="C5891" i="2"/>
  <c r="C5892" i="2"/>
  <c r="C5893" i="2"/>
  <c r="C5894" i="2"/>
  <c r="C5895" i="2"/>
  <c r="C5896" i="2"/>
  <c r="C5897" i="2"/>
  <c r="C5898" i="2"/>
  <c r="C5899" i="2"/>
  <c r="C5900" i="2"/>
  <c r="C5901" i="2"/>
  <c r="C5902" i="2"/>
  <c r="C5903" i="2"/>
  <c r="C5904" i="2"/>
  <c r="C5905" i="2"/>
  <c r="C5906" i="2"/>
  <c r="C5907" i="2"/>
  <c r="C5908" i="2"/>
  <c r="C5909" i="2"/>
  <c r="C5910" i="2"/>
  <c r="C5911" i="2"/>
  <c r="C5912" i="2"/>
  <c r="C5913" i="2"/>
  <c r="C5914" i="2"/>
  <c r="C5915" i="2"/>
  <c r="C5916" i="2"/>
  <c r="C5917" i="2"/>
  <c r="C5918" i="2"/>
  <c r="C5919" i="2"/>
  <c r="C5920" i="2"/>
  <c r="C5921" i="2"/>
  <c r="C5922" i="2"/>
  <c r="C5923" i="2"/>
  <c r="C5924" i="2"/>
  <c r="C5925" i="2"/>
  <c r="C5926" i="2"/>
  <c r="C5927" i="2"/>
  <c r="C5928" i="2"/>
  <c r="C5929" i="2"/>
  <c r="C5930" i="2"/>
  <c r="C5931" i="2"/>
  <c r="C5932" i="2"/>
  <c r="C5933" i="2"/>
  <c r="C5934" i="2"/>
  <c r="C5935" i="2"/>
  <c r="C5936" i="2"/>
  <c r="C5937" i="2"/>
  <c r="C5938" i="2"/>
  <c r="C5939" i="2"/>
  <c r="C5940" i="2"/>
  <c r="C5941" i="2"/>
  <c r="C5942" i="2"/>
  <c r="C5943" i="2"/>
  <c r="C5944" i="2"/>
  <c r="C5945" i="2"/>
  <c r="C5946" i="2"/>
  <c r="C5947" i="2"/>
  <c r="C5948" i="2"/>
  <c r="C5949" i="2"/>
  <c r="C5950" i="2"/>
  <c r="C5951" i="2"/>
  <c r="C5952" i="2"/>
  <c r="C5953" i="2"/>
  <c r="C5954" i="2"/>
  <c r="C5955" i="2"/>
  <c r="C5956" i="2"/>
  <c r="C5957" i="2"/>
  <c r="C5958" i="2"/>
  <c r="C5959" i="2"/>
  <c r="C5960" i="2"/>
  <c r="C5961" i="2"/>
  <c r="C5962" i="2"/>
  <c r="C5963" i="2"/>
  <c r="C5964" i="2"/>
  <c r="C5965" i="2"/>
  <c r="C5966" i="2"/>
  <c r="C5967" i="2"/>
  <c r="C5968" i="2"/>
  <c r="C5969" i="2"/>
  <c r="C5970" i="2"/>
  <c r="C5971" i="2"/>
  <c r="C5972" i="2"/>
  <c r="C5973" i="2"/>
  <c r="C5974" i="2"/>
  <c r="C5975" i="2"/>
  <c r="C5976" i="2"/>
  <c r="C5977" i="2"/>
  <c r="C5978" i="2"/>
  <c r="C5979" i="2"/>
  <c r="C5980" i="2"/>
  <c r="C5981" i="2"/>
  <c r="C5982" i="2"/>
  <c r="C5983" i="2"/>
  <c r="C5984" i="2"/>
  <c r="C5985" i="2"/>
  <c r="C5986" i="2"/>
  <c r="C5987" i="2"/>
  <c r="C5988" i="2"/>
  <c r="C5989" i="2"/>
  <c r="C5990" i="2"/>
  <c r="C5991" i="2"/>
  <c r="C5992" i="2"/>
  <c r="C5993" i="2"/>
  <c r="C5994" i="2"/>
  <c r="C5995" i="2"/>
  <c r="C5996" i="2"/>
  <c r="C5997" i="2"/>
  <c r="C5998" i="2"/>
  <c r="C5999" i="2"/>
  <c r="C6000" i="2"/>
  <c r="C6001" i="2"/>
  <c r="C6002" i="2"/>
  <c r="C6003" i="2"/>
  <c r="C6004" i="2"/>
  <c r="C6005" i="2"/>
  <c r="C6006" i="2"/>
  <c r="C6007" i="2"/>
  <c r="C6008" i="2"/>
  <c r="C6009" i="2"/>
  <c r="C6010" i="2"/>
  <c r="C6011" i="2"/>
  <c r="C6012" i="2"/>
  <c r="C6013" i="2"/>
  <c r="C6014" i="2"/>
  <c r="C6015" i="2"/>
  <c r="C6016" i="2"/>
  <c r="C6017" i="2"/>
  <c r="C6018" i="2"/>
  <c r="C6019" i="2"/>
  <c r="C6020" i="2"/>
  <c r="C6021" i="2"/>
  <c r="C6022" i="2"/>
  <c r="C6023" i="2"/>
  <c r="C6024" i="2"/>
  <c r="C6025" i="2"/>
  <c r="C6026" i="2"/>
  <c r="C6027" i="2"/>
  <c r="C6028" i="2"/>
  <c r="C6029" i="2"/>
  <c r="C6030" i="2"/>
  <c r="C6031" i="2"/>
  <c r="C6032" i="2"/>
  <c r="C6033" i="2"/>
  <c r="C6034" i="2"/>
  <c r="C6035" i="2"/>
  <c r="C6036" i="2"/>
  <c r="C6037" i="2"/>
  <c r="C6038" i="2"/>
  <c r="C6039" i="2"/>
  <c r="C6040" i="2"/>
  <c r="C6041" i="2"/>
  <c r="C6042" i="2"/>
  <c r="C6043" i="2"/>
  <c r="C6044" i="2"/>
  <c r="C6045" i="2"/>
  <c r="C6046" i="2"/>
  <c r="C6047" i="2"/>
  <c r="C6048" i="2"/>
  <c r="C6049" i="2"/>
  <c r="C6050" i="2"/>
  <c r="C6051" i="2"/>
  <c r="C6052" i="2"/>
  <c r="C6053" i="2"/>
  <c r="C6054" i="2"/>
  <c r="C6055" i="2"/>
  <c r="C6056" i="2"/>
  <c r="C6057" i="2"/>
  <c r="C6058" i="2"/>
  <c r="C6059" i="2"/>
  <c r="C6060" i="2"/>
  <c r="C6061" i="2"/>
  <c r="C6062" i="2"/>
  <c r="C6063" i="2"/>
  <c r="C6064" i="2"/>
  <c r="C6065" i="2"/>
  <c r="C6066" i="2"/>
  <c r="C6067" i="2"/>
  <c r="C6068" i="2"/>
  <c r="C6069" i="2"/>
  <c r="C6070" i="2"/>
  <c r="C6071" i="2"/>
  <c r="C6072" i="2"/>
  <c r="C6073" i="2"/>
  <c r="C6074" i="2"/>
  <c r="C6075" i="2"/>
  <c r="C6076" i="2"/>
  <c r="C6077" i="2"/>
  <c r="C6078" i="2"/>
  <c r="C6079" i="2"/>
  <c r="C6080" i="2"/>
  <c r="C6081" i="2"/>
  <c r="C6082" i="2"/>
  <c r="C6083" i="2"/>
  <c r="C6084" i="2"/>
  <c r="C6085" i="2"/>
  <c r="C6086" i="2"/>
  <c r="C6087" i="2"/>
  <c r="C6088" i="2"/>
  <c r="C6089" i="2"/>
  <c r="C6090" i="2"/>
  <c r="C6091" i="2"/>
  <c r="C6092" i="2"/>
  <c r="C6093" i="2"/>
  <c r="C6094" i="2"/>
  <c r="C6095" i="2"/>
  <c r="C6096" i="2"/>
  <c r="C6097" i="2"/>
  <c r="C6098" i="2"/>
  <c r="C6099" i="2"/>
  <c r="C6100" i="2"/>
  <c r="C6101" i="2"/>
  <c r="C6102" i="2"/>
  <c r="C6103" i="2"/>
  <c r="C6104" i="2"/>
  <c r="C6105" i="2"/>
  <c r="C6106" i="2"/>
  <c r="C6107" i="2"/>
  <c r="C6108" i="2"/>
  <c r="C6109" i="2"/>
  <c r="C6110" i="2"/>
  <c r="C6111" i="2"/>
  <c r="C6112" i="2"/>
  <c r="C6113" i="2"/>
  <c r="C6114" i="2"/>
  <c r="C6115" i="2"/>
  <c r="C6116" i="2"/>
  <c r="C6117" i="2"/>
  <c r="C6118" i="2"/>
  <c r="C6119" i="2"/>
  <c r="C6120" i="2"/>
  <c r="C6121" i="2"/>
  <c r="C6122" i="2"/>
  <c r="C6123" i="2"/>
  <c r="C6124" i="2"/>
  <c r="C6125" i="2"/>
  <c r="C6126" i="2"/>
  <c r="C6127" i="2"/>
  <c r="C6128" i="2"/>
  <c r="C6129" i="2"/>
  <c r="C6130" i="2"/>
  <c r="C6131" i="2"/>
  <c r="C6132" i="2"/>
  <c r="C6133" i="2"/>
  <c r="C6134" i="2"/>
  <c r="C6135" i="2"/>
  <c r="C6136" i="2"/>
  <c r="C6137" i="2"/>
  <c r="C6138" i="2"/>
  <c r="C6139" i="2"/>
  <c r="C6140" i="2"/>
  <c r="C6141" i="2"/>
  <c r="C6142" i="2"/>
  <c r="C6143" i="2"/>
  <c r="C6144" i="2"/>
  <c r="C6145" i="2"/>
  <c r="C6146" i="2"/>
  <c r="C6147" i="2"/>
  <c r="C6148" i="2"/>
  <c r="C6149" i="2"/>
  <c r="C6150" i="2"/>
  <c r="C6151" i="2"/>
  <c r="C6152" i="2"/>
  <c r="C6153" i="2"/>
  <c r="C6154" i="2"/>
  <c r="C6155" i="2"/>
  <c r="C6156" i="2"/>
  <c r="C6157" i="2"/>
  <c r="C6158" i="2"/>
  <c r="C6159" i="2"/>
  <c r="C6160" i="2"/>
  <c r="C6161" i="2"/>
  <c r="C6162" i="2"/>
  <c r="C6163" i="2"/>
  <c r="C6164" i="2"/>
  <c r="C6165" i="2"/>
  <c r="C6166" i="2"/>
  <c r="C6167" i="2"/>
  <c r="C6168" i="2"/>
  <c r="C6169" i="2"/>
  <c r="C6170" i="2"/>
  <c r="C6171" i="2"/>
  <c r="C6172" i="2"/>
  <c r="C6173" i="2"/>
  <c r="C6174" i="2"/>
  <c r="C6175" i="2"/>
  <c r="C6176" i="2"/>
  <c r="C6177" i="2"/>
  <c r="C6178" i="2"/>
  <c r="C6179" i="2"/>
  <c r="C6180" i="2"/>
  <c r="C6181" i="2"/>
  <c r="C6182" i="2"/>
  <c r="C6183" i="2"/>
  <c r="C6184" i="2"/>
  <c r="C6185" i="2"/>
  <c r="C6186" i="2"/>
  <c r="C6187" i="2"/>
  <c r="C6188" i="2"/>
  <c r="C6189" i="2"/>
  <c r="C6190" i="2"/>
  <c r="C6191" i="2"/>
  <c r="C6192" i="2"/>
  <c r="C6193" i="2"/>
  <c r="C6194" i="2"/>
  <c r="C6195" i="2"/>
  <c r="C6196" i="2"/>
  <c r="C6197" i="2"/>
  <c r="C6198" i="2"/>
  <c r="C6199" i="2"/>
  <c r="C6200" i="2"/>
  <c r="C6201" i="2"/>
  <c r="C6202" i="2"/>
  <c r="C6203" i="2"/>
  <c r="C6204" i="2"/>
  <c r="C6205" i="2"/>
  <c r="C6206" i="2"/>
  <c r="C6207" i="2"/>
  <c r="C6208" i="2"/>
  <c r="C6209" i="2"/>
  <c r="C6210" i="2"/>
  <c r="C6211" i="2"/>
  <c r="C6212" i="2"/>
  <c r="C6213" i="2"/>
  <c r="C6214" i="2"/>
  <c r="C6215" i="2"/>
  <c r="C6216" i="2"/>
  <c r="C6217" i="2"/>
  <c r="C6218" i="2"/>
  <c r="C6219" i="2"/>
  <c r="C6220" i="2"/>
  <c r="C6221" i="2"/>
  <c r="C6222" i="2"/>
  <c r="C6223" i="2"/>
  <c r="C6224" i="2"/>
  <c r="C6225" i="2"/>
  <c r="C6226" i="2"/>
  <c r="C6227" i="2"/>
  <c r="C6228" i="2"/>
  <c r="C6229" i="2"/>
  <c r="C6230" i="2"/>
  <c r="C6231" i="2"/>
  <c r="C6232" i="2"/>
  <c r="C6233" i="2"/>
  <c r="C6234" i="2"/>
  <c r="C6235" i="2"/>
  <c r="C6236" i="2"/>
  <c r="C5" i="2"/>
  <c r="D6" i="2"/>
  <c r="D7" i="2"/>
  <c r="D8" i="2"/>
  <c r="D5" i="2"/>
  <c r="I2" i="2"/>
  <c r="G2" i="2" s="1"/>
  <c r="F2" i="2" s="1"/>
  <c r="H2" i="2"/>
  <c r="E5" i="2" s="1"/>
  <c r="E2" i="2" s="1"/>
  <c r="K8" i="2"/>
  <c r="L8" i="2" s="1"/>
  <c r="J8" i="2"/>
  <c r="G8" i="2"/>
  <c r="J5" i="2"/>
  <c r="J6" i="2"/>
  <c r="J7" i="2"/>
  <c r="G7" i="2"/>
  <c r="K7" i="2"/>
  <c r="G6" i="2"/>
  <c r="K6" i="2"/>
  <c r="G5" i="2"/>
  <c r="K5" i="2"/>
  <c r="L5" i="2" s="1"/>
  <c r="L6" i="2"/>
  <c r="E6" i="2"/>
  <c r="E8" i="2"/>
  <c r="E7" i="2"/>
  <c r="L7" i="2" l="1"/>
</calcChain>
</file>

<file path=xl/sharedStrings.xml><?xml version="1.0" encoding="utf-8"?>
<sst xmlns="http://schemas.openxmlformats.org/spreadsheetml/2006/main" count="7974" uniqueCount="4763">
  <si>
    <t>open</t>
  </si>
  <si>
    <t>low52</t>
  </si>
  <si>
    <t>lastPrice</t>
  </si>
  <si>
    <t>high52</t>
  </si>
  <si>
    <t>closePrice</t>
  </si>
  <si>
    <t>dayHigh</t>
  </si>
  <si>
    <t>dayLow</t>
  </si>
  <si>
    <t>totalTradedVolume</t>
  </si>
  <si>
    <t>lastUpdateTime</t>
  </si>
  <si>
    <t>INFY</t>
  </si>
  <si>
    <t>companyName</t>
  </si>
  <si>
    <t>NSE Ticker</t>
  </si>
  <si>
    <t>NSE Data</t>
  </si>
  <si>
    <t>ABB</t>
  </si>
  <si>
    <t>ALBK</t>
  </si>
  <si>
    <t>CESC</t>
  </si>
  <si>
    <t>CRISIL</t>
  </si>
  <si>
    <t>HDIL</t>
  </si>
  <si>
    <t>IDBI</t>
  </si>
  <si>
    <t>IFCI</t>
  </si>
  <si>
    <t>IGL</t>
  </si>
  <si>
    <t>IRB</t>
  </si>
  <si>
    <t>KPIT</t>
  </si>
  <si>
    <t>MRF</t>
  </si>
  <si>
    <t>NHPC</t>
  </si>
  <si>
    <t>OFSS</t>
  </si>
  <si>
    <t>SAIL</t>
  </si>
  <si>
    <t>SUNTV</t>
  </si>
  <si>
    <t>ABIRLANUVO</t>
  </si>
  <si>
    <t>AMARAJABAT</t>
  </si>
  <si>
    <t>APOLLOHOSP</t>
  </si>
  <si>
    <t>APOLLOTYRE</t>
  </si>
  <si>
    <t>ARVIND</t>
  </si>
  <si>
    <t>ASHOKLEY</t>
  </si>
  <si>
    <t>AUROPHARMA</t>
  </si>
  <si>
    <t>BAJFINANCE</t>
  </si>
  <si>
    <t>BAJAJFINSV</t>
  </si>
  <si>
    <t>BANKINDIA</t>
  </si>
  <si>
    <t>BATAINDIA</t>
  </si>
  <si>
    <t>BEL</t>
  </si>
  <si>
    <t>BHARATFORG</t>
  </si>
  <si>
    <t>INFRATEL</t>
  </si>
  <si>
    <t>BHUSANSTL</t>
  </si>
  <si>
    <t>BIOCON</t>
  </si>
  <si>
    <t>BRITANNIA</t>
  </si>
  <si>
    <t>CADILAHC</t>
  </si>
  <si>
    <t>CANBK</t>
  </si>
  <si>
    <t>CENTURYTEX</t>
  </si>
  <si>
    <t>CONCOR</t>
  </si>
  <si>
    <t>DIVISLAB</t>
  </si>
  <si>
    <t>EICHERMOT</t>
  </si>
  <si>
    <t>EMAMILTD</t>
  </si>
  <si>
    <t>EXIDEIND</t>
  </si>
  <si>
    <t>GMRINFRA</t>
  </si>
  <si>
    <t>GSKCONS</t>
  </si>
  <si>
    <t>GLENMARK</t>
  </si>
  <si>
    <t>GODREJIND</t>
  </si>
  <si>
    <t>GESHIP</t>
  </si>
  <si>
    <t>GSPL</t>
  </si>
  <si>
    <t>HAVELLS</t>
  </si>
  <si>
    <t>HINDPETRO</t>
  </si>
  <si>
    <t>HINDZINC</t>
  </si>
  <si>
    <t>IBULHSGFIN</t>
  </si>
  <si>
    <t>INDHOTEL</t>
  </si>
  <si>
    <t>IOC</t>
  </si>
  <si>
    <t>IPCALAB</t>
  </si>
  <si>
    <t>JSWENERGY</t>
  </si>
  <si>
    <t>JISLJALEQS</t>
  </si>
  <si>
    <t>JPASSOCIAT</t>
  </si>
  <si>
    <t>J&amp;KBANK</t>
  </si>
  <si>
    <t>JUBLFOOD</t>
  </si>
  <si>
    <t>JUSTDIAL</t>
  </si>
  <si>
    <t>KANSAINER</t>
  </si>
  <si>
    <t>KTKBANK</t>
  </si>
  <si>
    <t>KARURVYSYA</t>
  </si>
  <si>
    <t>L&amp;TFH</t>
  </si>
  <si>
    <t>M&amp;MFIN</t>
  </si>
  <si>
    <t>MINDTREE</t>
  </si>
  <si>
    <t>MOTHERSUMI</t>
  </si>
  <si>
    <t>MPHASIS</t>
  </si>
  <si>
    <t>OIL</t>
  </si>
  <si>
    <t>ORIENTBANK</t>
  </si>
  <si>
    <t>PETRONET</t>
  </si>
  <si>
    <t>PIDILITIND</t>
  </si>
  <si>
    <t>PEL</t>
  </si>
  <si>
    <t>PFC</t>
  </si>
  <si>
    <t>PGHH</t>
  </si>
  <si>
    <t>RELCAPITAL</t>
  </si>
  <si>
    <t>RELINFRA</t>
  </si>
  <si>
    <t>RPOWER</t>
  </si>
  <si>
    <t>SANOFI</t>
  </si>
  <si>
    <t>SHREECEM</t>
  </si>
  <si>
    <t>SIEMENS</t>
  </si>
  <si>
    <t>SOUTHBANK</t>
  </si>
  <si>
    <t>STAR</t>
  </si>
  <si>
    <t>SYNDIBANK</t>
  </si>
  <si>
    <t>TV18BRDCST</t>
  </si>
  <si>
    <t>TATACHEM</t>
  </si>
  <si>
    <t>TATACOMM</t>
  </si>
  <si>
    <t>TATAGLOBAL</t>
  </si>
  <si>
    <t>RAMCOCEM</t>
  </si>
  <si>
    <t>THERMAX</t>
  </si>
  <si>
    <t>TORNTPHARM</t>
  </si>
  <si>
    <t>TORNTPOWER</t>
  </si>
  <si>
    <t>UPL</t>
  </si>
  <si>
    <t>UNIONBANK</t>
  </si>
  <si>
    <t>UNITECH</t>
  </si>
  <si>
    <t>UBL</t>
  </si>
  <si>
    <t>VOLTAS</t>
  </si>
  <si>
    <t>SRSLTD</t>
  </si>
  <si>
    <t>CHOLAFIN</t>
  </si>
  <si>
    <t>DENABANK</t>
  </si>
  <si>
    <t>ICICIBANK</t>
  </si>
  <si>
    <t>KRBL</t>
  </si>
  <si>
    <t>NMDC</t>
  </si>
  <si>
    <t>SPICEMOBI</t>
  </si>
  <si>
    <t>SUPRAJIT</t>
  </si>
  <si>
    <t>TATASTEEL</t>
  </si>
  <si>
    <t>Quantity</t>
  </si>
  <si>
    <t>% price</t>
  </si>
  <si>
    <t>Total</t>
  </si>
  <si>
    <t>wt. %</t>
  </si>
  <si>
    <t>At Cost</t>
  </si>
  <si>
    <t>At Market</t>
  </si>
  <si>
    <t>Profit</t>
  </si>
  <si>
    <t>TRIDENT</t>
  </si>
  <si>
    <t>WIPRO</t>
  </si>
  <si>
    <t>LT</t>
  </si>
  <si>
    <t>BHEL</t>
  </si>
  <si>
    <t>20MICRONS</t>
  </si>
  <si>
    <t>3IINFOTECH</t>
  </si>
  <si>
    <t>3MINDIA</t>
  </si>
  <si>
    <t>8KMILES</t>
  </si>
  <si>
    <t>AARTIDRUGS</t>
  </si>
  <si>
    <t>AARTIIND</t>
  </si>
  <si>
    <t>AARVEEDEN</t>
  </si>
  <si>
    <t>ABAN</t>
  </si>
  <si>
    <t>ABGSHIP</t>
  </si>
  <si>
    <t>ACC</t>
  </si>
  <si>
    <t>ACCELYA</t>
  </si>
  <si>
    <t>ACE</t>
  </si>
  <si>
    <t>ADANIENT</t>
  </si>
  <si>
    <t>ADANIPORTS</t>
  </si>
  <si>
    <t>ADANIPOWER</t>
  </si>
  <si>
    <t>ADFFOODS</t>
  </si>
  <si>
    <t>ADHUNIK</t>
  </si>
  <si>
    <t>ADORWELD</t>
  </si>
  <si>
    <t>ADSL</t>
  </si>
  <si>
    <t>ADVANIHOTR</t>
  </si>
  <si>
    <t>AEGISCHEM</t>
  </si>
  <si>
    <t>AFL</t>
  </si>
  <si>
    <t>AGARIND</t>
  </si>
  <si>
    <t>AGCNET</t>
  </si>
  <si>
    <t>AGRITECH</t>
  </si>
  <si>
    <t>AHLEAST</t>
  </si>
  <si>
    <t>AHLUCONT</t>
  </si>
  <si>
    <t>AHLWEST</t>
  </si>
  <si>
    <t>AIAENG</t>
  </si>
  <si>
    <t>AJANTPHARM</t>
  </si>
  <si>
    <t>AJMERA</t>
  </si>
  <si>
    <t>AKSHOPTFBR</t>
  </si>
  <si>
    <t>AKZOINDIA</t>
  </si>
  <si>
    <t>ALCHEM</t>
  </si>
  <si>
    <t>ALEMBICLTD</t>
  </si>
  <si>
    <t>ALICON</t>
  </si>
  <si>
    <t>ALKALI</t>
  </si>
  <si>
    <t>ALKYLAMINE</t>
  </si>
  <si>
    <t>ALLCARGO</t>
  </si>
  <si>
    <t>ALLSEC</t>
  </si>
  <si>
    <t>ALMONDZ</t>
  </si>
  <si>
    <t>ALOKTEXT</t>
  </si>
  <si>
    <t>ALPA</t>
  </si>
  <si>
    <t>ALPHAGEO</t>
  </si>
  <si>
    <t>AMBIKCO</t>
  </si>
  <si>
    <t>AMBUJACEM</t>
  </si>
  <si>
    <t>AMDIND</t>
  </si>
  <si>
    <t>AMTEKAUTO</t>
  </si>
  <si>
    <t>ANANTRAJ</t>
  </si>
  <si>
    <t>ANDHRABANK</t>
  </si>
  <si>
    <t>ANDHRACEMT</t>
  </si>
  <si>
    <t>ANDHRSUGAR</t>
  </si>
  <si>
    <t>ANGIND</t>
  </si>
  <si>
    <t>ANIKINDS</t>
  </si>
  <si>
    <t>ANKITMETAL</t>
  </si>
  <si>
    <t>ANSALAPI</t>
  </si>
  <si>
    <t>ANSALHSG</t>
  </si>
  <si>
    <t>ANTGRAPHIC</t>
  </si>
  <si>
    <t>APARINDS</t>
  </si>
  <si>
    <t>APCOTEXIND</t>
  </si>
  <si>
    <t>APLAPOLLO</t>
  </si>
  <si>
    <t>APLLTD</t>
  </si>
  <si>
    <t>APTECHT</t>
  </si>
  <si>
    <t>ARCHIDPLY</t>
  </si>
  <si>
    <t>ARCHIES</t>
  </si>
  <si>
    <t>ARCOTECH</t>
  </si>
  <si>
    <t>ARIES</t>
  </si>
  <si>
    <t>ARIHANT</t>
  </si>
  <si>
    <t>AROGRANITE</t>
  </si>
  <si>
    <t>ARROWTEX</t>
  </si>
  <si>
    <t>ARSHIYA</t>
  </si>
  <si>
    <t>ARSSINFRA</t>
  </si>
  <si>
    <t>ASAHIINDIA</t>
  </si>
  <si>
    <t>ASAHISONG</t>
  </si>
  <si>
    <t>ASAL</t>
  </si>
  <si>
    <t>ASHAPURMIN</t>
  </si>
  <si>
    <t>ASHIANA</t>
  </si>
  <si>
    <t>ASHIMASYN</t>
  </si>
  <si>
    <t>ASHOKA</t>
  </si>
  <si>
    <t>ASIANHOTNR</t>
  </si>
  <si>
    <t>ASIANPAINT</t>
  </si>
  <si>
    <t>ASIANTILES</t>
  </si>
  <si>
    <t>ASSAMCO</t>
  </si>
  <si>
    <t>ASTEC</t>
  </si>
  <si>
    <t>ASTRAL</t>
  </si>
  <si>
    <t>ASTRAMICRO</t>
  </si>
  <si>
    <t>ASTRAZEN</t>
  </si>
  <si>
    <t>ATFL</t>
  </si>
  <si>
    <t>ATLANTA</t>
  </si>
  <si>
    <t>ATLASCYCLE</t>
  </si>
  <si>
    <t>ATUL</t>
  </si>
  <si>
    <t>ATULAUTO</t>
  </si>
  <si>
    <t>AURIONPRO</t>
  </si>
  <si>
    <t>AUSTRAL</t>
  </si>
  <si>
    <t>AUTOAXLES</t>
  </si>
  <si>
    <t>AUTOIND</t>
  </si>
  <si>
    <t>AUTOLITIND</t>
  </si>
  <si>
    <t>AVTNPL</t>
  </si>
  <si>
    <t>AXISBANK</t>
  </si>
  <si>
    <t>AXISCADES</t>
  </si>
  <si>
    <t>BAFNAPHARM</t>
  </si>
  <si>
    <t>BAGFILMS</t>
  </si>
  <si>
    <t>BAJAJ-AUTO</t>
  </si>
  <si>
    <t>BAJAJCORP</t>
  </si>
  <si>
    <t>BAJAJELEC</t>
  </si>
  <si>
    <t>BAJAJHIND</t>
  </si>
  <si>
    <t>BAJAJHLDNG</t>
  </si>
  <si>
    <t>BALAJITELE</t>
  </si>
  <si>
    <t>BALAMINES</t>
  </si>
  <si>
    <t>BALKRISIND</t>
  </si>
  <si>
    <t>BALLARPUR</t>
  </si>
  <si>
    <t>BALMLAWRIE</t>
  </si>
  <si>
    <t>BALPHARMA</t>
  </si>
  <si>
    <t>BALRAMCHIN</t>
  </si>
  <si>
    <t>BANARBEADS</t>
  </si>
  <si>
    <t>BANARISUG</t>
  </si>
  <si>
    <t>BANCOINDIA</t>
  </si>
  <si>
    <t>BANG</t>
  </si>
  <si>
    <t>BANKBARODA</t>
  </si>
  <si>
    <t>BANSWRAS</t>
  </si>
  <si>
    <t>BARTRONICS</t>
  </si>
  <si>
    <t>BASF</t>
  </si>
  <si>
    <t>BASML</t>
  </si>
  <si>
    <t>BBL</t>
  </si>
  <si>
    <t>BBTC</t>
  </si>
  <si>
    <t>BEDMUTHA</t>
  </si>
  <si>
    <t>BEML</t>
  </si>
  <si>
    <t>BEPL</t>
  </si>
  <si>
    <t>BERGEPAINT</t>
  </si>
  <si>
    <t>BFINVEST</t>
  </si>
  <si>
    <t>BFUTILITIE</t>
  </si>
  <si>
    <t>BGLOBAL</t>
  </si>
  <si>
    <t>BGRENERGY</t>
  </si>
  <si>
    <t>BHARATGEAR</t>
  </si>
  <si>
    <t>BHARATRAS</t>
  </si>
  <si>
    <t>BHARTIARTL</t>
  </si>
  <si>
    <t>BIL</t>
  </si>
  <si>
    <t>BILENERGY</t>
  </si>
  <si>
    <t>BINANIIND</t>
  </si>
  <si>
    <t>BINDALAGRO</t>
  </si>
  <si>
    <t>BIRLACORPN</t>
  </si>
  <si>
    <t>BIRLAMONEY</t>
  </si>
  <si>
    <t>BLBLIMITED</t>
  </si>
  <si>
    <t>BLISSGVS</t>
  </si>
  <si>
    <t>BLKASHYAP</t>
  </si>
  <si>
    <t>BLUEDART</t>
  </si>
  <si>
    <t>BLUESTARCO</t>
  </si>
  <si>
    <t>BODALCHEM</t>
  </si>
  <si>
    <t>BOMDYEING</t>
  </si>
  <si>
    <t>BOSCHLTD</t>
  </si>
  <si>
    <t>BPCL</t>
  </si>
  <si>
    <t>BPL</t>
  </si>
  <si>
    <t>BRFL</t>
  </si>
  <si>
    <t>BRIGADE</t>
  </si>
  <si>
    <t>BROOKS</t>
  </si>
  <si>
    <t>BSELINFRA</t>
  </si>
  <si>
    <t>BSL</t>
  </si>
  <si>
    <t>BSLIMITED</t>
  </si>
  <si>
    <t>BURNPUR</t>
  </si>
  <si>
    <t>BUTTERFLY</t>
  </si>
  <si>
    <t>BVCL</t>
  </si>
  <si>
    <t>CALSOFT</t>
  </si>
  <si>
    <t>CANDC</t>
  </si>
  <si>
    <t>CANFINHOME</t>
  </si>
  <si>
    <t>CANTABIL</t>
  </si>
  <si>
    <t>CAPF</t>
  </si>
  <si>
    <t>CAPLIPOINT</t>
  </si>
  <si>
    <t>CARBORUNIV</t>
  </si>
  <si>
    <t>CAREERP</t>
  </si>
  <si>
    <t>CARERATING</t>
  </si>
  <si>
    <t>CASTROLIND</t>
  </si>
  <si>
    <t>CCCL</t>
  </si>
  <si>
    <t>CCL</t>
  </si>
  <si>
    <t>CEATLTD</t>
  </si>
  <si>
    <t>CEBBCO</t>
  </si>
  <si>
    <t>CELEBRITY</t>
  </si>
  <si>
    <t>CELESTIAL</t>
  </si>
  <si>
    <t>CENTENKA</t>
  </si>
  <si>
    <t>CENTEXT</t>
  </si>
  <si>
    <t>CENTRALBK</t>
  </si>
  <si>
    <t>CENTUM</t>
  </si>
  <si>
    <t>CENTURYPLY</t>
  </si>
  <si>
    <t>CERA</t>
  </si>
  <si>
    <t>CEREBRAINT</t>
  </si>
  <si>
    <t>CGCL</t>
  </si>
  <si>
    <t>CHAMBLFERT</t>
  </si>
  <si>
    <t>CHENNPETRO</t>
  </si>
  <si>
    <t>CHROMATIC</t>
  </si>
  <si>
    <t>CIGNITITEC</t>
  </si>
  <si>
    <t>CIMMCO</t>
  </si>
  <si>
    <t>CINELINE</t>
  </si>
  <si>
    <t>CINEVISTA</t>
  </si>
  <si>
    <t>CIPLA</t>
  </si>
  <si>
    <t>CLNINDIA</t>
  </si>
  <si>
    <t>COALINDIA</t>
  </si>
  <si>
    <t>COLPAL</t>
  </si>
  <si>
    <t>COMPUSOFT</t>
  </si>
  <si>
    <t>CONSOFINVT</t>
  </si>
  <si>
    <t>CORDSCABLE</t>
  </si>
  <si>
    <t>COROMANDEL</t>
  </si>
  <si>
    <t>CORPBANK</t>
  </si>
  <si>
    <t>COSMOFILMS</t>
  </si>
  <si>
    <t>COUNCODOS</t>
  </si>
  <si>
    <t>COX&amp;KINGS</t>
  </si>
  <si>
    <t>CREATIVEYE</t>
  </si>
  <si>
    <t>CREST</t>
  </si>
  <si>
    <t>CTE</t>
  </si>
  <si>
    <t>CUB</t>
  </si>
  <si>
    <t>CUBEXTUB</t>
  </si>
  <si>
    <t>CUMMINSIND</t>
  </si>
  <si>
    <t>CURATECH</t>
  </si>
  <si>
    <t>CYBERTECH</t>
  </si>
  <si>
    <t>CYIENT</t>
  </si>
  <si>
    <t>DAAWAT</t>
  </si>
  <si>
    <t>DABUR</t>
  </si>
  <si>
    <t>DALMIABHA</t>
  </si>
  <si>
    <t>DALMIASUG</t>
  </si>
  <si>
    <t>DATAMATICS</t>
  </si>
  <si>
    <t>DBCORP</t>
  </si>
  <si>
    <t>DBREALTY</t>
  </si>
  <si>
    <t>DBSTOCKBRO</t>
  </si>
  <si>
    <t>DCBBANK</t>
  </si>
  <si>
    <t>DCM</t>
  </si>
  <si>
    <t>DCMSHRIRAM</t>
  </si>
  <si>
    <t>DCW</t>
  </si>
  <si>
    <t>DECCANCE</t>
  </si>
  <si>
    <t>DEEPAKFERT</t>
  </si>
  <si>
    <t>DEEPAKNTR</t>
  </si>
  <si>
    <t>DEEPIND</t>
  </si>
  <si>
    <t>DELTACORP</t>
  </si>
  <si>
    <t>DEN</t>
  </si>
  <si>
    <t>DENORA</t>
  </si>
  <si>
    <t>DHAMPURSUG</t>
  </si>
  <si>
    <t>DHANBANK</t>
  </si>
  <si>
    <t>DHANUKA</t>
  </si>
  <si>
    <t>DHARSUGAR</t>
  </si>
  <si>
    <t>DHFL</t>
  </si>
  <si>
    <t>DHUNINV</t>
  </si>
  <si>
    <t>DIAPOWER</t>
  </si>
  <si>
    <t>DICIND</t>
  </si>
  <si>
    <t>DISHMAN</t>
  </si>
  <si>
    <t>DISHTV</t>
  </si>
  <si>
    <t>DLF</t>
  </si>
  <si>
    <t>DLINKINDIA</t>
  </si>
  <si>
    <t>DOLPHINOFF</t>
  </si>
  <si>
    <t>DONEAR</t>
  </si>
  <si>
    <t>DPL</t>
  </si>
  <si>
    <t>DPSCLTD</t>
  </si>
  <si>
    <t>DQE</t>
  </si>
  <si>
    <t>DREDGECORP</t>
  </si>
  <si>
    <t>DRREDDY</t>
  </si>
  <si>
    <t>DSKULKARNI</t>
  </si>
  <si>
    <t>DWARKESH</t>
  </si>
  <si>
    <t>DYNAMATECH</t>
  </si>
  <si>
    <t>EASTSILK</t>
  </si>
  <si>
    <t>EASUNREYRL</t>
  </si>
  <si>
    <t>ECEIND</t>
  </si>
  <si>
    <t>ECLERX</t>
  </si>
  <si>
    <t>EDELWEISS</t>
  </si>
  <si>
    <t>EDL</t>
  </si>
  <si>
    <t>EDUCOMP</t>
  </si>
  <si>
    <t>EIDPARRY</t>
  </si>
  <si>
    <t>EIHAHOTELS</t>
  </si>
  <si>
    <t>EIHOTEL</t>
  </si>
  <si>
    <t>EIMCOELECO</t>
  </si>
  <si>
    <t>EKC</t>
  </si>
  <si>
    <t>ELECON</t>
  </si>
  <si>
    <t>ELECTCAST</t>
  </si>
  <si>
    <t>ELECTHERM</t>
  </si>
  <si>
    <t>ELGIEQUIP</t>
  </si>
  <si>
    <t>ELGIRUBCO</t>
  </si>
  <si>
    <t>EMAMIINFRA</t>
  </si>
  <si>
    <t>EMCO</t>
  </si>
  <si>
    <t>EMKAY</t>
  </si>
  <si>
    <t>EMMBI</t>
  </si>
  <si>
    <t>ENERGYDEV</t>
  </si>
  <si>
    <t>ENGINERSIN</t>
  </si>
  <si>
    <t>ENIL</t>
  </si>
  <si>
    <t>EON</t>
  </si>
  <si>
    <t>EROSMEDIA</t>
  </si>
  <si>
    <t>ESABINDIA</t>
  </si>
  <si>
    <t>ESCORTS</t>
  </si>
  <si>
    <t>ESL</t>
  </si>
  <si>
    <t>ESSARSHPNG</t>
  </si>
  <si>
    <t>ESSDEE</t>
  </si>
  <si>
    <t>ESSELPACK</t>
  </si>
  <si>
    <t>ESTER</t>
  </si>
  <si>
    <t>EUROCERA</t>
  </si>
  <si>
    <t>EUROTEXIND</t>
  </si>
  <si>
    <t>EVEREADY</t>
  </si>
  <si>
    <t>EVERESTIND</t>
  </si>
  <si>
    <t>EXCELCROP</t>
  </si>
  <si>
    <t>EXCELINDUS</t>
  </si>
  <si>
    <t>FACT</t>
  </si>
  <si>
    <t>FAGBEARING</t>
  </si>
  <si>
    <t>FCSSOFT</t>
  </si>
  <si>
    <t>FDC</t>
  </si>
  <si>
    <t>FEDDERLOYD</t>
  </si>
  <si>
    <t>FEDERALBNK</t>
  </si>
  <si>
    <t>FIEMIND</t>
  </si>
  <si>
    <t>FILATEX</t>
  </si>
  <si>
    <t>FINCABLES</t>
  </si>
  <si>
    <t>FINPIPE</t>
  </si>
  <si>
    <t>FLEXITUFF</t>
  </si>
  <si>
    <t>FLFL</t>
  </si>
  <si>
    <t>FMGOETZE</t>
  </si>
  <si>
    <t>FMNL</t>
  </si>
  <si>
    <t>FORTIS</t>
  </si>
  <si>
    <t>FOSECOIND</t>
  </si>
  <si>
    <t>FSL</t>
  </si>
  <si>
    <t>GABRIEL</t>
  </si>
  <si>
    <t>GAEL</t>
  </si>
  <si>
    <t>GAIL</t>
  </si>
  <si>
    <t>GAL</t>
  </si>
  <si>
    <t>GALLANTT</t>
  </si>
  <si>
    <t>GALLISPAT</t>
  </si>
  <si>
    <t>GAMMNINFRA</t>
  </si>
  <si>
    <t>GAMMONIND</t>
  </si>
  <si>
    <t>GANDHITUBE</t>
  </si>
  <si>
    <t>GANESHHOUC</t>
  </si>
  <si>
    <t>GANGOTRI</t>
  </si>
  <si>
    <t>GARDENSILK</t>
  </si>
  <si>
    <t>GARWALLROP</t>
  </si>
  <si>
    <t>GATI</t>
  </si>
  <si>
    <t>GAYAPROJ</t>
  </si>
  <si>
    <t>GDL</t>
  </si>
  <si>
    <t>GEECEE</t>
  </si>
  <si>
    <t>GEMINI</t>
  </si>
  <si>
    <t>GENESYS</t>
  </si>
  <si>
    <t>GENUSPOWER</t>
  </si>
  <si>
    <t>GHCL</t>
  </si>
  <si>
    <t>GICHSGFIN</t>
  </si>
  <si>
    <t>GILLANDERS</t>
  </si>
  <si>
    <t>GILLETTE</t>
  </si>
  <si>
    <t>GINNIFILA</t>
  </si>
  <si>
    <t>GIPCL</t>
  </si>
  <si>
    <t>GITANJALI</t>
  </si>
  <si>
    <t>GKWLIMITED</t>
  </si>
  <si>
    <t>GLAXO</t>
  </si>
  <si>
    <t>GLOBALVECT</t>
  </si>
  <si>
    <t>GLOBOFFS</t>
  </si>
  <si>
    <t>GLOBUSSPR</t>
  </si>
  <si>
    <t>GMBREW</t>
  </si>
  <si>
    <t>GMDCLTD</t>
  </si>
  <si>
    <t>GNFC</t>
  </si>
  <si>
    <t>GOACARBON</t>
  </si>
  <si>
    <t>GODFRYPHLP</t>
  </si>
  <si>
    <t>GODREJCP</t>
  </si>
  <si>
    <t>GODREJPROP</t>
  </si>
  <si>
    <t>GOENKA</t>
  </si>
  <si>
    <t>GOKEX</t>
  </si>
  <si>
    <t>GOKUL</t>
  </si>
  <si>
    <t>GOLDENTOBC</t>
  </si>
  <si>
    <t>GOLDIAM</t>
  </si>
  <si>
    <t>GOLDINFRA</t>
  </si>
  <si>
    <t>GOLDTECH</t>
  </si>
  <si>
    <t>GPIL</t>
  </si>
  <si>
    <t>GPPL</t>
  </si>
  <si>
    <t>GRANULES</t>
  </si>
  <si>
    <t>GRAPHITE</t>
  </si>
  <si>
    <t>GRASIM</t>
  </si>
  <si>
    <t>GRAVITA</t>
  </si>
  <si>
    <t>GREAVESCOT</t>
  </si>
  <si>
    <t>GREENPLY</t>
  </si>
  <si>
    <t>GREENPOWER</t>
  </si>
  <si>
    <t>GRINDWELL</t>
  </si>
  <si>
    <t>GRUH</t>
  </si>
  <si>
    <t>GSCLCEMENT</t>
  </si>
  <si>
    <t>GSFC</t>
  </si>
  <si>
    <t>GSS</t>
  </si>
  <si>
    <t>GTL</t>
  </si>
  <si>
    <t>GTLINFRA</t>
  </si>
  <si>
    <t>GTNIND</t>
  </si>
  <si>
    <t>GTNTEX</t>
  </si>
  <si>
    <t>GTOFFSHORE</t>
  </si>
  <si>
    <t>GUFICBIO</t>
  </si>
  <si>
    <t>GUJALKALI</t>
  </si>
  <si>
    <t>GUJAPOLLO</t>
  </si>
  <si>
    <t>GUJFLUORO</t>
  </si>
  <si>
    <t>GUJNRECOKE</t>
  </si>
  <si>
    <t>GULFOILLUB</t>
  </si>
  <si>
    <t>GVKPIL</t>
  </si>
  <si>
    <t>HANUNG</t>
  </si>
  <si>
    <t>HARITASEAT</t>
  </si>
  <si>
    <t>HARRMALAYA</t>
  </si>
  <si>
    <t>HATHWAY</t>
  </si>
  <si>
    <t>HATSUN</t>
  </si>
  <si>
    <t>HBLPOWER</t>
  </si>
  <si>
    <t>HBSTOCK</t>
  </si>
  <si>
    <t>HCC</t>
  </si>
  <si>
    <t>HCL-INSYS</t>
  </si>
  <si>
    <t>HCLTECH</t>
  </si>
  <si>
    <t>HDFC</t>
  </si>
  <si>
    <t>HDFCBANK</t>
  </si>
  <si>
    <t>HEG</t>
  </si>
  <si>
    <t>HEIDELBERG</t>
  </si>
  <si>
    <t>HERCULES</t>
  </si>
  <si>
    <t>HERITGFOOD</t>
  </si>
  <si>
    <t>HEROMOTOCO</t>
  </si>
  <si>
    <t>HEXATRADEX</t>
  </si>
  <si>
    <t>HEXAWARE</t>
  </si>
  <si>
    <t>HFCL</t>
  </si>
  <si>
    <t>HGS</t>
  </si>
  <si>
    <t>HIKAL</t>
  </si>
  <si>
    <t>HIL</t>
  </si>
  <si>
    <t>HILTON</t>
  </si>
  <si>
    <t>HIMATSEIDE</t>
  </si>
  <si>
    <t>HINDALCO</t>
  </si>
  <si>
    <t>HINDCOMPOS</t>
  </si>
  <si>
    <t>HINDCOPPER</t>
  </si>
  <si>
    <t>HINDDORROL</t>
  </si>
  <si>
    <t>HINDMOTORS</t>
  </si>
  <si>
    <t>HINDNATGLS</t>
  </si>
  <si>
    <t>HINDOILEXP</t>
  </si>
  <si>
    <t>HINDSYNTEX</t>
  </si>
  <si>
    <t>HINDUJAFO</t>
  </si>
  <si>
    <t>HINDUJAVEN</t>
  </si>
  <si>
    <t>HINDUNILVR</t>
  </si>
  <si>
    <t>HIRECT</t>
  </si>
  <si>
    <t>HITECHGEAR</t>
  </si>
  <si>
    <t>HMT</t>
  </si>
  <si>
    <t>HMVL</t>
  </si>
  <si>
    <t>HOCL</t>
  </si>
  <si>
    <t>HONAUT</t>
  </si>
  <si>
    <t>HONDAPOWER</t>
  </si>
  <si>
    <t>HOTELEELA</t>
  </si>
  <si>
    <t>HOVS</t>
  </si>
  <si>
    <t>HSIL</t>
  </si>
  <si>
    <t>HTMEDIA</t>
  </si>
  <si>
    <t>HUBTOWN</t>
  </si>
  <si>
    <t>IBREALEST</t>
  </si>
  <si>
    <t>ICIL</t>
  </si>
  <si>
    <t>ICRA</t>
  </si>
  <si>
    <t>ICSA</t>
  </si>
  <si>
    <t>IDEA</t>
  </si>
  <si>
    <t>IDFC</t>
  </si>
  <si>
    <t>IFBAGRO</t>
  </si>
  <si>
    <t>IFBIND</t>
  </si>
  <si>
    <t>IFGLREFRAC</t>
  </si>
  <si>
    <t>IGARASHI</t>
  </si>
  <si>
    <t>IGPL</t>
  </si>
  <si>
    <t>IIFL</t>
  </si>
  <si>
    <t>IITL</t>
  </si>
  <si>
    <t>IL&amp;FSENGG</t>
  </si>
  <si>
    <t>IL&amp;FSTRANS</t>
  </si>
  <si>
    <t>IMFA</t>
  </si>
  <si>
    <t>IMPAL</t>
  </si>
  <si>
    <t>IMPEXFERRO</t>
  </si>
  <si>
    <t>INDBANK</t>
  </si>
  <si>
    <t>INDIACEM</t>
  </si>
  <si>
    <t>INDIAGLYCO</t>
  </si>
  <si>
    <t>INDIANB</t>
  </si>
  <si>
    <t>INDIANCARD</t>
  </si>
  <si>
    <t>INDIANHUME</t>
  </si>
  <si>
    <t>INDLMETER</t>
  </si>
  <si>
    <t>INDNIPPON</t>
  </si>
  <si>
    <t>INDOCO</t>
  </si>
  <si>
    <t>INDORAMA</t>
  </si>
  <si>
    <t>INDOSOLAR</t>
  </si>
  <si>
    <t>INDOTECH</t>
  </si>
  <si>
    <t>INDOTHAI</t>
  </si>
  <si>
    <t>INDOWIND</t>
  </si>
  <si>
    <t>INDRAMEDCO</t>
  </si>
  <si>
    <t>INDSWFTLAB</t>
  </si>
  <si>
    <t>INDSWFTLTD</t>
  </si>
  <si>
    <t>INDTERRAIN</t>
  </si>
  <si>
    <t>INDUSINDBK</t>
  </si>
  <si>
    <t>INFINITE</t>
  </si>
  <si>
    <t>INFOMEDIA</t>
  </si>
  <si>
    <t>INGERRAND</t>
  </si>
  <si>
    <t>INOXLEISUR</t>
  </si>
  <si>
    <t>INSECTICID</t>
  </si>
  <si>
    <t>INVENTURE</t>
  </si>
  <si>
    <t>IOB</t>
  </si>
  <si>
    <t>IOLCP</t>
  </si>
  <si>
    <t>IPAPPM</t>
  </si>
  <si>
    <t>ISFT</t>
  </si>
  <si>
    <t>ISMTLTD</t>
  </si>
  <si>
    <t>ITC</t>
  </si>
  <si>
    <t>ITDCEM</t>
  </si>
  <si>
    <t>ITI</t>
  </si>
  <si>
    <t>IVC</t>
  </si>
  <si>
    <t>IVP</t>
  </si>
  <si>
    <t>IVRCLINFRA</t>
  </si>
  <si>
    <t>JAGRAN</t>
  </si>
  <si>
    <t>JAGSNPHARM</t>
  </si>
  <si>
    <t>JAIBALAJI</t>
  </si>
  <si>
    <t>JAICORPLTD</t>
  </si>
  <si>
    <t>JAIHINDPRO</t>
  </si>
  <si>
    <t>JAMNAAUTO</t>
  </si>
  <si>
    <t>JAYAGROGN</t>
  </si>
  <si>
    <t>JAYBARMARU</t>
  </si>
  <si>
    <t>JAYNECOIND</t>
  </si>
  <si>
    <t>JAYSREETEA</t>
  </si>
  <si>
    <t>JBCHEPHARM</t>
  </si>
  <si>
    <t>JBFIND</t>
  </si>
  <si>
    <t>JBMA</t>
  </si>
  <si>
    <t>JENSONICOL</t>
  </si>
  <si>
    <t>JETAIRWAYS</t>
  </si>
  <si>
    <t>JHS</t>
  </si>
  <si>
    <t>JINDALPHOT</t>
  </si>
  <si>
    <t>JINDALPOLY</t>
  </si>
  <si>
    <t>JINDALSAW</t>
  </si>
  <si>
    <t>JINDALSTEL</t>
  </si>
  <si>
    <t>JINDCOT</t>
  </si>
  <si>
    <t>JINDRILL</t>
  </si>
  <si>
    <t>JINDWORLD</t>
  </si>
  <si>
    <t>JKCEMENT</t>
  </si>
  <si>
    <t>JKIL</t>
  </si>
  <si>
    <t>JKLAKSHMI</t>
  </si>
  <si>
    <t>JKPAPER</t>
  </si>
  <si>
    <t>JKTYRE</t>
  </si>
  <si>
    <t>JMCPROJECT</t>
  </si>
  <si>
    <t>JMFINANCIL</t>
  </si>
  <si>
    <t>JMTAUTOLTD</t>
  </si>
  <si>
    <t>JOCIL</t>
  </si>
  <si>
    <t>JPINFRATEC</t>
  </si>
  <si>
    <t>JPOLYINVST</t>
  </si>
  <si>
    <t>JPPOWER</t>
  </si>
  <si>
    <t>JSL</t>
  </si>
  <si>
    <t>JSWHL</t>
  </si>
  <si>
    <t>JSWSTEEL</t>
  </si>
  <si>
    <t>JUBILANT</t>
  </si>
  <si>
    <t>JUBLINDS</t>
  </si>
  <si>
    <t>JVLAGRO</t>
  </si>
  <si>
    <t>JYOTHYLAB</t>
  </si>
  <si>
    <t>JYOTISTRUC</t>
  </si>
  <si>
    <t>KABRAEXTRU</t>
  </si>
  <si>
    <t>KAJARIACER</t>
  </si>
  <si>
    <t>KAKATCEM</t>
  </si>
  <si>
    <t>KALPATPOWR</t>
  </si>
  <si>
    <t>KALYANIFRG</t>
  </si>
  <si>
    <t>KAMATHOTEL</t>
  </si>
  <si>
    <t>KANORICHEM</t>
  </si>
  <si>
    <t>KARMAENG</t>
  </si>
  <si>
    <t>KAUSHALYA</t>
  </si>
  <si>
    <t>KAVVERITEL</t>
  </si>
  <si>
    <t>KCP</t>
  </si>
  <si>
    <t>KCPSUGIND</t>
  </si>
  <si>
    <t>KEC</t>
  </si>
  <si>
    <t>KECL</t>
  </si>
  <si>
    <t>KEI</t>
  </si>
  <si>
    <t>KERNEX</t>
  </si>
  <si>
    <t>KESARENT</t>
  </si>
  <si>
    <t>KESORAMIND</t>
  </si>
  <si>
    <t>KGL</t>
  </si>
  <si>
    <t>KHAITANELE</t>
  </si>
  <si>
    <t>KHANDSE</t>
  </si>
  <si>
    <t>KICL</t>
  </si>
  <si>
    <t>KILITCH</t>
  </si>
  <si>
    <t>KIRIINDUS</t>
  </si>
  <si>
    <t>KIRLOSBROS</t>
  </si>
  <si>
    <t>KIRLOSENG</t>
  </si>
  <si>
    <t>KIRLOSIND</t>
  </si>
  <si>
    <t>KITEX</t>
  </si>
  <si>
    <t>KKCL</t>
  </si>
  <si>
    <t>KMSUGAR</t>
  </si>
  <si>
    <t>KNRCON</t>
  </si>
  <si>
    <t>KOHINOOR</t>
  </si>
  <si>
    <t>KOKUYOCMLN</t>
  </si>
  <si>
    <t>KOLTEPATIL</t>
  </si>
  <si>
    <t>KOPRAN</t>
  </si>
  <si>
    <t>KOTAKBANK</t>
  </si>
  <si>
    <t>KOTARISUG</t>
  </si>
  <si>
    <t>KOTHARIPET</t>
  </si>
  <si>
    <t>KOTHARIPRO</t>
  </si>
  <si>
    <t>KPRMILL</t>
  </si>
  <si>
    <t>KSBPUMPS</t>
  </si>
  <si>
    <t>KSCL</t>
  </si>
  <si>
    <t>KSERASERA</t>
  </si>
  <si>
    <t>KSK</t>
  </si>
  <si>
    <t>KSL</t>
  </si>
  <si>
    <t>KTIL</t>
  </si>
  <si>
    <t>KWALITY</t>
  </si>
  <si>
    <t>LAKPRE</t>
  </si>
  <si>
    <t>LAKSHMIEFL</t>
  </si>
  <si>
    <t>LAKSHVILAS</t>
  </si>
  <si>
    <t>LAOPALA</t>
  </si>
  <si>
    <t>LAXMIMACH</t>
  </si>
  <si>
    <t>LGBBROSLTD</t>
  </si>
  <si>
    <t>LGBFORGE</t>
  </si>
  <si>
    <t>LIBERTSHOE</t>
  </si>
  <si>
    <t>LICHSGFIN</t>
  </si>
  <si>
    <t>LINDEINDIA</t>
  </si>
  <si>
    <t>LITL</t>
  </si>
  <si>
    <t>LLOYDELENG</t>
  </si>
  <si>
    <t>LML</t>
  </si>
  <si>
    <t>LOKESHMACH</t>
  </si>
  <si>
    <t>LOTUSEYE</t>
  </si>
  <si>
    <t>LOVABLE</t>
  </si>
  <si>
    <t>LPDC</t>
  </si>
  <si>
    <t>LUMAXIND</t>
  </si>
  <si>
    <t>LUMAXTECH</t>
  </si>
  <si>
    <t>LUPIN</t>
  </si>
  <si>
    <t>LYKALABS</t>
  </si>
  <si>
    <t>LYPSAGEMS</t>
  </si>
  <si>
    <t>M&amp;M</t>
  </si>
  <si>
    <t>MAANALU</t>
  </si>
  <si>
    <t>MADHAV</t>
  </si>
  <si>
    <t>MADHUCON</t>
  </si>
  <si>
    <t>MADRASFERT</t>
  </si>
  <si>
    <t>MAGMA</t>
  </si>
  <si>
    <t>MAGNUM</t>
  </si>
  <si>
    <t>MAHABANK</t>
  </si>
  <si>
    <t>MAHINDCIE</t>
  </si>
  <si>
    <t>MAHLIFE</t>
  </si>
  <si>
    <t>MAHSCOOTER</t>
  </si>
  <si>
    <t>MAHSEAMLES</t>
  </si>
  <si>
    <t>MAITHANALL</t>
  </si>
  <si>
    <t>MALUPAPER</t>
  </si>
  <si>
    <t>MALWACOTT</t>
  </si>
  <si>
    <t>MANAKSIA</t>
  </si>
  <si>
    <t>MANALIPETC</t>
  </si>
  <si>
    <t>MANDHANA</t>
  </si>
  <si>
    <t>MANGALAM</t>
  </si>
  <si>
    <t>MANGCHEFER</t>
  </si>
  <si>
    <t>MANGLMCEM</t>
  </si>
  <si>
    <t>MANGTIMBER</t>
  </si>
  <si>
    <t>MANINDS</t>
  </si>
  <si>
    <t>MANINFRA</t>
  </si>
  <si>
    <t>MANUGRAPH</t>
  </si>
  <si>
    <t>MARALOVER</t>
  </si>
  <si>
    <t>MARICO</t>
  </si>
  <si>
    <t>MARKSANS</t>
  </si>
  <si>
    <t>MARUTI</t>
  </si>
  <si>
    <t>MASTEK</t>
  </si>
  <si>
    <t>MAWANASUG</t>
  </si>
  <si>
    <t>MAYURUNIQ</t>
  </si>
  <si>
    <t>MBECL</t>
  </si>
  <si>
    <t>MBLINFRA</t>
  </si>
  <si>
    <t>MCDHOLDING</t>
  </si>
  <si>
    <t>MCDOWELL-N</t>
  </si>
  <si>
    <t>MCLEODRUSS</t>
  </si>
  <si>
    <t>MEGASOFT</t>
  </si>
  <si>
    <t>MEGH</t>
  </si>
  <si>
    <t>MERCATOR</t>
  </si>
  <si>
    <t>MERCK</t>
  </si>
  <si>
    <t>METKORE</t>
  </si>
  <si>
    <t>MHRIL</t>
  </si>
  <si>
    <t>MIC</t>
  </si>
  <si>
    <t>MINDACORP</t>
  </si>
  <si>
    <t>MINDAIND</t>
  </si>
  <si>
    <t>MIRCELECTR</t>
  </si>
  <si>
    <t>MIRZAINT</t>
  </si>
  <si>
    <t>MMFL</t>
  </si>
  <si>
    <t>MMTC</t>
  </si>
  <si>
    <t>MOHITIND</t>
  </si>
  <si>
    <t>MOIL</t>
  </si>
  <si>
    <t>MONNETISPA</t>
  </si>
  <si>
    <t>MONSANTO</t>
  </si>
  <si>
    <t>MORARJEE</t>
  </si>
  <si>
    <t>MOREPENLAB</t>
  </si>
  <si>
    <t>MOSERBAER</t>
  </si>
  <si>
    <t>MOTILALOFS</t>
  </si>
  <si>
    <t>MOTOGENFIN</t>
  </si>
  <si>
    <t>MPSLTD</t>
  </si>
  <si>
    <t>MRO-TEK</t>
  </si>
  <si>
    <t>MRPL</t>
  </si>
  <si>
    <t>MSPL</t>
  </si>
  <si>
    <t>MTEDUCARE</t>
  </si>
  <si>
    <t>MTNL</t>
  </si>
  <si>
    <t>MUKANDENGG</t>
  </si>
  <si>
    <t>MUKANDLTD</t>
  </si>
  <si>
    <t>MUKTAARTS</t>
  </si>
  <si>
    <t>MUNJALAU</t>
  </si>
  <si>
    <t>MUNJALSHOW</t>
  </si>
  <si>
    <t>MURUDCERA</t>
  </si>
  <si>
    <t>MUTHOOTFIN</t>
  </si>
  <si>
    <t>MVL</t>
  </si>
  <si>
    <t>NAGAROIL</t>
  </si>
  <si>
    <t>NAHARCAP</t>
  </si>
  <si>
    <t>NAHARINDUS</t>
  </si>
  <si>
    <t>NAHARPOLY</t>
  </si>
  <si>
    <t>NAHARSPING</t>
  </si>
  <si>
    <t>NAKODA</t>
  </si>
  <si>
    <t>NATCOPHARM</t>
  </si>
  <si>
    <t>NATHBIOGEN</t>
  </si>
  <si>
    <t>NATIONALUM</t>
  </si>
  <si>
    <t>NATNLSTEEL</t>
  </si>
  <si>
    <t>NAUKRI</t>
  </si>
  <si>
    <t>NAVINFLUOR</t>
  </si>
  <si>
    <t>NAVNETEDUL</t>
  </si>
  <si>
    <t>NBCC</t>
  </si>
  <si>
    <t>NBVENTURES</t>
  </si>
  <si>
    <t>NCC</t>
  </si>
  <si>
    <t>NCLIND</t>
  </si>
  <si>
    <t>NDL</t>
  </si>
  <si>
    <t>NDTV</t>
  </si>
  <si>
    <t>NECLIFE</t>
  </si>
  <si>
    <t>NELCAST</t>
  </si>
  <si>
    <t>NELCO</t>
  </si>
  <si>
    <t>NESCO</t>
  </si>
  <si>
    <t>NET4</t>
  </si>
  <si>
    <t>NETWORK18</t>
  </si>
  <si>
    <t>NEULANDLAB</t>
  </si>
  <si>
    <t>NEXTMEDIA</t>
  </si>
  <si>
    <t>NFL</t>
  </si>
  <si>
    <t>NIBL</t>
  </si>
  <si>
    <t>NICCO</t>
  </si>
  <si>
    <t>NIITLTD</t>
  </si>
  <si>
    <t>NIITTECH</t>
  </si>
  <si>
    <t>NILKAMAL</t>
  </si>
  <si>
    <t>NIPPOBATRY</t>
  </si>
  <si>
    <t>NITCO</t>
  </si>
  <si>
    <t>NITESHEST</t>
  </si>
  <si>
    <t>NITINFIRE</t>
  </si>
  <si>
    <t>NITINSPIN</t>
  </si>
  <si>
    <t>NOCIL</t>
  </si>
  <si>
    <t>NOIDATOLL</t>
  </si>
  <si>
    <t>NRBBEARING</t>
  </si>
  <si>
    <t>NSIL</t>
  </si>
  <si>
    <t>NTPC</t>
  </si>
  <si>
    <t>NUCLEUS</t>
  </si>
  <si>
    <t>NUTEK</t>
  </si>
  <si>
    <t>OBEROIRLTY</t>
  </si>
  <si>
    <t>OCL</t>
  </si>
  <si>
    <t>OILCOUNTUB</t>
  </si>
  <si>
    <t>OISL</t>
  </si>
  <si>
    <t>OMAXAUTO</t>
  </si>
  <si>
    <t>OMAXE</t>
  </si>
  <si>
    <t>OMKARCHEM</t>
  </si>
  <si>
    <t>OMMETALS</t>
  </si>
  <si>
    <t>ONELIFECAP</t>
  </si>
  <si>
    <t>ONGC</t>
  </si>
  <si>
    <t>ONMOBILE</t>
  </si>
  <si>
    <t>ONWARDTEC</t>
  </si>
  <si>
    <t>OPTOCIRCUI</t>
  </si>
  <si>
    <t>ORBITCORP</t>
  </si>
  <si>
    <t>ORBTEXP</t>
  </si>
  <si>
    <t>ORIENTABRA</t>
  </si>
  <si>
    <t>ORIENTBELL</t>
  </si>
  <si>
    <t>ORIENTCEM</t>
  </si>
  <si>
    <t>ORIENTHOT</t>
  </si>
  <si>
    <t>ORIENTLTD</t>
  </si>
  <si>
    <t>ORIENTPPR</t>
  </si>
  <si>
    <t>ORIENTREF</t>
  </si>
  <si>
    <t>ORISSAMINE</t>
  </si>
  <si>
    <t>PAEL</t>
  </si>
  <si>
    <t>PAGEIND</t>
  </si>
  <si>
    <t>PANACEABIO</t>
  </si>
  <si>
    <t>PANAMAPET</t>
  </si>
  <si>
    <t>PANORAMUNI</t>
  </si>
  <si>
    <t>PAPERPROD</t>
  </si>
  <si>
    <t>PARABDRUGS</t>
  </si>
  <si>
    <t>PARACABLES</t>
  </si>
  <si>
    <t>PARSVNATH</t>
  </si>
  <si>
    <t>PATELENG</t>
  </si>
  <si>
    <t>PATINTLOG</t>
  </si>
  <si>
    <t>PATSPINLTD</t>
  </si>
  <si>
    <t>PBAINFRA</t>
  </si>
  <si>
    <t>PCJEWELLER</t>
  </si>
  <si>
    <t>PDPL</t>
  </si>
  <si>
    <t>PDSMFL</t>
  </si>
  <si>
    <t>PDUMJEPULP</t>
  </si>
  <si>
    <t>PEARLPOLY</t>
  </si>
  <si>
    <t>PENIND</t>
  </si>
  <si>
    <t>PENINLAND</t>
  </si>
  <si>
    <t>PERSISTENT</t>
  </si>
  <si>
    <t>PETRONENGG</t>
  </si>
  <si>
    <t>PFIZER</t>
  </si>
  <si>
    <t>PFOCUS</t>
  </si>
  <si>
    <t>PFS</t>
  </si>
  <si>
    <t>PGEL</t>
  </si>
  <si>
    <t>PGIL</t>
  </si>
  <si>
    <t>PHILIPCARB</t>
  </si>
  <si>
    <t>PHOENIXLL</t>
  </si>
  <si>
    <t>PHOENIXLTD</t>
  </si>
  <si>
    <t>PIIND</t>
  </si>
  <si>
    <t>PIONEEREMB</t>
  </si>
  <si>
    <t>PIRPHYTO</t>
  </si>
  <si>
    <t>PITTILAM</t>
  </si>
  <si>
    <t>PLASTIBLEN</t>
  </si>
  <si>
    <t>PNB</t>
  </si>
  <si>
    <t>PNBGILTS</t>
  </si>
  <si>
    <t>PNC</t>
  </si>
  <si>
    <t>POCHIRAJU</t>
  </si>
  <si>
    <t>POLARIS</t>
  </si>
  <si>
    <t>POLYMED</t>
  </si>
  <si>
    <t>POLYPLEX</t>
  </si>
  <si>
    <t>PONNIERODE</t>
  </si>
  <si>
    <t>POWERGRID</t>
  </si>
  <si>
    <t>PPAP</t>
  </si>
  <si>
    <t>PRADIP</t>
  </si>
  <si>
    <t>PRAENG</t>
  </si>
  <si>
    <t>PRAJIND</t>
  </si>
  <si>
    <t>PRAKASH</t>
  </si>
  <si>
    <t>PRAKASHCON</t>
  </si>
  <si>
    <t>PRAKASHSTL</t>
  </si>
  <si>
    <t>PRATIBHA</t>
  </si>
  <si>
    <t>PRECOT</t>
  </si>
  <si>
    <t>PRECWIRE</t>
  </si>
  <si>
    <t>PREMIER</t>
  </si>
  <si>
    <t>PRESSMN</t>
  </si>
  <si>
    <t>PRESTIGE</t>
  </si>
  <si>
    <t>PRIMESECU</t>
  </si>
  <si>
    <t>PRISMCEM</t>
  </si>
  <si>
    <t>PROVOGE</t>
  </si>
  <si>
    <t>PROZONINTU</t>
  </si>
  <si>
    <t>PSB</t>
  </si>
  <si>
    <t>PSL</t>
  </si>
  <si>
    <t>PTC</t>
  </si>
  <si>
    <t>PTL</t>
  </si>
  <si>
    <t>PUNJABCHEM</t>
  </si>
  <si>
    <t>PUNJLLOYD</t>
  </si>
  <si>
    <t>PURVA</t>
  </si>
  <si>
    <t>PVP</t>
  </si>
  <si>
    <t>PVR</t>
  </si>
  <si>
    <t>RADICO</t>
  </si>
  <si>
    <t>RAIN</t>
  </si>
  <si>
    <t>RAINBOWPAP</t>
  </si>
  <si>
    <t>RAIREKMOH</t>
  </si>
  <si>
    <t>RAJESHEXPO</t>
  </si>
  <si>
    <t>RAJOIL</t>
  </si>
  <si>
    <t>RAJRAYON</t>
  </si>
  <si>
    <t>RAJSREESUG</t>
  </si>
  <si>
    <t>RAJTV</t>
  </si>
  <si>
    <t>RAJVIR</t>
  </si>
  <si>
    <t>RALLIS</t>
  </si>
  <si>
    <t>RAMANEWS</t>
  </si>
  <si>
    <t>RAMCOIND</t>
  </si>
  <si>
    <t>RAMCOSYS</t>
  </si>
  <si>
    <t>RAMKY</t>
  </si>
  <si>
    <t>RAMSARUP</t>
  </si>
  <si>
    <t>RANASUG</t>
  </si>
  <si>
    <t>RANEENGINE</t>
  </si>
  <si>
    <t>RANEHOLDIN</t>
  </si>
  <si>
    <t>RASOYPR</t>
  </si>
  <si>
    <t>RATNAMANI</t>
  </si>
  <si>
    <t>RAYMOND</t>
  </si>
  <si>
    <t>RBL</t>
  </si>
  <si>
    <t>RCF</t>
  </si>
  <si>
    <t>RCOM</t>
  </si>
  <si>
    <t>RECLTD</t>
  </si>
  <si>
    <t>REDINGTON</t>
  </si>
  <si>
    <t>REFEX</t>
  </si>
  <si>
    <t>REGENCERAM</t>
  </si>
  <si>
    <t>REIAGROLTD</t>
  </si>
  <si>
    <t>RELAXO</t>
  </si>
  <si>
    <t>RELIANCE</t>
  </si>
  <si>
    <t>RELIGARE</t>
  </si>
  <si>
    <t>RENUKA</t>
  </si>
  <si>
    <t>REPCOHOME</t>
  </si>
  <si>
    <t>REPRO</t>
  </si>
  <si>
    <t>RESPONIND</t>
  </si>
  <si>
    <t>REVATHI</t>
  </si>
  <si>
    <t>RICOAUTO</t>
  </si>
  <si>
    <t>RIIL</t>
  </si>
  <si>
    <t>RJL</t>
  </si>
  <si>
    <t>RKDL</t>
  </si>
  <si>
    <t>RKFORGE</t>
  </si>
  <si>
    <t>RMCL</t>
  </si>
  <si>
    <t>RML</t>
  </si>
  <si>
    <t>ROHITFERRO</t>
  </si>
  <si>
    <t>ROHLTD</t>
  </si>
  <si>
    <t>ROLTA</t>
  </si>
  <si>
    <t>ROSSELLIND</t>
  </si>
  <si>
    <t>RPGLIFE</t>
  </si>
  <si>
    <t>RPPINFRA</t>
  </si>
  <si>
    <t>RSSOFTWARE</t>
  </si>
  <si>
    <t>RSWM</t>
  </si>
  <si>
    <t>RSYSTEMS</t>
  </si>
  <si>
    <t>RTNINFRA</t>
  </si>
  <si>
    <t>RTNPOWER</t>
  </si>
  <si>
    <t>RUBYMILLS</t>
  </si>
  <si>
    <t>RUCHINFRA</t>
  </si>
  <si>
    <t>RUCHIRA</t>
  </si>
  <si>
    <t>RUCHISOYA</t>
  </si>
  <si>
    <t>RUPA</t>
  </si>
  <si>
    <t>RUSHIL</t>
  </si>
  <si>
    <t>SABTN</t>
  </si>
  <si>
    <t>SADBHAV</t>
  </si>
  <si>
    <t>SAGCEM</t>
  </si>
  <si>
    <t>SAKHTISUG</t>
  </si>
  <si>
    <t>SAKSOFT</t>
  </si>
  <si>
    <t>SAKUMA</t>
  </si>
  <si>
    <t>SALORAINTL</t>
  </si>
  <si>
    <t>SALSTEEL</t>
  </si>
  <si>
    <t>SAMTEL</t>
  </si>
  <si>
    <t>SANDESH</t>
  </si>
  <si>
    <t>SANGAMIND</t>
  </si>
  <si>
    <t>SANGHIIND</t>
  </si>
  <si>
    <t>SANGHVIFOR</t>
  </si>
  <si>
    <t>SANGHVIMOV</t>
  </si>
  <si>
    <t>SANWARIA</t>
  </si>
  <si>
    <t>SARDAEN</t>
  </si>
  <si>
    <t>SAREGAMA</t>
  </si>
  <si>
    <t>SARLAPOLY</t>
  </si>
  <si>
    <t>SASKEN</t>
  </si>
  <si>
    <t>SATHAISPAT</t>
  </si>
  <si>
    <t>SBIN</t>
  </si>
  <si>
    <t>SCHNEIDER</t>
  </si>
  <si>
    <t>SCI</t>
  </si>
  <si>
    <t>SDBL</t>
  </si>
  <si>
    <t>SEAMECLTD</t>
  </si>
  <si>
    <t>SEINV</t>
  </si>
  <si>
    <t>SELAN</t>
  </si>
  <si>
    <t>SELMCL</t>
  </si>
  <si>
    <t>SEPOWER</t>
  </si>
  <si>
    <t>SERVALL</t>
  </si>
  <si>
    <t>SESHAPAPER</t>
  </si>
  <si>
    <t>SEZAL</t>
  </si>
  <si>
    <t>SHAHALLOYS</t>
  </si>
  <si>
    <t>SHALPAINTS</t>
  </si>
  <si>
    <t>SHANTIGEAR</t>
  </si>
  <si>
    <t>SHARDACROP</t>
  </si>
  <si>
    <t>SHARONBIO</t>
  </si>
  <si>
    <t>SHEMAROO</t>
  </si>
  <si>
    <t>SHILPAMED</t>
  </si>
  <si>
    <t>SHILPI</t>
  </si>
  <si>
    <t>SHIRPUR-G</t>
  </si>
  <si>
    <t>SHIVAMAUTO</t>
  </si>
  <si>
    <t>SHIVTEX</t>
  </si>
  <si>
    <t>SHOPERSTOP</t>
  </si>
  <si>
    <t>SHREERAMA</t>
  </si>
  <si>
    <t>SHREYANIND</t>
  </si>
  <si>
    <t>SHREYAS</t>
  </si>
  <si>
    <t>SHRIRAMCIT</t>
  </si>
  <si>
    <t>SHRIRAMEPC</t>
  </si>
  <si>
    <t>SHYAMTEL</t>
  </si>
  <si>
    <t>SICAGEN</t>
  </si>
  <si>
    <t>SICAL</t>
  </si>
  <si>
    <t>SIL</t>
  </si>
  <si>
    <t>SILINV</t>
  </si>
  <si>
    <t>SIMPLEX</t>
  </si>
  <si>
    <t>SIMPLEXINF</t>
  </si>
  <si>
    <t>SINTEX</t>
  </si>
  <si>
    <t>SITASHREE</t>
  </si>
  <si>
    <t>SIYSIL</t>
  </si>
  <si>
    <t>SJVN</t>
  </si>
  <si>
    <t>SKFINDIA</t>
  </si>
  <si>
    <t>SKIL</t>
  </si>
  <si>
    <t>SKMEGGPROD</t>
  </si>
  <si>
    <t>SMARTLINK</t>
  </si>
  <si>
    <t>SMLISUZU</t>
  </si>
  <si>
    <t>SMPL</t>
  </si>
  <si>
    <t>SMSPHARMA</t>
  </si>
  <si>
    <t>SNOWMAN</t>
  </si>
  <si>
    <t>SOBHA</t>
  </si>
  <si>
    <t>SOLARINDS</t>
  </si>
  <si>
    <t>SOMANYCERA</t>
  </si>
  <si>
    <t>SOMATEX</t>
  </si>
  <si>
    <t>SONASTEER</t>
  </si>
  <si>
    <t>SONATSOFTW</t>
  </si>
  <si>
    <t>SOTL</t>
  </si>
  <si>
    <t>SPARC</t>
  </si>
  <si>
    <t>SPECIALITY</t>
  </si>
  <si>
    <t>SPENTEX</t>
  </si>
  <si>
    <t>SPIC</t>
  </si>
  <si>
    <t>SPLIL</t>
  </si>
  <si>
    <t>SPMLINFRA</t>
  </si>
  <si>
    <t>SPYL</t>
  </si>
  <si>
    <t>SREINFRA</t>
  </si>
  <si>
    <t>SRF</t>
  </si>
  <si>
    <t>SRGINFOTEC</t>
  </si>
  <si>
    <t>SRHHYPOLTD</t>
  </si>
  <si>
    <t>SRTRANSFIN</t>
  </si>
  <si>
    <t>SSWL</t>
  </si>
  <si>
    <t>STARPAPER</t>
  </si>
  <si>
    <t>STCINDIA</t>
  </si>
  <si>
    <t>STEL</t>
  </si>
  <si>
    <t>STERLINBIO</t>
  </si>
  <si>
    <t>STERTOOLS</t>
  </si>
  <si>
    <t>STINDIA</t>
  </si>
  <si>
    <t>STRTECH</t>
  </si>
  <si>
    <t>SUBEX</t>
  </si>
  <si>
    <t>SUBROS</t>
  </si>
  <si>
    <t>SUDARSCHEM</t>
  </si>
  <si>
    <t>SUJANAUNI</t>
  </si>
  <si>
    <t>SUMEETINDS</t>
  </si>
  <si>
    <t>SUMMITSEC</t>
  </si>
  <si>
    <t>SUNCLAYLTD</t>
  </si>
  <si>
    <t>SUNDARAM</t>
  </si>
  <si>
    <t>SUNDARMFIN</t>
  </si>
  <si>
    <t>SUNDRMBRAK</t>
  </si>
  <si>
    <t>SUNDRMFAST</t>
  </si>
  <si>
    <t>SUNFLAG</t>
  </si>
  <si>
    <t>SUNILHITEC</t>
  </si>
  <si>
    <t>SUNPHARMA</t>
  </si>
  <si>
    <t>SUNTECK</t>
  </si>
  <si>
    <t>SUPERHOUSE</t>
  </si>
  <si>
    <t>SUPERSPIN</t>
  </si>
  <si>
    <t>SUPPETRO</t>
  </si>
  <si>
    <t>SUPREMEIND</t>
  </si>
  <si>
    <t>SUPREMEINF</t>
  </si>
  <si>
    <t>SUPREMETEX</t>
  </si>
  <si>
    <t>SURANACORP</t>
  </si>
  <si>
    <t>SURANAIND</t>
  </si>
  <si>
    <t>SURANASOL</t>
  </si>
  <si>
    <t>SURANAT&amp;P</t>
  </si>
  <si>
    <t>SURYALAXMI</t>
  </si>
  <si>
    <t>SURYAROSNI</t>
  </si>
  <si>
    <t>SUTLEJTEX</t>
  </si>
  <si>
    <t>SUVEN</t>
  </si>
  <si>
    <t>SUZLON</t>
  </si>
  <si>
    <t>SWANENERGY</t>
  </si>
  <si>
    <t>SWARAJENG</t>
  </si>
  <si>
    <t>SWELECTES</t>
  </si>
  <si>
    <t>SYMPHONY</t>
  </si>
  <si>
    <t>SYNCOM</t>
  </si>
  <si>
    <t>TAINWALCHM</t>
  </si>
  <si>
    <t>TAJGVK</t>
  </si>
  <si>
    <t>TAKE</t>
  </si>
  <si>
    <t>TALBROAUTO</t>
  </si>
  <si>
    <t>TALWALKARS</t>
  </si>
  <si>
    <t>TANLA</t>
  </si>
  <si>
    <t>TANTIACONS</t>
  </si>
  <si>
    <t>TARAJEWELS</t>
  </si>
  <si>
    <t>TARAPUR</t>
  </si>
  <si>
    <t>TARMAT</t>
  </si>
  <si>
    <t>TATACOFFEE</t>
  </si>
  <si>
    <t>TATAELXSI</t>
  </si>
  <si>
    <t>TATAINVEST</t>
  </si>
  <si>
    <t>TATAMETALI</t>
  </si>
  <si>
    <t>TATAMOTORS</t>
  </si>
  <si>
    <t>TATAPOWER</t>
  </si>
  <si>
    <t>TATASPONGE</t>
  </si>
  <si>
    <t>TBZ</t>
  </si>
  <si>
    <t>TCI</t>
  </si>
  <si>
    <t>TCIDEVELOP</t>
  </si>
  <si>
    <t>TCIFINANCE</t>
  </si>
  <si>
    <t>TCS</t>
  </si>
  <si>
    <t>TDPOWERSYS</t>
  </si>
  <si>
    <t>TECHIN</t>
  </si>
  <si>
    <t>TECHM</t>
  </si>
  <si>
    <t>TECHNO</t>
  </si>
  <si>
    <t>TECHNOFAB</t>
  </si>
  <si>
    <t>TEXINFRA</t>
  </si>
  <si>
    <t>TEXMOPIPES</t>
  </si>
  <si>
    <t>TEXRAIL</t>
  </si>
  <si>
    <t>TFCILTD</t>
  </si>
  <si>
    <t>TFL</t>
  </si>
  <si>
    <t>TGBHOTELS</t>
  </si>
  <si>
    <t>THANGAMAYL</t>
  </si>
  <si>
    <t>THEMISMED</t>
  </si>
  <si>
    <t>THIRUSUGAR</t>
  </si>
  <si>
    <t>THOMASCOOK</t>
  </si>
  <si>
    <t>THOMASCOTT</t>
  </si>
  <si>
    <t>TI</t>
  </si>
  <si>
    <t>TIDEWATER</t>
  </si>
  <si>
    <t>TIIL</t>
  </si>
  <si>
    <t>TIL</t>
  </si>
  <si>
    <t>TIMESGTY</t>
  </si>
  <si>
    <t>TIMETECHNO</t>
  </si>
  <si>
    <t>TIMKEN</t>
  </si>
  <si>
    <t>TINPLATE</t>
  </si>
  <si>
    <t>TIPSINDLTD</t>
  </si>
  <si>
    <t>TIRUMALCHM</t>
  </si>
  <si>
    <t>TITAN</t>
  </si>
  <si>
    <t>TNPETRO</t>
  </si>
  <si>
    <t>TNPL</t>
  </si>
  <si>
    <t>TNTELE</t>
  </si>
  <si>
    <t>TOKYOPLAST</t>
  </si>
  <si>
    <t>TREEHOUSE</t>
  </si>
  <si>
    <t>TRENT</t>
  </si>
  <si>
    <t>TRF</t>
  </si>
  <si>
    <t>TRIGYN</t>
  </si>
  <si>
    <t>TRIL</t>
  </si>
  <si>
    <t>TRITURBINE</t>
  </si>
  <si>
    <t>TRIVENI</t>
  </si>
  <si>
    <t>TTKPRESTIG</t>
  </si>
  <si>
    <t>TTL</t>
  </si>
  <si>
    <t>TTML</t>
  </si>
  <si>
    <t>TUBEINVEST</t>
  </si>
  <si>
    <t>TULSI</t>
  </si>
  <si>
    <t>TVSELECT</t>
  </si>
  <si>
    <t>TVSMOTOR</t>
  </si>
  <si>
    <t>TVSSRICHAK</t>
  </si>
  <si>
    <t>TVTODAY</t>
  </si>
  <si>
    <t>TWL</t>
  </si>
  <si>
    <t>UBHOLDINGS</t>
  </si>
  <si>
    <t>UCALFUEL</t>
  </si>
  <si>
    <t>UCOBANK</t>
  </si>
  <si>
    <t>UFLEX</t>
  </si>
  <si>
    <t>UGARSUGAR</t>
  </si>
  <si>
    <t>UJAAS</t>
  </si>
  <si>
    <t>ULTRACEMCO</t>
  </si>
  <si>
    <t>UMESLTD</t>
  </si>
  <si>
    <t>UNICHEMLAB</t>
  </si>
  <si>
    <t>UNIENTER</t>
  </si>
  <si>
    <t>UNIPLY</t>
  </si>
  <si>
    <t>UNITEDBNK</t>
  </si>
  <si>
    <t>UNITY</t>
  </si>
  <si>
    <t>UNIVCABLES</t>
  </si>
  <si>
    <t>USHAMART</t>
  </si>
  <si>
    <t>USHERAGRO</t>
  </si>
  <si>
    <t>UTTAMSTL</t>
  </si>
  <si>
    <t>UTTAMSUGAR</t>
  </si>
  <si>
    <t>V2RETAIL</t>
  </si>
  <si>
    <t>VADILALIND</t>
  </si>
  <si>
    <t>VAIBHAVGBL</t>
  </si>
  <si>
    <t>VAKRANGEE</t>
  </si>
  <si>
    <t>VALUEIND</t>
  </si>
  <si>
    <t>VARDHACRLC</t>
  </si>
  <si>
    <t>VARDMNPOLY</t>
  </si>
  <si>
    <t>VASCONEQ</t>
  </si>
  <si>
    <t>VASWANI</t>
  </si>
  <si>
    <t>VENKEYS</t>
  </si>
  <si>
    <t>VENUSREM</t>
  </si>
  <si>
    <t>VESUVIUS</t>
  </si>
  <si>
    <t>VGUARD</t>
  </si>
  <si>
    <t>VHL</t>
  </si>
  <si>
    <t>VICEROY</t>
  </si>
  <si>
    <t>VIDEOIND</t>
  </si>
  <si>
    <t>VIJAYABANK</t>
  </si>
  <si>
    <t>VIJSHAN</t>
  </si>
  <si>
    <t>VIMALOIL</t>
  </si>
  <si>
    <t>VIMTALABS</t>
  </si>
  <si>
    <t>VINATIORGA</t>
  </si>
  <si>
    <t>VINDHYATEL</t>
  </si>
  <si>
    <t>VINYLINDIA</t>
  </si>
  <si>
    <t>VIPIND</t>
  </si>
  <si>
    <t>VISAKAIND</t>
  </si>
  <si>
    <t>VISASTEEL</t>
  </si>
  <si>
    <t>VISESHINFO</t>
  </si>
  <si>
    <t>VIVIDHA</t>
  </si>
  <si>
    <t>VIVIMEDLAB</t>
  </si>
  <si>
    <t>VLSFINANCE</t>
  </si>
  <si>
    <t>VMART</t>
  </si>
  <si>
    <t>VOLTAMP</t>
  </si>
  <si>
    <t>VSSL</t>
  </si>
  <si>
    <t>VSTIND</t>
  </si>
  <si>
    <t>VSTTILLERS</t>
  </si>
  <si>
    <t>VTL</t>
  </si>
  <si>
    <t>WABAG</t>
  </si>
  <si>
    <t>WABCOINDIA</t>
  </si>
  <si>
    <t>WALCHANNAG</t>
  </si>
  <si>
    <t>WANBURY</t>
  </si>
  <si>
    <t>WEBELSOLAR</t>
  </si>
  <si>
    <t>WEIZFOREX</t>
  </si>
  <si>
    <t>WEIZMANIND</t>
  </si>
  <si>
    <t>WELCORP</t>
  </si>
  <si>
    <t>WELINV</t>
  </si>
  <si>
    <t>WELSPUNIND</t>
  </si>
  <si>
    <t>WENDT</t>
  </si>
  <si>
    <t>WHEELS</t>
  </si>
  <si>
    <t>WHIRLPOOL</t>
  </si>
  <si>
    <t>WILLAMAGOR</t>
  </si>
  <si>
    <t>WINDMACHIN</t>
  </si>
  <si>
    <t>WINSOME</t>
  </si>
  <si>
    <t>WOCKPHARMA</t>
  </si>
  <si>
    <t>WONDERLA</t>
  </si>
  <si>
    <t>WSI</t>
  </si>
  <si>
    <t>WSTCSTPAPR</t>
  </si>
  <si>
    <t>XCHANGING</t>
  </si>
  <si>
    <t>XLENERGY</t>
  </si>
  <si>
    <t>XPROINDIA</t>
  </si>
  <si>
    <t>YESBANK</t>
  </si>
  <si>
    <t>ZANDUREALT</t>
  </si>
  <si>
    <t>ZEEL</t>
  </si>
  <si>
    <t>ZEELEARN</t>
  </si>
  <si>
    <t>ZEEMEDIA</t>
  </si>
  <si>
    <t>ZENITHBIR</t>
  </si>
  <si>
    <t>ZENITHEXPO</t>
  </si>
  <si>
    <t>ZENSARTECH</t>
  </si>
  <si>
    <t>ZICOM</t>
  </si>
  <si>
    <t>ZODIACLOTH</t>
  </si>
  <si>
    <t>ZODJRDMKJ</t>
  </si>
  <si>
    <t>ZUARI</t>
  </si>
  <si>
    <t>ZUARIGLOB</t>
  </si>
  <si>
    <t>ZYDUSWELL</t>
  </si>
  <si>
    <t>ZYLOG</t>
  </si>
  <si>
    <t>AICHAMP</t>
  </si>
  <si>
    <t>ALPSINDUS</t>
  </si>
  <si>
    <t>ASIL</t>
  </si>
  <si>
    <t>ATNINTER</t>
  </si>
  <si>
    <t>AUSOMENT</t>
  </si>
  <si>
    <t>BILPOWER</t>
  </si>
  <si>
    <t>BLUEBLENDS</t>
  </si>
  <si>
    <t>BLUECOAST</t>
  </si>
  <si>
    <t>CNOVAPETRO</t>
  </si>
  <si>
    <t>CORALFINAC</t>
  </si>
  <si>
    <t>CYBERMEDIA</t>
  </si>
  <si>
    <t>DELTAMAGNT</t>
  </si>
  <si>
    <t>DSSL</t>
  </si>
  <si>
    <t>EUROMULTI</t>
  </si>
  <si>
    <t>FIRSTWIN</t>
  </si>
  <si>
    <t>GISOLUTION</t>
  </si>
  <si>
    <t>GLFL</t>
  </si>
  <si>
    <t>GREENFIRE</t>
  </si>
  <si>
    <t>HOTELRUGBY</t>
  </si>
  <si>
    <t>HUDCO</t>
  </si>
  <si>
    <t>INTEGRA</t>
  </si>
  <si>
    <t>JAINSTUDIO</t>
  </si>
  <si>
    <t>JIKIND</t>
  </si>
  <si>
    <t>KANANIIND</t>
  </si>
  <si>
    <t>KEYCORPSER</t>
  </si>
  <si>
    <t>KHAITANLTD</t>
  </si>
  <si>
    <t>KREBSBIO</t>
  </si>
  <si>
    <t>LCCINFOTEC</t>
  </si>
  <si>
    <t>MELSTAR</t>
  </si>
  <si>
    <t>NAGREEKCAP</t>
  </si>
  <si>
    <t>NAGREEKEXP</t>
  </si>
  <si>
    <t>NKIND</t>
  </si>
  <si>
    <t>NOESISIND</t>
  </si>
  <si>
    <t>NORBTEAEXP</t>
  </si>
  <si>
    <t>ORIENTALTL</t>
  </si>
  <si>
    <t>PDUMJEIND</t>
  </si>
  <si>
    <t>PIONDIST</t>
  </si>
  <si>
    <t>PREMIERPOL</t>
  </si>
  <si>
    <t>QUINTEGRA</t>
  </si>
  <si>
    <t>RADAAN</t>
  </si>
  <si>
    <t>REMSONSIND</t>
  </si>
  <si>
    <t>SAMBHAAV</t>
  </si>
  <si>
    <t>SGFL</t>
  </si>
  <si>
    <t>SGL</t>
  </si>
  <si>
    <t>SOFTTECHGR</t>
  </si>
  <si>
    <t>SREEL</t>
  </si>
  <si>
    <t>TIJARIA</t>
  </si>
  <si>
    <t>TODAYS</t>
  </si>
  <si>
    <t>VISUINTL</t>
  </si>
  <si>
    <t>VETO</t>
  </si>
  <si>
    <t>SANCO</t>
  </si>
  <si>
    <t>20 Microns Limited</t>
  </si>
  <si>
    <t>3i Infotech Limited</t>
  </si>
  <si>
    <t>3M India Limited</t>
  </si>
  <si>
    <t>8K Miles Software Services Limited</t>
  </si>
  <si>
    <t>Aarti Drugs Limited</t>
  </si>
  <si>
    <t>Aarti Industries Limited</t>
  </si>
  <si>
    <t>Aarvee Denims &amp; Exports Limited</t>
  </si>
  <si>
    <t>Aban Offshore Limited</t>
  </si>
  <si>
    <t>ABG Shipyard Limited</t>
  </si>
  <si>
    <t>Aditya Birla Nuvo Limited</t>
  </si>
  <si>
    <t>ACC Limited</t>
  </si>
  <si>
    <t>Accelya Kale Solutions Limited</t>
  </si>
  <si>
    <t>Action Construction Equipment Limited</t>
  </si>
  <si>
    <t>Adani Enterprises Limited</t>
  </si>
  <si>
    <t>Adani Ports and Special Economic Zone Limited</t>
  </si>
  <si>
    <t>Adani Power Limited</t>
  </si>
  <si>
    <t>ADF Foods Limited</t>
  </si>
  <si>
    <t>Adhunik Metaliks Limited</t>
  </si>
  <si>
    <t>Ador Welding Limited</t>
  </si>
  <si>
    <t>Allied Digital Services Limited</t>
  </si>
  <si>
    <t>Advani Hotels &amp; Resorts (India) Limited</t>
  </si>
  <si>
    <t>Aegis Logistics Limited</t>
  </si>
  <si>
    <t>Accel Frontline Limited</t>
  </si>
  <si>
    <t>Agarwal Industrial Corporation Limited</t>
  </si>
  <si>
    <t>AGC Networks Limited</t>
  </si>
  <si>
    <t>Agri-Tech (India) Limited</t>
  </si>
  <si>
    <t>Asian Hotels (East) Limited</t>
  </si>
  <si>
    <t>Ahluwalia Contracts (India) Limited</t>
  </si>
  <si>
    <t>Asian Hotels (West) Limited</t>
  </si>
  <si>
    <t>AIA Engineering Limited</t>
  </si>
  <si>
    <t>AI Champdany Industries Limited</t>
  </si>
  <si>
    <t>Ajanta Pharma Limited</t>
  </si>
  <si>
    <t>Ajmera Realty &amp; Infra India Limited</t>
  </si>
  <si>
    <t>Aksh Optifibre Limited</t>
  </si>
  <si>
    <t>Akzo Nobel India Limited</t>
  </si>
  <si>
    <t>Allahabad Bank</t>
  </si>
  <si>
    <t>Alchemist Limited</t>
  </si>
  <si>
    <t>Alembic Limited</t>
  </si>
  <si>
    <t>Alicon Castalloy Limited</t>
  </si>
  <si>
    <t>Alkali Metals Limited</t>
  </si>
  <si>
    <t>Alkyl Amines Chemicals Limited</t>
  </si>
  <si>
    <t>Allcargo Logistics Limited</t>
  </si>
  <si>
    <t>Allsec Technologies Limited</t>
  </si>
  <si>
    <t>Almondz Global Securities Limited</t>
  </si>
  <si>
    <t>Alok Industries Limited</t>
  </si>
  <si>
    <t>Alpa Laboratories Limited</t>
  </si>
  <si>
    <t>Alphageo (India) Limited</t>
  </si>
  <si>
    <t>Alps Industries Limited</t>
  </si>
  <si>
    <t>Amara Raja Batteries Limited</t>
  </si>
  <si>
    <t>Ambika Cotton Mills Limited</t>
  </si>
  <si>
    <t>Ambuja Cements Limited</t>
  </si>
  <si>
    <t>AMD Industries Limited</t>
  </si>
  <si>
    <t>Amtek Auto Limited</t>
  </si>
  <si>
    <t>Anant Raj Limited</t>
  </si>
  <si>
    <t>Andhra Bank</t>
  </si>
  <si>
    <t>Andhra Cements Limited</t>
  </si>
  <si>
    <t>The Andhra Sugars Limited</t>
  </si>
  <si>
    <t>ANG Industries Limited</t>
  </si>
  <si>
    <t>Anik Industries Limited</t>
  </si>
  <si>
    <t>Ankit Metal &amp; Power Limited</t>
  </si>
  <si>
    <t>Ansal Properties &amp; Infrastructure Limited</t>
  </si>
  <si>
    <t>Ansal Housing and Construction Limited</t>
  </si>
  <si>
    <t>Antarctica Limited</t>
  </si>
  <si>
    <t>Apar Industries Limited</t>
  </si>
  <si>
    <t>Apcotex Industries Limited</t>
  </si>
  <si>
    <t>APL Apollo Tubes Limited</t>
  </si>
  <si>
    <t>Alembic Pharmaceuticals Limited</t>
  </si>
  <si>
    <t>Apollo Hospitals Enterprise Limited</t>
  </si>
  <si>
    <t>Apollo Tyres Limited</t>
  </si>
  <si>
    <t>Aptech Limited</t>
  </si>
  <si>
    <t>Archidply Industries Limited</t>
  </si>
  <si>
    <t>Archies Limited</t>
  </si>
  <si>
    <t>Arcotech Limited</t>
  </si>
  <si>
    <t>Aries Agro Limited</t>
  </si>
  <si>
    <t>Arihant Foundations &amp; Housing Limited</t>
  </si>
  <si>
    <t>Aro Granite Industries Limited</t>
  </si>
  <si>
    <t>Arrow Textiles Limited</t>
  </si>
  <si>
    <t>Arshiya Limited</t>
  </si>
  <si>
    <t>ARSS Infrastructure Projects Limited</t>
  </si>
  <si>
    <t>Arvind Limited</t>
  </si>
  <si>
    <t>Asahi India Glass Limited</t>
  </si>
  <si>
    <t>Asahi Songwon Colors Limited</t>
  </si>
  <si>
    <t>Automotive Stampings and Assemblies Limited</t>
  </si>
  <si>
    <t>Ashapura Minechem Limited</t>
  </si>
  <si>
    <t>Ashiana Housing Limited</t>
  </si>
  <si>
    <t>Ashima Limited</t>
  </si>
  <si>
    <t>Ashoka Buildcon Limited</t>
  </si>
  <si>
    <t>Ashok Leyland Limited</t>
  </si>
  <si>
    <t>Asian Hotels (North) Limited</t>
  </si>
  <si>
    <t>Asian Paints Limited</t>
  </si>
  <si>
    <t>Asian Granito India Limited</t>
  </si>
  <si>
    <t>Amit Spinning Industries Limited</t>
  </si>
  <si>
    <t>Assam Company India Limited</t>
  </si>
  <si>
    <t>Astec LifeSciences Limited</t>
  </si>
  <si>
    <t>Astral Poly Technik Limited</t>
  </si>
  <si>
    <t>Astra Microwave Products Limited</t>
  </si>
  <si>
    <t>AstraZeneca Pharma India Limited</t>
  </si>
  <si>
    <t>Agro Tech Foods Limited</t>
  </si>
  <si>
    <t>Atlanta  Limited</t>
  </si>
  <si>
    <t>Atlas Cycles (Haryana) Limited</t>
  </si>
  <si>
    <t>ATN International Limited</t>
  </si>
  <si>
    <t>Atul Limited</t>
  </si>
  <si>
    <t>Atul Auto Limited</t>
  </si>
  <si>
    <t>Aurionpro Solutions Limited</t>
  </si>
  <si>
    <t>Aurobindo Pharma Limited</t>
  </si>
  <si>
    <t>Ausom Enterprise Limited</t>
  </si>
  <si>
    <t>Austral Coke &amp; Projects Limited</t>
  </si>
  <si>
    <t>Automotive Axles Limited</t>
  </si>
  <si>
    <t>Autoline Industries Limited</t>
  </si>
  <si>
    <t>Autolite (India) Limited</t>
  </si>
  <si>
    <t>AVT Natural Products Limited</t>
  </si>
  <si>
    <t>Axis Bank Limited</t>
  </si>
  <si>
    <t>AXISCADES Engineering Technologies Limited</t>
  </si>
  <si>
    <t>Bafna Pharmaceuticals Limited</t>
  </si>
  <si>
    <t>B.A.G Films and Media Limited</t>
  </si>
  <si>
    <t>Bajaj Auto Limited</t>
  </si>
  <si>
    <t>Bajaj Corp Limited</t>
  </si>
  <si>
    <t>Bajaj Electricals Limited</t>
  </si>
  <si>
    <t>Bajaj Finserv Limited</t>
  </si>
  <si>
    <t>Bajaj Holdings &amp; Investment Limited</t>
  </si>
  <si>
    <t>Bajaj Finance Limited</t>
  </si>
  <si>
    <t>Balaji Telefilms Limited</t>
  </si>
  <si>
    <t>Balaji Amines Limited</t>
  </si>
  <si>
    <t>Balkrishna Industries Limited</t>
  </si>
  <si>
    <t>Ballarpur Industries Limited</t>
  </si>
  <si>
    <t>Balmer Lawrie &amp; Company Limited</t>
  </si>
  <si>
    <t>Bal Pharma Limited</t>
  </si>
  <si>
    <t>Balrampur Chini Mills Limited</t>
  </si>
  <si>
    <t>Banaras Beads Limited</t>
  </si>
  <si>
    <t>Bannari Amman Sugars Limited</t>
  </si>
  <si>
    <t>Banco Products (I) Limited</t>
  </si>
  <si>
    <t>Bang Overseas Limited</t>
  </si>
  <si>
    <t>Bank of Baroda</t>
  </si>
  <si>
    <t>Bank of India</t>
  </si>
  <si>
    <t>Banswara Syntex Limited</t>
  </si>
  <si>
    <t>Bartronics India Limited</t>
  </si>
  <si>
    <t>BASF India Limited</t>
  </si>
  <si>
    <t>Bannari Amman Spinning Mills Limited</t>
  </si>
  <si>
    <t>Bata India Limited</t>
  </si>
  <si>
    <t>Bharat Bijlee Limited</t>
  </si>
  <si>
    <t>Bombay Burmah Trading Corporation Limited</t>
  </si>
  <si>
    <t>Bedmutha Industries Limited</t>
  </si>
  <si>
    <t>Bharat Electronics Limited</t>
  </si>
  <si>
    <t>BEML Limited</t>
  </si>
  <si>
    <t>Bhansali Engineering Polymers Limited</t>
  </si>
  <si>
    <t>Berger Paints (I) Limited</t>
  </si>
  <si>
    <t>BF Investment Limited</t>
  </si>
  <si>
    <t>BF Utilities Limited</t>
  </si>
  <si>
    <t>Bharatiya Global Infomedia Limited</t>
  </si>
  <si>
    <t>BGR Energy Systems Limited</t>
  </si>
  <si>
    <t>Bhagyanagar India Limited</t>
  </si>
  <si>
    <t>Bharat Forge Limited</t>
  </si>
  <si>
    <t>Bharat Gears Limited</t>
  </si>
  <si>
    <t>Bharat Rasayan Limited</t>
  </si>
  <si>
    <t>Bharti Airtel Limited</t>
  </si>
  <si>
    <t>Bharat Heavy Electricals Limited</t>
  </si>
  <si>
    <t>Bhushan Steel Limited</t>
  </si>
  <si>
    <t>Bhartiya International Limited</t>
  </si>
  <si>
    <t>Bil Energy Systems Limited</t>
  </si>
  <si>
    <t>Bilpower  Limited</t>
  </si>
  <si>
    <t>Binani Industries Limited</t>
  </si>
  <si>
    <t>Oswal Chemicals &amp; Fertilizers Limited</t>
  </si>
  <si>
    <t>Biocon Limited</t>
  </si>
  <si>
    <t>Birla Corporation Limited</t>
  </si>
  <si>
    <t>Aditya Birla Money Limited</t>
  </si>
  <si>
    <t>BLB Limited</t>
  </si>
  <si>
    <t>Bliss GVS Pharma Limited</t>
  </si>
  <si>
    <t>B. L. Kashyap and Sons Limited</t>
  </si>
  <si>
    <t>Blue Blends (I) Limited</t>
  </si>
  <si>
    <t>Blue Coast Hotels Limited</t>
  </si>
  <si>
    <t>Blue Dart Express Limited</t>
  </si>
  <si>
    <t>Blue Star Limited</t>
  </si>
  <si>
    <t>Bodal Chemicals Limited</t>
  </si>
  <si>
    <t>Bombay Dyeing &amp; Mfg Company Limited</t>
  </si>
  <si>
    <t>Bosch Limited</t>
  </si>
  <si>
    <t>Bharat Petroleum Corporation Limited</t>
  </si>
  <si>
    <t>BPL Limited</t>
  </si>
  <si>
    <t>Bombay Rayon Fashions Limited</t>
  </si>
  <si>
    <t>Brigade Enterprises Limited</t>
  </si>
  <si>
    <t>Britannia Industries Limited</t>
  </si>
  <si>
    <t>Brooks Laboratories Limited</t>
  </si>
  <si>
    <t>BSEL Infrastructure Realty Limited</t>
  </si>
  <si>
    <t>BSL Limited</t>
  </si>
  <si>
    <t>Burnpur Cement Limited</t>
  </si>
  <si>
    <t>Butterfly Gandhimathi Appliances Limited</t>
  </si>
  <si>
    <t>Barak Valley Cements Limited</t>
  </si>
  <si>
    <t>Cadila Healthcare Limited</t>
  </si>
  <si>
    <t>California Software Company Limited</t>
  </si>
  <si>
    <t>Canara Bank</t>
  </si>
  <si>
    <t>C &amp; C Constructions Limited</t>
  </si>
  <si>
    <t>Can Fin Homes Limited</t>
  </si>
  <si>
    <t>Cantabil Retail India Limited</t>
  </si>
  <si>
    <t>Capital First Limited</t>
  </si>
  <si>
    <t>Caplin Point Laboratories Limited</t>
  </si>
  <si>
    <t>Carborundum Universal Limited</t>
  </si>
  <si>
    <t>Career Point Limited</t>
  </si>
  <si>
    <t>Credit Analysis And Research Limited</t>
  </si>
  <si>
    <t>Castrol India Limited</t>
  </si>
  <si>
    <t>Consolidated Construction Consortium Limited</t>
  </si>
  <si>
    <t>CCL Products (India) Limited</t>
  </si>
  <si>
    <t>CEAT Limited</t>
  </si>
  <si>
    <t>Commercial Engineers &amp; Body Builders Co Limited</t>
  </si>
  <si>
    <t>Celebrity Fashions Limited</t>
  </si>
  <si>
    <t>Celestial Biolabs Limited</t>
  </si>
  <si>
    <t>Century Enka Limited</t>
  </si>
  <si>
    <t>Century Extrusions Limited</t>
  </si>
  <si>
    <t>Central Bank of India</t>
  </si>
  <si>
    <t>Centum Electronics Limited</t>
  </si>
  <si>
    <t>Century Plyboards (India) Limited</t>
  </si>
  <si>
    <t>Century Textiles &amp; Industries Limited</t>
  </si>
  <si>
    <t>Cera Sanitaryware Limited</t>
  </si>
  <si>
    <t>Cerebra Integrated Technologies Limited</t>
  </si>
  <si>
    <t>CESC Limited</t>
  </si>
  <si>
    <t>Capri Global Capital Limited</t>
  </si>
  <si>
    <t>Chambal Fertilizers &amp; Chemicals Limited</t>
  </si>
  <si>
    <t>Chennai Petroleum Corporation Limited</t>
  </si>
  <si>
    <t>Cholamandalam Investment and Finance Company Limited</t>
  </si>
  <si>
    <t>Chromatic India Limited</t>
  </si>
  <si>
    <t>Cigniti Technologies Limited</t>
  </si>
  <si>
    <t>Cimmco Limited</t>
  </si>
  <si>
    <t>Cineline India Limited</t>
  </si>
  <si>
    <t>Cinevista Limited</t>
  </si>
  <si>
    <t>Cipla Limited</t>
  </si>
  <si>
    <t>Clariant Chemicals (India) Limited</t>
  </si>
  <si>
    <t>CIL Nova Petrochemicals Limited</t>
  </si>
  <si>
    <t>Coal India Limited</t>
  </si>
  <si>
    <t>Colgate Palmolive (India) Limited</t>
  </si>
  <si>
    <t>Compucom Software Limited</t>
  </si>
  <si>
    <t>Container Corporation of India Limited</t>
  </si>
  <si>
    <t>Consolidated Finvest &amp; Holdings Limited</t>
  </si>
  <si>
    <t>Coral India Finance &amp; Housing Limited</t>
  </si>
  <si>
    <t>Cords Cable Industries Limited</t>
  </si>
  <si>
    <t>Coromandel International Limited</t>
  </si>
  <si>
    <t>Corporation Bank</t>
  </si>
  <si>
    <t>Cosmo Films Limited</t>
  </si>
  <si>
    <t>Country Condo's Limited</t>
  </si>
  <si>
    <t>Cox &amp; Kings Limited</t>
  </si>
  <si>
    <t>Creative Eye Limited</t>
  </si>
  <si>
    <t>Crest Ventures Limited</t>
  </si>
  <si>
    <t>CRISIL Limited</t>
  </si>
  <si>
    <t>Cambridge Technology Enterprises Limited</t>
  </si>
  <si>
    <t>City Union Bank Limited</t>
  </si>
  <si>
    <t>Cubex Tubings Limited</t>
  </si>
  <si>
    <t>Cummins India Limited</t>
  </si>
  <si>
    <t>Cura Technologies Limited</t>
  </si>
  <si>
    <t>Cyber Media (India) Limited</t>
  </si>
  <si>
    <t>Cybertech Systems And Software Limited</t>
  </si>
  <si>
    <t>Cyient Limited</t>
  </si>
  <si>
    <t>LT Foods Limited</t>
  </si>
  <si>
    <t>Dabur India Limited</t>
  </si>
  <si>
    <t>Dalmia Bharat Limited</t>
  </si>
  <si>
    <t>Dalmia Bharat Sugar and Industries Limited</t>
  </si>
  <si>
    <t>Datamatics Global Services Limited</t>
  </si>
  <si>
    <t>D.B.Corp Limited</t>
  </si>
  <si>
    <t>D B Realty Limited</t>
  </si>
  <si>
    <t>DB (International) Stock Brokers Limited</t>
  </si>
  <si>
    <t>DCM  Limited</t>
  </si>
  <si>
    <t>DCM Shriram Limited</t>
  </si>
  <si>
    <t>DCW Limited</t>
  </si>
  <si>
    <t>Deccan Cements Limited</t>
  </si>
  <si>
    <t>Deepak Fertilizers and Petrochemicals Corporation Limited</t>
  </si>
  <si>
    <t>Deepak Nitrite Limited</t>
  </si>
  <si>
    <t>Deep Industries Limited</t>
  </si>
  <si>
    <t>Delta Corp Limited</t>
  </si>
  <si>
    <t>Delta Magnets Limited</t>
  </si>
  <si>
    <t>Den Networks Limited</t>
  </si>
  <si>
    <t>Dena Bank</t>
  </si>
  <si>
    <t>De Nora India Limited</t>
  </si>
  <si>
    <t>Dhanlaxmi Bank Limited</t>
  </si>
  <si>
    <t>Dhanuka Agritech Limited</t>
  </si>
  <si>
    <t>Dharani Sugars &amp; Chemicals Limited</t>
  </si>
  <si>
    <t>Dewan Housing Finance Corporation Limited</t>
  </si>
  <si>
    <t>Dhunseri Investments Limited</t>
  </si>
  <si>
    <t>Diamond Power Infra Ltd</t>
  </si>
  <si>
    <t>DIC India Limited</t>
  </si>
  <si>
    <t>Digjam Limited</t>
  </si>
  <si>
    <t>Dishman Pharmaceuticals and Chemicals Limited</t>
  </si>
  <si>
    <t>Dish TV India Limited</t>
  </si>
  <si>
    <t>Divi's Laboratories Limited</t>
  </si>
  <si>
    <t>DLF Limited</t>
  </si>
  <si>
    <t>D-Link (India) Limited</t>
  </si>
  <si>
    <t>Dolphin Offshore Enterprises (India) Limited</t>
  </si>
  <si>
    <t>Donear Industries Limited</t>
  </si>
  <si>
    <t>DPSC Limited</t>
  </si>
  <si>
    <t>Dhunseri Petrochem Limited</t>
  </si>
  <si>
    <t>DQ Entertainment (International) Limited</t>
  </si>
  <si>
    <t>Dredging Corporation of India Limited</t>
  </si>
  <si>
    <t>Dr. Reddy's Laboratories Limited</t>
  </si>
  <si>
    <t>DS Kulkarni Developers Limited</t>
  </si>
  <si>
    <t>Dynacons Systems &amp; Solutions Limited</t>
  </si>
  <si>
    <t>Dwarikesh Sugar Industries Limited</t>
  </si>
  <si>
    <t>Dynamatic Technologies Limited</t>
  </si>
  <si>
    <t>Eastern Silk Industries Limited</t>
  </si>
  <si>
    <t>Easun Reyrolle Limited</t>
  </si>
  <si>
    <t>ECE Industries Limited</t>
  </si>
  <si>
    <t>eClerx Services Limited</t>
  </si>
  <si>
    <t>Edelweiss Financial Services Limited</t>
  </si>
  <si>
    <t>Empee Distilleries Limited</t>
  </si>
  <si>
    <t>Educomp Solutions Limited</t>
  </si>
  <si>
    <t>Eicher Motors Limited</t>
  </si>
  <si>
    <t>EID Parry India Limited</t>
  </si>
  <si>
    <t>EIH Associated Hotels Limited</t>
  </si>
  <si>
    <t>EIH Limited</t>
  </si>
  <si>
    <t>Eimco Elecon (India) Limited</t>
  </si>
  <si>
    <t>Everest Kanto Cylinder Limited</t>
  </si>
  <si>
    <t>Elecon Engineering Company Limited</t>
  </si>
  <si>
    <t>Electrosteel Castings Limited</t>
  </si>
  <si>
    <t>Electrotherm (India) Limited</t>
  </si>
  <si>
    <t>Elgi Equipments Limited</t>
  </si>
  <si>
    <t>Elgi Rubber Company Limited</t>
  </si>
  <si>
    <t>Emami Infrastructure Limited</t>
  </si>
  <si>
    <t>Emami Limited</t>
  </si>
  <si>
    <t>Emco Limited</t>
  </si>
  <si>
    <t>Emkay Global Financial Services Limited</t>
  </si>
  <si>
    <t>Energy Development Company Limited</t>
  </si>
  <si>
    <t>Engineers India Limited</t>
  </si>
  <si>
    <t>Entertainment Network (India) Limited</t>
  </si>
  <si>
    <t>Eon Electric Limited</t>
  </si>
  <si>
    <t>Eros International Media Limited</t>
  </si>
  <si>
    <t>Esab India Limited</t>
  </si>
  <si>
    <t>Escorts Limited</t>
  </si>
  <si>
    <t>Electrosteel Steels Limited</t>
  </si>
  <si>
    <t>Essar Shipping Limited</t>
  </si>
  <si>
    <t>Ess Dee Aluminium Limited</t>
  </si>
  <si>
    <t>Essel Propack Limited</t>
  </si>
  <si>
    <t>Ester Industries Limited</t>
  </si>
  <si>
    <t>Euro Ceramics Limited</t>
  </si>
  <si>
    <t>Euro Multivision Limited</t>
  </si>
  <si>
    <t>Eurotex Industries and Exports Limited</t>
  </si>
  <si>
    <t>Eveready Industries India Limited</t>
  </si>
  <si>
    <t>Everest Industries Limited</t>
  </si>
  <si>
    <t>Excel Crop Care Limited</t>
  </si>
  <si>
    <t>Excel Industries Limited</t>
  </si>
  <si>
    <t>Exide Industries Limited</t>
  </si>
  <si>
    <t>Fertilizers and Chemicals Travancore Limited</t>
  </si>
  <si>
    <t>FAG Bearings India Limited</t>
  </si>
  <si>
    <t>FCS Software Solutions Limited</t>
  </si>
  <si>
    <t>FDC Limited</t>
  </si>
  <si>
    <t>Fedders Lloyd Corporation Limited</t>
  </si>
  <si>
    <t>The Federal Bank  Limited</t>
  </si>
  <si>
    <t>Fiem Industries Limited</t>
  </si>
  <si>
    <t>Filatex India Limited</t>
  </si>
  <si>
    <t>Finolex Cables Limited</t>
  </si>
  <si>
    <t>Finolex Industries Limited</t>
  </si>
  <si>
    <t>First Winner Industries Limited</t>
  </si>
  <si>
    <t>Flexituff International Limited</t>
  </si>
  <si>
    <t>Future Lifestyle Fashions Limited</t>
  </si>
  <si>
    <t>Federal-Mogul Goetze (India) Limited.</t>
  </si>
  <si>
    <t>Future Market Networks Limited</t>
  </si>
  <si>
    <t>Fortis Healthcare Limited</t>
  </si>
  <si>
    <t>Foseco India Limited</t>
  </si>
  <si>
    <t>Future Retail Limited</t>
  </si>
  <si>
    <t>Firstsource Solutions Limited</t>
  </si>
  <si>
    <t>Gabriel India Limited</t>
  </si>
  <si>
    <t>Gujarat Ambuja Exports Limited</t>
  </si>
  <si>
    <t>GAIL (India) Limited</t>
  </si>
  <si>
    <t>Gyscoal Alloys Limited</t>
  </si>
  <si>
    <t>Gallantt Metal Limited</t>
  </si>
  <si>
    <t>Gallantt Ispat Limited</t>
  </si>
  <si>
    <t>Gammon Infrastructure Projects Limited</t>
  </si>
  <si>
    <t>Gammon India Limited</t>
  </si>
  <si>
    <t>Gandhi Special Tubes Limited</t>
  </si>
  <si>
    <t>Ganesh Housing Corporation Limited</t>
  </si>
  <si>
    <t>Gangotri Textiles Limited</t>
  </si>
  <si>
    <t>Garden Silk Mills Limited</t>
  </si>
  <si>
    <t>Garware  Wall Ropes Limited</t>
  </si>
  <si>
    <t>GATI Limited</t>
  </si>
  <si>
    <t>Gayatri Projects Limited</t>
  </si>
  <si>
    <t>Gateway Distriparks Limited</t>
  </si>
  <si>
    <t>GeeCee Ventures Limited</t>
  </si>
  <si>
    <t>Gemini Communication Limited</t>
  </si>
  <si>
    <t>Genesys International Corporation Limited</t>
  </si>
  <si>
    <t>Genus Power Infrastructures Limited</t>
  </si>
  <si>
    <t>The Great Eastern Shipping Company Limited</t>
  </si>
  <si>
    <t>GHCL Limited</t>
  </si>
  <si>
    <t>GIC Housing Finance Limited</t>
  </si>
  <si>
    <t>Gillanders Arbuthnot &amp; Company Limited</t>
  </si>
  <si>
    <t>Gillette India Limited</t>
  </si>
  <si>
    <t>Ginni Filaments Limited</t>
  </si>
  <si>
    <t>Gujarat Industries Power Company Limited</t>
  </si>
  <si>
    <t>GI Engineering Solutions Limited</t>
  </si>
  <si>
    <t>Gitanjali Gems Limited</t>
  </si>
  <si>
    <t>GKW Limited</t>
  </si>
  <si>
    <t>GlaxoSmithKline Pharmaceuticals Limited</t>
  </si>
  <si>
    <t>Glenmark Pharmaceuticals Limited</t>
  </si>
  <si>
    <t>Gujarat Lease Financing Limited</t>
  </si>
  <si>
    <t>Global Vectra Helicorp Limited</t>
  </si>
  <si>
    <t>Global Offshore Services Limited</t>
  </si>
  <si>
    <t>Globus Spirits Limited</t>
  </si>
  <si>
    <t>GM Breweries Limited</t>
  </si>
  <si>
    <t>Gujarat Mineral Development Corporation Limited</t>
  </si>
  <si>
    <t>GMR Infrastructure Limited</t>
  </si>
  <si>
    <t>Gujarat Narmada Valley Fertilizers and Chemicals Limited</t>
  </si>
  <si>
    <t>Goa Carbon Limited</t>
  </si>
  <si>
    <t>Godfrey Phillips India Limited</t>
  </si>
  <si>
    <t>Godrej Consumer Products Limited</t>
  </si>
  <si>
    <t>Godrej Industries Limited</t>
  </si>
  <si>
    <t>Godrej Properties Limited</t>
  </si>
  <si>
    <t>Goenka Diamond and Jewels Limited</t>
  </si>
  <si>
    <t>Gokaldas Exports Limited</t>
  </si>
  <si>
    <t>Gokul Refoils and Solvent Limited</t>
  </si>
  <si>
    <t>Golden Tobacco Limited</t>
  </si>
  <si>
    <t>Goldiam International Limited</t>
  </si>
  <si>
    <t>Goldstone Infratech Limited</t>
  </si>
  <si>
    <t>Goldstone Technologies Limited</t>
  </si>
  <si>
    <t>Godawari Power And Ispat limited</t>
  </si>
  <si>
    <t>Gujarat Pipavav Port Limited</t>
  </si>
  <si>
    <t>Granules India Limited</t>
  </si>
  <si>
    <t>Graphite India Limited</t>
  </si>
  <si>
    <t>Grasim Industries Limited</t>
  </si>
  <si>
    <t>Gravita India Limited</t>
  </si>
  <si>
    <t>Greaves Cotton Limited</t>
  </si>
  <si>
    <t>Green Fire Agri Commodities Limited</t>
  </si>
  <si>
    <t>Greenply Industries Limited</t>
  </si>
  <si>
    <t>Orient Green Power Company Limited</t>
  </si>
  <si>
    <t>Grindwell Norton Limited</t>
  </si>
  <si>
    <t>Gruh Finance Limited</t>
  </si>
  <si>
    <t>Gujarat State Fertilizers &amp; Chemicals Limited</t>
  </si>
  <si>
    <t>GlaxoSmithKline Consumer Healthcare Limited</t>
  </si>
  <si>
    <t>Gujarat State Petronet Limited</t>
  </si>
  <si>
    <t>GSS Infotech Limited</t>
  </si>
  <si>
    <t>GTL Limited</t>
  </si>
  <si>
    <t>GTL Infrastructure Limited</t>
  </si>
  <si>
    <t>GTN Industries Limited</t>
  </si>
  <si>
    <t>GTN Textiles Limited</t>
  </si>
  <si>
    <t>GOL Offshore Limited</t>
  </si>
  <si>
    <t>Gufic Biosciences Limited</t>
  </si>
  <si>
    <t>Gujarat Alkalies and Chemicals Limited</t>
  </si>
  <si>
    <t>Gujarat Apollo Industries Limited</t>
  </si>
  <si>
    <t>Gujarat Fluorochemicals Limited</t>
  </si>
  <si>
    <t>Gujarat NRE Coke Limited</t>
  </si>
  <si>
    <t>Gulf Oil Lubricants India Limited</t>
  </si>
  <si>
    <t>GVK Power &amp; Infrastructure Limited</t>
  </si>
  <si>
    <t>Hanung Toys and Textiles Limited</t>
  </si>
  <si>
    <t>Harita Seating Systems Limited</t>
  </si>
  <si>
    <t>Harrisons  Malayalam Limited</t>
  </si>
  <si>
    <t>Hathway Cable &amp; Datacom Limited</t>
  </si>
  <si>
    <t>Hatsun Agro Product Limited</t>
  </si>
  <si>
    <t>Havells India Limited</t>
  </si>
  <si>
    <t>HBL Power Systems Limited</t>
  </si>
  <si>
    <t>HB Stockholdings Limited</t>
  </si>
  <si>
    <t>Hindustan Construction Company Limited</t>
  </si>
  <si>
    <t>HCL Infosystems Limited</t>
  </si>
  <si>
    <t>HCL Technologies Limited</t>
  </si>
  <si>
    <t>Housing Development Finance Corporation Limited</t>
  </si>
  <si>
    <t>HDFC Bank Limited</t>
  </si>
  <si>
    <t>Housing Development and Infrastructure Limited</t>
  </si>
  <si>
    <t>HEG Limited</t>
  </si>
  <si>
    <t>HeidelbergCement India Limited</t>
  </si>
  <si>
    <t>Hercules Hoists Limited</t>
  </si>
  <si>
    <t>Hero MotoCorp Limited</t>
  </si>
  <si>
    <t>Hexa Tradex Limited</t>
  </si>
  <si>
    <t>Hexaware Technologies Limited</t>
  </si>
  <si>
    <t>Himachal Futuristic Communications Limited</t>
  </si>
  <si>
    <t>Hinduja Global Solutions Limited</t>
  </si>
  <si>
    <t>Hikal Limited</t>
  </si>
  <si>
    <t>HIL Limited</t>
  </si>
  <si>
    <t>Hilton Metal Forging Limited</t>
  </si>
  <si>
    <t>Himatsingka Seide Limited</t>
  </si>
  <si>
    <t>Hindalco Industries Limited</t>
  </si>
  <si>
    <t>Hindustan Composites Limited</t>
  </si>
  <si>
    <t>Hindustan Copper Limited</t>
  </si>
  <si>
    <t>Hindustan Dorr-Oliver Limited</t>
  </si>
  <si>
    <t>Hindustan Motors Limited</t>
  </si>
  <si>
    <t>Hindusthan National Glass &amp; Industries Limited</t>
  </si>
  <si>
    <t>Hindustan Oil Exploration Company Limited</t>
  </si>
  <si>
    <t>Hindustan Petroleum Corporation Limited</t>
  </si>
  <si>
    <t>Hind Syntex Limited</t>
  </si>
  <si>
    <t>Hinduja Foundries Limited</t>
  </si>
  <si>
    <t>Hinduja Ventures Limited</t>
  </si>
  <si>
    <t>Hindustan Unilever Limited</t>
  </si>
  <si>
    <t>Hindustan Zinc Limited</t>
  </si>
  <si>
    <t>Hind Rectifiers Limited</t>
  </si>
  <si>
    <t>HMT Limited</t>
  </si>
  <si>
    <t>Hindustan Media Ventures Limited</t>
  </si>
  <si>
    <t>Hindustan Organic Chemicals Limited</t>
  </si>
  <si>
    <t>Honeywell Automation India Limited</t>
  </si>
  <si>
    <t>Honda Siel Power Products Limited</t>
  </si>
  <si>
    <t>Hotel Leela Venture Limited</t>
  </si>
  <si>
    <t>Hotel Rugby Limited</t>
  </si>
  <si>
    <t>HOV Services Limited</t>
  </si>
  <si>
    <t>HSIL Limited</t>
  </si>
  <si>
    <t>HT Media Limited</t>
  </si>
  <si>
    <t>Hubtown Limited</t>
  </si>
  <si>
    <t>Housing &amp; Urban Development Corporation Limited</t>
  </si>
  <si>
    <t>RattanIndia Infrastructure Limited</t>
  </si>
  <si>
    <t>RattanIndia Power Limited</t>
  </si>
  <si>
    <t>Indiabulls Real Estate Limited</t>
  </si>
  <si>
    <t>Indiabulls Housing Finance Limited</t>
  </si>
  <si>
    <t>ICICI Bank Limited</t>
  </si>
  <si>
    <t>Indo Count Industries Limited</t>
  </si>
  <si>
    <t>ICRA Limited</t>
  </si>
  <si>
    <t>ICSA (India) Limited</t>
  </si>
  <si>
    <t>IDBI Bank Limited</t>
  </si>
  <si>
    <t>Idea Cellular Limited</t>
  </si>
  <si>
    <t>IDFC Limited</t>
  </si>
  <si>
    <t>IFB Agro Industries Limited</t>
  </si>
  <si>
    <t>IFB Industries Limited</t>
  </si>
  <si>
    <t>IFCI Limited</t>
  </si>
  <si>
    <t>IFGL Refractories Limited</t>
  </si>
  <si>
    <t>Igarashi Motors India Limited</t>
  </si>
  <si>
    <t>Indraprastha Gas Limited</t>
  </si>
  <si>
    <t>IG Petrochemicals Limited</t>
  </si>
  <si>
    <t>IIFL Holdings Limited</t>
  </si>
  <si>
    <t>Industrial Investment Trust Limited</t>
  </si>
  <si>
    <t>IL&amp;FS Engineering and Construction Company Limited</t>
  </si>
  <si>
    <t>IL&amp;FS Transportation Networks Limited</t>
  </si>
  <si>
    <t>Indian Metals &amp; Ferro Alloys Limited</t>
  </si>
  <si>
    <t>India Motor Parts and Accessories Limited</t>
  </si>
  <si>
    <t>Impex Ferro Tech Limited</t>
  </si>
  <si>
    <t>Indbank Merchant Banking Services Limited</t>
  </si>
  <si>
    <t>The Indian Hotels Company Limited</t>
  </si>
  <si>
    <t>The India Cements Limited</t>
  </si>
  <si>
    <t>India Glycols Limited</t>
  </si>
  <si>
    <t>Indian Bank</t>
  </si>
  <si>
    <t>Indian Card Clothing Company Limited</t>
  </si>
  <si>
    <t>Indian Hume Pipe Company Limited</t>
  </si>
  <si>
    <t>IMP Powers Limited</t>
  </si>
  <si>
    <t>India Nippon Electricals Limited</t>
  </si>
  <si>
    <t>Indoco Remedies Limited</t>
  </si>
  <si>
    <t>Indo Rama Synthetics (India) Limited</t>
  </si>
  <si>
    <t>Indosolar Limited</t>
  </si>
  <si>
    <t>Indo Tech Transformers Limited</t>
  </si>
  <si>
    <t>Indo Thai Securities Limited</t>
  </si>
  <si>
    <t>Indowind Energy Limited</t>
  </si>
  <si>
    <t>Indraprastha Medical Corporation Limited</t>
  </si>
  <si>
    <t>Ind-Swift Laboratories Limited</t>
  </si>
  <si>
    <t>Ind-Swift Limited</t>
  </si>
  <si>
    <t>Indian Terrain Fashions Limited</t>
  </si>
  <si>
    <t>IndusInd Bank Limited</t>
  </si>
  <si>
    <t>Infinite Computer Solutions (India) Limited</t>
  </si>
  <si>
    <t>Bharti Infratel Limited</t>
  </si>
  <si>
    <t>Infosys Limited</t>
  </si>
  <si>
    <t>Ingersoll Rand (India) Limited</t>
  </si>
  <si>
    <t>INOX Leisure Limited</t>
  </si>
  <si>
    <t>Insecticides (India) Limited</t>
  </si>
  <si>
    <t>Integra Garments and Textiles Limited</t>
  </si>
  <si>
    <t>Inventure Growth &amp; Securities Limited</t>
  </si>
  <si>
    <t>Indian Overseas Bank</t>
  </si>
  <si>
    <t>Indian Oil Corporation Limited</t>
  </si>
  <si>
    <t>IOL Chemicals and Pharmaceuticals Limited</t>
  </si>
  <si>
    <t>International Paper APPM Limited</t>
  </si>
  <si>
    <t>IPCA Laboratories Limited</t>
  </si>
  <si>
    <t>IRB Infrastructure Developers Limited</t>
  </si>
  <si>
    <t>Intrasoft Technologies Limited</t>
  </si>
  <si>
    <t>ISMT Limited</t>
  </si>
  <si>
    <t>ITC Limited</t>
  </si>
  <si>
    <t>ITD Cementation India Limited</t>
  </si>
  <si>
    <t>ITI Limited</t>
  </si>
  <si>
    <t>IL&amp;FS Investment Managers Limited</t>
  </si>
  <si>
    <t>IVP Limited</t>
  </si>
  <si>
    <t>IVRCL Limited</t>
  </si>
  <si>
    <t>The Jammu &amp; Kashmir Bank Limited</t>
  </si>
  <si>
    <t>Jagran Prakashan Limited</t>
  </si>
  <si>
    <t>Jagsonpal Pharmaceuticals Limited</t>
  </si>
  <si>
    <t>Jai Balaji Industries Limited</t>
  </si>
  <si>
    <t>Jai Corp Limited</t>
  </si>
  <si>
    <t>Jaihind Projects Limited</t>
  </si>
  <si>
    <t>Jain Studios Limited</t>
  </si>
  <si>
    <t>Jamna Auto Industries Limited</t>
  </si>
  <si>
    <t>Jayant Agro Organics Limited</t>
  </si>
  <si>
    <t>Jay Bharat Maruti Limited</t>
  </si>
  <si>
    <t>Jayaswal Neco Industries Limited</t>
  </si>
  <si>
    <t>Jayshree Tea &amp; Industries Limited</t>
  </si>
  <si>
    <t>JB Chemicals &amp; Pharmaceuticals Limited</t>
  </si>
  <si>
    <t>JBF Industries Limited</t>
  </si>
  <si>
    <t>JBM Auto Limited</t>
  </si>
  <si>
    <t>Jenson &amp; Nicholson (India) Limited</t>
  </si>
  <si>
    <t>Jet Airways (India) Limited</t>
  </si>
  <si>
    <t>JHS Svendgaard Laboratories Limited</t>
  </si>
  <si>
    <t>JIK Industries Limited</t>
  </si>
  <si>
    <t>Jindal Photo Limited</t>
  </si>
  <si>
    <t>Jindal Poly Films Limited</t>
  </si>
  <si>
    <t>Jindal Saw Limited</t>
  </si>
  <si>
    <t>Jindal Steel &amp; Power Limited</t>
  </si>
  <si>
    <t>Jindal Cotex Limited</t>
  </si>
  <si>
    <t>Jindal Drilling And Industries Limited</t>
  </si>
  <si>
    <t>Jindal Worldwide Limited</t>
  </si>
  <si>
    <t>Jain Irrigation Systems Limited</t>
  </si>
  <si>
    <t>JK Cement Limited</t>
  </si>
  <si>
    <t>J.Kumar Infraprojects Limited</t>
  </si>
  <si>
    <t>JK Lakshmi Cement Limited</t>
  </si>
  <si>
    <t>JK Paper Limited</t>
  </si>
  <si>
    <t>JK Tyre &amp; Industries Limited</t>
  </si>
  <si>
    <t>JMC Projects (India)  Limited</t>
  </si>
  <si>
    <t>JM Financial Limited</t>
  </si>
  <si>
    <t>JMT Auto Limited</t>
  </si>
  <si>
    <t>Jocil Limited</t>
  </si>
  <si>
    <t>Jaiprakash Associates Limited</t>
  </si>
  <si>
    <t>Jaypee Infratech Limited</t>
  </si>
  <si>
    <t>Jindal Poly Investment and Finance Company Limited</t>
  </si>
  <si>
    <t>Jaiprakash Power Ventures Limited</t>
  </si>
  <si>
    <t>Jindal Stainless Limited</t>
  </si>
  <si>
    <t>JSW Energy Limited</t>
  </si>
  <si>
    <t>JSW Holdings Limited</t>
  </si>
  <si>
    <t>JSW Steel Limited</t>
  </si>
  <si>
    <t>Jubilant Life Sciences Limited</t>
  </si>
  <si>
    <t>Jubilant Foodworks Limited</t>
  </si>
  <si>
    <t>Jubilant Industries Limited</t>
  </si>
  <si>
    <t>Just Dial Limited</t>
  </si>
  <si>
    <t>JVL Agro Industries Limited</t>
  </si>
  <si>
    <t>Jyothy Laboratories Limited</t>
  </si>
  <si>
    <t>Jyoti Structures Limited</t>
  </si>
  <si>
    <t>Kabra Extrusion Technik Limited</t>
  </si>
  <si>
    <t>Kajaria Ceramics Limited</t>
  </si>
  <si>
    <t>Kakatiya Cement Sugar &amp; Industries Limited</t>
  </si>
  <si>
    <t>Kalpataru Power Transmission Limited</t>
  </si>
  <si>
    <t>Kalyani Forge Limited</t>
  </si>
  <si>
    <t>Kamat Hotels (I) Limited</t>
  </si>
  <si>
    <t>Kanani Industries Limited</t>
  </si>
  <si>
    <t>Kanoria Chemicals &amp; Industries Limited</t>
  </si>
  <si>
    <t>Kansai Nerolac Paints Limited</t>
  </si>
  <si>
    <t>Karma Energy Limited</t>
  </si>
  <si>
    <t>Karur Vysya Bank Limited</t>
  </si>
  <si>
    <t>Kaushalya Infrastructure Development Corporation Limited</t>
  </si>
  <si>
    <t>Kavveri Telecom Products Limited</t>
  </si>
  <si>
    <t>KCP Limited</t>
  </si>
  <si>
    <t>KCP Sugar and Industries Corporation Limited</t>
  </si>
  <si>
    <t>KEC International Limited</t>
  </si>
  <si>
    <t>Kirloskar Electric Company Limited</t>
  </si>
  <si>
    <t>KEI Industries Limited</t>
  </si>
  <si>
    <t>Kernex Microsystems (India) Limited</t>
  </si>
  <si>
    <t>Kesar Enterprises Limited</t>
  </si>
  <si>
    <t>Kesoram Industries Limited</t>
  </si>
  <si>
    <t>Keynote Corporate Services Limited</t>
  </si>
  <si>
    <t>Karuturi Global Limited</t>
  </si>
  <si>
    <t>Khaitan Electricals Limited</t>
  </si>
  <si>
    <t>Khaitan (India) Limited</t>
  </si>
  <si>
    <t>Khandwala Securities Limited</t>
  </si>
  <si>
    <t>Kalyani Investment Company Limited</t>
  </si>
  <si>
    <t>Kilitch Drugs (India) Limited</t>
  </si>
  <si>
    <t>Kiri Industries Limited</t>
  </si>
  <si>
    <t>Kirloskar Brothers Limited</t>
  </si>
  <si>
    <t>Kirloskar Oil Engines Limited</t>
  </si>
  <si>
    <t>Kirloskar Industries Limited</t>
  </si>
  <si>
    <t>Kitex Garments Limited</t>
  </si>
  <si>
    <t>Kewal Kiran Clothing Limited</t>
  </si>
  <si>
    <t>K.M.Sugar Mills Limited</t>
  </si>
  <si>
    <t>KNR Constructions Limited</t>
  </si>
  <si>
    <t>Kohinoor Foods Limited</t>
  </si>
  <si>
    <t>Kokuyo Camlin Limited</t>
  </si>
  <si>
    <t>Kolte - Patil Developers Limited</t>
  </si>
  <si>
    <t>Kopran Limited</t>
  </si>
  <si>
    <t>Kotak Mahindra Bank Limited</t>
  </si>
  <si>
    <t>Kothari Sugars And Chemicals Limited</t>
  </si>
  <si>
    <t>Kothari Petrochemicals Limited</t>
  </si>
  <si>
    <t>Kothari Products Limited</t>
  </si>
  <si>
    <t>K.P.R. Mill Limited</t>
  </si>
  <si>
    <t>KRBL Limited</t>
  </si>
  <si>
    <t>KSB Pumps Limited</t>
  </si>
  <si>
    <t>Kaveri Seed Company Limited</t>
  </si>
  <si>
    <t>KSS Limited</t>
  </si>
  <si>
    <t>KSK Energy Ventures Limited</t>
  </si>
  <si>
    <t>Kalyani Steels Limited</t>
  </si>
  <si>
    <t>Kesar Terminals &amp; Infrastructure Limited</t>
  </si>
  <si>
    <t>The Karnataka Bank Limited</t>
  </si>
  <si>
    <t>kwality limited</t>
  </si>
  <si>
    <t>L&amp;T Finance Holdings Limited</t>
  </si>
  <si>
    <t>Lakshmi Precision Screws Limited</t>
  </si>
  <si>
    <t>Lakshmi Energy and Foods Limited</t>
  </si>
  <si>
    <t>Lakshmi Vilas Bank Limited</t>
  </si>
  <si>
    <t>La Opala RG Limited</t>
  </si>
  <si>
    <t>Lakshmi Machine Works Limited</t>
  </si>
  <si>
    <t>LCC Infotech Limited</t>
  </si>
  <si>
    <t>LG Balakrishnan &amp; Bros Limited</t>
  </si>
  <si>
    <t>LGB Forge Limited</t>
  </si>
  <si>
    <t>Liberty Shoes Limited</t>
  </si>
  <si>
    <t>LIC Housing Finance Limited</t>
  </si>
  <si>
    <t>Linde India Limited</t>
  </si>
  <si>
    <t>Lanco Infratech Limited</t>
  </si>
  <si>
    <t>Lloyd Electric &amp; Engineering Limited</t>
  </si>
  <si>
    <t>LML Limited</t>
  </si>
  <si>
    <t>Lokesh Machines Limited</t>
  </si>
  <si>
    <t>Lotus Eye Care Hospital Limited</t>
  </si>
  <si>
    <t>Lovable Lingerie Limited</t>
  </si>
  <si>
    <t>Landmark Property Development Company Limited</t>
  </si>
  <si>
    <t>Larsen &amp; Toubro Limited</t>
  </si>
  <si>
    <t>Lumax Industries Limited</t>
  </si>
  <si>
    <t>Lumax Auto Technologies Limited</t>
  </si>
  <si>
    <t>Lupin Limited</t>
  </si>
  <si>
    <t>Lyka Labs Limited</t>
  </si>
  <si>
    <t>Lypsa Gems &amp; Jewellery Limited</t>
  </si>
  <si>
    <t>Mahindra &amp; Mahindra Limited</t>
  </si>
  <si>
    <t>Mahindra &amp; Mahindra Financial Services Limited</t>
  </si>
  <si>
    <t>Maan Aluminium Limited</t>
  </si>
  <si>
    <t>Madhav Marbles and Granites Limited</t>
  </si>
  <si>
    <t>Madhucon Projects Limited</t>
  </si>
  <si>
    <t>Madras Fertilizers Limited</t>
  </si>
  <si>
    <t>Magma Fincorp Limited</t>
  </si>
  <si>
    <t>Magnum Ventures Limited</t>
  </si>
  <si>
    <t>Bank of Maharashtra</t>
  </si>
  <si>
    <t>Mahindra CIE Automotive Limited</t>
  </si>
  <si>
    <t>Mahindra Lifespace Developers Limited</t>
  </si>
  <si>
    <t>Maharashtra Scooters Limited</t>
  </si>
  <si>
    <t>Maharashtra Seamless Limited</t>
  </si>
  <si>
    <t>Maithan Alloys Limited</t>
  </si>
  <si>
    <t>Malu Paper Mills Limited</t>
  </si>
  <si>
    <t>Malwa Cotton Spg. Mills Limited</t>
  </si>
  <si>
    <t>Manaksia Limited</t>
  </si>
  <si>
    <t>Manali Petrochemicals Limited</t>
  </si>
  <si>
    <t>Mandhana Industries Limited</t>
  </si>
  <si>
    <t>Mangalam Drugs And Organics Limited</t>
  </si>
  <si>
    <t>Mangalore Chemicals &amp; Fertilizers Limited</t>
  </si>
  <si>
    <t>Mangalam Cement Limited</t>
  </si>
  <si>
    <t>Mangalam Timber Products Limited</t>
  </si>
  <si>
    <t>Man Industries (India) Limited</t>
  </si>
  <si>
    <t>Man Infraconstruction Limited</t>
  </si>
  <si>
    <t>Manugraph India Limited</t>
  </si>
  <si>
    <t>Maral Overseas Limited</t>
  </si>
  <si>
    <t>Marico Limited</t>
  </si>
  <si>
    <t>Marksans Pharma Limited</t>
  </si>
  <si>
    <t>Maruti Suzuki India Limited</t>
  </si>
  <si>
    <t>Mastek Limited</t>
  </si>
  <si>
    <t>Mawana Sugars Limited</t>
  </si>
  <si>
    <t>Max India Limited</t>
  </si>
  <si>
    <t>Mayur Uniquoters Ltd</t>
  </si>
  <si>
    <t>Mcnally Bharat Engineering Company Limited</t>
  </si>
  <si>
    <t>MBL Infrastructures Limited</t>
  </si>
  <si>
    <t>McDowell Holdings Limited</t>
  </si>
  <si>
    <t>United Spirits Limited</t>
  </si>
  <si>
    <t>Mcleod Russel India Limited</t>
  </si>
  <si>
    <t>Megasoft Limited</t>
  </si>
  <si>
    <t>Meghmani Organics Limited</t>
  </si>
  <si>
    <t>Melstar Information Technologies Limited</t>
  </si>
  <si>
    <t>Mercator Limited</t>
  </si>
  <si>
    <t>Merck Limited</t>
  </si>
  <si>
    <t>Metkore Alloys &amp; Industries Limited</t>
  </si>
  <si>
    <t>Mahindra Holidays &amp; Resorts India Limited</t>
  </si>
  <si>
    <t>MIC Electronics Limited</t>
  </si>
  <si>
    <t>Minda Corporation Limited</t>
  </si>
  <si>
    <t>Minda Industries Limited</t>
  </si>
  <si>
    <t>MindTree Limited</t>
  </si>
  <si>
    <t>MIRC Electronics Limited</t>
  </si>
  <si>
    <t>Mirza International Limited</t>
  </si>
  <si>
    <t>MM Forgings Limited</t>
  </si>
  <si>
    <t>MMTC Limited</t>
  </si>
  <si>
    <t>Mohit Industries Limited</t>
  </si>
  <si>
    <t>MOIL Limited</t>
  </si>
  <si>
    <t>Monnet Ispat and Energy Limited</t>
  </si>
  <si>
    <t>Monsanto India Limited</t>
  </si>
  <si>
    <t>Morarjee Textiles Limited</t>
  </si>
  <si>
    <t>Morepen Laboratories Limited</t>
  </si>
  <si>
    <t>Moser-Baer (I) Limited</t>
  </si>
  <si>
    <t>Motherson Sumi Systems Limited</t>
  </si>
  <si>
    <t>Motilal Oswal Financial Services Limited</t>
  </si>
  <si>
    <t>The Motor &amp; General Finance Limited</t>
  </si>
  <si>
    <t>MphasiS Limited</t>
  </si>
  <si>
    <t>MPS Limited</t>
  </si>
  <si>
    <t>MRF Limited</t>
  </si>
  <si>
    <t>Mangalore Refinery and Petrochemicals Limited</t>
  </si>
  <si>
    <t>MSP Steel &amp; Power Limited</t>
  </si>
  <si>
    <t>MT Educare Limited</t>
  </si>
  <si>
    <t>Mahanagar Telephone Nigam Limited</t>
  </si>
  <si>
    <t>Mukand Engineers Limited</t>
  </si>
  <si>
    <t>Mukand Limited</t>
  </si>
  <si>
    <t>Mukta Arts Limited</t>
  </si>
  <si>
    <t>Munjal Auto Industries Limited</t>
  </si>
  <si>
    <t>Munjal Showa Limited</t>
  </si>
  <si>
    <t>Murudeshwar Ceramics Limited</t>
  </si>
  <si>
    <t>Muthoot Finance Limited</t>
  </si>
  <si>
    <t>MVL Limited</t>
  </si>
  <si>
    <t>Nagarjuna Oil Refinery Limited</t>
  </si>
  <si>
    <t>Nagreeka Capital &amp; Infrastructure Limited</t>
  </si>
  <si>
    <t>Nagreeka Exports Limited</t>
  </si>
  <si>
    <t>Nahar Capital and Financial Services Limited</t>
  </si>
  <si>
    <t>Nahar Industrial Enterprises Limited</t>
  </si>
  <si>
    <t>Nahar Poly Films Limited</t>
  </si>
  <si>
    <t>Nahar Spinning Mills Limited</t>
  </si>
  <si>
    <t>Nakoda Limited</t>
  </si>
  <si>
    <t>Natco Pharma Limited</t>
  </si>
  <si>
    <t>Nath Bio-Genes (India) Limited</t>
  </si>
  <si>
    <t>National Aluminium Company Limited</t>
  </si>
  <si>
    <t>National Steel And Agro Industries Limited</t>
  </si>
  <si>
    <t>Info Edge (India) Limited</t>
  </si>
  <si>
    <t>Navin Fluorine International Limited</t>
  </si>
  <si>
    <t>Navneet Education Limited</t>
  </si>
  <si>
    <t>Nava Bharat Ventures Limited</t>
  </si>
  <si>
    <t>NCC Limited</t>
  </si>
  <si>
    <t>NCL Industries Limited</t>
  </si>
  <si>
    <t>Nandan Denim Limited</t>
  </si>
  <si>
    <t>New Delhi Television Limited</t>
  </si>
  <si>
    <t>Nectar Lifesciences Limited</t>
  </si>
  <si>
    <t>Nelcast Limited</t>
  </si>
  <si>
    <t>NELCO Limited</t>
  </si>
  <si>
    <t>Nesco Limited</t>
  </si>
  <si>
    <t>Net 4 India Limited</t>
  </si>
  <si>
    <t>Network18 Media &amp; Investments Limited</t>
  </si>
  <si>
    <t>Neuland Laboratories Limited</t>
  </si>
  <si>
    <t>Next Mediaworks Limited</t>
  </si>
  <si>
    <t>National Fertilizers Limited</t>
  </si>
  <si>
    <t>NHPC Limited</t>
  </si>
  <si>
    <t>NRB Industrial Bearings Limited</t>
  </si>
  <si>
    <t>Nicco Corporation Limited</t>
  </si>
  <si>
    <t>NIIT Limited</t>
  </si>
  <si>
    <t>NIIT Technologies Limited</t>
  </si>
  <si>
    <t>Nilkamal Limited</t>
  </si>
  <si>
    <t>Nitco Limited</t>
  </si>
  <si>
    <t>Nitesh Estates Limited</t>
  </si>
  <si>
    <t>Nitin Fire Protection Industries Limited</t>
  </si>
  <si>
    <t>Nitin Spinners Limited</t>
  </si>
  <si>
    <t>NK Industries Limited</t>
  </si>
  <si>
    <t>NMDC Limited</t>
  </si>
  <si>
    <t>NOCIL Limited</t>
  </si>
  <si>
    <t>Noesis Industries Limited</t>
  </si>
  <si>
    <t>Noida Toll Bridge Company Limited</t>
  </si>
  <si>
    <t>Norben Tea &amp; Exports Limited</t>
  </si>
  <si>
    <t>NRB Bearing Limited</t>
  </si>
  <si>
    <t>Nalwa Sons Investments Limited</t>
  </si>
  <si>
    <t>NTPC Limited</t>
  </si>
  <si>
    <t>Nucleus Software Exports Limited</t>
  </si>
  <si>
    <t>Nu Tek India Limited</t>
  </si>
  <si>
    <t>Oberoi Realty Limited</t>
  </si>
  <si>
    <t>OCL India Limited</t>
  </si>
  <si>
    <t>Oracle Financial Services Software Limited</t>
  </si>
  <si>
    <t>Oil India Limited</t>
  </si>
  <si>
    <t>Oil Country Tubular Limited</t>
  </si>
  <si>
    <t>OCL Iron and Steel Limited</t>
  </si>
  <si>
    <t>Omax Autos Limited</t>
  </si>
  <si>
    <t>Omaxe Limited</t>
  </si>
  <si>
    <t>Omkar Speciality Chemicals Limited</t>
  </si>
  <si>
    <t>OM Metals Infraprojects Limited</t>
  </si>
  <si>
    <t>Onelife Capital Advisors Limited</t>
  </si>
  <si>
    <t>Oil &amp; Natural Gas Corporation Limited</t>
  </si>
  <si>
    <t>OnMobile Global Limited</t>
  </si>
  <si>
    <t>Onward Technologies Limited</t>
  </si>
  <si>
    <t>Opto Circuits (India) Limited</t>
  </si>
  <si>
    <t>Orbit Corporation Limited</t>
  </si>
  <si>
    <t>Orbit Exports Limited</t>
  </si>
  <si>
    <t>Orient Abrasives Limited</t>
  </si>
  <si>
    <t>Oriental Trimex Limited</t>
  </si>
  <si>
    <t>Oriental Bank of Commerce</t>
  </si>
  <si>
    <t>Orient Bell Limited</t>
  </si>
  <si>
    <t>Orient Cement Limited</t>
  </si>
  <si>
    <t>Oriental Hotels Limited</t>
  </si>
  <si>
    <t>Orient Press Limited</t>
  </si>
  <si>
    <t>Orient Paper &amp; Industries Limited</t>
  </si>
  <si>
    <t>Orient Refractories Limited</t>
  </si>
  <si>
    <t>The Orissa Minerals Development Company Limited</t>
  </si>
  <si>
    <t>PAE Limited</t>
  </si>
  <si>
    <t>Page Industries Limited</t>
  </si>
  <si>
    <t>Palred Technologies Limited</t>
  </si>
  <si>
    <t>Panacea Biotec Limited</t>
  </si>
  <si>
    <t>Panama Petrochem Limited</t>
  </si>
  <si>
    <t>Panoramic Universal Limited</t>
  </si>
  <si>
    <t>Huhtamaki PPL Limited</t>
  </si>
  <si>
    <t>Parabolic Drugs Limited</t>
  </si>
  <si>
    <t>Paramount Communications Limited</t>
  </si>
  <si>
    <t>Parsvnath Developers Limited</t>
  </si>
  <si>
    <t>Patel Engineering Limited</t>
  </si>
  <si>
    <t>Patel Integrated Logistics Limited</t>
  </si>
  <si>
    <t>Patspin India Limited</t>
  </si>
  <si>
    <t>PBA Infrastructure Limited</t>
  </si>
  <si>
    <t>PC Jeweller Limited</t>
  </si>
  <si>
    <t>Parenteral Drugs (India) Limited</t>
  </si>
  <si>
    <t>PDS Multinational Fashions Limited</t>
  </si>
  <si>
    <t>Pudumjee Industries Limited</t>
  </si>
  <si>
    <t>Pudumjee Pulp &amp; Paper Mills Limited</t>
  </si>
  <si>
    <t>Pearl Polymers Limited</t>
  </si>
  <si>
    <t>Piramal Enterprises Limited</t>
  </si>
  <si>
    <t>Pennar Industries Limited</t>
  </si>
  <si>
    <t>Peninsula Land Limited</t>
  </si>
  <si>
    <t>Persistent Systems Limited</t>
  </si>
  <si>
    <t>Petron Engineering Construction Limited</t>
  </si>
  <si>
    <t>Petronet LNG Limited</t>
  </si>
  <si>
    <t>Power Finance Corporation Limited</t>
  </si>
  <si>
    <t>Pfizer Limited</t>
  </si>
  <si>
    <t>Prime Focus Limited</t>
  </si>
  <si>
    <t>PTC India Financial Services Limited</t>
  </si>
  <si>
    <t>PG Electroplast Limited</t>
  </si>
  <si>
    <t>Procter &amp; Gamble Hygiene and Health Care Limited</t>
  </si>
  <si>
    <t>Pearl Global Industries Limited</t>
  </si>
  <si>
    <t>Phillips Carbon Black Limited</t>
  </si>
  <si>
    <t>Phoenix Lamps Limited</t>
  </si>
  <si>
    <t>The Phoenix Mills Limited</t>
  </si>
  <si>
    <t>Pidilite Industries Limited</t>
  </si>
  <si>
    <t>PI Industries Limited</t>
  </si>
  <si>
    <t>Pioneer Distilleries Limited</t>
  </si>
  <si>
    <t>Pioneer Embroideries Limited</t>
  </si>
  <si>
    <t>Piramal Phytocare Limited</t>
  </si>
  <si>
    <t>Pitti Laminations Limited</t>
  </si>
  <si>
    <t>Plastiblends India Limited</t>
  </si>
  <si>
    <t>Punjab National Bank</t>
  </si>
  <si>
    <t>PNB Gilts Limited</t>
  </si>
  <si>
    <t>Pritish Nandy Communications Limited</t>
  </si>
  <si>
    <t>Pochiraju Industries Limited</t>
  </si>
  <si>
    <t>Poly Medicure Limited</t>
  </si>
  <si>
    <t>Polyplex Corporation Limited</t>
  </si>
  <si>
    <t>Ponni Sugars (Erode) Limited</t>
  </si>
  <si>
    <t>Power Grid Corporation of India Limited</t>
  </si>
  <si>
    <t>PPAP Automotive Limited</t>
  </si>
  <si>
    <t>Pradip Overseas Limited</t>
  </si>
  <si>
    <t>Prajay Engineers Syndicate Limited</t>
  </si>
  <si>
    <t>Praj Industries Limited</t>
  </si>
  <si>
    <t>Prakash Industries Limited</t>
  </si>
  <si>
    <t>Prakash Constrowell Limited</t>
  </si>
  <si>
    <t>Prakash Steelage Limited</t>
  </si>
  <si>
    <t>Pratibha Industries Limited</t>
  </si>
  <si>
    <t>Precot Meridian Limited</t>
  </si>
  <si>
    <t>Precision Wires India Limited</t>
  </si>
  <si>
    <t>Premier Limited</t>
  </si>
  <si>
    <t>Premier Polyfilm Limited</t>
  </si>
  <si>
    <t>Pressman Advertising Limited</t>
  </si>
  <si>
    <t>Prestige Estates Projects Limited</t>
  </si>
  <si>
    <t>Pricol Limited</t>
  </si>
  <si>
    <t>Prime Securities Limited</t>
  </si>
  <si>
    <t>Prism Cement Limited</t>
  </si>
  <si>
    <t>Provogue (India) Limited</t>
  </si>
  <si>
    <t>Prozone Intu Properties Limited</t>
  </si>
  <si>
    <t>Punjab &amp; Sind Bank</t>
  </si>
  <si>
    <t>PSL Limited</t>
  </si>
  <si>
    <t>PTC India Limited</t>
  </si>
  <si>
    <t>PTL Enterprises Limited</t>
  </si>
  <si>
    <t>Punjab Chemicals &amp; Crop Protection Limited</t>
  </si>
  <si>
    <t>Punj Lloyd Limited</t>
  </si>
  <si>
    <t>PVP Ventures Limited</t>
  </si>
  <si>
    <t>PVR Limited</t>
  </si>
  <si>
    <t>Quintegra Solutions Limited</t>
  </si>
  <si>
    <t>Radaan Mediaworks India Limited</t>
  </si>
  <si>
    <t>Radico Khaitan Limited</t>
  </si>
  <si>
    <t>Rain Industries Limited</t>
  </si>
  <si>
    <t>Rainbow Papers Limited</t>
  </si>
  <si>
    <t>Raisaheb Reckhchand Mohota Spinning &amp; Weaving Mills Limited</t>
  </si>
  <si>
    <t>Rajesh Exports Limited</t>
  </si>
  <si>
    <t>Raj Oil Mills Limited</t>
  </si>
  <si>
    <t>Raj Rayon Industries Limited</t>
  </si>
  <si>
    <t>Rajshree Sugars &amp; Chemicals Limited</t>
  </si>
  <si>
    <t>Raj Television Network Limited</t>
  </si>
  <si>
    <t>Rajvir Industries Limited</t>
  </si>
  <si>
    <t>Rallis India Limited</t>
  </si>
  <si>
    <t>The Ramco Cements Limited</t>
  </si>
  <si>
    <t>Ramco Industries Limited</t>
  </si>
  <si>
    <t>Ramco Systems Limited</t>
  </si>
  <si>
    <t>Ramky Infrastructure Limited</t>
  </si>
  <si>
    <t>Ramsarup Industries Limited</t>
  </si>
  <si>
    <t>Rana Sugars Limited</t>
  </si>
  <si>
    <t>Rane Engine Valve Limited</t>
  </si>
  <si>
    <t>Rane Holdings Limited</t>
  </si>
  <si>
    <t>Rasoya Proteins Limited</t>
  </si>
  <si>
    <t>Ratnamani Metals &amp; Tubes Limited</t>
  </si>
  <si>
    <t>Raymond Limited</t>
  </si>
  <si>
    <t>Rane Brake Lining Limited</t>
  </si>
  <si>
    <t>Rashtriya Chemicals and Fertilizers Limited</t>
  </si>
  <si>
    <t>Reliance Communications Limited</t>
  </si>
  <si>
    <t>Rural Electrification Corporation Limited</t>
  </si>
  <si>
    <t>Redington (India) Limited</t>
  </si>
  <si>
    <t>Regency Ceramics Limited</t>
  </si>
  <si>
    <t>Rei Agro Limited</t>
  </si>
  <si>
    <t>Relaxo Footwears Limited</t>
  </si>
  <si>
    <t>Reliance Capital Limited</t>
  </si>
  <si>
    <t>Reliance Industries Limited</t>
  </si>
  <si>
    <t>Religare Enterprises Limited</t>
  </si>
  <si>
    <t>Reliance Infrastructure Limited</t>
  </si>
  <si>
    <t>Remsons Industries Limited</t>
  </si>
  <si>
    <t>Shree Renuka Sugars Limited</t>
  </si>
  <si>
    <t>Repco Home Finance Limited</t>
  </si>
  <si>
    <t>Repro India Limited</t>
  </si>
  <si>
    <t>Responsive Industries Limited</t>
  </si>
  <si>
    <t>Revathi Equipment Limited</t>
  </si>
  <si>
    <t>Rico Auto Industries Limited</t>
  </si>
  <si>
    <t>Reliance Industrial Infrastructure Limited</t>
  </si>
  <si>
    <t>Renaissance Jewellery Limited</t>
  </si>
  <si>
    <t>Ravi Kumar Distilleries Limited</t>
  </si>
  <si>
    <t>Ramkrishna Forgings Limited</t>
  </si>
  <si>
    <t>Radha Madhav Corporation Limited</t>
  </si>
  <si>
    <t>Rane (Madras) Limited</t>
  </si>
  <si>
    <t>Rohit Ferro-Tech Limited</t>
  </si>
  <si>
    <t>Royal Orchid Hotels Limited</t>
  </si>
  <si>
    <t>Rolta India Limited</t>
  </si>
  <si>
    <t>Rossell India Limited</t>
  </si>
  <si>
    <t>RPG Life Sciences Limited</t>
  </si>
  <si>
    <t>Reliance Power Limited</t>
  </si>
  <si>
    <t>R.P.P. Infra Projects Limited</t>
  </si>
  <si>
    <t>R. S. Software (India) Limited</t>
  </si>
  <si>
    <t>RSWM Limited</t>
  </si>
  <si>
    <t>R Systems International Limited</t>
  </si>
  <si>
    <t>The Ruby Mills Limited</t>
  </si>
  <si>
    <t>Ruchi Infrastructure Limited</t>
  </si>
  <si>
    <t>Ruchira Papers Limited</t>
  </si>
  <si>
    <t>Ruchi Soya Industries Limited</t>
  </si>
  <si>
    <t>Rupa &amp; Company Limited</t>
  </si>
  <si>
    <t>Rushil Decor Limited</t>
  </si>
  <si>
    <t>Sri Adhikari Brothers Television Network Limited</t>
  </si>
  <si>
    <t>Sadbhav Engineering Limited</t>
  </si>
  <si>
    <t>Sagar Cements Limited</t>
  </si>
  <si>
    <t>Steel Authority of India Limited</t>
  </si>
  <si>
    <t>Sakthi Sugars Limited</t>
  </si>
  <si>
    <t>Saksoft Limited</t>
  </si>
  <si>
    <t>Sakuma Exports Limited</t>
  </si>
  <si>
    <t>Salora International Limited</t>
  </si>
  <si>
    <t>S.A.L. Steel Limited</t>
  </si>
  <si>
    <t>Sambhaav Media Limited</t>
  </si>
  <si>
    <t>Samtel Color Limited</t>
  </si>
  <si>
    <t>The Sandesh Limited</t>
  </si>
  <si>
    <t>Sangam (India) Limited</t>
  </si>
  <si>
    <t>Sanghi Industries Limited</t>
  </si>
  <si>
    <t>Sanghvi Forging and Engineering Limited</t>
  </si>
  <si>
    <t>Sanghvi Movers Limited</t>
  </si>
  <si>
    <t>Sanofi India Limited</t>
  </si>
  <si>
    <t>Sanwaria Agro Oils Limited</t>
  </si>
  <si>
    <t>Sarda Energy &amp; Minerals Limited</t>
  </si>
  <si>
    <t>Saregama India Limited</t>
  </si>
  <si>
    <t>Sarla Performance Fibers Limited</t>
  </si>
  <si>
    <t>Sathavahana Ispat Limited</t>
  </si>
  <si>
    <t>State Bank of India</t>
  </si>
  <si>
    <t>Schneider Electric Infrastructure Limited</t>
  </si>
  <si>
    <t>Shipping Corporation Of India Limited</t>
  </si>
  <si>
    <t>Som Distilleries &amp; Breweries Limited</t>
  </si>
  <si>
    <t>Seamec Limited</t>
  </si>
  <si>
    <t>S.E. Investments Limited</t>
  </si>
  <si>
    <t>Selan Exploration Technology Limited</t>
  </si>
  <si>
    <t>SEL Manufacturing Company Limited</t>
  </si>
  <si>
    <t>S.E. Power Limited</t>
  </si>
  <si>
    <t>Servalakshmi Paper Limited</t>
  </si>
  <si>
    <t>Seshasayee Paper and Boards Limited</t>
  </si>
  <si>
    <t>Sezal Glass Limited</t>
  </si>
  <si>
    <t>Shree Ganesh Forgings Limited</t>
  </si>
  <si>
    <t>STL Global Limited</t>
  </si>
  <si>
    <t>Shah Alloys Limited</t>
  </si>
  <si>
    <t>Shalimar Paints Limited</t>
  </si>
  <si>
    <t>Shanthi Gears Limited</t>
  </si>
  <si>
    <t>Sharda Cropchem Limited</t>
  </si>
  <si>
    <t>Sharon Bio-Medicine Limited</t>
  </si>
  <si>
    <t>Shemaroo Entertainment Limited</t>
  </si>
  <si>
    <t>Shilpa Medicare Limited</t>
  </si>
  <si>
    <t>Shilpi Cable Technologies Limited</t>
  </si>
  <si>
    <t>Shirpur Gold Refinery Limited</t>
  </si>
  <si>
    <t>Shivam Autotech Limited</t>
  </si>
  <si>
    <t>Shiva Texyarn Limited</t>
  </si>
  <si>
    <t>Shoppers Stop Limited</t>
  </si>
  <si>
    <t>Shree Cements Limited</t>
  </si>
  <si>
    <t>Shree Rama Multi-Tech Limited</t>
  </si>
  <si>
    <t>Shreyans Industries Limited</t>
  </si>
  <si>
    <t>Shreyas Shipping &amp; Logistics Limited</t>
  </si>
  <si>
    <t>Shriram City Union Finance Limited</t>
  </si>
  <si>
    <t>Shriram EPC Limited</t>
  </si>
  <si>
    <t>Shyam Telecom Limited</t>
  </si>
  <si>
    <t>Sicagen India Limited</t>
  </si>
  <si>
    <t>Sical Logistics Limited</t>
  </si>
  <si>
    <t>Siemens Limited</t>
  </si>
  <si>
    <t>Standard Industries Limited</t>
  </si>
  <si>
    <t>SIL Investments Limited</t>
  </si>
  <si>
    <t>Simbhaoli Sugars Limited</t>
  </si>
  <si>
    <t>Simplex Projects Limited</t>
  </si>
  <si>
    <t>Simplex Infrastructures Limited</t>
  </si>
  <si>
    <t>Sintex Industries Limited</t>
  </si>
  <si>
    <t>Sita Shree Food Products Limited</t>
  </si>
  <si>
    <t>Siyaram Silk Mills Limited</t>
  </si>
  <si>
    <t>SJVN Limited</t>
  </si>
  <si>
    <t>SKF India Limited</t>
  </si>
  <si>
    <t>SKIL Infrastructure Limited</t>
  </si>
  <si>
    <t>SKM Egg Products Export (India) Limited</t>
  </si>
  <si>
    <t>Smartlink Network Systems Limited</t>
  </si>
  <si>
    <t>SML Isuzu Limited</t>
  </si>
  <si>
    <t>SMS Pharmaceuticals Limited</t>
  </si>
  <si>
    <t>Snowman Logistics Limited</t>
  </si>
  <si>
    <t>Sobha Limited</t>
  </si>
  <si>
    <t>Software Technology Group International Limited</t>
  </si>
  <si>
    <t>Solar Industries India Limited</t>
  </si>
  <si>
    <t>Somany Ceramics Limited</t>
  </si>
  <si>
    <t>Soma Textiles &amp; Industries Limited</t>
  </si>
  <si>
    <t>Sona Koyo Steering Systems Limited</t>
  </si>
  <si>
    <t>Sonata Software Limited</t>
  </si>
  <si>
    <t>Savita Oil Technologies Limited</t>
  </si>
  <si>
    <t>The South Indian Bank Limited</t>
  </si>
  <si>
    <t>Sun Pharma Advanced Research Company Limited</t>
  </si>
  <si>
    <t>Speciality Restaurants Limited</t>
  </si>
  <si>
    <t>Spentex Industries Limited</t>
  </si>
  <si>
    <t>Southern Petrochemicals Industries Corporation  Limited</t>
  </si>
  <si>
    <t>Spice Mobility Limited</t>
  </si>
  <si>
    <t>SPL Industries Limited</t>
  </si>
  <si>
    <t>SPML Infra Limited</t>
  </si>
  <si>
    <t>Shekhawati Poly-Yarn Limited</t>
  </si>
  <si>
    <t>Sreeleathers Limited</t>
  </si>
  <si>
    <t>SREI Infrastructure Finance Limited</t>
  </si>
  <si>
    <t>SRF Limited</t>
  </si>
  <si>
    <t>SRG Infotec (India) Limited</t>
  </si>
  <si>
    <t>Sree Rayalaseema Hi-Strength Hypo Limited</t>
  </si>
  <si>
    <t>SRS Limited</t>
  </si>
  <si>
    <t>Shriram Transport Finance Company Limited</t>
  </si>
  <si>
    <t>Steel Strips Wheels Limited</t>
  </si>
  <si>
    <t>Star Paper Mills Limited</t>
  </si>
  <si>
    <t>The State Trading Corporation of India Limited</t>
  </si>
  <si>
    <t>Stel Holdings Limited</t>
  </si>
  <si>
    <t>Sterling Biotech Limited</t>
  </si>
  <si>
    <t>Sterling Tools Limited</t>
  </si>
  <si>
    <t>STI India Limited</t>
  </si>
  <si>
    <t>Sterlite Technologies Limited</t>
  </si>
  <si>
    <t>Subex Limited</t>
  </si>
  <si>
    <t>Subros Limited</t>
  </si>
  <si>
    <t>Sudarshan Chemical Industries Limited</t>
  </si>
  <si>
    <t>Sujana Universal Industries Limited</t>
  </si>
  <si>
    <t>Sumeet Industries Limited</t>
  </si>
  <si>
    <t>Summit Securities Limited</t>
  </si>
  <si>
    <t>Sundaram Clayton Limited</t>
  </si>
  <si>
    <t>Sundaram Multi Pap Limited</t>
  </si>
  <si>
    <t>Sundaram Finance Limited</t>
  </si>
  <si>
    <t>Sundaram Brake Linings Limited</t>
  </si>
  <si>
    <t>Sundram Fasteners Limited</t>
  </si>
  <si>
    <t>Sunflag Iron And Steel Company Limited</t>
  </si>
  <si>
    <t>Sunil Hitech Engineers Limited</t>
  </si>
  <si>
    <t>Sunteck Realty Limited</t>
  </si>
  <si>
    <t>Sun TV Network Limited</t>
  </si>
  <si>
    <t>Superhouse Limited</t>
  </si>
  <si>
    <t>Super Spinning Mills Limited</t>
  </si>
  <si>
    <t>Supreme Petrochem Limited</t>
  </si>
  <si>
    <t>Suprajit Engineering Limited</t>
  </si>
  <si>
    <t>Supreme Industries Limited</t>
  </si>
  <si>
    <t>Supreme Infrastructure India Limited</t>
  </si>
  <si>
    <t>Supreme Tex Mart Limited</t>
  </si>
  <si>
    <t>Surana Corporation Limited</t>
  </si>
  <si>
    <t>Surana Industries Limited</t>
  </si>
  <si>
    <t>Surana Telecom and Power Limited</t>
  </si>
  <si>
    <t>Suryalakshmi Cotton Mills Limited</t>
  </si>
  <si>
    <t>Surya Roshni Limited</t>
  </si>
  <si>
    <t>Sutlej Textiles and Industries Limited</t>
  </si>
  <si>
    <t>Suven Life Sciences Limited</t>
  </si>
  <si>
    <t>Suzlon Energy Limited</t>
  </si>
  <si>
    <t>Swan Energy Limited</t>
  </si>
  <si>
    <t>Swaraj Engines Limited</t>
  </si>
  <si>
    <t>Swelect Energy Systems Limited</t>
  </si>
  <si>
    <t>Symphony Limited</t>
  </si>
  <si>
    <t>Syncom Healthcare Limited</t>
  </si>
  <si>
    <t>Syndicate Bank</t>
  </si>
  <si>
    <t>Tainwala Chemical and Plastic (I) Limited</t>
  </si>
  <si>
    <t>Taj GVK Hotels &amp; Resorts Limited</t>
  </si>
  <si>
    <t>Take Solutions Limited</t>
  </si>
  <si>
    <t>Talbros Automotive Components Limited</t>
  </si>
  <si>
    <t>Talwalkars Better Value Fitness Limited</t>
  </si>
  <si>
    <t>Tanla Solutions Limited</t>
  </si>
  <si>
    <t>Tantia Constructions Limited</t>
  </si>
  <si>
    <t>Tara Jewels Limited</t>
  </si>
  <si>
    <t>Tarapur Transformers Limited</t>
  </si>
  <si>
    <t>Tarmat Limited</t>
  </si>
  <si>
    <t>Tata Chemicals Limited</t>
  </si>
  <si>
    <t>Tata Coffee Limited</t>
  </si>
  <si>
    <t>Tata Communications Limited</t>
  </si>
  <si>
    <t>Tata Elxsi Limited</t>
  </si>
  <si>
    <t>Tata Global Beverages Limited</t>
  </si>
  <si>
    <t>Tata Investment Corporation Limited</t>
  </si>
  <si>
    <t>Tata Metaliks Limited</t>
  </si>
  <si>
    <t>Tata Motors Limited</t>
  </si>
  <si>
    <t>Tata Power Company Limited</t>
  </si>
  <si>
    <t>Tata Sponge Iron Limited</t>
  </si>
  <si>
    <t>Tata Steel Limited</t>
  </si>
  <si>
    <t>Tribhovandas Bhimji Zaveri Limited</t>
  </si>
  <si>
    <t>Transport Corporation of India Limited</t>
  </si>
  <si>
    <t>TCI Developers Limited</t>
  </si>
  <si>
    <t>TCI Finance Limited</t>
  </si>
  <si>
    <t>Tata Consultancy Services Limited</t>
  </si>
  <si>
    <t>TD Power Systems Limited</t>
  </si>
  <si>
    <t>Tech Mahindra Limited</t>
  </si>
  <si>
    <t>Techno Electric &amp; Engineering Company Limited</t>
  </si>
  <si>
    <t>Technofab Engineering Limited</t>
  </si>
  <si>
    <t>Texmaco Infrastructure &amp; Holdings Limited</t>
  </si>
  <si>
    <t>Texmo Pipes and Products Limited</t>
  </si>
  <si>
    <t>Texmaco Rail &amp; Engineering Limited</t>
  </si>
  <si>
    <t>Tourism Finance Corporation of India Limited</t>
  </si>
  <si>
    <t>Transwarranty Finance Limited</t>
  </si>
  <si>
    <t>Thangamayil Jewellery Limited</t>
  </si>
  <si>
    <t>Themis Medicare Limited</t>
  </si>
  <si>
    <t>Thermax Limited</t>
  </si>
  <si>
    <t>Thiru Arooran Sugars Limited</t>
  </si>
  <si>
    <t>Thomas Cook  (India)  Limited</t>
  </si>
  <si>
    <t>Thomas Scott (India) Limited</t>
  </si>
  <si>
    <t>Tilaknagar Industries Limited</t>
  </si>
  <si>
    <t>Tide Water Oil Company (India) Limited</t>
  </si>
  <si>
    <t>Technocraft Industries (India) Limited</t>
  </si>
  <si>
    <t>Tijaria Polypipes Limited</t>
  </si>
  <si>
    <t>TIL Limited</t>
  </si>
  <si>
    <t>Times Guaranty Limited</t>
  </si>
  <si>
    <t>Time Technoplast Limited</t>
  </si>
  <si>
    <t>Timken India Limited</t>
  </si>
  <si>
    <t>The Tinplate Company of India Limited</t>
  </si>
  <si>
    <t>TIPS Industries Limited</t>
  </si>
  <si>
    <t>Thirumalai Chemicals Limited</t>
  </si>
  <si>
    <t>Titan Company Limited</t>
  </si>
  <si>
    <t>Tamilnadu PetroProducts Limited</t>
  </si>
  <si>
    <t>Tamil Nadu Newsprint &amp; Papers Limited</t>
  </si>
  <si>
    <t>Tamilnadu Telecommunication Limited</t>
  </si>
  <si>
    <t>Todays Writing Instruments Limited</t>
  </si>
  <si>
    <t>Tokyo Plast International Limited</t>
  </si>
  <si>
    <t>Torrent Pharmaceuticals Limited</t>
  </si>
  <si>
    <t>Torrent Power Limited</t>
  </si>
  <si>
    <t>Tree House Education &amp; Accessories Limited</t>
  </si>
  <si>
    <t>Trent Limited</t>
  </si>
  <si>
    <t>TRF Limited</t>
  </si>
  <si>
    <t>Trident Limited</t>
  </si>
  <si>
    <t>Trigyn Technologies Limited</t>
  </si>
  <si>
    <t>Transformers And Rectifiers (India) Limited</t>
  </si>
  <si>
    <t>Triveni Turbine Limited</t>
  </si>
  <si>
    <t>Triveni Engineering &amp; Industries Limited</t>
  </si>
  <si>
    <t>TTK Prestige Limited</t>
  </si>
  <si>
    <t>T T Limited</t>
  </si>
  <si>
    <t>Tata Teleservices (Maharashtra) Limited</t>
  </si>
  <si>
    <t>Tube Investments of India Limited</t>
  </si>
  <si>
    <t>Tulsi Extrusions Limited</t>
  </si>
  <si>
    <t>TV18 Broadcast Limited</t>
  </si>
  <si>
    <t>TVS Electronics Limited</t>
  </si>
  <si>
    <t>TVS Motor Company Limited</t>
  </si>
  <si>
    <t>TVS Srichakra Limited</t>
  </si>
  <si>
    <t>TV Today Network Limited</t>
  </si>
  <si>
    <t>Titagarh Wagons Limited</t>
  </si>
  <si>
    <t>United Breweries (Holdings) Limited</t>
  </si>
  <si>
    <t>United Breweries Limited</t>
  </si>
  <si>
    <t>Ucal Fuel Systems Limited</t>
  </si>
  <si>
    <t>UCO Bank</t>
  </si>
  <si>
    <t>UFLEX Limited</t>
  </si>
  <si>
    <t>The Ugar Sugar Works Limited</t>
  </si>
  <si>
    <t>Ujaas Energy Limited</t>
  </si>
  <si>
    <t>UltraTech Cement Limited</t>
  </si>
  <si>
    <t>Usha Martin Education &amp; Solutions Limited</t>
  </si>
  <si>
    <t>Unichem Laboratories Limited</t>
  </si>
  <si>
    <t>Uniphos Enterprises Limited</t>
  </si>
  <si>
    <t>Union Bank of India</t>
  </si>
  <si>
    <t>Uniply Industries Limited</t>
  </si>
  <si>
    <t>Unitech Limited</t>
  </si>
  <si>
    <t>United Bank of India</t>
  </si>
  <si>
    <t>Unity Infraprojects Limited</t>
  </si>
  <si>
    <t>Universal Cables Limited</t>
  </si>
  <si>
    <t>UPL Limited</t>
  </si>
  <si>
    <t>Usha Martin Limited</t>
  </si>
  <si>
    <t>Usher Agro Limited</t>
  </si>
  <si>
    <t>Uttam Galva Steels Limited</t>
  </si>
  <si>
    <t>Uttam Sugar Mills Limited</t>
  </si>
  <si>
    <t>Uttam Value Steels Limited</t>
  </si>
  <si>
    <t>V2 Retail Limited</t>
  </si>
  <si>
    <t>Vadilal Industries Limited</t>
  </si>
  <si>
    <t>Vaibhav Global Limited</t>
  </si>
  <si>
    <t>Value Industries Limited</t>
  </si>
  <si>
    <t>Vardhman Acrylics Limited</t>
  </si>
  <si>
    <t>Vardhman Polytex Limited</t>
  </si>
  <si>
    <t>Vascon Engineers Limited</t>
  </si>
  <si>
    <t>Vaswani Industries Limited</t>
  </si>
  <si>
    <t>Venky's (India) Limited</t>
  </si>
  <si>
    <t>Venus Remedies Limited</t>
  </si>
  <si>
    <t>Vesuvius India Limited</t>
  </si>
  <si>
    <t>V-Guard Industries Limited</t>
  </si>
  <si>
    <t>Vardhman Holdings Limited</t>
  </si>
  <si>
    <t>Viceroy Hotels Limited</t>
  </si>
  <si>
    <t>Videocon Industries Limited</t>
  </si>
  <si>
    <t>Vijaya Bank</t>
  </si>
  <si>
    <t>Vijay Shanthi Builders Limited</t>
  </si>
  <si>
    <t>Vimal Oil &amp; Foods Limited</t>
  </si>
  <si>
    <t>Vimta Labs Limited</t>
  </si>
  <si>
    <t>Vinati Organics Limited</t>
  </si>
  <si>
    <t>Vindhya Telelinks Limited</t>
  </si>
  <si>
    <t>Vinyl Chemicals (India) Limited</t>
  </si>
  <si>
    <t>VIP Industries Limited</t>
  </si>
  <si>
    <t>Visaka Industries Limited</t>
  </si>
  <si>
    <t>Visa Steel Limited</t>
  </si>
  <si>
    <t>Visesh Infotecnics Limited</t>
  </si>
  <si>
    <t>Visu International Limited</t>
  </si>
  <si>
    <t>Visagar Polytex Limited</t>
  </si>
  <si>
    <t>Vivimed Labs Limited</t>
  </si>
  <si>
    <t>VLS Finance Limited</t>
  </si>
  <si>
    <t>V-Mart Retail Limited</t>
  </si>
  <si>
    <t>Voltamp Transformers Limited</t>
  </si>
  <si>
    <t>Voltas Limited</t>
  </si>
  <si>
    <t>Vardhman Special Steels Limited</t>
  </si>
  <si>
    <t>VST Industries Limited</t>
  </si>
  <si>
    <t>V.S.T Tillers Tractors Limited</t>
  </si>
  <si>
    <t>Vardhman Textiles Limited</t>
  </si>
  <si>
    <t>VA Tech Wabag Limited</t>
  </si>
  <si>
    <t>WABCO India Limited</t>
  </si>
  <si>
    <t>Walchandnagar Industries Limited</t>
  </si>
  <si>
    <t>Wanbury Limited</t>
  </si>
  <si>
    <t>Websol Energy System Limited</t>
  </si>
  <si>
    <t>Weizmann Forex Limited</t>
  </si>
  <si>
    <t>Weizmann Limited</t>
  </si>
  <si>
    <t>Welspun Corp Limited</t>
  </si>
  <si>
    <t>Welspun Enterprises Limited</t>
  </si>
  <si>
    <t>Welspun Investments and Commercials Limited</t>
  </si>
  <si>
    <t>Welspun India Limited</t>
  </si>
  <si>
    <t>Wendt (India) Limited</t>
  </si>
  <si>
    <t>Wheels India Limited</t>
  </si>
  <si>
    <t>Whirlpool of India Limited</t>
  </si>
  <si>
    <t>Williamson Magor &amp; Company Limited</t>
  </si>
  <si>
    <t>Windsor Machines Limited</t>
  </si>
  <si>
    <t>Winsome Yarns Limited</t>
  </si>
  <si>
    <t>Wipro Limited</t>
  </si>
  <si>
    <t>Wockhardt Limited</t>
  </si>
  <si>
    <t>Wonderla Holidays Limited</t>
  </si>
  <si>
    <t>W S Industries (I) Limited</t>
  </si>
  <si>
    <t>West Coast Paper Mills Limited</t>
  </si>
  <si>
    <t>Xchanging Solutions Limited</t>
  </si>
  <si>
    <t>XL Energy Limited</t>
  </si>
  <si>
    <t>Xpro India Limited</t>
  </si>
  <si>
    <t>Yes Bank Limited</t>
  </si>
  <si>
    <t>Zandu Realty Limited</t>
  </si>
  <si>
    <t>Zee Entertainment Enterprises Limited</t>
  </si>
  <si>
    <t>Zee Learn Limited</t>
  </si>
  <si>
    <t>Zee Media Corporation Limited</t>
  </si>
  <si>
    <t>Zenith Birla (India) Limited</t>
  </si>
  <si>
    <t>Zenith Exports Limited</t>
  </si>
  <si>
    <t>Zensar Technologies Limited</t>
  </si>
  <si>
    <t>Zicom Electronic Security Systems Limited</t>
  </si>
  <si>
    <t>Zodiac Clothing Company Limited</t>
  </si>
  <si>
    <t>Zodiac JRD- MKJ Limited</t>
  </si>
  <si>
    <t>Zuari Agro Chemicals Limited</t>
  </si>
  <si>
    <t>Zydus Wellness Limited</t>
  </si>
  <si>
    <t>Zylog Systems Limited</t>
  </si>
  <si>
    <t>Veto Switchgears And Cables Limited</t>
  </si>
  <si>
    <t>Sanco Industries Limited</t>
  </si>
  <si>
    <t>Mark to Market</t>
  </si>
  <si>
    <t>Purchase Value</t>
  </si>
  <si>
    <t>Return %</t>
  </si>
  <si>
    <t>Purchase Price</t>
  </si>
  <si>
    <t>????</t>
  </si>
  <si>
    <t>26-MAY-2017 15;59;59</t>
  </si>
  <si>
    <t>SYMBOL</t>
  </si>
  <si>
    <t>NAME OF COMPANY</t>
  </si>
  <si>
    <t xml:space="preserve"> SERIES</t>
  </si>
  <si>
    <t xml:space="preserve"> DATE OF LISTING</t>
  </si>
  <si>
    <t xml:space="preserve"> PAID UP VALUE</t>
  </si>
  <si>
    <t xml:space="preserve"> MARKET LOT</t>
  </si>
  <si>
    <t xml:space="preserve"> ISIN NUMBER</t>
  </si>
  <si>
    <t xml:space="preserve"> FACE VALUE</t>
  </si>
  <si>
    <t>EQ</t>
  </si>
  <si>
    <t>INE144J01027</t>
  </si>
  <si>
    <t>INE748C01020</t>
  </si>
  <si>
    <t>INE470A01017</t>
  </si>
  <si>
    <t>63MOONS</t>
  </si>
  <si>
    <t>63 moons technologies limited</t>
  </si>
  <si>
    <t>INE111B01023</t>
  </si>
  <si>
    <t>INE650K01021</t>
  </si>
  <si>
    <t>A2ZINFRA</t>
  </si>
  <si>
    <t>A2Z Infra Engineering Limited</t>
  </si>
  <si>
    <t>INE619I01012</t>
  </si>
  <si>
    <t>INE767A01016</t>
  </si>
  <si>
    <t>INE769A01020</t>
  </si>
  <si>
    <t>INE273D01019</t>
  </si>
  <si>
    <t>INE421A01028</t>
  </si>
  <si>
    <t>ABB India Limited</t>
  </si>
  <si>
    <t>INE117A01022</t>
  </si>
  <si>
    <t>ABBOTINDIA</t>
  </si>
  <si>
    <t>Abbott India Limited</t>
  </si>
  <si>
    <t>INE358A01014</t>
  </si>
  <si>
    <t>ABFRL</t>
  </si>
  <si>
    <t>Aditya Birla Fashion and Retail Limited</t>
  </si>
  <si>
    <t>INE647O01011</t>
  </si>
  <si>
    <t>BZ</t>
  </si>
  <si>
    <t>INE067H01016</t>
  </si>
  <si>
    <t>INE069A01017</t>
  </si>
  <si>
    <t>ABMINTLTD</t>
  </si>
  <si>
    <t>ABM International Limited</t>
  </si>
  <si>
    <t>BE</t>
  </si>
  <si>
    <t>INE251C01017</t>
  </si>
  <si>
    <t>INE012A01025</t>
  </si>
  <si>
    <t>INE793A01012</t>
  </si>
  <si>
    <t>INE731H01025</t>
  </si>
  <si>
    <t>INE423A01024</t>
  </si>
  <si>
    <t>INE742F01042</t>
  </si>
  <si>
    <t>INE814H01011</t>
  </si>
  <si>
    <t>ADANITRANS</t>
  </si>
  <si>
    <t>Adani Transmission Limited</t>
  </si>
  <si>
    <t>INE931S01010</t>
  </si>
  <si>
    <t>INE982B01019</t>
  </si>
  <si>
    <t>INE400H01019</t>
  </si>
  <si>
    <t>ADHUNIKIND</t>
  </si>
  <si>
    <t>Adhunik Industries Limited</t>
  </si>
  <si>
    <t>INE452L01012</t>
  </si>
  <si>
    <t>ADLABS</t>
  </si>
  <si>
    <t>Adlabs Entertainment Limited</t>
  </si>
  <si>
    <t>INE172N01012</t>
  </si>
  <si>
    <t>INE045A01017</t>
  </si>
  <si>
    <t>INE102I01027</t>
  </si>
  <si>
    <t>INE199C01026</t>
  </si>
  <si>
    <t>ADVENZYMES</t>
  </si>
  <si>
    <t>Advanced Enzyme Technologies Limited</t>
  </si>
  <si>
    <t>INE837H01020</t>
  </si>
  <si>
    <t>INE208C01025</t>
  </si>
  <si>
    <t>INE020G01017</t>
  </si>
  <si>
    <t>INE204E01012</t>
  </si>
  <si>
    <t>INE676A01019</t>
  </si>
  <si>
    <t>INE449G01018</t>
  </si>
  <si>
    <t>INE926K01017</t>
  </si>
  <si>
    <t>INE758C01029</t>
  </si>
  <si>
    <t>INE915K01010</t>
  </si>
  <si>
    <t>INE212H01026</t>
  </si>
  <si>
    <t>INE768E01024</t>
  </si>
  <si>
    <t>AIFL</t>
  </si>
  <si>
    <t>Ashapura Intimates Fashion Limited</t>
  </si>
  <si>
    <t>INE428O01016</t>
  </si>
  <si>
    <t>INE031B01049</t>
  </si>
  <si>
    <t>INE298G01027</t>
  </si>
  <si>
    <t>AKSHARCHEM</t>
  </si>
  <si>
    <t>AksharChem India Limited</t>
  </si>
  <si>
    <t>INE542B01011</t>
  </si>
  <si>
    <t>INE523B01011</t>
  </si>
  <si>
    <t>INE133A01011</t>
  </si>
  <si>
    <t>ALANKIT</t>
  </si>
  <si>
    <t>Alankit Limited</t>
  </si>
  <si>
    <t>INE914E01040</t>
  </si>
  <si>
    <t>ALBERTDAVD</t>
  </si>
  <si>
    <t>Albert David Limited</t>
  </si>
  <si>
    <t>INE155C01010</t>
  </si>
  <si>
    <t>INE428A01015</t>
  </si>
  <si>
    <t>INE964B01033</t>
  </si>
  <si>
    <t>INE426A01027</t>
  </si>
  <si>
    <t>INE062D01024</t>
  </si>
  <si>
    <t>INE773I01017</t>
  </si>
  <si>
    <t>ALKEM</t>
  </si>
  <si>
    <t>Alkem Laboratories Limited</t>
  </si>
  <si>
    <t>INE540L01014</t>
  </si>
  <si>
    <t>INE150B01021</t>
  </si>
  <si>
    <t>INE418H01029</t>
  </si>
  <si>
    <t>INE835G01018</t>
  </si>
  <si>
    <t>INE326B01027</t>
  </si>
  <si>
    <t>INE270A01011</t>
  </si>
  <si>
    <t>INE385I01010</t>
  </si>
  <si>
    <t>INE137C01018</t>
  </si>
  <si>
    <t>INE093B01015</t>
  </si>
  <si>
    <t>INE885A01032</t>
  </si>
  <si>
    <t>INE540G01014</t>
  </si>
  <si>
    <t>INE079A01024</t>
  </si>
  <si>
    <t>INE005I01014</t>
  </si>
  <si>
    <t>AMRUTANJAN</t>
  </si>
  <si>
    <t>Amrutanjan Health Care Limited</t>
  </si>
  <si>
    <t>INE098F01023</t>
  </si>
  <si>
    <t>INE130C01021</t>
  </si>
  <si>
    <t>ANANDAMRUB</t>
  </si>
  <si>
    <t>The Anandam Rubber Company Limited</t>
  </si>
  <si>
    <t>INE618N01014</t>
  </si>
  <si>
    <t>INE242C01024</t>
  </si>
  <si>
    <t>INE434A01013</t>
  </si>
  <si>
    <t>INE666E01012</t>
  </si>
  <si>
    <t>INE715B01013</t>
  </si>
  <si>
    <t>INE017D01010</t>
  </si>
  <si>
    <t>INE087B01017</t>
  </si>
  <si>
    <t>INE106I01010</t>
  </si>
  <si>
    <t>INE436A01026</t>
  </si>
  <si>
    <t>INE880B01015</t>
  </si>
  <si>
    <t>INE414B01021</t>
  </si>
  <si>
    <t>INE372A01015</t>
  </si>
  <si>
    <t>APCL</t>
  </si>
  <si>
    <t>Anjani Portland Cement Limited</t>
  </si>
  <si>
    <t>INE071F01012</t>
  </si>
  <si>
    <t>INE116A01024</t>
  </si>
  <si>
    <t>INE702C01019</t>
  </si>
  <si>
    <t>INE901L01018</t>
  </si>
  <si>
    <t>INE437A01024</t>
  </si>
  <si>
    <t>INE438A01022</t>
  </si>
  <si>
    <t>APOLSINHOT</t>
  </si>
  <si>
    <t>Apollo Sindoori Hotels Limited</t>
  </si>
  <si>
    <t>INE451F01016</t>
  </si>
  <si>
    <t>INE266F01018</t>
  </si>
  <si>
    <t>INE877I01016</t>
  </si>
  <si>
    <t>INE731A01020</t>
  </si>
  <si>
    <t>INE574I01027</t>
  </si>
  <si>
    <t>INE298I01015</t>
  </si>
  <si>
    <t>INE413D01011</t>
  </si>
  <si>
    <t>ARIHANTSUP</t>
  </si>
  <si>
    <t>Arihant Superstructures Limited</t>
  </si>
  <si>
    <t>INE643K01018</t>
  </si>
  <si>
    <t>ARMANFIN</t>
  </si>
  <si>
    <t>Arman Financial Services Limited</t>
  </si>
  <si>
    <t>INE109C01017</t>
  </si>
  <si>
    <t>INE210C01013</t>
  </si>
  <si>
    <t>ARROWGREEN</t>
  </si>
  <si>
    <t>Arrow Greentech Limited</t>
  </si>
  <si>
    <t>INE570D01018</t>
  </si>
  <si>
    <t>INE933J01015</t>
  </si>
  <si>
    <t>INE968D01022</t>
  </si>
  <si>
    <t>INE267I01010</t>
  </si>
  <si>
    <t>INE034A01011</t>
  </si>
  <si>
    <t>ARVSMART</t>
  </si>
  <si>
    <t>Arvind SmartSpaces Limited</t>
  </si>
  <si>
    <t>INE034S01021</t>
  </si>
  <si>
    <t>INE439A01020</t>
  </si>
  <si>
    <t>INE228I01012</t>
  </si>
  <si>
    <t>INE900C01027</t>
  </si>
  <si>
    <t>INE348A01023</t>
  </si>
  <si>
    <t>INE365D01021</t>
  </si>
  <si>
    <t>INE440A01010</t>
  </si>
  <si>
    <t>INE442H01029</t>
  </si>
  <si>
    <t>INE208A01029</t>
  </si>
  <si>
    <t>INE363A01022</t>
  </si>
  <si>
    <t>INE021A01026</t>
  </si>
  <si>
    <t>INE022I01019</t>
  </si>
  <si>
    <t>INE988A01026</t>
  </si>
  <si>
    <t>ASPINWALL</t>
  </si>
  <si>
    <t>Aspinwall and Company Limited</t>
  </si>
  <si>
    <t>INE991I01015</t>
  </si>
  <si>
    <t>INE442A01024</t>
  </si>
  <si>
    <t>INE563J01010</t>
  </si>
  <si>
    <t>INE006I01046</t>
  </si>
  <si>
    <t>INE386C01029</t>
  </si>
  <si>
    <t>INE203A01020</t>
  </si>
  <si>
    <t>INE209A01019</t>
  </si>
  <si>
    <t>INE285H01022</t>
  </si>
  <si>
    <t>INE446A01017</t>
  </si>
  <si>
    <t>INE803A01027</t>
  </si>
  <si>
    <t>INE100A01010</t>
  </si>
  <si>
    <t>INE951D01028</t>
  </si>
  <si>
    <t>INE132H01018</t>
  </si>
  <si>
    <t>INE406A01037</t>
  </si>
  <si>
    <t>INE218C01016</t>
  </si>
  <si>
    <t>INE455J01027</t>
  </si>
  <si>
    <t>INE449A01011</t>
  </si>
  <si>
    <t>INE718H01014</t>
  </si>
  <si>
    <t>INE448A01013</t>
  </si>
  <si>
    <t>AVANTIFEED</t>
  </si>
  <si>
    <t>Avanti Feeds Limited</t>
  </si>
  <si>
    <t>INE871C01020</t>
  </si>
  <si>
    <t>INE488D01021</t>
  </si>
  <si>
    <t>INE238A01034</t>
  </si>
  <si>
    <t>INE555B01013</t>
  </si>
  <si>
    <t>AYMSYNTEX</t>
  </si>
  <si>
    <t>AYM Syntex Limited</t>
  </si>
  <si>
    <t>INE193B01039</t>
  </si>
  <si>
    <t>INE878I01014</t>
  </si>
  <si>
    <t>INE116D01028</t>
  </si>
  <si>
    <t>INE917I01010</t>
  </si>
  <si>
    <t>INE933K01021</t>
  </si>
  <si>
    <t>INE193E01025</t>
  </si>
  <si>
    <t>INE918I01018</t>
  </si>
  <si>
    <t>Bajaj Hindusthan Sugar Limited</t>
  </si>
  <si>
    <t>INE306A01021</t>
  </si>
  <si>
    <t>INE118A01012</t>
  </si>
  <si>
    <t>INE296A01024</t>
  </si>
  <si>
    <t>INE794B01026</t>
  </si>
  <si>
    <t>INE050E01027</t>
  </si>
  <si>
    <t>BALKRISHNA</t>
  </si>
  <si>
    <t>Balkrishna Paper Mills Limited</t>
  </si>
  <si>
    <t>INE875R01011</t>
  </si>
  <si>
    <t>INE787D01026</t>
  </si>
  <si>
    <t>INE294A01037</t>
  </si>
  <si>
    <t>INE164A01016</t>
  </si>
  <si>
    <t>INE083D01012</t>
  </si>
  <si>
    <t>INE119A01028</t>
  </si>
  <si>
    <t>INE655B01011</t>
  </si>
  <si>
    <t>INE459A01010</t>
  </si>
  <si>
    <t>INE213C01025</t>
  </si>
  <si>
    <t>INE863I01016</t>
  </si>
  <si>
    <t>INE028A01039</t>
  </si>
  <si>
    <t>INE084A01016</t>
  </si>
  <si>
    <t>INE629D01012</t>
  </si>
  <si>
    <t>INE855F01034</t>
  </si>
  <si>
    <t>INE373A01013</t>
  </si>
  <si>
    <t>INE186H01014</t>
  </si>
  <si>
    <t>INE176A01028</t>
  </si>
  <si>
    <t>BAYERCROP</t>
  </si>
  <si>
    <t>Bayer Cropscience Limited</t>
  </si>
  <si>
    <t>INE462A01022</t>
  </si>
  <si>
    <t>INE464A01028</t>
  </si>
  <si>
    <t>INE050A01025</t>
  </si>
  <si>
    <t>BEARDSELL</t>
  </si>
  <si>
    <t>Beardsell Limited</t>
  </si>
  <si>
    <t>INE520H01022</t>
  </si>
  <si>
    <t>INE844K01012</t>
  </si>
  <si>
    <t>INE263A01024</t>
  </si>
  <si>
    <t>INE258A01016</t>
  </si>
  <si>
    <t>INE922A01025</t>
  </si>
  <si>
    <t>INE463A01038</t>
  </si>
  <si>
    <t>INE878K01010</t>
  </si>
  <si>
    <t>INE243D01012</t>
  </si>
  <si>
    <t>INE224M01013</t>
  </si>
  <si>
    <t>INE661I01014</t>
  </si>
  <si>
    <t>BHAGERIA</t>
  </si>
  <si>
    <t>Bhageria Industries Limited</t>
  </si>
  <si>
    <t>INE354C01027</t>
  </si>
  <si>
    <t>BHAGYANGR</t>
  </si>
  <si>
    <t>INE458B01036</t>
  </si>
  <si>
    <t>BHANDARI</t>
  </si>
  <si>
    <t>Bhandari Hosiery Exports Limited</t>
  </si>
  <si>
    <t>INE474E01029</t>
  </si>
  <si>
    <t>BHARATFIN</t>
  </si>
  <si>
    <t>Bharat Financial Inclusion Limited</t>
  </si>
  <si>
    <t>INE180K01011</t>
  </si>
  <si>
    <t>INE465A01025</t>
  </si>
  <si>
    <t>INE561C01019</t>
  </si>
  <si>
    <t>BHARATIDIL</t>
  </si>
  <si>
    <t>Bharati Defence and Infrastructure Limited</t>
  </si>
  <si>
    <t>INE673G01013</t>
  </si>
  <si>
    <t>INE838B01013</t>
  </si>
  <si>
    <t>BHARATWIRE</t>
  </si>
  <si>
    <t>Bharat Wire Ropes Limited</t>
  </si>
  <si>
    <t>INE316L01019</t>
  </si>
  <si>
    <t>INE397D01024</t>
  </si>
  <si>
    <t>INE257A01026</t>
  </si>
  <si>
    <t>INE824B01021</t>
  </si>
  <si>
    <t>BIGBLOC</t>
  </si>
  <si>
    <t>Bigbloc Construction Limited</t>
  </si>
  <si>
    <t>INE412U01017</t>
  </si>
  <si>
    <t>INE828A01016</t>
  </si>
  <si>
    <t>INE607L01029</t>
  </si>
  <si>
    <t>INE952D01018</t>
  </si>
  <si>
    <t>INE071A01013</t>
  </si>
  <si>
    <t>INE143A01010</t>
  </si>
  <si>
    <t>INE376G01013</t>
  </si>
  <si>
    <t>BIRLACABLE</t>
  </si>
  <si>
    <t>Birla Cable Limited</t>
  </si>
  <si>
    <t>INE800A01015</t>
  </si>
  <si>
    <t>INE340A01012</t>
  </si>
  <si>
    <t>INE865C01022</t>
  </si>
  <si>
    <t>INE791A01024</t>
  </si>
  <si>
    <t>INE416D01022</t>
  </si>
  <si>
    <t>INE350H01032</t>
  </si>
  <si>
    <t>BLS</t>
  </si>
  <si>
    <t>BLS International Services Limited</t>
  </si>
  <si>
    <t>INE153T01027</t>
  </si>
  <si>
    <t>INE113O01014</t>
  </si>
  <si>
    <t>INE472B01011</t>
  </si>
  <si>
    <t>INE233B01017</t>
  </si>
  <si>
    <t>INE472A01039</t>
  </si>
  <si>
    <t>INE338D01028</t>
  </si>
  <si>
    <t>INE032A01023</t>
  </si>
  <si>
    <t>INE323A01026</t>
  </si>
  <si>
    <t>INE029A01011</t>
  </si>
  <si>
    <t>INE110A01019</t>
  </si>
  <si>
    <t>INE589G01011</t>
  </si>
  <si>
    <t>INE791I01019</t>
  </si>
  <si>
    <t>INE216A01022</t>
  </si>
  <si>
    <t>INE650L01011</t>
  </si>
  <si>
    <t>BSE</t>
  </si>
  <si>
    <t>BSE Limited</t>
  </si>
  <si>
    <t>INE118H01025</t>
  </si>
  <si>
    <t>INE395A01016</t>
  </si>
  <si>
    <t>INE594B01012</t>
  </si>
  <si>
    <t>BS Limited</t>
  </si>
  <si>
    <t>INE043K01029</t>
  </si>
  <si>
    <t>INE817H01014</t>
  </si>
  <si>
    <t>INE295F01017</t>
  </si>
  <si>
    <t>INE139I01011</t>
  </si>
  <si>
    <t>BYKE</t>
  </si>
  <si>
    <t>The Byke Hospitality Ltd</t>
  </si>
  <si>
    <t>INE319B01014</t>
  </si>
  <si>
    <t>INE010B01027</t>
  </si>
  <si>
    <t>INE526B01014</t>
  </si>
  <si>
    <t>CAMLINFINE</t>
  </si>
  <si>
    <t>Camlin Fine Sciences Limited</t>
  </si>
  <si>
    <t>INE052I01032</t>
  </si>
  <si>
    <t>INE476A01014</t>
  </si>
  <si>
    <t>INE874H01015</t>
  </si>
  <si>
    <t>INE477A01012</t>
  </si>
  <si>
    <t>INE068L01016</t>
  </si>
  <si>
    <t>INE688I01017</t>
  </si>
  <si>
    <t>INE475E01026</t>
  </si>
  <si>
    <t>CAPTRUST</t>
  </si>
  <si>
    <t>Capital Trust Limited</t>
  </si>
  <si>
    <t>INE707C01018</t>
  </si>
  <si>
    <t>INE120A01034</t>
  </si>
  <si>
    <t>INE521J01018</t>
  </si>
  <si>
    <t>INE752H01013</t>
  </si>
  <si>
    <t>CASTEXTECH</t>
  </si>
  <si>
    <t>Castex Technologies Limited</t>
  </si>
  <si>
    <t>INE068D01021</t>
  </si>
  <si>
    <t>INE172A01027</t>
  </si>
  <si>
    <t>INE429I01024</t>
  </si>
  <si>
    <t>CCHHL</t>
  </si>
  <si>
    <t>Country Club Hospitality &amp; Holidays Limited</t>
  </si>
  <si>
    <t>INE652F01027</t>
  </si>
  <si>
    <t>INE421D01022</t>
  </si>
  <si>
    <t>INE482A01020</t>
  </si>
  <si>
    <t>INE209L01016</t>
  </si>
  <si>
    <t>INE185H01016</t>
  </si>
  <si>
    <t>INE221I01017</t>
  </si>
  <si>
    <t>INE485A01015</t>
  </si>
  <si>
    <t>INE281A01026</t>
  </si>
  <si>
    <t>INE483A01010</t>
  </si>
  <si>
    <t>INE320B01020</t>
  </si>
  <si>
    <t>INE348B01021</t>
  </si>
  <si>
    <t>INE055A01016</t>
  </si>
  <si>
    <t>INE739E01017</t>
  </si>
  <si>
    <t>INE345B01019</t>
  </si>
  <si>
    <t>INE486A01013</t>
  </si>
  <si>
    <t>INE180C01026</t>
  </si>
  <si>
    <t>CGPOWER</t>
  </si>
  <si>
    <t>CG Power and Industrial Solutions Limited</t>
  </si>
  <si>
    <t>INE067A01029</t>
  </si>
  <si>
    <t>INE085A01013</t>
  </si>
  <si>
    <t>INE178A01016</t>
  </si>
  <si>
    <t>INE121A01016</t>
  </si>
  <si>
    <t>INE662C01015</t>
  </si>
  <si>
    <t>INE675C01017</t>
  </si>
  <si>
    <t>INE184C01028</t>
  </si>
  <si>
    <t>INE704H01022</t>
  </si>
  <si>
    <t>INE039B01026</t>
  </si>
  <si>
    <t>INE059A01026</t>
  </si>
  <si>
    <t>CLEDUCATE</t>
  </si>
  <si>
    <t>CL Educate Limited</t>
  </si>
  <si>
    <t>INE201M01011</t>
  </si>
  <si>
    <t>INE492A01029</t>
  </si>
  <si>
    <t>CMICABLES</t>
  </si>
  <si>
    <t>CMI Limited</t>
  </si>
  <si>
    <t>INE981B01011</t>
  </si>
  <si>
    <t>INE672K01025</t>
  </si>
  <si>
    <t>INE522F01014</t>
  </si>
  <si>
    <t>COFFEEDAY</t>
  </si>
  <si>
    <t>Coffee Day Enterprises Limited</t>
  </si>
  <si>
    <t>INE335K01011</t>
  </si>
  <si>
    <t>INE259A01022</t>
  </si>
  <si>
    <t>COMPINFO</t>
  </si>
  <si>
    <t>Compuage Infocom Limited</t>
  </si>
  <si>
    <t>INE070C01037</t>
  </si>
  <si>
    <t>INE453B01029</t>
  </si>
  <si>
    <t>INE111A01017</t>
  </si>
  <si>
    <t>INE025A01027</t>
  </si>
  <si>
    <t>CONTROLPR</t>
  </si>
  <si>
    <t>Control Print Limited</t>
  </si>
  <si>
    <t>INE663B01015</t>
  </si>
  <si>
    <t>INE558D01013</t>
  </si>
  <si>
    <t>INE792I01017</t>
  </si>
  <si>
    <t>INE169A01031</t>
  </si>
  <si>
    <t>INE112A01023</t>
  </si>
  <si>
    <t>INE757A01017</t>
  </si>
  <si>
    <t>INE695B01025</t>
  </si>
  <si>
    <t>INE008I01026</t>
  </si>
  <si>
    <t>INE230B01021</t>
  </si>
  <si>
    <t>INE559D01011</t>
  </si>
  <si>
    <t>INE007A01025</t>
  </si>
  <si>
    <t>CROMPTON</t>
  </si>
  <si>
    <t>Crompton Greaves Consumer Electricals Limited</t>
  </si>
  <si>
    <t>INE299U01018</t>
  </si>
  <si>
    <t>INE627H01017</t>
  </si>
  <si>
    <t>INE491A01021</t>
  </si>
  <si>
    <t>INE144D01012</t>
  </si>
  <si>
    <t>INE298A01020</t>
  </si>
  <si>
    <t>CUPID</t>
  </si>
  <si>
    <t>Cupid Limited</t>
  </si>
  <si>
    <t>INE509F01011</t>
  </si>
  <si>
    <t>INE117B01012</t>
  </si>
  <si>
    <t>INE278G01037</t>
  </si>
  <si>
    <t>INE214A01019</t>
  </si>
  <si>
    <t>INE136B01020</t>
  </si>
  <si>
    <t>INE818H01020</t>
  </si>
  <si>
    <t>INE016A01026</t>
  </si>
  <si>
    <t>INE439L01019</t>
  </si>
  <si>
    <t>INE495A01022</t>
  </si>
  <si>
    <t>DAMODARIND</t>
  </si>
  <si>
    <t>Damodar Industries Limited</t>
  </si>
  <si>
    <t>INE497D01014</t>
  </si>
  <si>
    <t>INE365B01017</t>
  </si>
  <si>
    <t>INE950I01011</t>
  </si>
  <si>
    <t>DBL</t>
  </si>
  <si>
    <t>Dilip Buildcon Limited</t>
  </si>
  <si>
    <t>INE917M01012</t>
  </si>
  <si>
    <t>INE879I01012</t>
  </si>
  <si>
    <t>INE921B01025</t>
  </si>
  <si>
    <t>DCB Bank Limited</t>
  </si>
  <si>
    <t>INE503A01015</t>
  </si>
  <si>
    <t>INE498A01018</t>
  </si>
  <si>
    <t>INE499A01024</t>
  </si>
  <si>
    <t>INE500A01029</t>
  </si>
  <si>
    <t>INE583C01013</t>
  </si>
  <si>
    <t>INE501A01019</t>
  </si>
  <si>
    <t>INE288B01029</t>
  </si>
  <si>
    <t>INE677H01012</t>
  </si>
  <si>
    <t>INE124G01033</t>
  </si>
  <si>
    <t>INE393A01011</t>
  </si>
  <si>
    <t>INE947J01015</t>
  </si>
  <si>
    <t>INE077A01010</t>
  </si>
  <si>
    <t>INE244A01016</t>
  </si>
  <si>
    <t>DFMFOODS</t>
  </si>
  <si>
    <t>DFM Foods Limited</t>
  </si>
  <si>
    <t>INE456C01012</t>
  </si>
  <si>
    <t>Dhampur Sugar Mills Limited</t>
  </si>
  <si>
    <t>INE041A01016</t>
  </si>
  <si>
    <t>INE680A01011</t>
  </si>
  <si>
    <t>INE435G01025</t>
  </si>
  <si>
    <t>INE988C01014</t>
  </si>
  <si>
    <t>INE202B01012</t>
  </si>
  <si>
    <t>INE320L01011</t>
  </si>
  <si>
    <t>INE989C01012</t>
  </si>
  <si>
    <t>INE303A01010</t>
  </si>
  <si>
    <t>DIGJAMLTD</t>
  </si>
  <si>
    <t>INE731U01010</t>
  </si>
  <si>
    <t>INE353G01020</t>
  </si>
  <si>
    <t>INE836F01026</t>
  </si>
  <si>
    <t>INE361B01024</t>
  </si>
  <si>
    <t>INE271C01023</t>
  </si>
  <si>
    <t>INE250K01012</t>
  </si>
  <si>
    <t>DMART</t>
  </si>
  <si>
    <t>Avenue Supermarts Limited</t>
  </si>
  <si>
    <t>INE192R01011</t>
  </si>
  <si>
    <t>DOLLAR</t>
  </si>
  <si>
    <t>Dollar Industries Limited</t>
  </si>
  <si>
    <t>INE325C01027</t>
  </si>
  <si>
    <t>INE920A01011</t>
  </si>
  <si>
    <t>INE668D01028</t>
  </si>
  <si>
    <t>INE477B01010</t>
  </si>
  <si>
    <t>INE360C01024</t>
  </si>
  <si>
    <t>INE656K01010</t>
  </si>
  <si>
    <t>INE506A01018</t>
  </si>
  <si>
    <t>INE089A01023</t>
  </si>
  <si>
    <t>INE891A01014</t>
  </si>
  <si>
    <t>INE417B01040</t>
  </si>
  <si>
    <t>DTIL</t>
  </si>
  <si>
    <t>Dhunseri Tea &amp; Industries Limited</t>
  </si>
  <si>
    <t>INE341R01014</t>
  </si>
  <si>
    <t>DUCON</t>
  </si>
  <si>
    <t>Ducon Infratechnologies Limited</t>
  </si>
  <si>
    <t>INE741L01018</t>
  </si>
  <si>
    <t>INE366A01033</t>
  </si>
  <si>
    <t>INE221B01012</t>
  </si>
  <si>
    <t>INE962C01027</t>
  </si>
  <si>
    <t>INE268C01029</t>
  </si>
  <si>
    <t>INE588B01014</t>
  </si>
  <si>
    <t>INE738I01010</t>
  </si>
  <si>
    <t>INE532F01054</t>
  </si>
  <si>
    <t>INE180G01019</t>
  </si>
  <si>
    <t>INE216H01027</t>
  </si>
  <si>
    <t>INE066A01013</t>
  </si>
  <si>
    <t>INE126A01031</t>
  </si>
  <si>
    <t>INE276C01014</t>
  </si>
  <si>
    <t>INE230A01023</t>
  </si>
  <si>
    <t>INE158B01016</t>
  </si>
  <si>
    <t>INE184H01027</t>
  </si>
  <si>
    <t>ELAND</t>
  </si>
  <si>
    <t>E-Land Apparel Limited</t>
  </si>
  <si>
    <t>INE311H01018</t>
  </si>
  <si>
    <t>INE205B01023</t>
  </si>
  <si>
    <t>INE086A01029</t>
  </si>
  <si>
    <t>INE822G01016</t>
  </si>
  <si>
    <t>INE285A01027</t>
  </si>
  <si>
    <t>INE819L01012</t>
  </si>
  <si>
    <t>INE778K01012</t>
  </si>
  <si>
    <t>INE548C01032</t>
  </si>
  <si>
    <t>INE078A01026</t>
  </si>
  <si>
    <t>INE296H01011</t>
  </si>
  <si>
    <t>Emmbi Industries Limited</t>
  </si>
  <si>
    <t>INE753K01015</t>
  </si>
  <si>
    <t>ENDURANCE</t>
  </si>
  <si>
    <t>Endurance Technologies Limited</t>
  </si>
  <si>
    <t>INE913H01037</t>
  </si>
  <si>
    <t>INE306C01019</t>
  </si>
  <si>
    <t>INE510A01028</t>
  </si>
  <si>
    <t>INE265F01028</t>
  </si>
  <si>
    <t>INE076H01025</t>
  </si>
  <si>
    <t>EQUITAS</t>
  </si>
  <si>
    <t>Equitas Holdings Limited</t>
  </si>
  <si>
    <t>INE988K01017</t>
  </si>
  <si>
    <t>IL</t>
  </si>
  <si>
    <t>INE416L01017</t>
  </si>
  <si>
    <t>INE284A01012</t>
  </si>
  <si>
    <t>INE042A01014</t>
  </si>
  <si>
    <t>INE481K01013</t>
  </si>
  <si>
    <t>INE122M01019</t>
  </si>
  <si>
    <t>INE825H01017</t>
  </si>
  <si>
    <t>INE255A01020</t>
  </si>
  <si>
    <t>INE778B01029</t>
  </si>
  <si>
    <t>INE649H01011</t>
  </si>
  <si>
    <t>INE063J01011</t>
  </si>
  <si>
    <t>INE022C01012</t>
  </si>
  <si>
    <t>INE128A01029</t>
  </si>
  <si>
    <t>INE295A01018</t>
  </si>
  <si>
    <t>EXCEL</t>
  </si>
  <si>
    <t>Excel Realty N Infra Limited</t>
  </si>
  <si>
    <t>INE688J01015</t>
  </si>
  <si>
    <t>INE223G01017</t>
  </si>
  <si>
    <t>INE369A01029</t>
  </si>
  <si>
    <t>INE302A01020</t>
  </si>
  <si>
    <t>INE188A01015</t>
  </si>
  <si>
    <t>INE513A01014</t>
  </si>
  <si>
    <t>FAIRCHEM</t>
  </si>
  <si>
    <t>Fairchem Speciality Limited</t>
  </si>
  <si>
    <t>INE959A01019</t>
  </si>
  <si>
    <t>FCL</t>
  </si>
  <si>
    <t>Fineotex Chemical Limited</t>
  </si>
  <si>
    <t>INE045J01026</t>
  </si>
  <si>
    <t>FCONSUMER</t>
  </si>
  <si>
    <t>Future Consumer Limited</t>
  </si>
  <si>
    <t>INE220J01025</t>
  </si>
  <si>
    <t>INE512B01022</t>
  </si>
  <si>
    <t>INE258B01022</t>
  </si>
  <si>
    <t>INE249C01011</t>
  </si>
  <si>
    <t>INE171A01029</t>
  </si>
  <si>
    <t>FEL</t>
  </si>
  <si>
    <t>Future Enterprises Limited</t>
  </si>
  <si>
    <t>INE623B01027</t>
  </si>
  <si>
    <t>FELDVR</t>
  </si>
  <si>
    <t>IN9623B01058</t>
  </si>
  <si>
    <t>INE737H01014</t>
  </si>
  <si>
    <t>INE816B01019</t>
  </si>
  <si>
    <t>INE235A01022</t>
  </si>
  <si>
    <t>INE183A01016</t>
  </si>
  <si>
    <t>INE315J01015</t>
  </si>
  <si>
    <t>INE060J01017</t>
  </si>
  <si>
    <t>INE452O01016</t>
  </si>
  <si>
    <t>INE529A01010</t>
  </si>
  <si>
    <t>INE360L01017</t>
  </si>
  <si>
    <t>INE061F01013</t>
  </si>
  <si>
    <t>INE519A01011</t>
  </si>
  <si>
    <t>FRETAIL</t>
  </si>
  <si>
    <t>INE752P01024</t>
  </si>
  <si>
    <t>INE684F01012</t>
  </si>
  <si>
    <t>INE524A01029</t>
  </si>
  <si>
    <t>INE036B01022</t>
  </si>
  <si>
    <t>INE129A01019</t>
  </si>
  <si>
    <t>INE482J01021</t>
  </si>
  <si>
    <t>INE297H01019</t>
  </si>
  <si>
    <t>INE528K01011</t>
  </si>
  <si>
    <t>INE181G01025</t>
  </si>
  <si>
    <t>INE259B01020</t>
  </si>
  <si>
    <t>INE524B01027</t>
  </si>
  <si>
    <t>GANECOS</t>
  </si>
  <si>
    <t>Ganesha Ecosphere Limited</t>
  </si>
  <si>
    <t>INE845D01014</t>
  </si>
  <si>
    <t>INE460C01014</t>
  </si>
  <si>
    <t>INE670B01028</t>
  </si>
  <si>
    <t>INE526A01016</t>
  </si>
  <si>
    <t>INE276A01018</t>
  </si>
  <si>
    <t>INE152B01027</t>
  </si>
  <si>
    <t>INE336H01023</t>
  </si>
  <si>
    <t>INE852F01015</t>
  </si>
  <si>
    <t>INE916G01016</t>
  </si>
  <si>
    <t>INE878C01033</t>
  </si>
  <si>
    <t>INE727B01026</t>
  </si>
  <si>
    <t>GENUSPAPER</t>
  </si>
  <si>
    <t>Genus Paper &amp; Boards Limited</t>
  </si>
  <si>
    <t>INE949P01018</t>
  </si>
  <si>
    <t>INE955D01029</t>
  </si>
  <si>
    <t>GEOJITFSL</t>
  </si>
  <si>
    <t>Geojit Financial Services Limited</t>
  </si>
  <si>
    <t>INE007B01023</t>
  </si>
  <si>
    <t>GEPIL</t>
  </si>
  <si>
    <t>GE Power India Limited</t>
  </si>
  <si>
    <t>INE878A01011</t>
  </si>
  <si>
    <t>INE017A01032</t>
  </si>
  <si>
    <t>GET&amp;D</t>
  </si>
  <si>
    <t>GE T&amp;D India Limited</t>
  </si>
  <si>
    <t>INE200A01026</t>
  </si>
  <si>
    <t>INE539A01019</t>
  </si>
  <si>
    <t>INE289B01019</t>
  </si>
  <si>
    <t>INE047B01011</t>
  </si>
  <si>
    <t>INE322A01010</t>
  </si>
  <si>
    <t>INE424C01010</t>
  </si>
  <si>
    <t>INE162A01010</t>
  </si>
  <si>
    <t>INE065J01016</t>
  </si>
  <si>
    <t>INE346H01014</t>
  </si>
  <si>
    <t>INE528A01020</t>
  </si>
  <si>
    <t>INE159A01016</t>
  </si>
  <si>
    <t>INE935A01035</t>
  </si>
  <si>
    <t>INE540A01017</t>
  </si>
  <si>
    <t>INE792H01019</t>
  </si>
  <si>
    <t>INE446C01013</t>
  </si>
  <si>
    <t>INE615I01010</t>
  </si>
  <si>
    <t>INE075D01018</t>
  </si>
  <si>
    <t>INE131A01031</t>
  </si>
  <si>
    <t>INE776C01039</t>
  </si>
  <si>
    <t>GNA</t>
  </si>
  <si>
    <t>GNA Axles Limited</t>
  </si>
  <si>
    <t>INE934S01014</t>
  </si>
  <si>
    <t>INE113A01013</t>
  </si>
  <si>
    <t>INE426D01013</t>
  </si>
  <si>
    <t>GOCLCORP</t>
  </si>
  <si>
    <t>GOCL Corporation Limited</t>
  </si>
  <si>
    <t>INE077F01035</t>
  </si>
  <si>
    <t>INE260B01028</t>
  </si>
  <si>
    <t>INE102D01028</t>
  </si>
  <si>
    <t>INE233A01035</t>
  </si>
  <si>
    <t>INE484J01027</t>
  </si>
  <si>
    <t>INE516K01024</t>
  </si>
  <si>
    <t>INE887G01027</t>
  </si>
  <si>
    <t>INE020J01029</t>
  </si>
  <si>
    <t>GOKULAGRO</t>
  </si>
  <si>
    <t>Gokul Agro Resources Limited</t>
  </si>
  <si>
    <t>INE314T01025</t>
  </si>
  <si>
    <t>INE973A01010</t>
  </si>
  <si>
    <t>INE025B01017</t>
  </si>
  <si>
    <t>INE260D01016</t>
  </si>
  <si>
    <t>INE805A01014</t>
  </si>
  <si>
    <t>GOODLUCK</t>
  </si>
  <si>
    <t>Goodluck India Limited</t>
  </si>
  <si>
    <t>INE127I01024</t>
  </si>
  <si>
    <t>INE177H01013</t>
  </si>
  <si>
    <t>INE517F01014</t>
  </si>
  <si>
    <t>GPTINFRA</t>
  </si>
  <si>
    <t>GPT Infraprojects Limited</t>
  </si>
  <si>
    <t>INE390G01014</t>
  </si>
  <si>
    <t>INE101D01020</t>
  </si>
  <si>
    <t>INE371A01025</t>
  </si>
  <si>
    <t>INE047A01021</t>
  </si>
  <si>
    <t>INE024L01027</t>
  </si>
  <si>
    <t>INE224A01026</t>
  </si>
  <si>
    <t>INE217G01027</t>
  </si>
  <si>
    <t>GREENLAM</t>
  </si>
  <si>
    <t>Greenlam Industries Limited</t>
  </si>
  <si>
    <t>INE544R01013</t>
  </si>
  <si>
    <t>INE461C01038</t>
  </si>
  <si>
    <t>INE999K01014</t>
  </si>
  <si>
    <t>INE536A01023</t>
  </si>
  <si>
    <t>GROBTEA</t>
  </si>
  <si>
    <t>The Grob Tea Company Limited</t>
  </si>
  <si>
    <t>INE646C01018</t>
  </si>
  <si>
    <t>GRPLTD</t>
  </si>
  <si>
    <t>GRP Limited</t>
  </si>
  <si>
    <t>INE137I01015</t>
  </si>
  <si>
    <t>INE580B01029</t>
  </si>
  <si>
    <t>Gujarat Sidhee Cement Limited</t>
  </si>
  <si>
    <t>INE542A01039</t>
  </si>
  <si>
    <t>INE026A01025</t>
  </si>
  <si>
    <t>INE264A01014</t>
  </si>
  <si>
    <t>INE246F01010</t>
  </si>
  <si>
    <t>INE871H01011</t>
  </si>
  <si>
    <t>INE043A01012</t>
  </si>
  <si>
    <t>INE221H01019</t>
  </si>
  <si>
    <t>INE537A01013</t>
  </si>
  <si>
    <t>INE302H01017</t>
  </si>
  <si>
    <t>INE892H01017</t>
  </si>
  <si>
    <t>INE742B01025</t>
  </si>
  <si>
    <t>INE186A01019</t>
  </si>
  <si>
    <t>INE826C01016</t>
  </si>
  <si>
    <t>INE538A01037</t>
  </si>
  <si>
    <t>GUJGASLTD</t>
  </si>
  <si>
    <t>Gujarat Gas Limited</t>
  </si>
  <si>
    <t>INE844O01022</t>
  </si>
  <si>
    <t>INE110D01013</t>
  </si>
  <si>
    <t>GUJNREDVR</t>
  </si>
  <si>
    <t>IN9110D01011</t>
  </si>
  <si>
    <t>INE635Q01029</t>
  </si>
  <si>
    <t>GULFPETRO</t>
  </si>
  <si>
    <t>GP Petroleums Limited</t>
  </si>
  <si>
    <t>INE586G01017</t>
  </si>
  <si>
    <t>GULPOLY</t>
  </si>
  <si>
    <t>Gulshan Polyols Limited</t>
  </si>
  <si>
    <t>INE255D01024</t>
  </si>
  <si>
    <t>INE251H01024</t>
  </si>
  <si>
    <t>INE648H01013</t>
  </si>
  <si>
    <t>INE939D01015</t>
  </si>
  <si>
    <t>INE544A01019</t>
  </si>
  <si>
    <t>INE982F01036</t>
  </si>
  <si>
    <t>INE473B01035</t>
  </si>
  <si>
    <t>INE176B01034</t>
  </si>
  <si>
    <t>INE292B01021</t>
  </si>
  <si>
    <t>INE550B01014</t>
  </si>
  <si>
    <t>INE549A01026</t>
  </si>
  <si>
    <t>HCG</t>
  </si>
  <si>
    <t>Healthcare Global Enterprises Limited</t>
  </si>
  <si>
    <t>INE075I01017</t>
  </si>
  <si>
    <t>INE236A01020</t>
  </si>
  <si>
    <t>INE860A01027</t>
  </si>
  <si>
    <t>INE001A01036</t>
  </si>
  <si>
    <t>INE040A01026</t>
  </si>
  <si>
    <t>INE191I01012</t>
  </si>
  <si>
    <t>INE545A01016</t>
  </si>
  <si>
    <t>INE578A01017</t>
  </si>
  <si>
    <t>INE688E01024</t>
  </si>
  <si>
    <t>Heritage Foods Limited</t>
  </si>
  <si>
    <t>INE978A01019</t>
  </si>
  <si>
    <t>INE158A01026</t>
  </si>
  <si>
    <t>HESTERBIO</t>
  </si>
  <si>
    <t>Hester Biosciences Limited</t>
  </si>
  <si>
    <t>INE782E01017</t>
  </si>
  <si>
    <t>INE750M01017</t>
  </si>
  <si>
    <t>INE093A01033</t>
  </si>
  <si>
    <t>INE548A01028</t>
  </si>
  <si>
    <t>INE170I01016</t>
  </si>
  <si>
    <t>HIGHGROUND</t>
  </si>
  <si>
    <t>High Ground Enterprise Limited</t>
  </si>
  <si>
    <t>INE361M01021</t>
  </si>
  <si>
    <t>INE475B01022</t>
  </si>
  <si>
    <t>INE557A01011</t>
  </si>
  <si>
    <t>INE788H01017</t>
  </si>
  <si>
    <t>INE049A01027</t>
  </si>
  <si>
    <t>INE038A01020</t>
  </si>
  <si>
    <t>INE310C01029</t>
  </si>
  <si>
    <t>INE531E01026</t>
  </si>
  <si>
    <t>INE551A01022</t>
  </si>
  <si>
    <t>INE253A01025</t>
  </si>
  <si>
    <t>INE952A01022</t>
  </si>
  <si>
    <t>INE345A01011</t>
  </si>
  <si>
    <t>INE094A01015</t>
  </si>
  <si>
    <t>INE155B01012</t>
  </si>
  <si>
    <t>INE291F01016</t>
  </si>
  <si>
    <t>INE353A01023</t>
  </si>
  <si>
    <t>INE030A01027</t>
  </si>
  <si>
    <t>INE267A01025</t>
  </si>
  <si>
    <t>INE835D01023</t>
  </si>
  <si>
    <t>HISARMETAL</t>
  </si>
  <si>
    <t>Hisar Metal Industries Limited</t>
  </si>
  <si>
    <t>INE598C01011</t>
  </si>
  <si>
    <t>HITECHCORP</t>
  </si>
  <si>
    <t>Hitech Corporation Limited</t>
  </si>
  <si>
    <t>INE120D01012</t>
  </si>
  <si>
    <t>The Hi-Tech Gears Limited</t>
  </si>
  <si>
    <t>INE127B01011</t>
  </si>
  <si>
    <t>INE262A01018</t>
  </si>
  <si>
    <t>INE871K01015</t>
  </si>
  <si>
    <t>INE048A01011</t>
  </si>
  <si>
    <t>INE671A01010</t>
  </si>
  <si>
    <t>INE634A01018</t>
  </si>
  <si>
    <t>INE102A01024</t>
  </si>
  <si>
    <t>INE275F01019</t>
  </si>
  <si>
    <t>INE596H01014</t>
  </si>
  <si>
    <t>HPL</t>
  </si>
  <si>
    <t>HPL Electric &amp; Power Limited</t>
  </si>
  <si>
    <t>INE495S01016</t>
  </si>
  <si>
    <t>HSCL</t>
  </si>
  <si>
    <t>Himadri Speciality Chemical Limited</t>
  </si>
  <si>
    <t>INE019C01026</t>
  </si>
  <si>
    <t>INE415A01038</t>
  </si>
  <si>
    <t>INE501G01024</t>
  </si>
  <si>
    <t>INE703H01016</t>
  </si>
  <si>
    <t>INE031A01017</t>
  </si>
  <si>
    <t>INE069I01010</t>
  </si>
  <si>
    <t>INE148I01020</t>
  </si>
  <si>
    <t>IBVENTURES</t>
  </si>
  <si>
    <t>Indiabulls Ventures Limited</t>
  </si>
  <si>
    <t>INE274G01010</t>
  </si>
  <si>
    <t>INE090A01021</t>
  </si>
  <si>
    <t>ICICIPRULI</t>
  </si>
  <si>
    <t>ICICI Prudential Life Insurance Company Limited</t>
  </si>
  <si>
    <t>INE726G01019</t>
  </si>
  <si>
    <t>INE483B01026</t>
  </si>
  <si>
    <t>INE725G01011</t>
  </si>
  <si>
    <t>INE306B01029</t>
  </si>
  <si>
    <t>INE008A01015</t>
  </si>
  <si>
    <t>INE669E01016</t>
  </si>
  <si>
    <t>INE043D01016</t>
  </si>
  <si>
    <t>IDFCBANK</t>
  </si>
  <si>
    <t>IDFC Bank Limited</t>
  </si>
  <si>
    <t>INE092T01019</t>
  </si>
  <si>
    <t>INE076C01018</t>
  </si>
  <si>
    <t>INE559A01017</t>
  </si>
  <si>
    <t>INE039A01010</t>
  </si>
  <si>
    <t>INE023B01012</t>
  </si>
  <si>
    <t>INE188B01013</t>
  </si>
  <si>
    <t>INE203G01019</t>
  </si>
  <si>
    <t>INE204A01010</t>
  </si>
  <si>
    <t>INE530B01024</t>
  </si>
  <si>
    <t>INE886A01014</t>
  </si>
  <si>
    <t>INE369I01014</t>
  </si>
  <si>
    <t>INE975G01012</t>
  </si>
  <si>
    <t>INE919H01018</t>
  </si>
  <si>
    <t>INE547E01014</t>
  </si>
  <si>
    <t>INE691G01015</t>
  </si>
  <si>
    <t>INE841B01017</t>
  </si>
  <si>
    <t>INE053A01029</t>
  </si>
  <si>
    <t>INE383A01012</t>
  </si>
  <si>
    <t>INE560A01015</t>
  </si>
  <si>
    <t>INE562A01011</t>
  </si>
  <si>
    <t>INE061A01014</t>
  </si>
  <si>
    <t>INE323C01030</t>
  </si>
  <si>
    <t>INDIGO</t>
  </si>
  <si>
    <t>InterGlobe Aviation Limited</t>
  </si>
  <si>
    <t>INE646L01027</t>
  </si>
  <si>
    <t>INE065B01013</t>
  </si>
  <si>
    <t>INE092B01017</t>
  </si>
  <si>
    <t>INE873D01024</t>
  </si>
  <si>
    <t>INE156A01020</t>
  </si>
  <si>
    <t>INE866K01015</t>
  </si>
  <si>
    <t>INE332H01014</t>
  </si>
  <si>
    <t>INE337M01013</t>
  </si>
  <si>
    <t>INE227G01018</t>
  </si>
  <si>
    <t>INE681B01017</t>
  </si>
  <si>
    <t>INE915B01019</t>
  </si>
  <si>
    <t>INE788B01028</t>
  </si>
  <si>
    <t>INE611L01021</t>
  </si>
  <si>
    <t>INE095A01012</t>
  </si>
  <si>
    <t>INEOSSTYRO</t>
  </si>
  <si>
    <t>INEOS Styrolution India Limited</t>
  </si>
  <si>
    <t>INE189B01011</t>
  </si>
  <si>
    <t>INFIBEAM</t>
  </si>
  <si>
    <t>Infibeam Incorporation Limited</t>
  </si>
  <si>
    <t>INE483S01012</t>
  </si>
  <si>
    <t>INE486J01014</t>
  </si>
  <si>
    <t>Infomedia Press Limited</t>
  </si>
  <si>
    <t>INE669A01022</t>
  </si>
  <si>
    <t>INE121J01017</t>
  </si>
  <si>
    <t>INE009A01021</t>
  </si>
  <si>
    <t>INE177A01018</t>
  </si>
  <si>
    <t>INE312H01016</t>
  </si>
  <si>
    <t>INOXWIND</t>
  </si>
  <si>
    <t>Inox Wind Limited</t>
  </si>
  <si>
    <t>INE066P01011</t>
  </si>
  <si>
    <t>INE070I01018</t>
  </si>
  <si>
    <t>INE418N01027</t>
  </si>
  <si>
    <t>INTELLECT</t>
  </si>
  <si>
    <t>Intellect Design Arena Limited</t>
  </si>
  <si>
    <t>INE306R01017</t>
  </si>
  <si>
    <t>INTENTECH</t>
  </si>
  <si>
    <t>Intense Technologies Limited</t>
  </si>
  <si>
    <t>INE781A01025</t>
  </si>
  <si>
    <t>INE878H01016</t>
  </si>
  <si>
    <t>INE565A01014</t>
  </si>
  <si>
    <t>INE242A01010</t>
  </si>
  <si>
    <t>INE485C01011</t>
  </si>
  <si>
    <t>INE435A01028</t>
  </si>
  <si>
    <t>INE571A01020</t>
  </si>
  <si>
    <t>INE821I01014</t>
  </si>
  <si>
    <t>INE566K01011</t>
  </si>
  <si>
    <t>INE732F01019</t>
  </si>
  <si>
    <t>INE154A01025</t>
  </si>
  <si>
    <t>ITDC</t>
  </si>
  <si>
    <t>India Tourism Development Corporation Limited</t>
  </si>
  <si>
    <t>INE353K01014</t>
  </si>
  <si>
    <t>INE686A01026</t>
  </si>
  <si>
    <t>INE248A01017</t>
  </si>
  <si>
    <t>INE050B01023</t>
  </si>
  <si>
    <t>INE043C01018</t>
  </si>
  <si>
    <t>INE875A01025</t>
  </si>
  <si>
    <t>IZMO</t>
  </si>
  <si>
    <t>IZMO Limited</t>
  </si>
  <si>
    <t>INE848A01014</t>
  </si>
  <si>
    <t>INE168A01041</t>
  </si>
  <si>
    <t>INE199G01027</t>
  </si>
  <si>
    <t>INE048B01027</t>
  </si>
  <si>
    <t>INE091G01018</t>
  </si>
  <si>
    <t>INE070D01027</t>
  </si>
  <si>
    <t>INE343D01010</t>
  </si>
  <si>
    <t>INE486B01011</t>
  </si>
  <si>
    <t>INE039C01024</t>
  </si>
  <si>
    <t>INE785A01026</t>
  </si>
  <si>
    <t>INE571B01028</t>
  </si>
  <si>
    <t>INE854B01010</t>
  </si>
  <si>
    <t>INE364A01020</t>
  </si>
  <si>
    <t>INE572A01028</t>
  </si>
  <si>
    <t>INE187A01017</t>
  </si>
  <si>
    <t>INE927D01028</t>
  </si>
  <si>
    <t>JCHAC</t>
  </si>
  <si>
    <t>Johnson Controls – Hitachi Air Conditioning India Limited</t>
  </si>
  <si>
    <t>INE782A01015</t>
  </si>
  <si>
    <t>INE819B01021</t>
  </si>
  <si>
    <t>INE802G01018</t>
  </si>
  <si>
    <t>INE544H01014</t>
  </si>
  <si>
    <t>INE026B01049</t>
  </si>
  <si>
    <t>INE796G01012</t>
  </si>
  <si>
    <t>INE197D01010</t>
  </si>
  <si>
    <t>INE324A01024</t>
  </si>
  <si>
    <t>INE749A01030</t>
  </si>
  <si>
    <t>INE904J01016</t>
  </si>
  <si>
    <t>INE742C01031</t>
  </si>
  <si>
    <t>INE247D01013</t>
  </si>
  <si>
    <t>JISLDVREQS</t>
  </si>
  <si>
    <t>IN9175A01010</t>
  </si>
  <si>
    <t>INE175A01038</t>
  </si>
  <si>
    <t>JITFINFRA</t>
  </si>
  <si>
    <t>JITF Infralogistics Limited</t>
  </si>
  <si>
    <t>INE863T01013</t>
  </si>
  <si>
    <t>INE823G01014</t>
  </si>
  <si>
    <t>INE576I01022</t>
  </si>
  <si>
    <t>INE786A01032</t>
  </si>
  <si>
    <t>INE789E01012</t>
  </si>
  <si>
    <t>INE573A01042</t>
  </si>
  <si>
    <t>JMA</t>
  </si>
  <si>
    <t>Jullundur Motor Agency (Delhi) Limited</t>
  </si>
  <si>
    <t>INE412C01015</t>
  </si>
  <si>
    <t>INE890A01016</t>
  </si>
  <si>
    <t>INE780C01023</t>
  </si>
  <si>
    <t>INE988E01036</t>
  </si>
  <si>
    <t>INE839G01010</t>
  </si>
  <si>
    <t>INE455F01025</t>
  </si>
  <si>
    <t>INE099J01015</t>
  </si>
  <si>
    <t>INE147P01019</t>
  </si>
  <si>
    <t>INE351F01018</t>
  </si>
  <si>
    <t>INE220G01021</t>
  </si>
  <si>
    <t>JSLHISAR</t>
  </si>
  <si>
    <t>Jindal Stainless (Hisar) Limited</t>
  </si>
  <si>
    <t>INE455T01018</t>
  </si>
  <si>
    <t>INE121E01018</t>
  </si>
  <si>
    <t>INE824G01012</t>
  </si>
  <si>
    <t>INE019A01038</t>
  </si>
  <si>
    <t>INE700A01033</t>
  </si>
  <si>
    <t>INE797F01012</t>
  </si>
  <si>
    <t>INE645L01011</t>
  </si>
  <si>
    <t>INE599M01018</t>
  </si>
  <si>
    <t>INE430G01026</t>
  </si>
  <si>
    <t>INE668F01031</t>
  </si>
  <si>
    <t>INE197A01024</t>
  </si>
  <si>
    <t>INE900B01029</t>
  </si>
  <si>
    <t>INE217B01036</t>
  </si>
  <si>
    <t>INE437B01014</t>
  </si>
  <si>
    <t>INE220B01022</t>
  </si>
  <si>
    <t>KALYANI</t>
  </si>
  <si>
    <t>Kalyani Commercials Limited</t>
  </si>
  <si>
    <t>INE610E01010</t>
  </si>
  <si>
    <t>INE314G01014</t>
  </si>
  <si>
    <t>INE967C01018</t>
  </si>
  <si>
    <t>KAMDHENU</t>
  </si>
  <si>
    <t>Kamdhenu Limited</t>
  </si>
  <si>
    <t>INE390H01012</t>
  </si>
  <si>
    <t>INE879E01037</t>
  </si>
  <si>
    <t>INE138C01024</t>
  </si>
  <si>
    <t>INE531A01024</t>
  </si>
  <si>
    <t>INE725L01011</t>
  </si>
  <si>
    <t>INE036D01028</t>
  </si>
  <si>
    <t>INE234I01010</t>
  </si>
  <si>
    <t>INE641C01019</t>
  </si>
  <si>
    <t>KAYA</t>
  </si>
  <si>
    <t>Kaya Limited</t>
  </si>
  <si>
    <t>INE587G01015</t>
  </si>
  <si>
    <t>INE805C01028</t>
  </si>
  <si>
    <t>INE790B01024</t>
  </si>
  <si>
    <t>KDDL</t>
  </si>
  <si>
    <t>KDDL Limited</t>
  </si>
  <si>
    <t>INE291D01011</t>
  </si>
  <si>
    <t>INE389H01022</t>
  </si>
  <si>
    <t>INE134B01017</t>
  </si>
  <si>
    <t>INE878B01027</t>
  </si>
  <si>
    <t>KELLTONTEC</t>
  </si>
  <si>
    <t>Kellton Tech Solutions Limited</t>
  </si>
  <si>
    <t>INE164B01022</t>
  </si>
  <si>
    <t>INE202H01019</t>
  </si>
  <si>
    <t>INE133B01019</t>
  </si>
  <si>
    <t>INE087A01019</t>
  </si>
  <si>
    <t>INE681C01015</t>
  </si>
  <si>
    <t>INE299C01024</t>
  </si>
  <si>
    <t>INE761A01019</t>
  </si>
  <si>
    <t>INE731C01018</t>
  </si>
  <si>
    <t>INE060B01014</t>
  </si>
  <si>
    <t>INE029L01018</t>
  </si>
  <si>
    <t>INE729D01010</t>
  </si>
  <si>
    <t>KINGFA</t>
  </si>
  <si>
    <t>Kingfa Science &amp; Technology (India) Limited</t>
  </si>
  <si>
    <t>INE473D01015</t>
  </si>
  <si>
    <t>KIOCL</t>
  </si>
  <si>
    <t>KIOCL Limited</t>
  </si>
  <si>
    <t>INE880L01014</t>
  </si>
  <si>
    <t>INE415I01015</t>
  </si>
  <si>
    <t>INE732A01036</t>
  </si>
  <si>
    <t>INE146L01010</t>
  </si>
  <si>
    <t>INE250A01039</t>
  </si>
  <si>
    <t>INE602G01020</t>
  </si>
  <si>
    <t>INE401H01017</t>
  </si>
  <si>
    <t>INE157H01023</t>
  </si>
  <si>
    <t>INE634I01029</t>
  </si>
  <si>
    <t>INE080B01012</t>
  </si>
  <si>
    <t>INE760A01029</t>
  </si>
  <si>
    <t>INE094I01018</t>
  </si>
  <si>
    <t>INE082A01010</t>
  </si>
  <si>
    <t>INE237A01028</t>
  </si>
  <si>
    <t>INE419A01022</t>
  </si>
  <si>
    <t>INE720A01015</t>
  </si>
  <si>
    <t>INE823A01017</t>
  </si>
  <si>
    <t>KPIT Technologies Limited</t>
  </si>
  <si>
    <t>INE836A01035</t>
  </si>
  <si>
    <t>INE930H01023</t>
  </si>
  <si>
    <t>INE001B01026</t>
  </si>
  <si>
    <t>Krebs Biochemicals and Industries Limited</t>
  </si>
  <si>
    <t>INE268B01013</t>
  </si>
  <si>
    <t>KRIDHANINF</t>
  </si>
  <si>
    <t>Kridhan Infra Limited</t>
  </si>
  <si>
    <t>INE524L01026</t>
  </si>
  <si>
    <t>INE999A01015</t>
  </si>
  <si>
    <t>INE455I01029</t>
  </si>
  <si>
    <t>INE216D01026</t>
  </si>
  <si>
    <t>INE143H01015</t>
  </si>
  <si>
    <t>INE907A01026</t>
  </si>
  <si>
    <t>INE096L01025</t>
  </si>
  <si>
    <t>INE614B01018</t>
  </si>
  <si>
    <t>INE775B01025</t>
  </si>
  <si>
    <t>INE498L01015</t>
  </si>
  <si>
    <t>INE651C01018</t>
  </si>
  <si>
    <t>INE992B01026</t>
  </si>
  <si>
    <t>INE694C01018</t>
  </si>
  <si>
    <t>LALPATHLAB</t>
  </si>
  <si>
    <t>Dr. Lal Path Labs Ltd.</t>
  </si>
  <si>
    <t>INE600L01024</t>
  </si>
  <si>
    <t>LAMBODHARA</t>
  </si>
  <si>
    <t>Lambodhara Textiles Limited</t>
  </si>
  <si>
    <t>INE112F01022</t>
  </si>
  <si>
    <t>INE059D01020</t>
  </si>
  <si>
    <t>LAURUSLABS</t>
  </si>
  <si>
    <t>Laurus Labs Limited</t>
  </si>
  <si>
    <t>INE947Q01010</t>
  </si>
  <si>
    <t>INE269B01029</t>
  </si>
  <si>
    <t>INE938A01021</t>
  </si>
  <si>
    <t>LFIC</t>
  </si>
  <si>
    <t>Lakshmi Finance &amp; Industrial Corporation Limited</t>
  </si>
  <si>
    <t>INE850E01012</t>
  </si>
  <si>
    <t>INE337A01034</t>
  </si>
  <si>
    <t>INE201J01017</t>
  </si>
  <si>
    <t>INE557B01019</t>
  </si>
  <si>
    <t>INE115A01026</t>
  </si>
  <si>
    <t>LINCOLN</t>
  </si>
  <si>
    <t>Lincoln Pharmaceuticals Limited</t>
  </si>
  <si>
    <t>INE405C01035</t>
  </si>
  <si>
    <t>LINCPEN</t>
  </si>
  <si>
    <t>Linc Pen &amp; Plastics Limited</t>
  </si>
  <si>
    <t>INE802B01019</t>
  </si>
  <si>
    <t>INE473A01011</t>
  </si>
  <si>
    <t>INE785C01048</t>
  </si>
  <si>
    <t>INE245C01019</t>
  </si>
  <si>
    <t>INE862A01015</t>
  </si>
  <si>
    <t>INE397H01017</t>
  </si>
  <si>
    <t>INE947I01017</t>
  </si>
  <si>
    <t>INE597L01014</t>
  </si>
  <si>
    <t>INE197J01017</t>
  </si>
  <si>
    <t>LSIL</t>
  </si>
  <si>
    <t>Lloyds Steels Industries Limited</t>
  </si>
  <si>
    <t>INE093R01011</t>
  </si>
  <si>
    <t>INE018A01030</t>
  </si>
  <si>
    <t>LTI</t>
  </si>
  <si>
    <t>Larsen &amp; Toubro Infotech Limited</t>
  </si>
  <si>
    <t>INE214T01019</t>
  </si>
  <si>
    <t>LTTS</t>
  </si>
  <si>
    <t>L&amp;T Technology Services Limited</t>
  </si>
  <si>
    <t>INE010V01017</t>
  </si>
  <si>
    <t>INE162B01018</t>
  </si>
  <si>
    <t>INE872H01019</t>
  </si>
  <si>
    <t>INE326A01037</t>
  </si>
  <si>
    <t>LUXIND</t>
  </si>
  <si>
    <t>Lux Industries Limited</t>
  </si>
  <si>
    <t>INE150G01020</t>
  </si>
  <si>
    <t>LYCOS</t>
  </si>
  <si>
    <t>Lycos Internet Limited</t>
  </si>
  <si>
    <t>INE425B01027</t>
  </si>
  <si>
    <t>INE933A01014</t>
  </si>
  <si>
    <t>INE142K01011</t>
  </si>
  <si>
    <t>INE101A01026</t>
  </si>
  <si>
    <t>INE774D01024</t>
  </si>
  <si>
    <t>INE215I01019</t>
  </si>
  <si>
    <t>INE925C01016</t>
  </si>
  <si>
    <t>INE378D01032</t>
  </si>
  <si>
    <t>INE414A01015</t>
  </si>
  <si>
    <t>INE511C01022</t>
  </si>
  <si>
    <t>INE387I01016</t>
  </si>
  <si>
    <t>INE457A01014</t>
  </si>
  <si>
    <t>MAHASTEEL</t>
  </si>
  <si>
    <t>Mahamaya Steel Industries Limited</t>
  </si>
  <si>
    <t>INE451L01014</t>
  </si>
  <si>
    <t>INE536H01010</t>
  </si>
  <si>
    <t>INE813A01018</t>
  </si>
  <si>
    <t>INE288A01013</t>
  </si>
  <si>
    <t>INE271B01025</t>
  </si>
  <si>
    <t>INE683C01011</t>
  </si>
  <si>
    <t>MAJESCO</t>
  </si>
  <si>
    <t>Majesco Limited</t>
  </si>
  <si>
    <t>INE898S01029</t>
  </si>
  <si>
    <t>INE383H01017</t>
  </si>
  <si>
    <t>INE272B01015</t>
  </si>
  <si>
    <t>MANAKALUCO</t>
  </si>
  <si>
    <t>Manaksia Aluminium Company Limited</t>
  </si>
  <si>
    <t>INE859Q01017</t>
  </si>
  <si>
    <t>MANAKCOAT</t>
  </si>
  <si>
    <t>Manaksia Coated Metals &amp; Industries Limited</t>
  </si>
  <si>
    <t>INE830Q01018</t>
  </si>
  <si>
    <t>MANAKINDST</t>
  </si>
  <si>
    <t>Manaksia Industries Limited</t>
  </si>
  <si>
    <t>INE831Q01016</t>
  </si>
  <si>
    <t>INE015D01022</t>
  </si>
  <si>
    <t>MANAKSTEEL</t>
  </si>
  <si>
    <t>Manaksia Steels Limited</t>
  </si>
  <si>
    <t>INE824Q01011</t>
  </si>
  <si>
    <t>INE201A01024</t>
  </si>
  <si>
    <t>MANAPPURAM</t>
  </si>
  <si>
    <t>Manappuram Finance Limited</t>
  </si>
  <si>
    <t>INE522D01027</t>
  </si>
  <si>
    <t>INE087J01010</t>
  </si>
  <si>
    <t>INE584F01014</t>
  </si>
  <si>
    <t>INE558B01017</t>
  </si>
  <si>
    <t>INE347A01017</t>
  </si>
  <si>
    <t>INE805B01012</t>
  </si>
  <si>
    <t>INE993A01026</t>
  </si>
  <si>
    <t>INE949H01023</t>
  </si>
  <si>
    <t>MANPASAND</t>
  </si>
  <si>
    <t>Manpasand Beverages Limited</t>
  </si>
  <si>
    <t>INE122R01018</t>
  </si>
  <si>
    <t>INE867A01022</t>
  </si>
  <si>
    <t>INE882A01013</t>
  </si>
  <si>
    <t>MARATHON</t>
  </si>
  <si>
    <t>Marathon Nextgen Realty Limited</t>
  </si>
  <si>
    <t>INE182D01012</t>
  </si>
  <si>
    <t>INE196A01026</t>
  </si>
  <si>
    <t>INE750C01026</t>
  </si>
  <si>
    <t>INE585B01010</t>
  </si>
  <si>
    <t>MASKINVEST</t>
  </si>
  <si>
    <t>Mask Investments Limited</t>
  </si>
  <si>
    <t>INE885F01015</t>
  </si>
  <si>
    <t>INE759A01021</t>
  </si>
  <si>
    <t>INE636A01039</t>
  </si>
  <si>
    <t>MAXINDIA</t>
  </si>
  <si>
    <t>INE153U01017</t>
  </si>
  <si>
    <t>MAXVIL</t>
  </si>
  <si>
    <t>Max Ventures and Industries Limited</t>
  </si>
  <si>
    <t>INE154U01015</t>
  </si>
  <si>
    <t>INE040D01038</t>
  </si>
  <si>
    <t>MAZDA</t>
  </si>
  <si>
    <t>Mazda Limited</t>
  </si>
  <si>
    <t>INE885E01034</t>
  </si>
  <si>
    <t>INE748A01016</t>
  </si>
  <si>
    <t>INE912H01013</t>
  </si>
  <si>
    <t>INE836H01014</t>
  </si>
  <si>
    <t>INE854D01016</t>
  </si>
  <si>
    <t>INE942G01012</t>
  </si>
  <si>
    <t>MCX</t>
  </si>
  <si>
    <t>Multi Commodity Exchange of India Limited</t>
  </si>
  <si>
    <t>INE745G01035</t>
  </si>
  <si>
    <t>INE933B01012</t>
  </si>
  <si>
    <t>INE974H01013</t>
  </si>
  <si>
    <t>INE817A01019</t>
  </si>
  <si>
    <t>MENONBE</t>
  </si>
  <si>
    <t>Menon Bearings Limited</t>
  </si>
  <si>
    <t>INE071D01033</t>
  </si>
  <si>
    <t>MEP</t>
  </si>
  <si>
    <t>MEP Infrastructure Developers Limited</t>
  </si>
  <si>
    <t>INE776I01010</t>
  </si>
  <si>
    <t>INE934B01028</t>
  </si>
  <si>
    <t>INE199A01012</t>
  </si>
  <si>
    <t>METALFORGE</t>
  </si>
  <si>
    <t>Metalyst Forgings Limited</t>
  </si>
  <si>
    <t>INE425A01011</t>
  </si>
  <si>
    <t>INE592I01029</t>
  </si>
  <si>
    <t>MFSL</t>
  </si>
  <si>
    <t>Max Financial Services Limited</t>
  </si>
  <si>
    <t>INE180A01020</t>
  </si>
  <si>
    <t>MGL</t>
  </si>
  <si>
    <t>Mahanagar Gas Limited</t>
  </si>
  <si>
    <t>INE002S01010</t>
  </si>
  <si>
    <t>INE998I01010</t>
  </si>
  <si>
    <t>INE287C01029</t>
  </si>
  <si>
    <t>INE842C01021</t>
  </si>
  <si>
    <t>INE405E01023</t>
  </si>
  <si>
    <t>MINDTECK</t>
  </si>
  <si>
    <t>Mindteck (India) Limited</t>
  </si>
  <si>
    <t>INE110B01017</t>
  </si>
  <si>
    <t>INE018I01017</t>
  </si>
  <si>
    <t>INE831A01028</t>
  </si>
  <si>
    <t>INE771A01026</t>
  </si>
  <si>
    <t>INE227C01017</t>
  </si>
  <si>
    <t>INE123F01029</t>
  </si>
  <si>
    <t>INE954E01012</t>
  </si>
  <si>
    <t>INE490G01020</t>
  </si>
  <si>
    <t>MOLDTECH</t>
  </si>
  <si>
    <t>Mold-Tek Technologies Limited</t>
  </si>
  <si>
    <t>INE835B01035</t>
  </si>
  <si>
    <t>MOLDTKPAC</t>
  </si>
  <si>
    <t>Mold-Tek Packaging Limited</t>
  </si>
  <si>
    <t>INE893J01029</t>
  </si>
  <si>
    <t>INE743C01013</t>
  </si>
  <si>
    <t>INE274B01011</t>
  </si>
  <si>
    <t>MONTECARLO</t>
  </si>
  <si>
    <t>Monte Carlo Fashions Limited</t>
  </si>
  <si>
    <t>INE950M01013</t>
  </si>
  <si>
    <t>INE161G01027</t>
  </si>
  <si>
    <t>INE083A01026</t>
  </si>
  <si>
    <t>INE739A01015</t>
  </si>
  <si>
    <t>INE775A01035</t>
  </si>
  <si>
    <t>INE338I01027</t>
  </si>
  <si>
    <t>INE861B01015</t>
  </si>
  <si>
    <t>INE356A01018</t>
  </si>
  <si>
    <t>INE943D01017</t>
  </si>
  <si>
    <t>INE883A01011</t>
  </si>
  <si>
    <t>MRO-TEK Realty Limited</t>
  </si>
  <si>
    <t>INE398B01018</t>
  </si>
  <si>
    <t>INE103A01014</t>
  </si>
  <si>
    <t>INE752G01015</t>
  </si>
  <si>
    <t>INE472M01018</t>
  </si>
  <si>
    <t>INE153A01019</t>
  </si>
  <si>
    <t>INE022B01014</t>
  </si>
  <si>
    <t>INE304A01026</t>
  </si>
  <si>
    <t>INE374B01019</t>
  </si>
  <si>
    <t>INE672B01032</t>
  </si>
  <si>
    <t>INE577A01027</t>
  </si>
  <si>
    <t>INE692B01014</t>
  </si>
  <si>
    <t>MUTHOOTCAP</t>
  </si>
  <si>
    <t>Muthoot Capital Services Limited</t>
  </si>
  <si>
    <t>INE296G01013</t>
  </si>
  <si>
    <t>INE414G01012</t>
  </si>
  <si>
    <t>INE744I01034</t>
  </si>
  <si>
    <t>NAGAAGRI</t>
  </si>
  <si>
    <t>Nagarjuna Agrichem Limited</t>
  </si>
  <si>
    <t>INE295D01020</t>
  </si>
  <si>
    <t>NAGAFERT</t>
  </si>
  <si>
    <t>Nagarjuna Fertilizers and Chemicals Limited</t>
  </si>
  <si>
    <t>INE454M01024</t>
  </si>
  <si>
    <t>INE453M01018</t>
  </si>
  <si>
    <t>INE245I01016</t>
  </si>
  <si>
    <t>INE123B01028</t>
  </si>
  <si>
    <t>INE049I01012</t>
  </si>
  <si>
    <t>INE289A01011</t>
  </si>
  <si>
    <t>INE308A01027</t>
  </si>
  <si>
    <t>INE290A01027</t>
  </si>
  <si>
    <t>INE559B01023</t>
  </si>
  <si>
    <t>INE987B01026</t>
  </si>
  <si>
    <t>INE448G01010</t>
  </si>
  <si>
    <t>INE139A01034</t>
  </si>
  <si>
    <t>INE088B01015</t>
  </si>
  <si>
    <t>INE663F01024</t>
  </si>
  <si>
    <t>INE048G01018</t>
  </si>
  <si>
    <t>NAVKARCORP</t>
  </si>
  <si>
    <t>Navkar Corporation Limited</t>
  </si>
  <si>
    <t>INE278M01019</t>
  </si>
  <si>
    <t>INE060A01024</t>
  </si>
  <si>
    <t>NBCC (India) Limited</t>
  </si>
  <si>
    <t>INE095N01023</t>
  </si>
  <si>
    <t>NBIFIN</t>
  </si>
  <si>
    <t>N. B. I. Industrial Finance Company Limited</t>
  </si>
  <si>
    <t>INE365I01012</t>
  </si>
  <si>
    <t>INE725A01022</t>
  </si>
  <si>
    <t>INE868B01028</t>
  </si>
  <si>
    <t>INE732C01016</t>
  </si>
  <si>
    <t>NDGL</t>
  </si>
  <si>
    <t>Naga Dhunseri Group Limited</t>
  </si>
  <si>
    <t>INE756C01015</t>
  </si>
  <si>
    <t>INE875G01030</t>
  </si>
  <si>
    <t>INE155G01029</t>
  </si>
  <si>
    <t>NECCLTD</t>
  </si>
  <si>
    <t>North Eastern Carrying Corporation Limited</t>
  </si>
  <si>
    <t>INE553C01016</t>
  </si>
  <si>
    <t>INE023H01027</t>
  </si>
  <si>
    <t>INE189I01024</t>
  </si>
  <si>
    <t>INE045B01015</t>
  </si>
  <si>
    <t>INE317F01027</t>
  </si>
  <si>
    <t>NESTLEIND</t>
  </si>
  <si>
    <t>Nestle India Limited</t>
  </si>
  <si>
    <t>INE239A01016</t>
  </si>
  <si>
    <t>INE553E01012</t>
  </si>
  <si>
    <t>INE870H01013</t>
  </si>
  <si>
    <t>INE794A01010</t>
  </si>
  <si>
    <t>INE747B01016</t>
  </si>
  <si>
    <t>INE870D01012</t>
  </si>
  <si>
    <t>NH</t>
  </si>
  <si>
    <t>Narayana Hrudayalaya Ltd.</t>
  </si>
  <si>
    <t>INE410P01011</t>
  </si>
  <si>
    <t>INE848E01016</t>
  </si>
  <si>
    <t>INE047O01014</t>
  </si>
  <si>
    <t>INE241C01026</t>
  </si>
  <si>
    <t>INE161A01038</t>
  </si>
  <si>
    <t>INE591G01017</t>
  </si>
  <si>
    <t>NILAINFRA</t>
  </si>
  <si>
    <t>Nila Infrastructures Limited</t>
  </si>
  <si>
    <t>INE937C01029</t>
  </si>
  <si>
    <t>INE310A01015</t>
  </si>
  <si>
    <t>Indo-National Limited</t>
  </si>
  <si>
    <t>INE567A01010</t>
  </si>
  <si>
    <t>NIRAJISPAT</t>
  </si>
  <si>
    <t>Niraj Ispat Industries Limited</t>
  </si>
  <si>
    <t>INE326T01011</t>
  </si>
  <si>
    <t>INE858F01012</t>
  </si>
  <si>
    <t>INE639K01016</t>
  </si>
  <si>
    <t>INE489H01020</t>
  </si>
  <si>
    <t>INE229H01012</t>
  </si>
  <si>
    <t>INE542C01019</t>
  </si>
  <si>
    <t>NLCINDIA</t>
  </si>
  <si>
    <t>NLC India Limited</t>
  </si>
  <si>
    <t>INE589A01014</t>
  </si>
  <si>
    <t>INE584A01023</t>
  </si>
  <si>
    <t>INE163A01018</t>
  </si>
  <si>
    <t>INE141B01020</t>
  </si>
  <si>
    <t>INE781B01015</t>
  </si>
  <si>
    <t>INE369C01017</t>
  </si>
  <si>
    <t>NRAIL</t>
  </si>
  <si>
    <t>N R Agarwal Industries Limited</t>
  </si>
  <si>
    <t>INE740D01017</t>
  </si>
  <si>
    <t>INE349A01021</t>
  </si>
  <si>
    <t>INE023A01030</t>
  </si>
  <si>
    <t>NTL</t>
  </si>
  <si>
    <t>Neueon Towers Limited</t>
  </si>
  <si>
    <t>INE333I01036</t>
  </si>
  <si>
    <t>INE733E01010</t>
  </si>
  <si>
    <t>INE096B01018</t>
  </si>
  <si>
    <t>INE318J01027</t>
  </si>
  <si>
    <t>INE093I01010</t>
  </si>
  <si>
    <t>OCCL</t>
  </si>
  <si>
    <t>Oriental Carbon &amp; Chemicals Limited</t>
  </si>
  <si>
    <t>INE321D01016</t>
  </si>
  <si>
    <t>INE290B01025</t>
  </si>
  <si>
    <t>INE881D01027</t>
  </si>
  <si>
    <t>INE274J01014</t>
  </si>
  <si>
    <t>INE591A01010</t>
  </si>
  <si>
    <t>INE196J01019</t>
  </si>
  <si>
    <t>INE090B01011</t>
  </si>
  <si>
    <t>INE800H01010</t>
  </si>
  <si>
    <t>INE474L01016</t>
  </si>
  <si>
    <t>INE239D01028</t>
  </si>
  <si>
    <t>INE912L01015</t>
  </si>
  <si>
    <t>INE213A01029</t>
  </si>
  <si>
    <t>INE809I01019</t>
  </si>
  <si>
    <t>INE229A01017</t>
  </si>
  <si>
    <t>INE808B01016</t>
  </si>
  <si>
    <t>INE628H01015</t>
  </si>
  <si>
    <t>INE231G01010</t>
  </si>
  <si>
    <t>ORCHIDPHAR</t>
  </si>
  <si>
    <t>Orchid Pharma Limited</t>
  </si>
  <si>
    <t>INE191A01019</t>
  </si>
  <si>
    <t>ORICONENT</t>
  </si>
  <si>
    <t>Oricon Enterprises Limited</t>
  </si>
  <si>
    <t>INE730A01022</t>
  </si>
  <si>
    <t>INE569C01020</t>
  </si>
  <si>
    <t>INE998H01012</t>
  </si>
  <si>
    <t>INE141A01014</t>
  </si>
  <si>
    <t>INE607D01018</t>
  </si>
  <si>
    <t>INE876N01018</t>
  </si>
  <si>
    <t>INE750A01020</t>
  </si>
  <si>
    <t>INE609C01024</t>
  </si>
  <si>
    <t>INE592A01026</t>
  </si>
  <si>
    <t>INE743M01012</t>
  </si>
  <si>
    <t>INE725E01024</t>
  </si>
  <si>
    <t>ORTEL</t>
  </si>
  <si>
    <t>Ortel Communications Limited</t>
  </si>
  <si>
    <t>INE849L01019</t>
  </si>
  <si>
    <t>ORTINLABSS</t>
  </si>
  <si>
    <t>Ortin Laboratories Limited</t>
  </si>
  <si>
    <t>INE749B01012</t>
  </si>
  <si>
    <t>INE766A01018</t>
  </si>
  <si>
    <t>INE761H01022</t>
  </si>
  <si>
    <t>PALREDTEC</t>
  </si>
  <si>
    <t>INE218G01033</t>
  </si>
  <si>
    <t>INE922B01023</t>
  </si>
  <si>
    <t>INE305C01029</t>
  </si>
  <si>
    <t>INE194B01029</t>
  </si>
  <si>
    <t>INE275B01026</t>
  </si>
  <si>
    <t>INE618H01016</t>
  </si>
  <si>
    <t>INE074B01023</t>
  </si>
  <si>
    <t>PARAGMILK</t>
  </si>
  <si>
    <t>Parag Milk Foods Limited</t>
  </si>
  <si>
    <t>INE883N01014</t>
  </si>
  <si>
    <t>INE561H01026</t>
  </si>
  <si>
    <t>INE244B01030</t>
  </si>
  <si>
    <t>INE529D01014</t>
  </si>
  <si>
    <t>INE790C01014</t>
  </si>
  <si>
    <t>INE160H01019</t>
  </si>
  <si>
    <t>INE785M01013</t>
  </si>
  <si>
    <t>PDMJEPAPER</t>
  </si>
  <si>
    <t>Pudumjee Paper Products Limited</t>
  </si>
  <si>
    <t>INE865T01018</t>
  </si>
  <si>
    <t>INE904D01019</t>
  </si>
  <si>
    <t>INE111Q01013</t>
  </si>
  <si>
    <t>INE105C01023</t>
  </si>
  <si>
    <t>INE606A01024</t>
  </si>
  <si>
    <t>INE844A01013</t>
  </si>
  <si>
    <t>INE140A01024</t>
  </si>
  <si>
    <t>INE932A01024</t>
  </si>
  <si>
    <t>INE138A01028</t>
  </si>
  <si>
    <t>PENPEBS</t>
  </si>
  <si>
    <t>Pennar Engineered Building Systems Limited</t>
  </si>
  <si>
    <t>INE455O01019</t>
  </si>
  <si>
    <t>INE262H01013</t>
  </si>
  <si>
    <t>INE742A01019</t>
  </si>
  <si>
    <t>INE347G01014</t>
  </si>
  <si>
    <t>INE134E01011</t>
  </si>
  <si>
    <t>INE182A01018</t>
  </si>
  <si>
    <t>INE367G01038</t>
  </si>
  <si>
    <t>INE560K01014</t>
  </si>
  <si>
    <t>INE457L01011</t>
  </si>
  <si>
    <t>INE179A01014</t>
  </si>
  <si>
    <t>INE940H01014</t>
  </si>
  <si>
    <t>INE602A01015</t>
  </si>
  <si>
    <t>INE455B01016</t>
  </si>
  <si>
    <t>INE211B01039</t>
  </si>
  <si>
    <t>INE318A01026</t>
  </si>
  <si>
    <t>INE603J01030</t>
  </si>
  <si>
    <t>PILANIINVS</t>
  </si>
  <si>
    <t>Pilani Investment and Industries Corporation Limited</t>
  </si>
  <si>
    <t>INE417C01014</t>
  </si>
  <si>
    <t>PILITA</t>
  </si>
  <si>
    <t>PIL ITALICA LIFESTYLE LIMITED</t>
  </si>
  <si>
    <t>INE600A01035</t>
  </si>
  <si>
    <t>PINCON</t>
  </si>
  <si>
    <t>Pincon Spirit Limited</t>
  </si>
  <si>
    <t>INE675G01018</t>
  </si>
  <si>
    <t>INE889E01010</t>
  </si>
  <si>
    <t>INE156C01018</t>
  </si>
  <si>
    <t>INE122J01015</t>
  </si>
  <si>
    <t>INE450D01021</t>
  </si>
  <si>
    <t>PKTEA</t>
  </si>
  <si>
    <t>The Peria Karamalai Tea &amp; Produce Company Limited</t>
  </si>
  <si>
    <t>INE431F01018</t>
  </si>
  <si>
    <t>INE083C01022</t>
  </si>
  <si>
    <t>INE160A01022</t>
  </si>
  <si>
    <t>INE859A01011</t>
  </si>
  <si>
    <t>PNBHOUSING</t>
  </si>
  <si>
    <t>PNB Housing Finance Limited</t>
  </si>
  <si>
    <t>INE572E01012</t>
  </si>
  <si>
    <t>INE392B01011</t>
  </si>
  <si>
    <t>PNCINFRA</t>
  </si>
  <si>
    <t>PNC Infratech Limited</t>
  </si>
  <si>
    <t>INE195J01029</t>
  </si>
  <si>
    <t>INE332G01032</t>
  </si>
  <si>
    <t>PODDARHOUS</t>
  </si>
  <si>
    <t>Poddar Housing and Development Limited</t>
  </si>
  <si>
    <t>INE888B01018</t>
  </si>
  <si>
    <t>PODDARMENT</t>
  </si>
  <si>
    <t>Poddar Pigments Limited</t>
  </si>
  <si>
    <t>INE371C01013</t>
  </si>
  <si>
    <t>POKARNA</t>
  </si>
  <si>
    <t>Pokarna Limited</t>
  </si>
  <si>
    <t>INE637C01017</t>
  </si>
  <si>
    <t>POLARIS CONSULTING &amp; SERVICES LIMITED</t>
  </si>
  <si>
    <t>INE763A01023</t>
  </si>
  <si>
    <t>INE205C01021</t>
  </si>
  <si>
    <t>INE633B01018</t>
  </si>
  <si>
    <t>INE838E01017</t>
  </si>
  <si>
    <t>INE752E01010</t>
  </si>
  <si>
    <t>POWERMECH</t>
  </si>
  <si>
    <t>Power Mech Projects Limited</t>
  </si>
  <si>
    <t>INE211R01019</t>
  </si>
  <si>
    <t>INE095I01015</t>
  </si>
  <si>
    <t>PRABHAT</t>
  </si>
  <si>
    <t>Prabhat Dairy Limited</t>
  </si>
  <si>
    <t>INE302M01033</t>
  </si>
  <si>
    <t>INE495J01015</t>
  </si>
  <si>
    <t>INE505C01016</t>
  </si>
  <si>
    <t>INE074A01025</t>
  </si>
  <si>
    <t>INE603A01013</t>
  </si>
  <si>
    <t>INE023M01027</t>
  </si>
  <si>
    <t>INE696K01024</t>
  </si>
  <si>
    <t>INE308H01022</t>
  </si>
  <si>
    <t>PRECAM</t>
  </si>
  <si>
    <t>Precision Camshafts Limited</t>
  </si>
  <si>
    <t>INE484I01029</t>
  </si>
  <si>
    <t>INE283A01014</t>
  </si>
  <si>
    <t>INE372C01029</t>
  </si>
  <si>
    <t>PREMEXPLN</t>
  </si>
  <si>
    <t>Premier Explosives Limited</t>
  </si>
  <si>
    <t>INE863B01011</t>
  </si>
  <si>
    <t>INE342A01018</t>
  </si>
  <si>
    <t>INE309M01012</t>
  </si>
  <si>
    <t>INE980A01023</t>
  </si>
  <si>
    <t>INE811K01011</t>
  </si>
  <si>
    <t>PRICOLLTD</t>
  </si>
  <si>
    <t>INE726V01018</t>
  </si>
  <si>
    <t>INE032B01021</t>
  </si>
  <si>
    <t>INE010A01011</t>
  </si>
  <si>
    <t>INE968G01033</t>
  </si>
  <si>
    <t>INE195N01013</t>
  </si>
  <si>
    <t>INE608A01012</t>
  </si>
  <si>
    <t>INE474B01017</t>
  </si>
  <si>
    <t>INE877F01012</t>
  </si>
  <si>
    <t>INE034D01031</t>
  </si>
  <si>
    <t>INE277B01014</t>
  </si>
  <si>
    <t>INE701B01021</t>
  </si>
  <si>
    <t>Puravankara Limited</t>
  </si>
  <si>
    <t>INE323I01011</t>
  </si>
  <si>
    <t>INE362A01016</t>
  </si>
  <si>
    <t>INE191H01014</t>
  </si>
  <si>
    <t>QUESS</t>
  </si>
  <si>
    <t>Quess Corp Limited</t>
  </si>
  <si>
    <t>INE615P01015</t>
  </si>
  <si>
    <t>QUICKHEAL</t>
  </si>
  <si>
    <t>Quick Heal Technologies Limited</t>
  </si>
  <si>
    <t>INE306L01010</t>
  </si>
  <si>
    <t>INE033B01011</t>
  </si>
  <si>
    <t>INE874F01027</t>
  </si>
  <si>
    <t>INE944F01028</t>
  </si>
  <si>
    <t>RADIOCITY</t>
  </si>
  <si>
    <t>Music Broadcast Limited</t>
  </si>
  <si>
    <t>INE919I01016</t>
  </si>
  <si>
    <t>INE855B01025</t>
  </si>
  <si>
    <t>INE028D01025</t>
  </si>
  <si>
    <t>INE313D01013</t>
  </si>
  <si>
    <t>INE343B01030</t>
  </si>
  <si>
    <t>INE294G01018</t>
  </si>
  <si>
    <t>INE533D01024</t>
  </si>
  <si>
    <t>INE562B01019</t>
  </si>
  <si>
    <t>INE952H01027</t>
  </si>
  <si>
    <t>INE011H01014</t>
  </si>
  <si>
    <t>INE613A01020</t>
  </si>
  <si>
    <t>Shree Rama Newsprint Limited</t>
  </si>
  <si>
    <t>INE278B01020</t>
  </si>
  <si>
    <t>RAMASTEEL</t>
  </si>
  <si>
    <t>Rama Steel Tubes Limited</t>
  </si>
  <si>
    <t>INE230R01027</t>
  </si>
  <si>
    <t>INE331A01037</t>
  </si>
  <si>
    <t>INE614A01028</t>
  </si>
  <si>
    <t>INE246B01019</t>
  </si>
  <si>
    <t>INE874I01013</t>
  </si>
  <si>
    <t>INE005D01015</t>
  </si>
  <si>
    <t>INE625B01014</t>
  </si>
  <si>
    <t>INE222J01013</t>
  </si>
  <si>
    <t>INE384A01010</t>
  </si>
  <si>
    <t>INE904G01038</t>
  </si>
  <si>
    <t>INE703B01027</t>
  </si>
  <si>
    <t>INE301A01014</t>
  </si>
  <si>
    <t>INE244J01017</t>
  </si>
  <si>
    <t>RBLBANK</t>
  </si>
  <si>
    <t>RBL Bank Limited</t>
  </si>
  <si>
    <t>INE976G01028</t>
  </si>
  <si>
    <t>INE027A01015</t>
  </si>
  <si>
    <t>INE330H01018</t>
  </si>
  <si>
    <t>RDEL</t>
  </si>
  <si>
    <t>Reliance Defence and Engineering Limited</t>
  </si>
  <si>
    <t>INE542F01012</t>
  </si>
  <si>
    <t>INE020B01018</t>
  </si>
  <si>
    <t>INE891D01026</t>
  </si>
  <si>
    <t>Refex Industries Limited</t>
  </si>
  <si>
    <t>INE056I01017</t>
  </si>
  <si>
    <t>INE277C01012</t>
  </si>
  <si>
    <t>INE385B01031</t>
  </si>
  <si>
    <t>INE131B01039</t>
  </si>
  <si>
    <t>INE013A01015</t>
  </si>
  <si>
    <t>INE002A01018</t>
  </si>
  <si>
    <t>INE621H01010</t>
  </si>
  <si>
    <t>INE036A01016</t>
  </si>
  <si>
    <t>INE474C01015</t>
  </si>
  <si>
    <t>INE087H01022</t>
  </si>
  <si>
    <t>INE612J01015</t>
  </si>
  <si>
    <t>INE461B01014</t>
  </si>
  <si>
    <t>INE688D01026</t>
  </si>
  <si>
    <t>INE617A01013</t>
  </si>
  <si>
    <t>INE209B01025</t>
  </si>
  <si>
    <t>INE046A01015</t>
  </si>
  <si>
    <t>INE722H01016</t>
  </si>
  <si>
    <t>INE722J01012</t>
  </si>
  <si>
    <t>INE399G01015</t>
  </si>
  <si>
    <t>INE172H01014</t>
  </si>
  <si>
    <t>INE050H01012</t>
  </si>
  <si>
    <t>INE248H01012</t>
  </si>
  <si>
    <t>INE283H01019</t>
  </si>
  <si>
    <t>ROLLT</t>
  </si>
  <si>
    <t>Rollatainers Limited</t>
  </si>
  <si>
    <t>INE927A01040</t>
  </si>
  <si>
    <t>INE293A01013</t>
  </si>
  <si>
    <t>INE847C01020</t>
  </si>
  <si>
    <t>INE105J01010</t>
  </si>
  <si>
    <t>INE614G01033</t>
  </si>
  <si>
    <t>INE324L01013</t>
  </si>
  <si>
    <t>INE165B01029</t>
  </si>
  <si>
    <t>INE611A01016</t>
  </si>
  <si>
    <t>INE411H01032</t>
  </si>
  <si>
    <t>INE834M01019</t>
  </si>
  <si>
    <t>INE399K01017</t>
  </si>
  <si>
    <t>INE301D01026</t>
  </si>
  <si>
    <t>INE413B01023</t>
  </si>
  <si>
    <t>INE803H01014</t>
  </si>
  <si>
    <t>INE619A01027</t>
  </si>
  <si>
    <t>INE895B01021</t>
  </si>
  <si>
    <t>INE573K01017</t>
  </si>
  <si>
    <t>SABEVENTS</t>
  </si>
  <si>
    <t>Sab Events &amp; Governance Now Media Limited</t>
  </si>
  <si>
    <t>INE860T01019</t>
  </si>
  <si>
    <t>INE416A01036</t>
  </si>
  <si>
    <t>INE226H01026</t>
  </si>
  <si>
    <t>SADBHIN</t>
  </si>
  <si>
    <t>Sadbhav Infrastructure Project Limited</t>
  </si>
  <si>
    <t>INE764L01010</t>
  </si>
  <si>
    <t>INE229C01013</t>
  </si>
  <si>
    <t>INE114A01011</t>
  </si>
  <si>
    <t>INE623A01011</t>
  </si>
  <si>
    <t>INE667G01015</t>
  </si>
  <si>
    <t>INE190H01016</t>
  </si>
  <si>
    <t>SALONA</t>
  </si>
  <si>
    <t>Salona Cotspin Limited</t>
  </si>
  <si>
    <t>INE498E01010</t>
  </si>
  <si>
    <t>INE924A01013</t>
  </si>
  <si>
    <t>INE658G01014</t>
  </si>
  <si>
    <t>SALZERELEC</t>
  </si>
  <si>
    <t>Salzer Electronics Limited</t>
  </si>
  <si>
    <t>INE457F01013</t>
  </si>
  <si>
    <t>INE699B01027</t>
  </si>
  <si>
    <t>INE381A01016</t>
  </si>
  <si>
    <t>INE782L01012</t>
  </si>
  <si>
    <t>INE583B01015</t>
  </si>
  <si>
    <t>INE495C01010</t>
  </si>
  <si>
    <t>INE999B01013</t>
  </si>
  <si>
    <t>INE263L01013</t>
  </si>
  <si>
    <t>INE989A01024</t>
  </si>
  <si>
    <t>INE058A01010</t>
  </si>
  <si>
    <t>INE890C01046</t>
  </si>
  <si>
    <t>INE385C01013</t>
  </si>
  <si>
    <t>INE979A01017</t>
  </si>
  <si>
    <t>INE453D01025</t>
  </si>
  <si>
    <t>Sasken Technologies Limited</t>
  </si>
  <si>
    <t>INE231F01020</t>
  </si>
  <si>
    <t>SASTASUNDR</t>
  </si>
  <si>
    <t>Sastasundar Ventures Limited</t>
  </si>
  <si>
    <t>INE019J01013</t>
  </si>
  <si>
    <t>INE176C01016</t>
  </si>
  <si>
    <t>SATIN</t>
  </si>
  <si>
    <t>Satin Creditcare Network Limited</t>
  </si>
  <si>
    <t>INE836B01017</t>
  </si>
  <si>
    <t>INE062A01020</t>
  </si>
  <si>
    <t>SCHAND</t>
  </si>
  <si>
    <t>S Chand And Company Limited</t>
  </si>
  <si>
    <t>INE807K01035</t>
  </si>
  <si>
    <t>INE839M01018</t>
  </si>
  <si>
    <t>INE109A01011</t>
  </si>
  <si>
    <t>INE480C01012</t>
  </si>
  <si>
    <t>INE497B01018</t>
  </si>
  <si>
    <t>INE420C01042</t>
  </si>
  <si>
    <t>INE818A01017</t>
  </si>
  <si>
    <t>INE105I01012</t>
  </si>
  <si>
    <t>INE735M01018</t>
  </si>
  <si>
    <t>SEQUENT</t>
  </si>
  <si>
    <t>Sequent Scientific Limited</t>
  </si>
  <si>
    <t>INE807F01027</t>
  </si>
  <si>
    <t>INE431L01016</t>
  </si>
  <si>
    <t>INE630A01016</t>
  </si>
  <si>
    <t>SETCO</t>
  </si>
  <si>
    <t>Setco Automotive Limited</t>
  </si>
  <si>
    <t>INE878E01021</t>
  </si>
  <si>
    <t>INE955I01036</t>
  </si>
  <si>
    <t>SFL</t>
  </si>
  <si>
    <t>Sheela Foam Limited</t>
  </si>
  <si>
    <t>INE916U01025</t>
  </si>
  <si>
    <t>INE883G01018</t>
  </si>
  <si>
    <t>INE353H01010</t>
  </si>
  <si>
    <t>INE640C01011</t>
  </si>
  <si>
    <t>SHAKTIPUMP</t>
  </si>
  <si>
    <t>Shakti Pumps (India) Limited</t>
  </si>
  <si>
    <t>INE908D01010</t>
  </si>
  <si>
    <t>INE849C01026</t>
  </si>
  <si>
    <t>SHANKARA</t>
  </si>
  <si>
    <t>Shankara Building Products Limited</t>
  </si>
  <si>
    <t>INE274V01019</t>
  </si>
  <si>
    <t>INE631A01022</t>
  </si>
  <si>
    <t>INE221J01015</t>
  </si>
  <si>
    <t>SHARDAMOTR</t>
  </si>
  <si>
    <t>Sharda Motor Industries Limited</t>
  </si>
  <si>
    <t>INE597I01010</t>
  </si>
  <si>
    <t>INE028B01029</t>
  </si>
  <si>
    <t>INE363M01019</t>
  </si>
  <si>
    <t>INE790G01031</t>
  </si>
  <si>
    <t>INE510K01019</t>
  </si>
  <si>
    <t>INE196B01016</t>
  </si>
  <si>
    <t>INE637H01024</t>
  </si>
  <si>
    <t>INE705C01012</t>
  </si>
  <si>
    <t>SHK</t>
  </si>
  <si>
    <t>S H Kelkar and Company Limited</t>
  </si>
  <si>
    <t>INE500L01026</t>
  </si>
  <si>
    <t>INE498B01024</t>
  </si>
  <si>
    <t>INE070A01015</t>
  </si>
  <si>
    <t>SHREEPUSHK</t>
  </si>
  <si>
    <t>Shree Pushkar Chemicals &amp; Fertilisers Limited</t>
  </si>
  <si>
    <t>INE712K01011</t>
  </si>
  <si>
    <t>INE879A01019</t>
  </si>
  <si>
    <t>INE231C01019</t>
  </si>
  <si>
    <t>INE757B01015</t>
  </si>
  <si>
    <t>SHRIPISTON</t>
  </si>
  <si>
    <t>Shriram Pistons &amp; Rings Limited</t>
  </si>
  <si>
    <t>INE526E01018</t>
  </si>
  <si>
    <t>INE722A01011</t>
  </si>
  <si>
    <t>INE964H01014</t>
  </si>
  <si>
    <t>SHYAMCENT</t>
  </si>
  <si>
    <t>Shyam Century Ferrous Limited</t>
  </si>
  <si>
    <t>INE979R01011</t>
  </si>
  <si>
    <t>INE635A01023</t>
  </si>
  <si>
    <t>INE176J01011</t>
  </si>
  <si>
    <t>INE075B01012</t>
  </si>
  <si>
    <t>INE003A01024</t>
  </si>
  <si>
    <t>SIGNET</t>
  </si>
  <si>
    <t>Signet Industries Limited</t>
  </si>
  <si>
    <t>INE529F01027</t>
  </si>
  <si>
    <t>INE173A01025</t>
  </si>
  <si>
    <t>INE923A01015</t>
  </si>
  <si>
    <t>SIMBHALS</t>
  </si>
  <si>
    <t>INE748T01016</t>
  </si>
  <si>
    <t>INE898F01018</t>
  </si>
  <si>
    <t>INE059B01024</t>
  </si>
  <si>
    <t>INE429C01035</t>
  </si>
  <si>
    <t>INE686I01011</t>
  </si>
  <si>
    <t>SITINET</t>
  </si>
  <si>
    <t>Siti Networks Limited</t>
  </si>
  <si>
    <t>INE965H01011</t>
  </si>
  <si>
    <t>INE076B01010</t>
  </si>
  <si>
    <t>INE002L01015</t>
  </si>
  <si>
    <t>INE640A01023</t>
  </si>
  <si>
    <t>INE429F01012</t>
  </si>
  <si>
    <t>SKIPPER</t>
  </si>
  <si>
    <t>Skipper Limited</t>
  </si>
  <si>
    <t>INE439E01022</t>
  </si>
  <si>
    <t>INE411D01015</t>
  </si>
  <si>
    <t>INE178C01020</t>
  </si>
  <si>
    <t>INE294B01019</t>
  </si>
  <si>
    <t>Splendid Metal Products Limited</t>
  </si>
  <si>
    <t>INE215G01021</t>
  </si>
  <si>
    <t>INE812G01025</t>
  </si>
  <si>
    <t>INE734N01019</t>
  </si>
  <si>
    <t>INE671H01015</t>
  </si>
  <si>
    <t>INE863A01013</t>
  </si>
  <si>
    <t>INE343H01029</t>
  </si>
  <si>
    <t>INE355A01028</t>
  </si>
  <si>
    <t>INE314C01013</t>
  </si>
  <si>
    <t>SOMICONVEY</t>
  </si>
  <si>
    <t>Somi Conveyor Beltings Limited</t>
  </si>
  <si>
    <t>INE323J01019</t>
  </si>
  <si>
    <t>INE643A01035</t>
  </si>
  <si>
    <t>INE269A01021</t>
  </si>
  <si>
    <t>SORILHOLD</t>
  </si>
  <si>
    <t>SORIL Holdings and Ventures Limited</t>
  </si>
  <si>
    <t>INE126M01010</t>
  </si>
  <si>
    <t>SORILINFRA</t>
  </si>
  <si>
    <t>SORIL Infra Resources Limited</t>
  </si>
  <si>
    <t>INE034H01016</t>
  </si>
  <si>
    <t>INE035D01012</t>
  </si>
  <si>
    <t>INE683A01023</t>
  </si>
  <si>
    <t>SPAL</t>
  </si>
  <si>
    <t>S. P. Apparels Limited</t>
  </si>
  <si>
    <t>INE212I01016</t>
  </si>
  <si>
    <t>INE232I01014</t>
  </si>
  <si>
    <t>SPCENET</t>
  </si>
  <si>
    <t>Spacenet Enterprises India Limited</t>
  </si>
  <si>
    <t>INE970N01027</t>
  </si>
  <si>
    <t>INE247M01014</t>
  </si>
  <si>
    <t>INE376C01020</t>
  </si>
  <si>
    <t>SPHEREGSL</t>
  </si>
  <si>
    <t>Sphere Global Services Limited</t>
  </si>
  <si>
    <t>INE737B01033</t>
  </si>
  <si>
    <t>INE147A01011</t>
  </si>
  <si>
    <t>INE927C01020</t>
  </si>
  <si>
    <t>INE978G01016</t>
  </si>
  <si>
    <t>INE937A01023</t>
  </si>
  <si>
    <t>INE268L01020</t>
  </si>
  <si>
    <t>SQSBFSI</t>
  </si>
  <si>
    <t>SQS India BFSI Limited</t>
  </si>
  <si>
    <t>INE201K01015</t>
  </si>
  <si>
    <t>INE099F01013</t>
  </si>
  <si>
    <t>INE872A01014</t>
  </si>
  <si>
    <t>INE647A01010</t>
  </si>
  <si>
    <t>INE376A01032</t>
  </si>
  <si>
    <t>INE917H01012</t>
  </si>
  <si>
    <t>SRIPIPES</t>
  </si>
  <si>
    <t>Srikalahasthi Pipes Limited</t>
  </si>
  <si>
    <t>INE943C01027</t>
  </si>
  <si>
    <t>INE219H01039</t>
  </si>
  <si>
    <t>INE721A01013</t>
  </si>
  <si>
    <t>INE802C01017</t>
  </si>
  <si>
    <t>STAMPEDE</t>
  </si>
  <si>
    <t>Stampede Capital Limited</t>
  </si>
  <si>
    <t>INE224E01028</t>
  </si>
  <si>
    <t>Strides Shasun Limited</t>
  </si>
  <si>
    <t>INE939A01011</t>
  </si>
  <si>
    <t>INE733A01018</t>
  </si>
  <si>
    <t>INE655A01013</t>
  </si>
  <si>
    <t>INE577L01016</t>
  </si>
  <si>
    <t>INE324C01038</t>
  </si>
  <si>
    <t>INE334A01023</t>
  </si>
  <si>
    <t>INE090C01019</t>
  </si>
  <si>
    <t>INE089C01029</t>
  </si>
  <si>
    <t>INE754A01014</t>
  </si>
  <si>
    <t>INE287B01021</t>
  </si>
  <si>
    <t>INE659A01023</t>
  </si>
  <si>
    <t>INE216G01011</t>
  </si>
  <si>
    <t>INE235C01010</t>
  </si>
  <si>
    <t>INE519C01017</t>
  </si>
  <si>
    <t>INE105A01035</t>
  </si>
  <si>
    <t>INE108E01023</t>
  </si>
  <si>
    <t>INE660A01013</t>
  </si>
  <si>
    <t>INE073D01013</t>
  </si>
  <si>
    <t>INE387A01021</t>
  </si>
  <si>
    <t>INE947A01014</t>
  </si>
  <si>
    <t>INE305H01028</t>
  </si>
  <si>
    <t>Sun Pharmaceutical Industries Limited</t>
  </si>
  <si>
    <t>INE044A01036</t>
  </si>
  <si>
    <t>INE805D01026</t>
  </si>
  <si>
    <t>INE424H01027</t>
  </si>
  <si>
    <t>INE712B01010</t>
  </si>
  <si>
    <t>INE662A01027</t>
  </si>
  <si>
    <t>INE663A01017</t>
  </si>
  <si>
    <t>INE399C01030</t>
  </si>
  <si>
    <t>INE195A01028</t>
  </si>
  <si>
    <t>INE550H01011</t>
  </si>
  <si>
    <t>INE651G01027</t>
  </si>
  <si>
    <t>INE357D01010</t>
  </si>
  <si>
    <t>INE659D01019</t>
  </si>
  <si>
    <t>Surana Solar Limited</t>
  </si>
  <si>
    <t>INE272L01022</t>
  </si>
  <si>
    <t>INE130B01031</t>
  </si>
  <si>
    <t>INE713B01026</t>
  </si>
  <si>
    <t>INE335A01012</t>
  </si>
  <si>
    <t>INE645H01019</t>
  </si>
  <si>
    <t>INE495B01038</t>
  </si>
  <si>
    <t>INE040H01021</t>
  </si>
  <si>
    <t>INE665A01038</t>
  </si>
  <si>
    <t>INE277A01016</t>
  </si>
  <si>
    <t>INE409B01013</t>
  </si>
  <si>
    <t>INE225D01027</t>
  </si>
  <si>
    <t>INE602K01014</t>
  </si>
  <si>
    <t>INE667A01018</t>
  </si>
  <si>
    <t>SYNGENE</t>
  </si>
  <si>
    <t>Syngene International Limited</t>
  </si>
  <si>
    <t>INE398R01022</t>
  </si>
  <si>
    <t>INE123C01018</t>
  </si>
  <si>
    <t>INE586B01026</t>
  </si>
  <si>
    <t>INE142I01023</t>
  </si>
  <si>
    <t>INE187D01011</t>
  </si>
  <si>
    <t>INE502K01016</t>
  </si>
  <si>
    <t>INE483C01032</t>
  </si>
  <si>
    <t>INE388G01018</t>
  </si>
  <si>
    <t>INE799L01016</t>
  </si>
  <si>
    <t>INE747K01017</t>
  </si>
  <si>
    <t>INE924H01018</t>
  </si>
  <si>
    <t>TASTYBITE</t>
  </si>
  <si>
    <t>Tasty Bite Eatables Limited</t>
  </si>
  <si>
    <t>INE488B01017</t>
  </si>
  <si>
    <t>INE092A01019</t>
  </si>
  <si>
    <t>INE344201012</t>
  </si>
  <si>
    <t>INE493A01027</t>
  </si>
  <si>
    <t>INE151A01013</t>
  </si>
  <si>
    <t>INE670A01012</t>
  </si>
  <si>
    <t>INE192A01025</t>
  </si>
  <si>
    <t>INE672A01018</t>
  </si>
  <si>
    <t>INE056C01010</t>
  </si>
  <si>
    <t>INE155A01022</t>
  </si>
  <si>
    <t>TATAMTRDVR</t>
  </si>
  <si>
    <t>IN9155A01020</t>
  </si>
  <si>
    <t>INE245A01021</t>
  </si>
  <si>
    <t>INE674A01014</t>
  </si>
  <si>
    <t>INE081A01012</t>
  </si>
  <si>
    <t>INE760L01018</t>
  </si>
  <si>
    <t>INE688A01022</t>
  </si>
  <si>
    <t>INE662L01016</t>
  </si>
  <si>
    <t>TCIEXP</t>
  </si>
  <si>
    <t>TCI Express Limited</t>
  </si>
  <si>
    <t>INE586V01016</t>
  </si>
  <si>
    <t>INE911B01018</t>
  </si>
  <si>
    <t>INE467B01029</t>
  </si>
  <si>
    <t>INE419M01019</t>
  </si>
  <si>
    <t>TEAMLEASE</t>
  </si>
  <si>
    <t>Teamlease Services Limited</t>
  </si>
  <si>
    <t>INE985S01024</t>
  </si>
  <si>
    <t>Techindia Nirman Limited</t>
  </si>
  <si>
    <t>INE778A01021</t>
  </si>
  <si>
    <t>INE669C01036</t>
  </si>
  <si>
    <t>INE286K01024</t>
  </si>
  <si>
    <t>INE509K01011</t>
  </si>
  <si>
    <t>TERASOFT</t>
  </si>
  <si>
    <t>Tera Software Limited</t>
  </si>
  <si>
    <t>INE482B01010</t>
  </si>
  <si>
    <t>INE435C01024</t>
  </si>
  <si>
    <t>INE141K01013</t>
  </si>
  <si>
    <t>INE621L01012</t>
  </si>
  <si>
    <t>INE305A01015</t>
  </si>
  <si>
    <t>INE804H01012</t>
  </si>
  <si>
    <t>TGB Banquets And Hotels Limited</t>
  </si>
  <si>
    <t>INE797H01018</t>
  </si>
  <si>
    <t>INE085J01014</t>
  </si>
  <si>
    <t>INE083B01016</t>
  </si>
  <si>
    <t>INE152A01029</t>
  </si>
  <si>
    <t>INE409A01015</t>
  </si>
  <si>
    <t>INE332A01027</t>
  </si>
  <si>
    <t>INE480M01011</t>
  </si>
  <si>
    <t>THYROCARE</t>
  </si>
  <si>
    <t>Thyrocare Technologies Limited</t>
  </si>
  <si>
    <t>INE594H01019</t>
  </si>
  <si>
    <t>INE133E01013</t>
  </si>
  <si>
    <t>INE484C01022</t>
  </si>
  <si>
    <t>INE545H01011</t>
  </si>
  <si>
    <t>INE440L01017</t>
  </si>
  <si>
    <t>INE806C01018</t>
  </si>
  <si>
    <t>INE289C01025</t>
  </si>
  <si>
    <t>INE508G01029</t>
  </si>
  <si>
    <t>INE325A01013</t>
  </si>
  <si>
    <t>INE422C01014</t>
  </si>
  <si>
    <t>INE716B01011</t>
  </si>
  <si>
    <t>INE338A01016</t>
  </si>
  <si>
    <t>INE280A01028</t>
  </si>
  <si>
    <t>TMRVL</t>
  </si>
  <si>
    <t>The Mandhana Retail Ventures Limited</t>
  </si>
  <si>
    <t>INE759V01019</t>
  </si>
  <si>
    <t>INE148A01019</t>
  </si>
  <si>
    <t>INE107A01015</t>
  </si>
  <si>
    <t>INE141D01018</t>
  </si>
  <si>
    <t>INE944B01019</t>
  </si>
  <si>
    <t>INE932C01012</t>
  </si>
  <si>
    <t>INE685A01028</t>
  </si>
  <si>
    <t>INE813H01021</t>
  </si>
  <si>
    <t>TPLPLASTEH</t>
  </si>
  <si>
    <t>TPL Plastech Limited</t>
  </si>
  <si>
    <t>INE413G01014</t>
  </si>
  <si>
    <t>INE040M01013</t>
  </si>
  <si>
    <t>INE849A01020</t>
  </si>
  <si>
    <t>INE391D01019</t>
  </si>
  <si>
    <t>INE064C01014</t>
  </si>
  <si>
    <t>INE948A01012</t>
  </si>
  <si>
    <t>INE763I01018</t>
  </si>
  <si>
    <t>INE152M01016</t>
  </si>
  <si>
    <t>INE256C01024</t>
  </si>
  <si>
    <t>TTKHLTCARE</t>
  </si>
  <si>
    <t>TTK Healthcare Limited</t>
  </si>
  <si>
    <t>INE910C01018</t>
  </si>
  <si>
    <t>INE690A01010</t>
  </si>
  <si>
    <t>INE592B01016</t>
  </si>
  <si>
    <t>INE517B01013</t>
  </si>
  <si>
    <t>INE149A01025</t>
  </si>
  <si>
    <t>INE474I01012</t>
  </si>
  <si>
    <t>INE886H01027</t>
  </si>
  <si>
    <t>INE236G01019</t>
  </si>
  <si>
    <t>INE494B01023</t>
  </si>
  <si>
    <t>INE421C01016</t>
  </si>
  <si>
    <t>INE038F01029</t>
  </si>
  <si>
    <t>TVVISION</t>
  </si>
  <si>
    <t>TV Vision Limited</t>
  </si>
  <si>
    <t>INE871L01013</t>
  </si>
  <si>
    <t>INE615H01020</t>
  </si>
  <si>
    <t>INE696A01025</t>
  </si>
  <si>
    <t>INE686F01025</t>
  </si>
  <si>
    <t>INE139B01016</t>
  </si>
  <si>
    <t>INE691A01018</t>
  </si>
  <si>
    <t>INE516A01017</t>
  </si>
  <si>
    <t>UFO</t>
  </si>
  <si>
    <t>UFO Moviez India Limited</t>
  </si>
  <si>
    <t>INE527H01019</t>
  </si>
  <si>
    <t>INE071E01023</t>
  </si>
  <si>
    <t>INE899L01022</t>
  </si>
  <si>
    <t>UJJIVAN</t>
  </si>
  <si>
    <t>Ujjivan Financial Services Limited</t>
  </si>
  <si>
    <t>INE334L01012</t>
  </si>
  <si>
    <t>INE481G01011</t>
  </si>
  <si>
    <t>UMANGDAIRY</t>
  </si>
  <si>
    <t>Umang Dairies Limited</t>
  </si>
  <si>
    <t>INE864B01027</t>
  </si>
  <si>
    <t>INE240C01028</t>
  </si>
  <si>
    <t>INE351A01035</t>
  </si>
  <si>
    <t>INE037A01022</t>
  </si>
  <si>
    <t>INE692A01016</t>
  </si>
  <si>
    <t>INE950G01015</t>
  </si>
  <si>
    <t>INE694A01020</t>
  </si>
  <si>
    <t>INE695A01019</t>
  </si>
  <si>
    <t>UNITEDTEA</t>
  </si>
  <si>
    <t>The United Nilgiri Tea Estates Company Limited</t>
  </si>
  <si>
    <t>INE458F01011</t>
  </si>
  <si>
    <t>INE466H01028</t>
  </si>
  <si>
    <t>INE279A01012</t>
  </si>
  <si>
    <t>INE628A01036</t>
  </si>
  <si>
    <t>URJA</t>
  </si>
  <si>
    <t>Urja Global Limited</t>
  </si>
  <si>
    <t>INE550C01020</t>
  </si>
  <si>
    <t>INE228A01035</t>
  </si>
  <si>
    <t>INE235G01011</t>
  </si>
  <si>
    <t>INE699A01011</t>
  </si>
  <si>
    <t>INE786F01031</t>
  </si>
  <si>
    <t>UVSL</t>
  </si>
  <si>
    <t>INE292A01023</t>
  </si>
  <si>
    <t>INE945H01013</t>
  </si>
  <si>
    <t>INE694D01016</t>
  </si>
  <si>
    <t>INE884A01019</t>
  </si>
  <si>
    <t>Vakrangee Limited</t>
  </si>
  <si>
    <t>INE051B01021</t>
  </si>
  <si>
    <t>INE352A01017</t>
  </si>
  <si>
    <t>INE116G01013</t>
  </si>
  <si>
    <t>INE835A01011</t>
  </si>
  <si>
    <t>INE893I01013</t>
  </si>
  <si>
    <t>INE590L01019</t>
  </si>
  <si>
    <t>VBL</t>
  </si>
  <si>
    <t>Varun Beverages Limited</t>
  </si>
  <si>
    <t>INE200M01013</t>
  </si>
  <si>
    <t>VEDL</t>
  </si>
  <si>
    <t>Vedanta Limited</t>
  </si>
  <si>
    <t>INE205A01025</t>
  </si>
  <si>
    <t>INE398A01010</t>
  </si>
  <si>
    <t>INE411B01019</t>
  </si>
  <si>
    <t>INE386A01015</t>
  </si>
  <si>
    <t>INE918N01018</t>
  </si>
  <si>
    <t>INE951I01027</t>
  </si>
  <si>
    <t>INE701A01023</t>
  </si>
  <si>
    <t>INE048C01017</t>
  </si>
  <si>
    <t>INE703A01011</t>
  </si>
  <si>
    <t>VIDHIING</t>
  </si>
  <si>
    <t>Vidhi Specialty Food Ingredients Limited</t>
  </si>
  <si>
    <t>INE632C01026</t>
  </si>
  <si>
    <t>INE705A01016</t>
  </si>
  <si>
    <t>VIJIFIN</t>
  </si>
  <si>
    <t>Viji Finance Limited</t>
  </si>
  <si>
    <t>INE159N01027</t>
  </si>
  <si>
    <t>INE806F01011</t>
  </si>
  <si>
    <t>VIKASECO</t>
  </si>
  <si>
    <t>Vikas EcoTech Limited</t>
  </si>
  <si>
    <t>INE806A01020</t>
  </si>
  <si>
    <t>INE067D01015</t>
  </si>
  <si>
    <t>INE579C01029</t>
  </si>
  <si>
    <t>INE410B01029</t>
  </si>
  <si>
    <t>INE707A01012</t>
  </si>
  <si>
    <t>INE250B01029</t>
  </si>
  <si>
    <t>VIPCLOTHNG</t>
  </si>
  <si>
    <t>VIP Clothing Limited</t>
  </si>
  <si>
    <t>INE450G01024</t>
  </si>
  <si>
    <t>INE054A01027</t>
  </si>
  <si>
    <t>VIPULLTD</t>
  </si>
  <si>
    <t>Vipul Limited</t>
  </si>
  <si>
    <t>INE946H01037</t>
  </si>
  <si>
    <t>INE392A01013</t>
  </si>
  <si>
    <t>INE286H01012</t>
  </si>
  <si>
    <t>INE861A01058</t>
  </si>
  <si>
    <t>VISHNU</t>
  </si>
  <si>
    <t>Vishnu Chemicals Limited</t>
  </si>
  <si>
    <t>INE270I01014</t>
  </si>
  <si>
    <t>INE965A01016</t>
  </si>
  <si>
    <t>INE370E01029</t>
  </si>
  <si>
    <t>INE526G01021</t>
  </si>
  <si>
    <t>INE709A01018</t>
  </si>
  <si>
    <t>INE665J01013</t>
  </si>
  <si>
    <t>INE540H01012</t>
  </si>
  <si>
    <t>INE226A01021</t>
  </si>
  <si>
    <t>VRLLOG</t>
  </si>
  <si>
    <t>VRL Logistics Limited</t>
  </si>
  <si>
    <t>INE366I01010</t>
  </si>
  <si>
    <t>INE050M01012</t>
  </si>
  <si>
    <t>INE710A01016</t>
  </si>
  <si>
    <t>INE764D01017</t>
  </si>
  <si>
    <t>INE825A01012</t>
  </si>
  <si>
    <t>INE956G01038</t>
  </si>
  <si>
    <t>INE342J01019</t>
  </si>
  <si>
    <t>INE711A01022</t>
  </si>
  <si>
    <t>INE107F01022</t>
  </si>
  <si>
    <t>INE855C01015</t>
  </si>
  <si>
    <t>INE726L01019</t>
  </si>
  <si>
    <t>INE080A01014</t>
  </si>
  <si>
    <t>INE191B01025</t>
  </si>
  <si>
    <t>WELENT</t>
  </si>
  <si>
    <t>INE625G01013</t>
  </si>
  <si>
    <t>INE389K01018</t>
  </si>
  <si>
    <t>INE192B01031</t>
  </si>
  <si>
    <t>INE274C01019</t>
  </si>
  <si>
    <t>INE715A01015</t>
  </si>
  <si>
    <t>INE716A01013</t>
  </si>
  <si>
    <t>INE210A01017</t>
  </si>
  <si>
    <t>INE052A01021</t>
  </si>
  <si>
    <t>INE784B01035</t>
  </si>
  <si>
    <t>WIPL</t>
  </si>
  <si>
    <t>The Western India Plywoods Limited</t>
  </si>
  <si>
    <t>INE215F01023</t>
  </si>
  <si>
    <t>INE075A01022</t>
  </si>
  <si>
    <t>INE049B01025</t>
  </si>
  <si>
    <t>INE066O01014</t>
  </si>
  <si>
    <t>INE100D01014</t>
  </si>
  <si>
    <t>INE976A01021</t>
  </si>
  <si>
    <t>INE692G01013</t>
  </si>
  <si>
    <t>INE183H01011</t>
  </si>
  <si>
    <t>INE445C01015</t>
  </si>
  <si>
    <t>INE528G01019</t>
  </si>
  <si>
    <t>INE719A01017</t>
  </si>
  <si>
    <t>INE256A01028</t>
  </si>
  <si>
    <t>INE565L01011</t>
  </si>
  <si>
    <t>INE966H01019</t>
  </si>
  <si>
    <t>INE318D01020</t>
  </si>
  <si>
    <t>INE058B01018</t>
  </si>
  <si>
    <t>INE520A01019</t>
  </si>
  <si>
    <t>ZENTEC</t>
  </si>
  <si>
    <t>Zen Technologies Limited</t>
  </si>
  <si>
    <t>INE251B01027</t>
  </si>
  <si>
    <t>INE871B01014</t>
  </si>
  <si>
    <t>INE206B01013</t>
  </si>
  <si>
    <t>INE077B01018</t>
  </si>
  <si>
    <t>INE840M01016</t>
  </si>
  <si>
    <t>Zuari Global Limited</t>
  </si>
  <si>
    <t>INE217A01012</t>
  </si>
  <si>
    <t>INE768C01010</t>
  </si>
  <si>
    <t>INE225I01026</t>
  </si>
  <si>
    <t>16-JUL-2018 16;00;00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</si>
</sst>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/>
      <diagonal/>
    </border>
    <border>
      <left/>
      <right/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/>
      <right/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1" fillId="0" borderId="0"/>
    <xf numFmtId="9" fontId="2" fillId="0" borderId="0" applyFont="0" applyFill="0" applyBorder="0" applyAlignment="0" applyProtection="0"/>
  </cellStyleXfs>
  <cellXfs count="50">
    <xf numFmtId="0" fontId="0" fillId="0" borderId="0" xfId="0"/>
    <xf numFmtId="0" fontId="3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4" fillId="0" borderId="4" xfId="0" applyFont="1" applyBorder="1"/>
    <xf numFmtId="2" fontId="0" fillId="0" borderId="0" xfId="0" applyNumberFormat="1"/>
    <xf numFmtId="0" fontId="0" fillId="3" borderId="10" xfId="0" applyFill="1" applyBorder="1"/>
    <xf numFmtId="43" fontId="2" fillId="3" borderId="10" xfId="1" applyFont="1" applyFill="1" applyBorder="1"/>
    <xf numFmtId="164" fontId="0" fillId="3" borderId="10" xfId="0" applyNumberFormat="1" applyFill="1" applyBorder="1"/>
    <xf numFmtId="0" fontId="4" fillId="0" borderId="5" xfId="0" applyFont="1" applyBorder="1"/>
    <xf numFmtId="0" fontId="4" fillId="0" borderId="6" xfId="0" applyFont="1" applyBorder="1"/>
    <xf numFmtId="0" fontId="0" fillId="3" borderId="11" xfId="0" applyFill="1" applyBorder="1"/>
    <xf numFmtId="0" fontId="0" fillId="3" borderId="12" xfId="0" applyFill="1" applyBorder="1"/>
    <xf numFmtId="0" fontId="4" fillId="3" borderId="12" xfId="0" applyFont="1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0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9" fontId="2" fillId="0" borderId="0" xfId="3" applyFont="1" applyBorder="1"/>
    <xf numFmtId="9" fontId="2" fillId="0" borderId="0" xfId="3" applyFont="1"/>
    <xf numFmtId="15" fontId="0" fillId="0" borderId="0" xfId="0" applyNumberFormat="1"/>
    <xf numFmtId="3" fontId="0" fillId="0" borderId="3" xfId="0" applyNumberFormat="1" applyBorder="1"/>
    <xf numFmtId="3" fontId="0" fillId="0" borderId="0" xfId="0" applyNumberFormat="1"/>
    <xf numFmtId="3" fontId="0" fillId="3" borderId="12" xfId="0" applyNumberFormat="1" applyFill="1" applyBorder="1"/>
    <xf numFmtId="3" fontId="0" fillId="3" borderId="0" xfId="0" applyNumberFormat="1" applyFill="1" applyBorder="1"/>
    <xf numFmtId="3" fontId="0" fillId="3" borderId="17" xfId="0" applyNumberFormat="1" applyFill="1" applyBorder="1"/>
    <xf numFmtId="3" fontId="4" fillId="0" borderId="6" xfId="0" applyNumberFormat="1" applyFont="1" applyBorder="1"/>
    <xf numFmtId="3" fontId="4" fillId="0" borderId="7" xfId="0" applyNumberFormat="1" applyFont="1" applyBorder="1"/>
    <xf numFmtId="3" fontId="2" fillId="0" borderId="0" xfId="1" applyNumberFormat="1" applyFont="1" applyBorder="1"/>
    <xf numFmtId="3" fontId="0" fillId="0" borderId="0" xfId="0" applyNumberFormat="1" applyBorder="1"/>
    <xf numFmtId="4" fontId="4" fillId="3" borderId="12" xfId="0" applyNumberFormat="1" applyFont="1" applyFill="1" applyBorder="1"/>
    <xf numFmtId="4" fontId="0" fillId="3" borderId="12" xfId="0" applyNumberFormat="1" applyFill="1" applyBorder="1"/>
    <xf numFmtId="4" fontId="2" fillId="3" borderId="10" xfId="1" applyNumberFormat="1" applyFont="1" applyFill="1" applyBorder="1"/>
    <xf numFmtId="4" fontId="0" fillId="3" borderId="0" xfId="0" applyNumberFormat="1" applyFill="1" applyBorder="1"/>
    <xf numFmtId="4" fontId="0" fillId="3" borderId="17" xfId="0" applyNumberFormat="1" applyFill="1" applyBorder="1"/>
    <xf numFmtId="4" fontId="4" fillId="4" borderId="6" xfId="0" applyNumberFormat="1" applyFont="1" applyFill="1" applyBorder="1"/>
    <xf numFmtId="4" fontId="4" fillId="0" borderId="8" xfId="0" applyNumberFormat="1" applyFont="1" applyBorder="1"/>
    <xf numFmtId="4" fontId="4" fillId="0" borderId="5" xfId="0" applyNumberFormat="1" applyFont="1" applyBorder="1"/>
    <xf numFmtId="4" fontId="2" fillId="0" borderId="0" xfId="1" applyNumberFormat="1" applyFont="1" applyBorder="1"/>
    <xf numFmtId="4" fontId="0" fillId="0" borderId="9" xfId="0" applyNumberFormat="1" applyBorder="1"/>
    <xf numFmtId="4" fontId="0" fillId="0" borderId="0" xfId="0" applyNumberFormat="1" applyBorder="1"/>
    <xf numFmtId="4" fontId="0" fillId="0" borderId="2" xfId="0" applyNumberFormat="1" applyBorder="1"/>
    <xf numFmtId="4" fontId="2" fillId="0" borderId="0" xfId="1" applyNumberFormat="1" applyFont="1" applyFill="1" applyBorder="1"/>
    <xf numFmtId="4" fontId="0" fillId="0" borderId="0" xfId="0" applyNumberFormat="1"/>
    <xf numFmtId="4" fontId="5" fillId="3" borderId="10" xfId="3" applyNumberFormat="1" applyFont="1" applyFill="1" applyBorder="1"/>
    <xf numFmtId="4" fontId="0" fillId="0" borderId="0" xfId="0" applyNumberFormat="1" applyFill="1" applyBorder="1"/>
  </cellXfs>
  <cellStyles count="4">
    <cellStyle name="Comma" xfId="1" builtinId="3"/>
    <cellStyle name="Normal" xfId="0" builtinId="0"/>
    <cellStyle name="Normal 2" xfId="2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131445</xdr:colOff>
      <xdr:row>0</xdr:row>
      <xdr:rowOff>144780</xdr:rowOff>
    </xdr:from>
    <xdr:to>
      <xdr:col>12</xdr:col>
      <xdr:colOff>369570</xdr:colOff>
      <xdr:row>2</xdr:row>
      <xdr:rowOff>47679</xdr:rowOff>
    </xdr:to>
    <xdr:sp macro="[0]!showTickerForm" textlink="">
      <xdr:nvSpPr>
        <xdr:cNvPr id="2" name="Rounded Rectangle 1"/>
        <xdr:cNvSpPr/>
      </xdr:nvSpPr>
      <xdr:spPr>
        <a:xfrm>
          <a:off x="7620000" y="152400"/>
          <a:ext cx="1428750" cy="28575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NSE</a:t>
          </a:r>
          <a:r>
            <a:rPr lang="en-US" sz="1100" b="1" baseline="0"/>
            <a:t> Ticker Lookup</a:t>
          </a:r>
          <a:endParaRPr lang="en-US" sz="1100" b="1"/>
        </a:p>
      </xdr:txBody>
    </xdr:sp>
    <xdr:clientData/>
  </xdr:twoCellAnchor>
  <xdr:twoCellAnchor>
    <xdr:from>
      <xdr:col>13</xdr:col>
      <xdr:colOff>104775</xdr:colOff>
      <xdr:row>0</xdr:row>
      <xdr:rowOff>144780</xdr:rowOff>
    </xdr:from>
    <xdr:to>
      <xdr:col>14</xdr:col>
      <xdr:colOff>577215</xdr:colOff>
      <xdr:row>2</xdr:row>
      <xdr:rowOff>47679</xdr:rowOff>
    </xdr:to>
    <xdr:sp macro="[0]!calculateFull" textlink="">
      <xdr:nvSpPr>
        <xdr:cNvPr id="3" name="Rounded Rectangle 2"/>
        <xdr:cNvSpPr/>
      </xdr:nvSpPr>
      <xdr:spPr>
        <a:xfrm>
          <a:off x="9334500" y="152400"/>
          <a:ext cx="1000125" cy="28575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Calculate</a:t>
          </a:r>
          <a:r>
            <a:rPr lang="en-US" sz="1100" b="1" baseline="0"/>
            <a:t> All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6236"/>
  <sheetViews>
    <sheetView tabSelected="1" zoomScaleNormal="100" workbookViewId="0">
      <selection activeCell="I15" sqref="I15"/>
    </sheetView>
  </sheetViews>
  <sheetFormatPr defaultColWidth="0" defaultRowHeight="14.4" zeroHeight="1" x14ac:dyDescent="0.3"/>
  <cols>
    <col min="1" max="1" width="4.33203125" customWidth="1"/>
    <col min="2" max="2" width="11" customWidth="1"/>
    <col min="3" max="3" width="6.33203125" hidden="1" customWidth="1"/>
    <col min="4" max="4" width="26.44140625" customWidth="1"/>
    <col min="5" max="5" width="6.109375" customWidth="1"/>
    <col min="6" max="6" width="9.109375" style="47" customWidth="1"/>
    <col min="7" max="7" width="10.5546875" customWidth="1"/>
    <col min="8" max="8" width="14.88671875" style="47" bestFit="1" customWidth="1"/>
    <col min="9" max="9" width="15" style="47" bestFit="1" customWidth="1"/>
    <col min="10" max="11" width="10.109375" style="26" bestFit="1" customWidth="1"/>
    <col min="12" max="12" width="9.109375" style="26" bestFit="1" customWidth="1"/>
    <col min="13" max="14" width="8.33203125" style="47" bestFit="1" customWidth="1"/>
    <col min="15" max="15" width="9.109375" style="26" customWidth="1"/>
    <col min="16" max="18" width="8.33203125" style="47" bestFit="1" customWidth="1"/>
    <col min="19" max="19" width="8" style="47" customWidth="1"/>
    <col min="20" max="26" width="9.109375" customWidth="1"/>
    <col min="27" max="27" width="0" hidden="1" customWidth="1"/>
    <col min="28" max="16384" width="9.109375" hidden="1"/>
  </cols>
  <sheetData>
    <row r="1" spans="2:20" x14ac:dyDescent="0.3">
      <c r="B1" s="12"/>
      <c r="C1" s="13"/>
      <c r="D1" s="13"/>
      <c r="E1" s="13"/>
      <c r="F1" s="34" t="s">
        <v>2646</v>
      </c>
      <c r="G1" s="14" t="s">
        <v>124</v>
      </c>
      <c r="H1" s="34" t="s">
        <v>2645</v>
      </c>
      <c r="I1" s="34" t="s">
        <v>2644</v>
      </c>
      <c r="J1" s="27"/>
      <c r="K1" s="27"/>
      <c r="L1" s="27"/>
      <c r="M1" s="35"/>
      <c r="N1" s="35"/>
      <c r="O1" s="27"/>
      <c r="P1" s="35"/>
      <c r="Q1" s="35"/>
      <c r="R1" s="35"/>
      <c r="S1" s="35"/>
      <c r="T1" s="15"/>
    </row>
    <row r="2" spans="2:20" ht="15" thickBot="1" x14ac:dyDescent="0.35">
      <c r="B2" s="16"/>
      <c r="C2" s="17"/>
      <c r="D2" s="7" t="s">
        <v>120</v>
      </c>
      <c r="E2" s="8">
        <f>SUM(E5:E4651)-1</f>
        <v>0</v>
      </c>
      <c r="F2" s="48">
        <f>G2/H2</f>
        <v>-0.11558181537511582</v>
      </c>
      <c r="G2" s="9">
        <f>I2-H2</f>
        <v>-37436.950000000012</v>
      </c>
      <c r="H2" s="36">
        <f>SUMPRODUCT($F$5:$F$4653,H5:H4653)</f>
        <v>323900</v>
      </c>
      <c r="I2" s="36">
        <f>SUMPRODUCT($F$5:$F$4653,I5:I4653*1)</f>
        <v>286463.05</v>
      </c>
      <c r="J2" s="28"/>
      <c r="K2" s="28"/>
      <c r="L2" s="28"/>
      <c r="M2" s="37"/>
      <c r="N2" s="37"/>
      <c r="O2" s="28"/>
      <c r="P2" s="37"/>
      <c r="Q2" s="37"/>
      <c r="R2" s="37"/>
      <c r="S2" s="37"/>
      <c r="T2" s="18"/>
    </row>
    <row r="3" spans="2:20" ht="15" thickBot="1" x14ac:dyDescent="0.35">
      <c r="B3" s="19"/>
      <c r="C3" s="20"/>
      <c r="D3" s="20"/>
      <c r="E3" s="20"/>
      <c r="F3" s="38"/>
      <c r="G3" s="20"/>
      <c r="H3" s="38"/>
      <c r="I3" s="38"/>
      <c r="J3" s="29"/>
      <c r="K3" s="29"/>
      <c r="L3" s="29"/>
      <c r="M3" s="38"/>
      <c r="N3" s="38"/>
      <c r="O3" s="29"/>
      <c r="P3" s="38"/>
      <c r="Q3" s="38"/>
      <c r="R3" s="38"/>
      <c r="S3" s="38"/>
      <c r="T3" s="21"/>
    </row>
    <row r="4" spans="2:20" x14ac:dyDescent="0.3">
      <c r="B4" s="1" t="s">
        <v>11</v>
      </c>
      <c r="C4" t="s">
        <v>12</v>
      </c>
      <c r="D4" s="10" t="s">
        <v>10</v>
      </c>
      <c r="E4" s="11" t="s">
        <v>121</v>
      </c>
      <c r="F4" s="39" t="s">
        <v>118</v>
      </c>
      <c r="G4" s="11" t="s">
        <v>119</v>
      </c>
      <c r="H4" s="39" t="s">
        <v>2647</v>
      </c>
      <c r="I4" s="40" t="s">
        <v>2</v>
      </c>
      <c r="J4" s="30" t="s">
        <v>122</v>
      </c>
      <c r="K4" s="30" t="s">
        <v>123</v>
      </c>
      <c r="L4" s="30" t="s">
        <v>124</v>
      </c>
      <c r="M4" s="41" t="s">
        <v>5</v>
      </c>
      <c r="N4" s="40" t="s">
        <v>6</v>
      </c>
      <c r="O4" s="31" t="s">
        <v>7</v>
      </c>
      <c r="P4" s="41" t="s">
        <v>1</v>
      </c>
      <c r="Q4" s="40" t="s">
        <v>3</v>
      </c>
      <c r="R4" s="41" t="s">
        <v>0</v>
      </c>
      <c r="S4" s="40" t="s">
        <v>4</v>
      </c>
      <c r="T4" s="5" t="s">
        <v>8</v>
      </c>
    </row>
    <row r="5" spans="2:20" x14ac:dyDescent="0.3">
      <c r="B5" s="2" t="s">
        <v>112</v>
      </c>
      <c r="C5" s="6" t="str">
        <f>INDEX(nse!D:D,MATCH(B5,nse!B:B,0))</f>
        <v>EQ</v>
      </c>
      <c r="D5" s="3" t="str">
        <f>INDEX(nse!C:C,MATCH(B5,nse!B:B,0))</f>
        <v>ICICI Bank Limited</v>
      </c>
      <c r="E5" s="22">
        <f>F5*H5/$H$2</f>
        <v>6.9157147267675204E-2</v>
      </c>
      <c r="F5" s="44">
        <v>80</v>
      </c>
      <c r="G5" s="22">
        <f>I5/H5-1</f>
        <v>-7.7857142857142847E-2</v>
      </c>
      <c r="H5" s="42">
        <v>280</v>
      </c>
      <c r="I5" s="43">
        <v>258.2</v>
      </c>
      <c r="J5" s="32">
        <f>F5*H5</f>
        <v>22400</v>
      </c>
      <c r="K5" s="32">
        <f>F5*I5</f>
        <v>20656</v>
      </c>
      <c r="L5" s="33">
        <f>K5-J5</f>
        <v>-1744</v>
      </c>
      <c r="M5" s="45">
        <v>266.60000000000002</v>
      </c>
      <c r="N5" s="43">
        <v>256.5</v>
      </c>
      <c r="O5" s="25">
        <v>29794402</v>
      </c>
      <c r="P5" s="45">
        <v>255</v>
      </c>
      <c r="Q5" s="43">
        <v>365.7</v>
      </c>
      <c r="R5" s="45">
        <v>265.3</v>
      </c>
      <c r="S5" s="43" t="s">
        <v>2648</v>
      </c>
      <c r="T5" s="4" t="s">
        <v>4762</v>
      </c>
    </row>
    <row r="6" spans="2:20" x14ac:dyDescent="0.3">
      <c r="B6" t="s">
        <v>151</v>
      </c>
      <c r="C6" s="6" t="str">
        <f>INDEX(nse!D:D,MATCH(B6,nse!B:B,0))</f>
        <v>BE</v>
      </c>
      <c r="D6" s="3" t="str">
        <f>INDEX(nse!C:C,MATCH(B6,nse!B:B,0))</f>
        <v>Agarwal Industrial Corporation Limited</v>
      </c>
      <c r="E6" s="22">
        <f>F6*H6/$H$2</f>
        <v>7.7184316146958934E-2</v>
      </c>
      <c r="F6" s="44">
        <v>50</v>
      </c>
      <c r="G6" s="22">
        <f>I6/H6-1</f>
        <v>0.45799999999999996</v>
      </c>
      <c r="H6" s="42">
        <v>500</v>
      </c>
      <c r="I6" s="43">
        <v>729</v>
      </c>
      <c r="J6" s="32">
        <f>F6*H6</f>
        <v>25000</v>
      </c>
      <c r="K6" s="32">
        <f>F6*I6</f>
        <v>36450</v>
      </c>
      <c r="L6" s="33">
        <f>K6-J6</f>
        <v>11450</v>
      </c>
      <c r="M6" s="45">
        <v>745</v>
      </c>
      <c r="N6" s="43">
        <v>710</v>
      </c>
      <c r="O6" s="25">
        <v>1792</v>
      </c>
      <c r="P6" s="45">
        <v>108</v>
      </c>
      <c r="Q6" s="43">
        <v>790</v>
      </c>
      <c r="R6" s="45">
        <v>740</v>
      </c>
      <c r="S6" s="43" t="s">
        <v>2648</v>
      </c>
      <c r="T6" s="4" t="s">
        <v>2649</v>
      </c>
    </row>
    <row r="7" spans="2:20" x14ac:dyDescent="0.3">
      <c r="B7" t="s">
        <v>117</v>
      </c>
      <c r="C7" s="6" t="str">
        <f>INDEX(nse!D:D,MATCH(B7,nse!B:B,0))</f>
        <v>EQ</v>
      </c>
      <c r="D7" s="3" t="str">
        <f>INDEX(nse!C:C,MATCH(B7,nse!B:B,0))</f>
        <v>Tata Steel Limited</v>
      </c>
      <c r="E7" s="22">
        <f>F7*H7/$H$2</f>
        <v>0.20531028095091078</v>
      </c>
      <c r="F7" s="44">
        <v>133</v>
      </c>
      <c r="G7" s="22">
        <f>I7/H7-1</f>
        <v>3.7700000000000067E-2</v>
      </c>
      <c r="H7" s="42">
        <v>500</v>
      </c>
      <c r="I7" s="43">
        <v>518.85</v>
      </c>
      <c r="J7" s="32">
        <f>F7*H7</f>
        <v>66500</v>
      </c>
      <c r="K7" s="32">
        <f>F7*I7</f>
        <v>69007.05</v>
      </c>
      <c r="L7" s="33">
        <f>K7-J7</f>
        <v>2507.0500000000029</v>
      </c>
      <c r="M7" s="45">
        <v>559.9</v>
      </c>
      <c r="N7" s="43">
        <v>517.04999999999995</v>
      </c>
      <c r="O7" s="25">
        <v>11159885</v>
      </c>
      <c r="P7" s="45">
        <v>512.88</v>
      </c>
      <c r="Q7" s="43">
        <v>748.11</v>
      </c>
      <c r="R7" s="45">
        <v>559.70000000000005</v>
      </c>
      <c r="S7" s="43" t="s">
        <v>2648</v>
      </c>
      <c r="T7" s="4" t="s">
        <v>4762</v>
      </c>
    </row>
    <row r="8" spans="2:20" x14ac:dyDescent="0.3">
      <c r="B8" t="s">
        <v>125</v>
      </c>
      <c r="C8" s="6" t="str">
        <f>INDEX(nse!D:D,MATCH(B8,nse!B:B,0))</f>
        <v>EQ</v>
      </c>
      <c r="D8" s="3" t="str">
        <f>INDEX(nse!C:C,MATCH(B8,nse!B:B,0))</f>
        <v>Trident Limited</v>
      </c>
      <c r="E8" s="23">
        <f>F8*H8/$H$2</f>
        <v>0.64834825563445508</v>
      </c>
      <c r="F8" s="49">
        <v>3000</v>
      </c>
      <c r="G8" s="23">
        <f>I8/H8-1</f>
        <v>-0.23642857142857143</v>
      </c>
      <c r="H8" s="46">
        <v>70</v>
      </c>
      <c r="I8" s="47">
        <v>53.45</v>
      </c>
      <c r="J8" s="26">
        <f>F8*H8</f>
        <v>210000</v>
      </c>
      <c r="K8" s="26">
        <f>F8*I8</f>
        <v>160350</v>
      </c>
      <c r="L8" s="26">
        <f>K8-J8</f>
        <v>-49650</v>
      </c>
      <c r="M8" s="47">
        <v>56.9</v>
      </c>
      <c r="N8" s="47">
        <v>52.8</v>
      </c>
      <c r="O8" s="26">
        <v>647449</v>
      </c>
      <c r="P8" s="47">
        <v>51.15</v>
      </c>
      <c r="Q8" s="47">
        <v>109.5</v>
      </c>
      <c r="R8" s="47">
        <v>56.9</v>
      </c>
      <c r="S8" s="47" t="s">
        <v>2648</v>
      </c>
      <c r="T8" t="s">
        <v>4762</v>
      </c>
    </row>
    <row r="9" spans="2:20" x14ac:dyDescent="0.3">
      <c r="C9" s="6"/>
      <c r="D9" s="3"/>
      <c r="E9" s="23"/>
      <c r="F9" s="49"/>
      <c r="G9" s="23"/>
      <c r="H9" s="46"/>
    </row>
    <row r="10" spans="2:20" x14ac:dyDescent="0.3">
      <c r="C10" s="6"/>
      <c r="E10" s="23"/>
      <c r="G10" s="23"/>
    </row>
    <row r="11" spans="2:20" x14ac:dyDescent="0.3">
      <c r="C11" s="6"/>
      <c r="E11" s="23"/>
      <c r="G11" s="23"/>
    </row>
    <row r="12" spans="2:20" x14ac:dyDescent="0.3">
      <c r="C12" s="6"/>
      <c r="E12" s="23"/>
      <c r="G12" s="23"/>
    </row>
    <row r="13" spans="2:20" x14ac:dyDescent="0.3">
      <c r="C13" s="6"/>
      <c r="E13" s="23"/>
      <c r="G13" s="23"/>
    </row>
    <row r="14" spans="2:20" x14ac:dyDescent="0.3">
      <c r="C14" s="6"/>
      <c r="E14" s="23"/>
      <c r="G14" s="23"/>
    </row>
    <row r="15" spans="2:20" x14ac:dyDescent="0.3">
      <c r="C15" s="6"/>
      <c r="E15" s="23"/>
      <c r="G15" s="23"/>
    </row>
    <row r="16" spans="2:20" x14ac:dyDescent="0.3">
      <c r="C16" s="6"/>
      <c r="E16" s="23"/>
      <c r="G16" s="23"/>
    </row>
    <row r="17" spans="3:7" x14ac:dyDescent="0.3">
      <c r="C17" s="6"/>
      <c r="E17" s="23"/>
      <c r="G17" s="23"/>
    </row>
    <row r="18" spans="3:7" x14ac:dyDescent="0.3">
      <c r="C18" s="6"/>
      <c r="E18" s="23"/>
      <c r="G18" s="23"/>
    </row>
    <row r="19" spans="3:7" x14ac:dyDescent="0.3">
      <c r="C19" s="6"/>
      <c r="E19" s="23"/>
      <c r="G19" s="23"/>
    </row>
    <row r="20" spans="3:7" x14ac:dyDescent="0.3">
      <c r="C20" s="6"/>
      <c r="E20" s="23"/>
      <c r="G20" s="23"/>
    </row>
    <row r="21" spans="3:7" x14ac:dyDescent="0.3">
      <c r="C21" s="6"/>
      <c r="E21" s="23"/>
      <c r="G21" s="23"/>
    </row>
    <row r="22" spans="3:7" x14ac:dyDescent="0.3">
      <c r="C22" s="6"/>
      <c r="E22" s="23"/>
      <c r="G22" s="23"/>
    </row>
    <row r="23" spans="3:7" x14ac:dyDescent="0.3">
      <c r="C23" s="6"/>
      <c r="E23" s="23"/>
      <c r="G23" s="23"/>
    </row>
    <row r="24" spans="3:7" x14ac:dyDescent="0.3">
      <c r="C24" s="6"/>
      <c r="E24" s="23"/>
      <c r="G24" s="23"/>
    </row>
    <row r="25" spans="3:7" x14ac:dyDescent="0.3">
      <c r="C25" s="6"/>
      <c r="E25" s="23"/>
      <c r="G25" s="23"/>
    </row>
    <row r="26" spans="3:7" x14ac:dyDescent="0.3">
      <c r="C26" s="6"/>
      <c r="E26" s="23"/>
      <c r="G26" s="23"/>
    </row>
    <row r="27" spans="3:7" x14ac:dyDescent="0.3">
      <c r="C27" s="6"/>
      <c r="E27" s="23"/>
      <c r="G27" s="23"/>
    </row>
    <row r="28" spans="3:7" x14ac:dyDescent="0.3">
      <c r="C28" s="6"/>
      <c r="E28" s="23"/>
      <c r="G28" s="23"/>
    </row>
    <row r="29" spans="3:7" x14ac:dyDescent="0.3">
      <c r="C29" s="6"/>
      <c r="E29" s="23"/>
      <c r="G29" s="23"/>
    </row>
    <row r="30" spans="3:7" x14ac:dyDescent="0.3">
      <c r="C30" s="6"/>
      <c r="E30" s="23"/>
      <c r="G30" s="23"/>
    </row>
    <row r="31" spans="3:7" x14ac:dyDescent="0.3">
      <c r="C31" s="6"/>
      <c r="E31" s="23"/>
      <c r="G31" s="23"/>
    </row>
    <row r="32" spans="3:7" x14ac:dyDescent="0.3">
      <c r="C32" s="6"/>
      <c r="E32" s="23"/>
      <c r="G32" s="23"/>
    </row>
    <row r="33" spans="3:7" x14ac:dyDescent="0.3">
      <c r="C33" s="6"/>
      <c r="E33" s="23"/>
      <c r="G33" s="23"/>
    </row>
    <row r="34" spans="3:7" x14ac:dyDescent="0.3">
      <c r="C34" s="6"/>
      <c r="E34" s="23"/>
      <c r="G34" s="23"/>
    </row>
    <row r="35" spans="3:7" x14ac:dyDescent="0.3">
      <c r="C35" s="6"/>
      <c r="E35" s="23"/>
      <c r="G35" s="23"/>
    </row>
    <row r="36" spans="3:7" x14ac:dyDescent="0.3">
      <c r="C36" s="6"/>
      <c r="E36" s="23"/>
      <c r="G36" s="23"/>
    </row>
    <row r="37" spans="3:7" x14ac:dyDescent="0.3">
      <c r="C37" s="6"/>
      <c r="E37" s="23"/>
      <c r="G37" s="23"/>
    </row>
    <row r="38" spans="3:7" x14ac:dyDescent="0.3">
      <c r="C38" s="6"/>
      <c r="E38" s="23"/>
      <c r="G38" s="23"/>
    </row>
    <row r="39" spans="3:7" x14ac:dyDescent="0.3">
      <c r="C39" s="6"/>
      <c r="E39" s="23"/>
      <c r="G39" s="23"/>
    </row>
    <row r="40" spans="3:7" x14ac:dyDescent="0.3">
      <c r="C40" s="6"/>
      <c r="E40" s="23"/>
      <c r="G40" s="23"/>
    </row>
    <row r="41" spans="3:7" x14ac:dyDescent="0.3">
      <c r="C41" s="6"/>
      <c r="E41" s="23"/>
      <c r="G41" s="23"/>
    </row>
    <row r="42" spans="3:7" x14ac:dyDescent="0.3">
      <c r="C42" s="6"/>
      <c r="E42" s="23"/>
      <c r="G42" s="23"/>
    </row>
    <row r="43" spans="3:7" x14ac:dyDescent="0.3">
      <c r="C43" s="6"/>
      <c r="E43" s="23"/>
      <c r="G43" s="23"/>
    </row>
    <row r="44" spans="3:7" x14ac:dyDescent="0.3">
      <c r="C44" s="6"/>
      <c r="E44" s="23"/>
      <c r="G44" s="23"/>
    </row>
    <row r="45" spans="3:7" x14ac:dyDescent="0.3">
      <c r="C45" s="6"/>
      <c r="E45" s="23"/>
      <c r="G45" s="23"/>
    </row>
    <row r="46" spans="3:7" x14ac:dyDescent="0.3">
      <c r="C46" s="6"/>
      <c r="E46" s="23"/>
      <c r="G46" s="23"/>
    </row>
    <row r="47" spans="3:7" x14ac:dyDescent="0.3">
      <c r="C47" s="6"/>
      <c r="E47" s="23"/>
      <c r="G47" s="23"/>
    </row>
    <row r="48" spans="3:7" x14ac:dyDescent="0.3">
      <c r="C48" s="6"/>
      <c r="E48" s="23"/>
      <c r="G48" s="23"/>
    </row>
    <row r="49" spans="3:7" x14ac:dyDescent="0.3">
      <c r="C49" s="6"/>
      <c r="E49" s="23"/>
      <c r="G49" s="23"/>
    </row>
    <row r="50" spans="3:7" x14ac:dyDescent="0.3">
      <c r="C50" s="6"/>
      <c r="E50" s="23"/>
      <c r="G50" s="23"/>
    </row>
    <row r="51" spans="3:7" x14ac:dyDescent="0.3">
      <c r="C51" s="6"/>
      <c r="E51" s="23"/>
      <c r="G51" s="23"/>
    </row>
    <row r="52" spans="3:7" x14ac:dyDescent="0.3">
      <c r="C52" s="6"/>
      <c r="E52" s="23"/>
      <c r="G52" s="23"/>
    </row>
    <row r="53" spans="3:7" x14ac:dyDescent="0.3">
      <c r="C53" s="6"/>
      <c r="E53" s="23"/>
      <c r="G53" s="23"/>
    </row>
    <row r="54" spans="3:7" x14ac:dyDescent="0.3">
      <c r="C54" s="6"/>
      <c r="E54" s="23"/>
      <c r="G54" s="23"/>
    </row>
    <row r="55" spans="3:7" x14ac:dyDescent="0.3">
      <c r="C55" s="6"/>
      <c r="E55" s="23"/>
      <c r="G55" s="23"/>
    </row>
    <row r="56" spans="3:7" x14ac:dyDescent="0.3">
      <c r="C56" s="6"/>
      <c r="E56" s="23"/>
      <c r="G56" s="23"/>
    </row>
    <row r="57" spans="3:7" x14ac:dyDescent="0.3">
      <c r="C57" s="6"/>
      <c r="E57" s="23"/>
      <c r="G57" s="23"/>
    </row>
    <row r="58" spans="3:7" x14ac:dyDescent="0.3">
      <c r="C58" s="6"/>
      <c r="E58" s="23"/>
      <c r="G58" s="23"/>
    </row>
    <row r="59" spans="3:7" x14ac:dyDescent="0.3">
      <c r="C59" s="6"/>
      <c r="E59" s="23"/>
      <c r="G59" s="23"/>
    </row>
    <row r="60" spans="3:7" x14ac:dyDescent="0.3">
      <c r="C60" s="6"/>
      <c r="E60" s="23"/>
      <c r="G60" s="23"/>
    </row>
    <row r="61" spans="3:7" x14ac:dyDescent="0.3">
      <c r="C61" s="6"/>
      <c r="E61" s="23"/>
      <c r="G61" s="23"/>
    </row>
    <row r="62" spans="3:7" x14ac:dyDescent="0.3">
      <c r="C62" s="6"/>
      <c r="E62" s="23"/>
      <c r="G62" s="23"/>
    </row>
    <row r="63" spans="3:7" x14ac:dyDescent="0.3">
      <c r="C63" s="6"/>
      <c r="E63" s="23"/>
      <c r="G63" s="23"/>
    </row>
    <row r="64" spans="3:7" x14ac:dyDescent="0.3">
      <c r="C64" s="6"/>
      <c r="E64" s="23"/>
      <c r="G64" s="23"/>
    </row>
    <row r="65" spans="3:7" x14ac:dyDescent="0.3">
      <c r="C65" s="6"/>
      <c r="E65" s="23"/>
      <c r="G65" s="23"/>
    </row>
    <row r="66" spans="3:7" x14ac:dyDescent="0.3">
      <c r="C66" s="6"/>
      <c r="E66" s="23"/>
      <c r="G66" s="23"/>
    </row>
    <row r="67" spans="3:7" x14ac:dyDescent="0.3">
      <c r="C67" s="6"/>
      <c r="E67" s="23"/>
      <c r="G67" s="23"/>
    </row>
    <row r="68" spans="3:7" x14ac:dyDescent="0.3">
      <c r="C68" s="6"/>
      <c r="E68" s="23"/>
      <c r="G68" s="23"/>
    </row>
    <row r="69" spans="3:7" x14ac:dyDescent="0.3">
      <c r="C69" s="6"/>
      <c r="E69" s="23"/>
      <c r="G69" s="23"/>
    </row>
    <row r="70" spans="3:7" x14ac:dyDescent="0.3">
      <c r="C70" s="6"/>
      <c r="E70" s="23"/>
      <c r="G70" s="23"/>
    </row>
    <row r="71" spans="3:7" x14ac:dyDescent="0.3">
      <c r="C71" s="6"/>
      <c r="E71" s="23"/>
      <c r="G71" s="23"/>
    </row>
    <row r="72" spans="3:7" x14ac:dyDescent="0.3">
      <c r="C72" s="6"/>
      <c r="E72" s="23"/>
      <c r="G72" s="23"/>
    </row>
    <row r="73" spans="3:7" x14ac:dyDescent="0.3">
      <c r="C73" s="6"/>
      <c r="E73" s="23"/>
      <c r="G73" s="23"/>
    </row>
    <row r="74" spans="3:7" x14ac:dyDescent="0.3">
      <c r="C74" s="6"/>
      <c r="E74" s="23"/>
      <c r="G74" s="23"/>
    </row>
    <row r="75" spans="3:7" x14ac:dyDescent="0.3">
      <c r="C75" s="6"/>
      <c r="E75" s="23"/>
      <c r="G75" s="23"/>
    </row>
    <row r="76" spans="3:7" x14ac:dyDescent="0.3">
      <c r="C76" s="6"/>
      <c r="E76" s="23"/>
      <c r="G76" s="23"/>
    </row>
    <row r="77" spans="3:7" x14ac:dyDescent="0.3">
      <c r="C77" s="6"/>
      <c r="E77" s="23"/>
      <c r="G77" s="23"/>
    </row>
    <row r="78" spans="3:7" x14ac:dyDescent="0.3">
      <c r="C78" s="6"/>
      <c r="E78" s="23"/>
      <c r="G78" s="23"/>
    </row>
    <row r="79" spans="3:7" x14ac:dyDescent="0.3">
      <c r="C79" s="6"/>
      <c r="E79" s="23"/>
      <c r="G79" s="23"/>
    </row>
    <row r="80" spans="3:7" x14ac:dyDescent="0.3">
      <c r="C80" s="6"/>
      <c r="E80" s="23"/>
      <c r="G80" s="23"/>
    </row>
    <row r="81" spans="3:7" x14ac:dyDescent="0.3">
      <c r="C81" s="6"/>
      <c r="E81" s="23"/>
      <c r="G81" s="23"/>
    </row>
    <row r="82" spans="3:7" x14ac:dyDescent="0.3">
      <c r="C82" s="6"/>
      <c r="E82" s="23"/>
      <c r="G82" s="23"/>
    </row>
    <row r="83" spans="3:7" x14ac:dyDescent="0.3">
      <c r="C83" s="6"/>
      <c r="E83" s="23"/>
      <c r="G83" s="23"/>
    </row>
    <row r="84" spans="3:7" x14ac:dyDescent="0.3">
      <c r="C84" s="6"/>
      <c r="E84" s="23"/>
      <c r="G84" s="23"/>
    </row>
    <row r="85" spans="3:7" x14ac:dyDescent="0.3">
      <c r="C85" s="6"/>
      <c r="E85" s="23"/>
      <c r="G85" s="23"/>
    </row>
    <row r="86" spans="3:7" x14ac:dyDescent="0.3">
      <c r="C86" s="6"/>
      <c r="E86" s="23"/>
      <c r="G86" s="23"/>
    </row>
    <row r="87" spans="3:7" x14ac:dyDescent="0.3">
      <c r="C87" s="6"/>
      <c r="E87" s="23"/>
      <c r="G87" s="23"/>
    </row>
    <row r="88" spans="3:7" x14ac:dyDescent="0.3">
      <c r="C88" s="6"/>
      <c r="E88" s="23"/>
      <c r="G88" s="23"/>
    </row>
    <row r="89" spans="3:7" x14ac:dyDescent="0.3">
      <c r="C89" s="6"/>
      <c r="E89" s="23"/>
      <c r="G89" s="23"/>
    </row>
    <row r="90" spans="3:7" x14ac:dyDescent="0.3">
      <c r="C90" s="6"/>
      <c r="E90" s="23"/>
      <c r="G90" s="23"/>
    </row>
    <row r="91" spans="3:7" x14ac:dyDescent="0.3">
      <c r="C91" s="6"/>
      <c r="E91" s="23"/>
      <c r="G91" s="23"/>
    </row>
    <row r="92" spans="3:7" x14ac:dyDescent="0.3">
      <c r="C92" s="6"/>
      <c r="E92" s="23"/>
      <c r="G92" s="23"/>
    </row>
    <row r="93" spans="3:7" x14ac:dyDescent="0.3">
      <c r="C93" s="6"/>
      <c r="E93" s="23"/>
      <c r="G93" s="23"/>
    </row>
    <row r="94" spans="3:7" x14ac:dyDescent="0.3">
      <c r="C94" s="6"/>
      <c r="E94" s="23"/>
      <c r="G94" s="23"/>
    </row>
    <row r="95" spans="3:7" x14ac:dyDescent="0.3">
      <c r="C95" s="6"/>
      <c r="E95" s="23"/>
      <c r="G95" s="23"/>
    </row>
    <row r="96" spans="3:7" x14ac:dyDescent="0.3">
      <c r="C96" s="6"/>
      <c r="E96" s="23"/>
      <c r="G96" s="23"/>
    </row>
    <row r="97" spans="3:7" x14ac:dyDescent="0.3">
      <c r="C97" s="6"/>
      <c r="E97" s="23"/>
      <c r="G97" s="23"/>
    </row>
    <row r="98" spans="3:7" x14ac:dyDescent="0.3">
      <c r="C98" s="6"/>
      <c r="E98" s="23"/>
      <c r="G98" s="23"/>
    </row>
    <row r="99" spans="3:7" x14ac:dyDescent="0.3">
      <c r="C99" s="6"/>
      <c r="E99" s="23"/>
      <c r="G99" s="23"/>
    </row>
    <row r="100" spans="3:7" x14ac:dyDescent="0.3">
      <c r="C100" s="6"/>
      <c r="E100" s="23"/>
      <c r="G100" s="23"/>
    </row>
    <row r="101" spans="3:7" x14ac:dyDescent="0.3">
      <c r="C101" s="6"/>
      <c r="E101" s="23"/>
      <c r="G101" s="23"/>
    </row>
    <row r="102" spans="3:7" x14ac:dyDescent="0.3">
      <c r="C102" s="6"/>
      <c r="E102" s="23"/>
      <c r="G102" s="23"/>
    </row>
    <row r="103" spans="3:7" x14ac:dyDescent="0.3">
      <c r="C103" s="6"/>
      <c r="E103" s="23"/>
      <c r="G103" s="23"/>
    </row>
    <row r="104" spans="3:7" x14ac:dyDescent="0.3">
      <c r="C104" s="6"/>
      <c r="E104" s="23"/>
      <c r="G104" s="23"/>
    </row>
    <row r="105" spans="3:7" x14ac:dyDescent="0.3">
      <c r="C105" s="6"/>
      <c r="E105" s="23"/>
      <c r="G105" s="23"/>
    </row>
    <row r="106" spans="3:7" x14ac:dyDescent="0.3">
      <c r="C106" s="6"/>
      <c r="E106" s="23"/>
      <c r="G106" s="23"/>
    </row>
    <row r="107" spans="3:7" x14ac:dyDescent="0.3">
      <c r="C107" s="6"/>
      <c r="E107" s="23"/>
      <c r="G107" s="23"/>
    </row>
    <row r="108" spans="3:7" x14ac:dyDescent="0.3">
      <c r="C108" s="6"/>
      <c r="E108" s="23"/>
      <c r="G108" s="23"/>
    </row>
    <row r="109" spans="3:7" x14ac:dyDescent="0.3">
      <c r="C109" s="6"/>
      <c r="E109" s="23"/>
      <c r="G109" s="23"/>
    </row>
    <row r="110" spans="3:7" x14ac:dyDescent="0.3">
      <c r="C110" s="6"/>
      <c r="E110" s="23"/>
      <c r="G110" s="23"/>
    </row>
    <row r="111" spans="3:7" x14ac:dyDescent="0.3">
      <c r="C111" s="6"/>
      <c r="E111" s="23"/>
      <c r="G111" s="23"/>
    </row>
    <row r="112" spans="3:7" x14ac:dyDescent="0.3">
      <c r="C112" s="6"/>
      <c r="E112" s="23"/>
      <c r="G112" s="23"/>
    </row>
    <row r="113" spans="3:7" x14ac:dyDescent="0.3">
      <c r="C113" s="6"/>
      <c r="E113" s="23"/>
      <c r="G113" s="23"/>
    </row>
    <row r="114" spans="3:7" x14ac:dyDescent="0.3">
      <c r="C114" s="6"/>
      <c r="E114" s="23"/>
      <c r="G114" s="23"/>
    </row>
    <row r="115" spans="3:7" x14ac:dyDescent="0.3">
      <c r="C115" s="6"/>
      <c r="E115" s="23"/>
      <c r="G115" s="23"/>
    </row>
    <row r="116" spans="3:7" x14ac:dyDescent="0.3">
      <c r="C116" s="6"/>
      <c r="E116" s="23"/>
      <c r="G116" s="23"/>
    </row>
    <row r="117" spans="3:7" x14ac:dyDescent="0.3">
      <c r="C117" s="6"/>
      <c r="E117" s="23"/>
      <c r="G117" s="23"/>
    </row>
    <row r="118" spans="3:7" x14ac:dyDescent="0.3">
      <c r="C118" s="6"/>
      <c r="E118" s="23"/>
      <c r="G118" s="23"/>
    </row>
    <row r="119" spans="3:7" x14ac:dyDescent="0.3">
      <c r="C119" s="6"/>
      <c r="E119" s="23"/>
      <c r="G119" s="23"/>
    </row>
    <row r="120" spans="3:7" x14ac:dyDescent="0.3">
      <c r="C120" s="6"/>
      <c r="E120" s="23"/>
      <c r="G120" s="23"/>
    </row>
    <row r="121" spans="3:7" x14ac:dyDescent="0.3">
      <c r="C121" s="6"/>
      <c r="E121" s="23"/>
      <c r="G121" s="23"/>
    </row>
    <row r="122" spans="3:7" x14ac:dyDescent="0.3">
      <c r="C122" s="6"/>
      <c r="E122" s="23"/>
      <c r="G122" s="23"/>
    </row>
    <row r="123" spans="3:7" x14ac:dyDescent="0.3">
      <c r="C123" s="6"/>
      <c r="E123" s="23"/>
      <c r="G123" s="23"/>
    </row>
    <row r="124" spans="3:7" x14ac:dyDescent="0.3">
      <c r="C124" s="6"/>
      <c r="E124" s="23"/>
      <c r="G124" s="23"/>
    </row>
    <row r="125" spans="3:7" x14ac:dyDescent="0.3">
      <c r="C125" s="6"/>
      <c r="E125" s="23"/>
      <c r="G125" s="23"/>
    </row>
    <row r="126" spans="3:7" x14ac:dyDescent="0.3">
      <c r="C126" s="6"/>
      <c r="E126" s="23"/>
      <c r="G126" s="23"/>
    </row>
    <row r="127" spans="3:7" x14ac:dyDescent="0.3">
      <c r="C127" s="6"/>
      <c r="E127" s="23"/>
      <c r="G127" s="23"/>
    </row>
    <row r="128" spans="3:7" x14ac:dyDescent="0.3">
      <c r="C128" s="6"/>
      <c r="E128" s="23"/>
      <c r="G128" s="23"/>
    </row>
    <row r="129" spans="3:7" x14ac:dyDescent="0.3">
      <c r="C129" s="6"/>
      <c r="E129" s="23"/>
      <c r="G129" s="23"/>
    </row>
    <row r="130" spans="3:7" x14ac:dyDescent="0.3">
      <c r="C130" s="6"/>
      <c r="E130" s="23"/>
      <c r="G130" s="23"/>
    </row>
    <row r="131" spans="3:7" x14ac:dyDescent="0.3">
      <c r="C131" s="6"/>
      <c r="E131" s="23"/>
      <c r="G131" s="23"/>
    </row>
    <row r="132" spans="3:7" x14ac:dyDescent="0.3">
      <c r="C132" s="6"/>
      <c r="E132" s="23"/>
      <c r="G132" s="23"/>
    </row>
    <row r="133" spans="3:7" x14ac:dyDescent="0.3">
      <c r="C133" s="6"/>
      <c r="E133" s="23"/>
      <c r="G133" s="23"/>
    </row>
    <row r="134" spans="3:7" x14ac:dyDescent="0.3">
      <c r="C134" s="6"/>
      <c r="E134" s="23"/>
      <c r="G134" s="23"/>
    </row>
    <row r="135" spans="3:7" x14ac:dyDescent="0.3">
      <c r="C135" s="6"/>
      <c r="E135" s="23"/>
      <c r="G135" s="23"/>
    </row>
    <row r="136" spans="3:7" x14ac:dyDescent="0.3">
      <c r="C136" s="6"/>
      <c r="E136" s="23"/>
      <c r="G136" s="23"/>
    </row>
    <row r="137" spans="3:7" x14ac:dyDescent="0.3">
      <c r="C137" s="6"/>
      <c r="E137" s="23"/>
      <c r="G137" s="23"/>
    </row>
    <row r="138" spans="3:7" x14ac:dyDescent="0.3">
      <c r="C138" s="6"/>
      <c r="E138" s="23"/>
      <c r="G138" s="23"/>
    </row>
    <row r="139" spans="3:7" x14ac:dyDescent="0.3">
      <c r="C139" s="6"/>
      <c r="E139" s="23"/>
      <c r="G139" s="23"/>
    </row>
    <row r="140" spans="3:7" x14ac:dyDescent="0.3">
      <c r="C140" s="6"/>
      <c r="E140" s="23"/>
      <c r="G140" s="23"/>
    </row>
    <row r="141" spans="3:7" x14ac:dyDescent="0.3">
      <c r="C141" s="6"/>
      <c r="E141" s="23"/>
      <c r="G141" s="23"/>
    </row>
    <row r="142" spans="3:7" x14ac:dyDescent="0.3">
      <c r="C142" s="6"/>
      <c r="E142" s="23"/>
      <c r="G142" s="23"/>
    </row>
    <row r="143" spans="3:7" x14ac:dyDescent="0.3">
      <c r="C143" s="6"/>
      <c r="E143" s="23"/>
      <c r="G143" s="23"/>
    </row>
    <row r="144" spans="3:7" x14ac:dyDescent="0.3">
      <c r="C144" s="6"/>
      <c r="E144" s="23"/>
      <c r="G144" s="23"/>
    </row>
    <row r="145" spans="3:7" x14ac:dyDescent="0.3">
      <c r="C145" s="6"/>
      <c r="E145" s="23"/>
      <c r="G145" s="23"/>
    </row>
    <row r="146" spans="3:7" x14ac:dyDescent="0.3">
      <c r="C146" s="6"/>
      <c r="E146" s="23"/>
      <c r="G146" s="23"/>
    </row>
    <row r="147" spans="3:7" x14ac:dyDescent="0.3">
      <c r="C147" s="6"/>
      <c r="E147" s="23"/>
      <c r="G147" s="23"/>
    </row>
    <row r="148" spans="3:7" x14ac:dyDescent="0.3">
      <c r="C148" s="6"/>
      <c r="E148" s="23"/>
      <c r="G148" s="23"/>
    </row>
    <row r="149" spans="3:7" x14ac:dyDescent="0.3">
      <c r="C149" s="6"/>
      <c r="E149" s="23"/>
      <c r="G149" s="23"/>
    </row>
    <row r="150" spans="3:7" x14ac:dyDescent="0.3">
      <c r="C150" s="6"/>
      <c r="E150" s="23"/>
      <c r="G150" s="23"/>
    </row>
    <row r="151" spans="3:7" x14ac:dyDescent="0.3">
      <c r="C151" s="6"/>
      <c r="E151" s="23"/>
      <c r="G151" s="23"/>
    </row>
    <row r="152" spans="3:7" x14ac:dyDescent="0.3">
      <c r="C152" s="6"/>
      <c r="E152" s="23"/>
      <c r="G152" s="23"/>
    </row>
    <row r="153" spans="3:7" x14ac:dyDescent="0.3">
      <c r="C153" s="6"/>
      <c r="E153" s="23"/>
      <c r="G153" s="23"/>
    </row>
    <row r="154" spans="3:7" x14ac:dyDescent="0.3">
      <c r="C154" s="6"/>
      <c r="E154" s="23"/>
      <c r="G154" s="23"/>
    </row>
    <row r="155" spans="3:7" x14ac:dyDescent="0.3">
      <c r="C155" s="6"/>
      <c r="E155" s="23"/>
      <c r="G155" s="23"/>
    </row>
    <row r="156" spans="3:7" x14ac:dyDescent="0.3">
      <c r="C156" s="6"/>
      <c r="E156" s="23"/>
      <c r="G156" s="23"/>
    </row>
    <row r="157" spans="3:7" x14ac:dyDescent="0.3">
      <c r="C157" s="6"/>
      <c r="E157" s="23"/>
      <c r="G157" s="23"/>
    </row>
    <row r="158" spans="3:7" x14ac:dyDescent="0.3">
      <c r="C158" s="6"/>
      <c r="E158" s="23"/>
      <c r="G158" s="23"/>
    </row>
    <row r="159" spans="3:7" x14ac:dyDescent="0.3">
      <c r="C159" s="6"/>
      <c r="E159" s="23"/>
      <c r="G159" s="23"/>
    </row>
    <row r="160" spans="3:7" x14ac:dyDescent="0.3">
      <c r="C160" s="6"/>
      <c r="E160" s="23"/>
      <c r="G160" s="23"/>
    </row>
    <row r="161" spans="3:7" x14ac:dyDescent="0.3">
      <c r="C161" s="6"/>
      <c r="E161" s="23"/>
      <c r="G161" s="23"/>
    </row>
    <row r="162" spans="3:7" x14ac:dyDescent="0.3">
      <c r="C162" s="6"/>
      <c r="E162" s="23"/>
      <c r="G162" s="23"/>
    </row>
    <row r="163" spans="3:7" x14ac:dyDescent="0.3">
      <c r="C163" s="6"/>
      <c r="E163" s="23"/>
      <c r="G163" s="23"/>
    </row>
    <row r="164" spans="3:7" x14ac:dyDescent="0.3">
      <c r="C164" s="6"/>
      <c r="E164" s="23"/>
      <c r="G164" s="23"/>
    </row>
    <row r="165" spans="3:7" x14ac:dyDescent="0.3">
      <c r="C165" s="6"/>
      <c r="E165" s="23"/>
      <c r="G165" s="23"/>
    </row>
    <row r="166" spans="3:7" x14ac:dyDescent="0.3">
      <c r="C166" s="6"/>
      <c r="E166" s="23"/>
      <c r="G166" s="23"/>
    </row>
    <row r="167" spans="3:7" x14ac:dyDescent="0.3">
      <c r="C167" s="6"/>
      <c r="E167" s="23"/>
      <c r="G167" s="23"/>
    </row>
    <row r="168" spans="3:7" x14ac:dyDescent="0.3">
      <c r="C168" s="6"/>
      <c r="E168" s="23"/>
      <c r="G168" s="23"/>
    </row>
    <row r="169" spans="3:7" x14ac:dyDescent="0.3">
      <c r="C169" s="6"/>
      <c r="E169" s="23"/>
      <c r="G169" s="23"/>
    </row>
    <row r="170" spans="3:7" x14ac:dyDescent="0.3">
      <c r="C170" s="6"/>
      <c r="E170" s="23"/>
      <c r="G170" s="23"/>
    </row>
    <row r="171" spans="3:7" x14ac:dyDescent="0.3">
      <c r="C171" s="6"/>
      <c r="E171" s="23"/>
      <c r="G171" s="23"/>
    </row>
    <row r="172" spans="3:7" x14ac:dyDescent="0.3">
      <c r="C172" s="6"/>
      <c r="E172" s="23"/>
      <c r="G172" s="23"/>
    </row>
    <row r="173" spans="3:7" x14ac:dyDescent="0.3">
      <c r="C173" s="6"/>
      <c r="E173" s="23"/>
      <c r="G173" s="23"/>
    </row>
    <row r="174" spans="3:7" x14ac:dyDescent="0.3">
      <c r="C174" s="6"/>
      <c r="E174" s="23"/>
      <c r="G174" s="23"/>
    </row>
    <row r="175" spans="3:7" x14ac:dyDescent="0.3">
      <c r="C175" s="6"/>
      <c r="E175" s="23"/>
      <c r="G175" s="23"/>
    </row>
    <row r="176" spans="3:7" x14ac:dyDescent="0.3">
      <c r="C176" s="6"/>
      <c r="E176" s="23"/>
      <c r="G176" s="23"/>
    </row>
    <row r="177" spans="3:7" x14ac:dyDescent="0.3">
      <c r="C177" s="6"/>
      <c r="E177" s="23"/>
      <c r="G177" s="23"/>
    </row>
    <row r="178" spans="3:7" x14ac:dyDescent="0.3">
      <c r="C178" s="6"/>
      <c r="E178" s="23"/>
      <c r="G178" s="23"/>
    </row>
    <row r="179" spans="3:7" x14ac:dyDescent="0.3">
      <c r="C179" s="6"/>
      <c r="E179" s="23"/>
      <c r="G179" s="23"/>
    </row>
    <row r="180" spans="3:7" x14ac:dyDescent="0.3">
      <c r="C180" s="6"/>
      <c r="E180" s="23"/>
      <c r="G180" s="23"/>
    </row>
    <row r="181" spans="3:7" x14ac:dyDescent="0.3">
      <c r="C181" s="6"/>
      <c r="E181" s="23"/>
      <c r="G181" s="23"/>
    </row>
    <row r="182" spans="3:7" x14ac:dyDescent="0.3">
      <c r="C182" s="6"/>
      <c r="E182" s="23"/>
      <c r="G182" s="23"/>
    </row>
    <row r="183" spans="3:7" x14ac:dyDescent="0.3">
      <c r="C183" s="6"/>
      <c r="E183" s="23"/>
      <c r="G183" s="23"/>
    </row>
    <row r="184" spans="3:7" x14ac:dyDescent="0.3">
      <c r="C184" s="6"/>
      <c r="E184" s="23"/>
      <c r="G184" s="23"/>
    </row>
    <row r="185" spans="3:7" x14ac:dyDescent="0.3">
      <c r="C185" s="6"/>
      <c r="E185" s="23"/>
      <c r="G185" s="23"/>
    </row>
    <row r="186" spans="3:7" x14ac:dyDescent="0.3">
      <c r="C186" s="6"/>
      <c r="E186" s="23"/>
      <c r="G186" s="23"/>
    </row>
    <row r="187" spans="3:7" x14ac:dyDescent="0.3">
      <c r="C187" s="6"/>
      <c r="E187" s="23"/>
      <c r="G187" s="23"/>
    </row>
    <row r="188" spans="3:7" x14ac:dyDescent="0.3">
      <c r="C188" s="6"/>
      <c r="E188" s="23"/>
      <c r="G188" s="23"/>
    </row>
    <row r="189" spans="3:7" x14ac:dyDescent="0.3">
      <c r="C189" s="6"/>
      <c r="E189" s="23"/>
      <c r="G189" s="23"/>
    </row>
    <row r="190" spans="3:7" x14ac:dyDescent="0.3">
      <c r="C190" s="6"/>
      <c r="E190" s="23"/>
      <c r="G190" s="23"/>
    </row>
    <row r="191" spans="3:7" x14ac:dyDescent="0.3">
      <c r="C191" s="6"/>
      <c r="E191" s="23"/>
      <c r="G191" s="23"/>
    </row>
    <row r="192" spans="3:7" x14ac:dyDescent="0.3">
      <c r="C192" s="6"/>
      <c r="E192" s="23"/>
      <c r="G192" s="23"/>
    </row>
    <row r="193" spans="3:7" x14ac:dyDescent="0.3">
      <c r="C193" s="6"/>
      <c r="E193" s="23"/>
      <c r="G193" s="23"/>
    </row>
    <row r="194" spans="3:7" x14ac:dyDescent="0.3">
      <c r="C194" s="6"/>
      <c r="E194" s="23"/>
      <c r="G194" s="23"/>
    </row>
    <row r="195" spans="3:7" x14ac:dyDescent="0.3">
      <c r="C195" s="6"/>
      <c r="E195" s="23"/>
      <c r="G195" s="23"/>
    </row>
    <row r="196" spans="3:7" x14ac:dyDescent="0.3">
      <c r="C196" s="6"/>
      <c r="E196" s="23"/>
      <c r="G196" s="23"/>
    </row>
    <row r="197" spans="3:7" x14ac:dyDescent="0.3">
      <c r="C197" s="6"/>
      <c r="E197" s="23"/>
      <c r="G197" s="23"/>
    </row>
    <row r="198" spans="3:7" x14ac:dyDescent="0.3">
      <c r="C198" s="6"/>
      <c r="E198" s="23"/>
      <c r="G198" s="23"/>
    </row>
    <row r="199" spans="3:7" x14ac:dyDescent="0.3">
      <c r="C199" s="6"/>
      <c r="E199" s="23"/>
      <c r="G199" s="23"/>
    </row>
    <row r="200" spans="3:7" x14ac:dyDescent="0.3">
      <c r="C200" s="6"/>
      <c r="E200" s="23"/>
      <c r="G200" s="23"/>
    </row>
    <row r="201" spans="3:7" x14ac:dyDescent="0.3">
      <c r="C201" s="6"/>
      <c r="E201" s="23"/>
      <c r="G201" s="23"/>
    </row>
    <row r="202" spans="3:7" x14ac:dyDescent="0.3">
      <c r="C202" s="6"/>
      <c r="E202" s="23"/>
      <c r="G202" s="23"/>
    </row>
    <row r="203" spans="3:7" x14ac:dyDescent="0.3">
      <c r="C203" s="6"/>
      <c r="E203" s="23"/>
      <c r="G203" s="23"/>
    </row>
    <row r="204" spans="3:7" x14ac:dyDescent="0.3">
      <c r="C204" s="6"/>
      <c r="E204" s="23"/>
      <c r="G204" s="23"/>
    </row>
    <row r="205" spans="3:7" x14ac:dyDescent="0.3">
      <c r="C205" s="6"/>
      <c r="E205" s="23"/>
      <c r="G205" s="23"/>
    </row>
    <row r="206" spans="3:7" x14ac:dyDescent="0.3">
      <c r="C206" s="6"/>
      <c r="E206" s="23"/>
      <c r="G206" s="23"/>
    </row>
    <row r="207" spans="3:7" x14ac:dyDescent="0.3">
      <c r="C207" s="6"/>
      <c r="E207" s="23"/>
      <c r="G207" s="23"/>
    </row>
    <row r="208" spans="3:7" x14ac:dyDescent="0.3">
      <c r="C208" s="6"/>
      <c r="E208" s="23"/>
      <c r="G208" s="23"/>
    </row>
    <row r="209" spans="3:7" x14ac:dyDescent="0.3">
      <c r="C209" s="6"/>
      <c r="E209" s="23"/>
      <c r="G209" s="23"/>
    </row>
    <row r="210" spans="3:7" x14ac:dyDescent="0.3">
      <c r="C210" s="6"/>
      <c r="E210" s="23"/>
      <c r="G210" s="23"/>
    </row>
    <row r="211" spans="3:7" x14ac:dyDescent="0.3">
      <c r="C211" s="6"/>
      <c r="E211" s="23"/>
      <c r="G211" s="23"/>
    </row>
    <row r="212" spans="3:7" x14ac:dyDescent="0.3">
      <c r="C212" s="6"/>
      <c r="E212" s="23"/>
      <c r="G212" s="23"/>
    </row>
    <row r="213" spans="3:7" x14ac:dyDescent="0.3">
      <c r="C213" s="6"/>
      <c r="E213" s="23"/>
      <c r="G213" s="23"/>
    </row>
    <row r="214" spans="3:7" x14ac:dyDescent="0.3">
      <c r="C214" s="6"/>
      <c r="E214" s="23"/>
      <c r="G214" s="23"/>
    </row>
    <row r="215" spans="3:7" x14ac:dyDescent="0.3">
      <c r="C215" s="6"/>
      <c r="E215" s="23"/>
      <c r="G215" s="23"/>
    </row>
    <row r="216" spans="3:7" x14ac:dyDescent="0.3">
      <c r="C216" s="6"/>
      <c r="E216" s="23"/>
      <c r="G216" s="23"/>
    </row>
    <row r="217" spans="3:7" x14ac:dyDescent="0.3">
      <c r="C217" s="6"/>
      <c r="E217" s="23"/>
      <c r="G217" s="23"/>
    </row>
    <row r="218" spans="3:7" x14ac:dyDescent="0.3">
      <c r="C218" s="6"/>
      <c r="E218" s="23"/>
      <c r="G218" s="23"/>
    </row>
    <row r="219" spans="3:7" x14ac:dyDescent="0.3">
      <c r="C219" s="6"/>
      <c r="E219" s="23"/>
      <c r="G219" s="23"/>
    </row>
    <row r="220" spans="3:7" x14ac:dyDescent="0.3">
      <c r="C220" s="6"/>
      <c r="E220" s="23"/>
      <c r="G220" s="23"/>
    </row>
    <row r="221" spans="3:7" x14ac:dyDescent="0.3">
      <c r="C221" s="6"/>
      <c r="E221" s="23"/>
      <c r="G221" s="23"/>
    </row>
    <row r="222" spans="3:7" x14ac:dyDescent="0.3">
      <c r="C222" s="6"/>
      <c r="E222" s="23"/>
      <c r="G222" s="23"/>
    </row>
    <row r="223" spans="3:7" x14ac:dyDescent="0.3">
      <c r="C223" s="6"/>
      <c r="E223" s="23"/>
      <c r="G223" s="23"/>
    </row>
    <row r="224" spans="3:7" x14ac:dyDescent="0.3">
      <c r="C224" s="6"/>
      <c r="E224" s="23"/>
      <c r="G224" s="23"/>
    </row>
    <row r="225" spans="3:7" x14ac:dyDescent="0.3">
      <c r="C225" s="6"/>
      <c r="E225" s="23"/>
      <c r="G225" s="23"/>
    </row>
    <row r="226" spans="3:7" x14ac:dyDescent="0.3">
      <c r="C226" s="6"/>
      <c r="E226" s="23"/>
      <c r="G226" s="23"/>
    </row>
    <row r="227" spans="3:7" x14ac:dyDescent="0.3">
      <c r="C227" s="6"/>
      <c r="E227" s="23"/>
      <c r="G227" s="23"/>
    </row>
    <row r="228" spans="3:7" x14ac:dyDescent="0.3">
      <c r="C228" s="6"/>
      <c r="E228" s="23"/>
      <c r="G228" s="23"/>
    </row>
    <row r="229" spans="3:7" x14ac:dyDescent="0.3">
      <c r="C229" s="6"/>
      <c r="E229" s="23"/>
      <c r="G229" s="23"/>
    </row>
    <row r="230" spans="3:7" x14ac:dyDescent="0.3">
      <c r="C230" s="6"/>
      <c r="E230" s="23"/>
      <c r="G230" s="23"/>
    </row>
    <row r="231" spans="3:7" x14ac:dyDescent="0.3">
      <c r="C231" s="6"/>
      <c r="E231" s="23"/>
      <c r="G231" s="23"/>
    </row>
    <row r="232" spans="3:7" x14ac:dyDescent="0.3">
      <c r="C232" s="6"/>
      <c r="E232" s="23"/>
      <c r="G232" s="23"/>
    </row>
    <row r="233" spans="3:7" x14ac:dyDescent="0.3">
      <c r="C233" s="6"/>
      <c r="E233" s="23"/>
      <c r="G233" s="23"/>
    </row>
    <row r="234" spans="3:7" x14ac:dyDescent="0.3">
      <c r="C234" s="6"/>
      <c r="E234" s="23"/>
      <c r="G234" s="23"/>
    </row>
    <row r="235" spans="3:7" x14ac:dyDescent="0.3">
      <c r="C235" s="6"/>
      <c r="E235" s="23"/>
      <c r="G235" s="23"/>
    </row>
    <row r="236" spans="3:7" x14ac:dyDescent="0.3">
      <c r="C236" s="6"/>
      <c r="E236" s="23"/>
      <c r="G236" s="23"/>
    </row>
    <row r="237" spans="3:7" x14ac:dyDescent="0.3">
      <c r="C237" s="6"/>
      <c r="E237" s="23"/>
      <c r="G237" s="23"/>
    </row>
    <row r="238" spans="3:7" x14ac:dyDescent="0.3">
      <c r="C238" s="6"/>
      <c r="E238" s="23"/>
      <c r="G238" s="23"/>
    </row>
    <row r="239" spans="3:7" x14ac:dyDescent="0.3">
      <c r="C239" s="6"/>
      <c r="E239" s="23"/>
      <c r="G239" s="23"/>
    </row>
    <row r="240" spans="3:7" x14ac:dyDescent="0.3">
      <c r="C240" s="6"/>
      <c r="E240" s="23"/>
      <c r="G240" s="23"/>
    </row>
    <row r="241" spans="3:7" x14ac:dyDescent="0.3">
      <c r="C241" s="6"/>
      <c r="E241" s="23"/>
      <c r="G241" s="23"/>
    </row>
    <row r="242" spans="3:7" x14ac:dyDescent="0.3">
      <c r="C242" s="6"/>
      <c r="E242" s="23"/>
      <c r="G242" s="23"/>
    </row>
    <row r="243" spans="3:7" x14ac:dyDescent="0.3">
      <c r="C243" s="6"/>
      <c r="E243" s="23"/>
      <c r="G243" s="23"/>
    </row>
    <row r="244" spans="3:7" x14ac:dyDescent="0.3">
      <c r="C244" s="6"/>
      <c r="E244" s="23"/>
      <c r="G244" s="23"/>
    </row>
    <row r="245" spans="3:7" x14ac:dyDescent="0.3">
      <c r="C245" s="6"/>
      <c r="E245" s="23"/>
      <c r="G245" s="23"/>
    </row>
    <row r="246" spans="3:7" x14ac:dyDescent="0.3">
      <c r="C246" s="6"/>
      <c r="E246" s="23"/>
      <c r="G246" s="23"/>
    </row>
    <row r="247" spans="3:7" x14ac:dyDescent="0.3">
      <c r="C247" s="6"/>
      <c r="E247" s="23"/>
      <c r="G247" s="23"/>
    </row>
    <row r="248" spans="3:7" x14ac:dyDescent="0.3">
      <c r="C248" s="6"/>
      <c r="E248" s="23"/>
      <c r="G248" s="23"/>
    </row>
    <row r="249" spans="3:7" x14ac:dyDescent="0.3">
      <c r="C249" s="6"/>
      <c r="E249" s="23"/>
      <c r="G249" s="23"/>
    </row>
    <row r="250" spans="3:7" x14ac:dyDescent="0.3">
      <c r="C250" s="6"/>
      <c r="E250" s="23"/>
      <c r="G250" s="23"/>
    </row>
    <row r="251" spans="3:7" x14ac:dyDescent="0.3">
      <c r="C251" s="6"/>
      <c r="E251" s="23"/>
      <c r="G251" s="23"/>
    </row>
    <row r="252" spans="3:7" x14ac:dyDescent="0.3">
      <c r="C252" s="6"/>
      <c r="E252" s="23"/>
      <c r="G252" s="23"/>
    </row>
    <row r="253" spans="3:7" x14ac:dyDescent="0.3">
      <c r="C253" s="6"/>
      <c r="E253" s="23"/>
      <c r="G253" s="23"/>
    </row>
    <row r="254" spans="3:7" x14ac:dyDescent="0.3">
      <c r="C254" s="6"/>
      <c r="E254" s="23"/>
      <c r="G254" s="23"/>
    </row>
    <row r="255" spans="3:7" x14ac:dyDescent="0.3">
      <c r="C255" s="6"/>
      <c r="E255" s="23"/>
      <c r="G255" s="23"/>
    </row>
    <row r="256" spans="3:7" x14ac:dyDescent="0.3">
      <c r="C256" s="6"/>
      <c r="E256" s="23"/>
      <c r="G256" s="23"/>
    </row>
    <row r="257" spans="3:7" x14ac:dyDescent="0.3">
      <c r="C257" s="6"/>
      <c r="E257" s="23"/>
      <c r="G257" s="23"/>
    </row>
    <row r="258" spans="3:7" x14ac:dyDescent="0.3">
      <c r="C258" s="6"/>
      <c r="E258" s="23"/>
      <c r="G258" s="23"/>
    </row>
    <row r="259" spans="3:7" x14ac:dyDescent="0.3">
      <c r="C259" s="6"/>
      <c r="E259" s="23"/>
      <c r="G259" s="23"/>
    </row>
    <row r="260" spans="3:7" x14ac:dyDescent="0.3">
      <c r="C260" s="6"/>
      <c r="E260" s="23"/>
      <c r="G260" s="23"/>
    </row>
    <row r="261" spans="3:7" x14ac:dyDescent="0.3">
      <c r="C261" s="6"/>
      <c r="E261" s="23"/>
      <c r="G261" s="23"/>
    </row>
    <row r="262" spans="3:7" x14ac:dyDescent="0.3">
      <c r="C262" s="6"/>
      <c r="E262" s="23"/>
      <c r="G262" s="23"/>
    </row>
    <row r="263" spans="3:7" x14ac:dyDescent="0.3">
      <c r="C263" s="6"/>
      <c r="E263" s="23"/>
      <c r="G263" s="23"/>
    </row>
    <row r="264" spans="3:7" x14ac:dyDescent="0.3">
      <c r="C264" s="6"/>
      <c r="E264" s="23"/>
      <c r="G264" s="23"/>
    </row>
    <row r="265" spans="3:7" x14ac:dyDescent="0.3">
      <c r="C265" s="6"/>
      <c r="E265" s="23"/>
      <c r="G265" s="23"/>
    </row>
    <row r="266" spans="3:7" x14ac:dyDescent="0.3">
      <c r="C266" s="6"/>
      <c r="E266" s="23"/>
      <c r="G266" s="23"/>
    </row>
    <row r="267" spans="3:7" x14ac:dyDescent="0.3">
      <c r="C267" s="6"/>
      <c r="E267" s="23"/>
      <c r="G267" s="23"/>
    </row>
    <row r="268" spans="3:7" x14ac:dyDescent="0.3">
      <c r="C268" s="6"/>
      <c r="E268" s="23"/>
      <c r="G268" s="23"/>
    </row>
    <row r="269" spans="3:7" x14ac:dyDescent="0.3">
      <c r="C269" s="6"/>
      <c r="E269" s="23"/>
      <c r="G269" s="23"/>
    </row>
    <row r="270" spans="3:7" x14ac:dyDescent="0.3">
      <c r="C270" s="6"/>
      <c r="E270" s="23"/>
      <c r="G270" s="23"/>
    </row>
    <row r="271" spans="3:7" x14ac:dyDescent="0.3">
      <c r="C271" s="6"/>
      <c r="E271" s="23"/>
      <c r="G271" s="23"/>
    </row>
    <row r="272" spans="3:7" x14ac:dyDescent="0.3">
      <c r="C272" s="6"/>
      <c r="E272" s="23"/>
      <c r="G272" s="23"/>
    </row>
    <row r="273" spans="3:7" x14ac:dyDescent="0.3">
      <c r="C273" s="6"/>
      <c r="E273" s="23"/>
      <c r="G273" s="23"/>
    </row>
    <row r="274" spans="3:7" x14ac:dyDescent="0.3">
      <c r="C274" s="6"/>
      <c r="E274" s="23"/>
      <c r="G274" s="23"/>
    </row>
    <row r="275" spans="3:7" x14ac:dyDescent="0.3">
      <c r="C275" s="6"/>
      <c r="E275" s="23"/>
      <c r="G275" s="23"/>
    </row>
    <row r="276" spans="3:7" x14ac:dyDescent="0.3">
      <c r="C276" s="6"/>
      <c r="E276" s="23"/>
      <c r="G276" s="23"/>
    </row>
    <row r="277" spans="3:7" x14ac:dyDescent="0.3">
      <c r="C277" s="6"/>
      <c r="E277" s="23"/>
      <c r="G277" s="23"/>
    </row>
    <row r="278" spans="3:7" x14ac:dyDescent="0.3">
      <c r="C278" s="6"/>
      <c r="E278" s="23"/>
      <c r="G278" s="23"/>
    </row>
    <row r="279" spans="3:7" x14ac:dyDescent="0.3">
      <c r="C279" s="6"/>
      <c r="E279" s="23"/>
      <c r="G279" s="23"/>
    </row>
    <row r="280" spans="3:7" x14ac:dyDescent="0.3">
      <c r="C280" s="6"/>
      <c r="E280" s="23"/>
      <c r="G280" s="23"/>
    </row>
    <row r="281" spans="3:7" x14ac:dyDescent="0.3">
      <c r="C281" s="6"/>
      <c r="E281" s="23"/>
      <c r="G281" s="23"/>
    </row>
    <row r="282" spans="3:7" x14ac:dyDescent="0.3">
      <c r="C282" s="6"/>
      <c r="E282" s="23"/>
      <c r="G282" s="23"/>
    </row>
    <row r="283" spans="3:7" x14ac:dyDescent="0.3">
      <c r="C283" s="6"/>
      <c r="E283" s="23"/>
      <c r="G283" s="23"/>
    </row>
    <row r="284" spans="3:7" x14ac:dyDescent="0.3">
      <c r="C284" s="6"/>
      <c r="E284" s="23"/>
      <c r="G284" s="23"/>
    </row>
    <row r="285" spans="3:7" x14ac:dyDescent="0.3">
      <c r="C285" s="6"/>
      <c r="E285" s="23"/>
      <c r="G285" s="23"/>
    </row>
    <row r="286" spans="3:7" x14ac:dyDescent="0.3">
      <c r="C286" s="6"/>
      <c r="E286" s="23"/>
      <c r="G286" s="23"/>
    </row>
    <row r="287" spans="3:7" x14ac:dyDescent="0.3">
      <c r="C287" s="6"/>
      <c r="E287" s="23"/>
      <c r="G287" s="23"/>
    </row>
    <row r="288" spans="3:7" x14ac:dyDescent="0.3">
      <c r="C288" s="6"/>
      <c r="E288" s="23"/>
      <c r="G288" s="23"/>
    </row>
    <row r="289" spans="3:7" x14ac:dyDescent="0.3">
      <c r="C289" s="6"/>
      <c r="E289" s="23"/>
      <c r="G289" s="23"/>
    </row>
    <row r="290" spans="3:7" x14ac:dyDescent="0.3">
      <c r="C290" s="6"/>
      <c r="E290" s="23"/>
      <c r="G290" s="23"/>
    </row>
    <row r="291" spans="3:7" x14ac:dyDescent="0.3">
      <c r="C291" s="6"/>
      <c r="E291" s="23"/>
      <c r="G291" s="23"/>
    </row>
    <row r="292" spans="3:7" x14ac:dyDescent="0.3">
      <c r="C292" s="6"/>
      <c r="E292" s="23"/>
      <c r="G292" s="23"/>
    </row>
    <row r="293" spans="3:7" x14ac:dyDescent="0.3">
      <c r="C293" s="6"/>
      <c r="E293" s="23"/>
      <c r="G293" s="23"/>
    </row>
    <row r="294" spans="3:7" x14ac:dyDescent="0.3">
      <c r="C294" s="6"/>
      <c r="E294" s="23"/>
      <c r="G294" s="23"/>
    </row>
    <row r="295" spans="3:7" x14ac:dyDescent="0.3">
      <c r="C295" s="6"/>
      <c r="E295" s="23"/>
      <c r="G295" s="23"/>
    </row>
    <row r="296" spans="3:7" x14ac:dyDescent="0.3">
      <c r="C296" s="6"/>
      <c r="E296" s="23"/>
      <c r="G296" s="23"/>
    </row>
    <row r="297" spans="3:7" x14ac:dyDescent="0.3">
      <c r="C297" s="6"/>
      <c r="E297" s="23"/>
      <c r="G297" s="23"/>
    </row>
    <row r="298" spans="3:7" x14ac:dyDescent="0.3">
      <c r="C298" s="6"/>
      <c r="E298" s="23"/>
      <c r="G298" s="23"/>
    </row>
    <row r="299" spans="3:7" x14ac:dyDescent="0.3">
      <c r="C299" s="6"/>
      <c r="E299" s="23"/>
      <c r="G299" s="23"/>
    </row>
    <row r="300" spans="3:7" x14ac:dyDescent="0.3">
      <c r="C300" s="6"/>
      <c r="E300" s="23"/>
      <c r="G300" s="23"/>
    </row>
    <row r="301" spans="3:7" x14ac:dyDescent="0.3">
      <c r="C301" s="6"/>
      <c r="E301" s="23"/>
      <c r="G301" s="23"/>
    </row>
    <row r="302" spans="3:7" x14ac:dyDescent="0.3">
      <c r="C302" s="6"/>
      <c r="E302" s="23"/>
      <c r="G302" s="23"/>
    </row>
    <row r="303" spans="3:7" x14ac:dyDescent="0.3">
      <c r="C303" s="6"/>
      <c r="E303" s="23"/>
      <c r="G303" s="23"/>
    </row>
    <row r="304" spans="3:7" x14ac:dyDescent="0.3">
      <c r="C304" s="6"/>
      <c r="E304" s="23"/>
      <c r="G304" s="23"/>
    </row>
    <row r="305" spans="3:7" x14ac:dyDescent="0.3">
      <c r="C305" s="6"/>
      <c r="E305" s="23"/>
      <c r="G305" s="23"/>
    </row>
    <row r="306" spans="3:7" x14ac:dyDescent="0.3">
      <c r="C306" s="6"/>
      <c r="E306" s="23"/>
      <c r="G306" s="23"/>
    </row>
    <row r="307" spans="3:7" x14ac:dyDescent="0.3">
      <c r="C307" s="6"/>
      <c r="E307" s="23"/>
      <c r="G307" s="23"/>
    </row>
    <row r="308" spans="3:7" x14ac:dyDescent="0.3">
      <c r="C308" s="6"/>
      <c r="E308" s="23"/>
      <c r="G308" s="23"/>
    </row>
    <row r="309" spans="3:7" x14ac:dyDescent="0.3">
      <c r="C309" s="6"/>
      <c r="E309" s="23"/>
      <c r="G309" s="23"/>
    </row>
    <row r="310" spans="3:7" x14ac:dyDescent="0.3">
      <c r="C310" s="6"/>
      <c r="E310" s="23"/>
      <c r="G310" s="23"/>
    </row>
    <row r="311" spans="3:7" x14ac:dyDescent="0.3">
      <c r="C311" s="6"/>
      <c r="E311" s="23"/>
      <c r="G311" s="23"/>
    </row>
    <row r="312" spans="3:7" x14ac:dyDescent="0.3">
      <c r="C312" s="6"/>
      <c r="E312" s="23"/>
      <c r="G312" s="23"/>
    </row>
    <row r="313" spans="3:7" x14ac:dyDescent="0.3">
      <c r="C313" s="6"/>
      <c r="E313" s="23"/>
      <c r="G313" s="23"/>
    </row>
    <row r="314" spans="3:7" x14ac:dyDescent="0.3">
      <c r="C314" s="6"/>
      <c r="E314" s="23"/>
      <c r="G314" s="23"/>
    </row>
    <row r="315" spans="3:7" x14ac:dyDescent="0.3">
      <c r="C315" s="6"/>
      <c r="E315" s="23"/>
      <c r="G315" s="23"/>
    </row>
    <row r="316" spans="3:7" x14ac:dyDescent="0.3">
      <c r="C316" s="6"/>
      <c r="E316" s="23"/>
      <c r="G316" s="23"/>
    </row>
    <row r="317" spans="3:7" x14ac:dyDescent="0.3">
      <c r="C317" s="6"/>
      <c r="E317" s="23"/>
      <c r="G317" s="23"/>
    </row>
    <row r="318" spans="3:7" x14ac:dyDescent="0.3">
      <c r="C318" s="6"/>
      <c r="E318" s="23"/>
      <c r="G318" s="23"/>
    </row>
    <row r="319" spans="3:7" x14ac:dyDescent="0.3">
      <c r="C319" s="6"/>
      <c r="E319" s="23"/>
      <c r="G319" s="23"/>
    </row>
    <row r="320" spans="3:7" x14ac:dyDescent="0.3">
      <c r="C320" s="6"/>
      <c r="E320" s="23"/>
      <c r="G320" s="23"/>
    </row>
    <row r="321" spans="3:7" x14ac:dyDescent="0.3">
      <c r="C321" s="6"/>
      <c r="E321" s="23"/>
      <c r="G321" s="23"/>
    </row>
    <row r="322" spans="3:7" x14ac:dyDescent="0.3">
      <c r="C322" s="6"/>
      <c r="E322" s="23"/>
      <c r="G322" s="23"/>
    </row>
    <row r="323" spans="3:7" x14ac:dyDescent="0.3">
      <c r="C323" s="6"/>
      <c r="E323" s="23"/>
      <c r="G323" s="23"/>
    </row>
    <row r="324" spans="3:7" x14ac:dyDescent="0.3">
      <c r="C324" s="6"/>
      <c r="E324" s="23"/>
      <c r="G324" s="23"/>
    </row>
    <row r="325" spans="3:7" x14ac:dyDescent="0.3">
      <c r="C325" s="6"/>
      <c r="E325" s="23"/>
      <c r="G325" s="23"/>
    </row>
    <row r="326" spans="3:7" x14ac:dyDescent="0.3">
      <c r="C326" s="6"/>
      <c r="E326" s="23"/>
      <c r="G326" s="23"/>
    </row>
    <row r="327" spans="3:7" x14ac:dyDescent="0.3">
      <c r="C327" s="6"/>
      <c r="E327" s="23"/>
      <c r="G327" s="23"/>
    </row>
    <row r="328" spans="3:7" x14ac:dyDescent="0.3">
      <c r="C328" s="6"/>
      <c r="E328" s="23"/>
      <c r="G328" s="23"/>
    </row>
    <row r="329" spans="3:7" x14ac:dyDescent="0.3">
      <c r="C329" s="6"/>
      <c r="E329" s="23"/>
      <c r="G329" s="23"/>
    </row>
    <row r="330" spans="3:7" x14ac:dyDescent="0.3">
      <c r="C330" s="6"/>
      <c r="E330" s="23"/>
      <c r="G330" s="23"/>
    </row>
    <row r="331" spans="3:7" x14ac:dyDescent="0.3">
      <c r="C331" s="6"/>
      <c r="E331" s="23"/>
      <c r="G331" s="23"/>
    </row>
    <row r="332" spans="3:7" x14ac:dyDescent="0.3">
      <c r="C332" s="6"/>
      <c r="E332" s="23"/>
      <c r="G332" s="23"/>
    </row>
    <row r="333" spans="3:7" x14ac:dyDescent="0.3">
      <c r="C333" s="6"/>
      <c r="E333" s="23"/>
      <c r="G333" s="23"/>
    </row>
    <row r="334" spans="3:7" x14ac:dyDescent="0.3">
      <c r="C334" s="6"/>
      <c r="E334" s="23"/>
      <c r="G334" s="23"/>
    </row>
    <row r="335" spans="3:7" x14ac:dyDescent="0.3">
      <c r="C335" s="6"/>
      <c r="E335" s="23"/>
      <c r="G335" s="23"/>
    </row>
    <row r="336" spans="3:7" x14ac:dyDescent="0.3">
      <c r="C336" s="6"/>
      <c r="E336" s="23"/>
      <c r="G336" s="23"/>
    </row>
    <row r="337" spans="3:7" x14ac:dyDescent="0.3">
      <c r="C337" s="6"/>
      <c r="E337" s="23"/>
      <c r="G337" s="23"/>
    </row>
    <row r="338" spans="3:7" x14ac:dyDescent="0.3">
      <c r="C338" s="6"/>
      <c r="E338" s="23"/>
      <c r="G338" s="23"/>
    </row>
    <row r="339" spans="3:7" x14ac:dyDescent="0.3">
      <c r="C339" s="6"/>
      <c r="E339" s="23"/>
      <c r="G339" s="23"/>
    </row>
    <row r="340" spans="3:7" x14ac:dyDescent="0.3">
      <c r="C340" s="6"/>
      <c r="E340" s="23"/>
      <c r="G340" s="23"/>
    </row>
    <row r="341" spans="3:7" x14ac:dyDescent="0.3">
      <c r="C341" s="6"/>
      <c r="E341" s="23"/>
      <c r="G341" s="23"/>
    </row>
    <row r="342" spans="3:7" x14ac:dyDescent="0.3">
      <c r="C342" s="6"/>
      <c r="E342" s="23"/>
      <c r="G342" s="23"/>
    </row>
    <row r="343" spans="3:7" x14ac:dyDescent="0.3">
      <c r="C343" s="6"/>
      <c r="E343" s="23"/>
      <c r="G343" s="23"/>
    </row>
    <row r="344" spans="3:7" x14ac:dyDescent="0.3">
      <c r="C344" s="6"/>
      <c r="E344" s="23"/>
      <c r="G344" s="23"/>
    </row>
    <row r="345" spans="3:7" x14ac:dyDescent="0.3">
      <c r="C345" s="6"/>
      <c r="E345" s="23"/>
      <c r="G345" s="23"/>
    </row>
    <row r="346" spans="3:7" x14ac:dyDescent="0.3">
      <c r="C346" s="6"/>
      <c r="E346" s="23"/>
      <c r="G346" s="23"/>
    </row>
    <row r="347" spans="3:7" x14ac:dyDescent="0.3">
      <c r="C347" s="6"/>
      <c r="E347" s="23"/>
      <c r="G347" s="23"/>
    </row>
    <row r="348" spans="3:7" x14ac:dyDescent="0.3">
      <c r="C348" s="6"/>
      <c r="E348" s="23"/>
      <c r="G348" s="23"/>
    </row>
    <row r="349" spans="3:7" x14ac:dyDescent="0.3">
      <c r="C349" s="6"/>
      <c r="E349" s="23"/>
      <c r="G349" s="23"/>
    </row>
    <row r="350" spans="3:7" x14ac:dyDescent="0.3">
      <c r="C350" s="6"/>
      <c r="E350" s="23"/>
      <c r="G350" s="23"/>
    </row>
    <row r="351" spans="3:7" x14ac:dyDescent="0.3">
      <c r="C351" s="6"/>
      <c r="E351" s="23"/>
      <c r="G351" s="23"/>
    </row>
    <row r="352" spans="3:7" x14ac:dyDescent="0.3">
      <c r="C352" s="6"/>
      <c r="E352" s="23"/>
      <c r="G352" s="23"/>
    </row>
    <row r="353" spans="3:7" x14ac:dyDescent="0.3">
      <c r="C353" s="6"/>
      <c r="E353" s="23"/>
      <c r="G353" s="23"/>
    </row>
    <row r="354" spans="3:7" x14ac:dyDescent="0.3">
      <c r="C354" s="6"/>
      <c r="E354" s="23"/>
      <c r="G354" s="23"/>
    </row>
    <row r="355" spans="3:7" x14ac:dyDescent="0.3">
      <c r="C355" s="6"/>
      <c r="E355" s="23"/>
      <c r="G355" s="23"/>
    </row>
    <row r="356" spans="3:7" x14ac:dyDescent="0.3">
      <c r="C356" s="6"/>
      <c r="E356" s="23"/>
      <c r="G356" s="23"/>
    </row>
    <row r="357" spans="3:7" x14ac:dyDescent="0.3">
      <c r="C357" s="6"/>
      <c r="E357" s="23"/>
      <c r="G357" s="23"/>
    </row>
    <row r="358" spans="3:7" x14ac:dyDescent="0.3">
      <c r="C358" s="6"/>
      <c r="E358" s="23"/>
      <c r="G358" s="23"/>
    </row>
    <row r="359" spans="3:7" x14ac:dyDescent="0.3">
      <c r="C359" s="6"/>
      <c r="E359" s="23"/>
      <c r="G359" s="23"/>
    </row>
    <row r="360" spans="3:7" x14ac:dyDescent="0.3">
      <c r="C360" s="6"/>
      <c r="E360" s="23"/>
      <c r="G360" s="23"/>
    </row>
    <row r="361" spans="3:7" x14ac:dyDescent="0.3">
      <c r="C361" s="6"/>
      <c r="E361" s="23"/>
      <c r="G361" s="23"/>
    </row>
    <row r="362" spans="3:7" x14ac:dyDescent="0.3">
      <c r="C362" s="6"/>
      <c r="E362" s="23"/>
      <c r="G362" s="23"/>
    </row>
    <row r="363" spans="3:7" x14ac:dyDescent="0.3">
      <c r="C363" s="6"/>
      <c r="E363" s="23"/>
      <c r="G363" s="23"/>
    </row>
    <row r="364" spans="3:7" x14ac:dyDescent="0.3">
      <c r="C364" s="6"/>
      <c r="E364" s="23"/>
      <c r="G364" s="23"/>
    </row>
    <row r="365" spans="3:7" x14ac:dyDescent="0.3">
      <c r="C365" s="6"/>
      <c r="E365" s="23"/>
      <c r="G365" s="23"/>
    </row>
    <row r="366" spans="3:7" x14ac:dyDescent="0.3">
      <c r="C366" s="6"/>
      <c r="E366" s="23"/>
      <c r="G366" s="23"/>
    </row>
    <row r="367" spans="3:7" x14ac:dyDescent="0.3">
      <c r="C367" s="6"/>
      <c r="E367" s="23"/>
      <c r="G367" s="23"/>
    </row>
    <row r="368" spans="3:7" x14ac:dyDescent="0.3">
      <c r="C368" s="6"/>
      <c r="E368" s="23"/>
      <c r="G368" s="23"/>
    </row>
    <row r="369" spans="3:7" x14ac:dyDescent="0.3">
      <c r="C369" s="6"/>
      <c r="E369" s="23"/>
      <c r="G369" s="23"/>
    </row>
    <row r="370" spans="3:7" x14ac:dyDescent="0.3">
      <c r="C370" s="6"/>
      <c r="E370" s="23"/>
      <c r="G370" s="23"/>
    </row>
    <row r="371" spans="3:7" x14ac:dyDescent="0.3">
      <c r="C371" s="6"/>
      <c r="E371" s="23"/>
      <c r="G371" s="23"/>
    </row>
    <row r="372" spans="3:7" x14ac:dyDescent="0.3">
      <c r="C372" s="6"/>
      <c r="E372" s="23"/>
      <c r="G372" s="23"/>
    </row>
    <row r="373" spans="3:7" x14ac:dyDescent="0.3">
      <c r="C373" s="6"/>
      <c r="E373" s="23"/>
      <c r="G373" s="23"/>
    </row>
    <row r="374" spans="3:7" x14ac:dyDescent="0.3">
      <c r="C374" s="6"/>
      <c r="E374" s="23"/>
      <c r="G374" s="23"/>
    </row>
    <row r="375" spans="3:7" x14ac:dyDescent="0.3">
      <c r="C375" s="6"/>
      <c r="E375" s="23"/>
      <c r="G375" s="23"/>
    </row>
    <row r="376" spans="3:7" x14ac:dyDescent="0.3">
      <c r="C376" s="6"/>
      <c r="E376" s="23"/>
      <c r="G376" s="23"/>
    </row>
    <row r="377" spans="3:7" x14ac:dyDescent="0.3">
      <c r="C377" s="6"/>
      <c r="E377" s="23"/>
      <c r="G377" s="23"/>
    </row>
    <row r="378" spans="3:7" x14ac:dyDescent="0.3">
      <c r="C378" s="6"/>
      <c r="E378" s="23"/>
      <c r="G378" s="23"/>
    </row>
    <row r="379" spans="3:7" x14ac:dyDescent="0.3">
      <c r="C379" s="6"/>
      <c r="E379" s="23"/>
      <c r="G379" s="23"/>
    </row>
    <row r="380" spans="3:7" x14ac:dyDescent="0.3">
      <c r="C380" s="6"/>
      <c r="E380" s="23"/>
      <c r="G380" s="23"/>
    </row>
    <row r="381" spans="3:7" x14ac:dyDescent="0.3">
      <c r="C381" s="6"/>
      <c r="E381" s="23"/>
      <c r="G381" s="23"/>
    </row>
    <row r="382" spans="3:7" x14ac:dyDescent="0.3">
      <c r="C382" s="6"/>
      <c r="E382" s="23"/>
      <c r="G382" s="23"/>
    </row>
    <row r="383" spans="3:7" x14ac:dyDescent="0.3">
      <c r="C383" s="6"/>
      <c r="E383" s="23"/>
      <c r="G383" s="23"/>
    </row>
    <row r="384" spans="3:7" x14ac:dyDescent="0.3">
      <c r="C384" s="6"/>
      <c r="E384" s="23"/>
      <c r="G384" s="23"/>
    </row>
    <row r="385" spans="3:7" x14ac:dyDescent="0.3">
      <c r="C385" s="6"/>
      <c r="E385" s="23"/>
      <c r="G385" s="23"/>
    </row>
    <row r="386" spans="3:7" x14ac:dyDescent="0.3">
      <c r="C386" s="6"/>
      <c r="E386" s="23"/>
      <c r="G386" s="23"/>
    </row>
    <row r="387" spans="3:7" x14ac:dyDescent="0.3">
      <c r="C387" s="6"/>
      <c r="E387" s="23"/>
      <c r="G387" s="23"/>
    </row>
    <row r="388" spans="3:7" x14ac:dyDescent="0.3">
      <c r="C388" s="6"/>
      <c r="E388" s="23"/>
      <c r="G388" s="23"/>
    </row>
    <row r="389" spans="3:7" x14ac:dyDescent="0.3">
      <c r="C389" s="6"/>
      <c r="E389" s="23"/>
      <c r="G389" s="23"/>
    </row>
    <row r="390" spans="3:7" x14ac:dyDescent="0.3">
      <c r="C390" s="6"/>
      <c r="E390" s="23"/>
      <c r="G390" s="23"/>
    </row>
    <row r="391" spans="3:7" x14ac:dyDescent="0.3">
      <c r="C391" s="6"/>
      <c r="E391" s="23"/>
      <c r="G391" s="23"/>
    </row>
    <row r="392" spans="3:7" x14ac:dyDescent="0.3">
      <c r="C392" s="6"/>
      <c r="E392" s="23"/>
      <c r="G392" s="23"/>
    </row>
    <row r="393" spans="3:7" x14ac:dyDescent="0.3">
      <c r="C393" s="6"/>
      <c r="E393" s="23"/>
      <c r="G393" s="23"/>
    </row>
    <row r="394" spans="3:7" x14ac:dyDescent="0.3">
      <c r="C394" s="6"/>
      <c r="E394" s="23"/>
      <c r="G394" s="23"/>
    </row>
    <row r="395" spans="3:7" x14ac:dyDescent="0.3">
      <c r="C395" s="6"/>
      <c r="E395" s="23"/>
      <c r="G395" s="23"/>
    </row>
    <row r="396" spans="3:7" x14ac:dyDescent="0.3">
      <c r="C396" s="6"/>
      <c r="E396" s="23"/>
      <c r="G396" s="23"/>
    </row>
    <row r="397" spans="3:7" x14ac:dyDescent="0.3">
      <c r="C397" s="6"/>
      <c r="E397" s="23"/>
      <c r="G397" s="23"/>
    </row>
    <row r="398" spans="3:7" x14ac:dyDescent="0.3">
      <c r="C398" s="6"/>
      <c r="E398" s="23"/>
      <c r="G398" s="23"/>
    </row>
    <row r="399" spans="3:7" x14ac:dyDescent="0.3">
      <c r="C399" s="6"/>
      <c r="E399" s="23"/>
      <c r="G399" s="23"/>
    </row>
    <row r="400" spans="3:7" x14ac:dyDescent="0.3">
      <c r="C400" s="6"/>
      <c r="E400" s="23"/>
      <c r="G400" s="23"/>
    </row>
    <row r="401" spans="3:7" x14ac:dyDescent="0.3">
      <c r="C401" s="6"/>
      <c r="E401" s="23"/>
      <c r="G401" s="23"/>
    </row>
    <row r="402" spans="3:7" x14ac:dyDescent="0.3">
      <c r="C402" s="6"/>
      <c r="E402" s="23"/>
      <c r="G402" s="23"/>
    </row>
    <row r="403" spans="3:7" x14ac:dyDescent="0.3">
      <c r="C403" s="6"/>
      <c r="E403" s="23"/>
      <c r="G403" s="23"/>
    </row>
    <row r="404" spans="3:7" x14ac:dyDescent="0.3">
      <c r="C404" s="6"/>
      <c r="E404" s="23"/>
      <c r="G404" s="23"/>
    </row>
    <row r="405" spans="3:7" x14ac:dyDescent="0.3">
      <c r="C405" s="6"/>
      <c r="E405" s="23"/>
      <c r="G405" s="23"/>
    </row>
    <row r="406" spans="3:7" x14ac:dyDescent="0.3">
      <c r="C406" s="6"/>
      <c r="E406" s="23"/>
      <c r="G406" s="23"/>
    </row>
    <row r="407" spans="3:7" x14ac:dyDescent="0.3">
      <c r="C407" s="6"/>
      <c r="E407" s="23"/>
      <c r="G407" s="23"/>
    </row>
    <row r="408" spans="3:7" x14ac:dyDescent="0.3">
      <c r="C408" s="6"/>
      <c r="E408" s="23"/>
      <c r="G408" s="23"/>
    </row>
    <row r="409" spans="3:7" x14ac:dyDescent="0.3">
      <c r="C409" s="6"/>
      <c r="E409" s="23"/>
      <c r="G409" s="23"/>
    </row>
    <row r="410" spans="3:7" x14ac:dyDescent="0.3">
      <c r="C410" s="6"/>
      <c r="E410" s="23"/>
      <c r="G410" s="23"/>
    </row>
    <row r="411" spans="3:7" x14ac:dyDescent="0.3">
      <c r="C411" s="6"/>
      <c r="E411" s="23"/>
      <c r="G411" s="23"/>
    </row>
    <row r="412" spans="3:7" x14ac:dyDescent="0.3">
      <c r="C412" s="6"/>
      <c r="E412" s="23"/>
      <c r="G412" s="23"/>
    </row>
    <row r="413" spans="3:7" x14ac:dyDescent="0.3">
      <c r="C413" s="6"/>
      <c r="E413" s="23"/>
      <c r="G413" s="23"/>
    </row>
    <row r="414" spans="3:7" x14ac:dyDescent="0.3">
      <c r="C414" s="6"/>
      <c r="E414" s="23"/>
      <c r="G414" s="23"/>
    </row>
    <row r="415" spans="3:7" x14ac:dyDescent="0.3">
      <c r="C415" s="6"/>
      <c r="E415" s="23"/>
      <c r="G415" s="23"/>
    </row>
    <row r="416" spans="3:7" x14ac:dyDescent="0.3">
      <c r="C416" s="6"/>
      <c r="E416" s="23"/>
      <c r="G416" s="23"/>
    </row>
    <row r="417" spans="3:7" x14ac:dyDescent="0.3">
      <c r="C417" s="6"/>
      <c r="E417" s="23"/>
      <c r="G417" s="23"/>
    </row>
    <row r="418" spans="3:7" x14ac:dyDescent="0.3">
      <c r="C418" s="6"/>
      <c r="E418" s="23"/>
      <c r="G418" s="23"/>
    </row>
    <row r="419" spans="3:7" x14ac:dyDescent="0.3">
      <c r="C419" s="6"/>
      <c r="E419" s="23"/>
      <c r="G419" s="23"/>
    </row>
    <row r="420" spans="3:7" x14ac:dyDescent="0.3">
      <c r="C420" s="6"/>
      <c r="E420" s="23"/>
      <c r="G420" s="23"/>
    </row>
    <row r="421" spans="3:7" x14ac:dyDescent="0.3">
      <c r="C421" s="6"/>
      <c r="E421" s="23"/>
      <c r="G421" s="23"/>
    </row>
    <row r="422" spans="3:7" x14ac:dyDescent="0.3">
      <c r="C422" s="6"/>
      <c r="E422" s="23"/>
      <c r="G422" s="23"/>
    </row>
    <row r="423" spans="3:7" x14ac:dyDescent="0.3">
      <c r="C423" s="6"/>
      <c r="E423" s="23"/>
      <c r="G423" s="23"/>
    </row>
    <row r="424" spans="3:7" x14ac:dyDescent="0.3">
      <c r="C424" s="6"/>
      <c r="E424" s="23"/>
      <c r="G424" s="23"/>
    </row>
    <row r="425" spans="3:7" x14ac:dyDescent="0.3">
      <c r="C425" s="6"/>
      <c r="E425" s="23"/>
      <c r="G425" s="23"/>
    </row>
    <row r="426" spans="3:7" x14ac:dyDescent="0.3">
      <c r="C426" s="6"/>
      <c r="E426" s="23"/>
      <c r="G426" s="23"/>
    </row>
    <row r="427" spans="3:7" x14ac:dyDescent="0.3">
      <c r="C427" s="6"/>
      <c r="E427" s="23"/>
      <c r="G427" s="23"/>
    </row>
    <row r="428" spans="3:7" x14ac:dyDescent="0.3">
      <c r="C428" s="6"/>
      <c r="E428" s="23"/>
      <c r="G428" s="23"/>
    </row>
    <row r="429" spans="3:7" x14ac:dyDescent="0.3">
      <c r="C429" s="6"/>
      <c r="E429" s="23"/>
      <c r="G429" s="23"/>
    </row>
    <row r="430" spans="3:7" x14ac:dyDescent="0.3">
      <c r="C430" s="6"/>
      <c r="E430" s="23"/>
      <c r="G430" s="23"/>
    </row>
    <row r="431" spans="3:7" x14ac:dyDescent="0.3">
      <c r="C431" s="6"/>
      <c r="E431" s="23"/>
      <c r="G431" s="23"/>
    </row>
    <row r="432" spans="3:7" x14ac:dyDescent="0.3">
      <c r="C432" s="6"/>
      <c r="E432" s="23"/>
      <c r="G432" s="23"/>
    </row>
    <row r="433" spans="3:7" x14ac:dyDescent="0.3">
      <c r="C433" s="6"/>
      <c r="E433" s="23"/>
      <c r="G433" s="23"/>
    </row>
    <row r="434" spans="3:7" x14ac:dyDescent="0.3">
      <c r="C434" s="6"/>
      <c r="E434" s="23"/>
      <c r="G434" s="23"/>
    </row>
    <row r="435" spans="3:7" x14ac:dyDescent="0.3">
      <c r="C435" s="6"/>
      <c r="E435" s="23"/>
      <c r="G435" s="23"/>
    </row>
    <row r="436" spans="3:7" x14ac:dyDescent="0.3">
      <c r="C436" s="6"/>
      <c r="E436" s="23"/>
      <c r="G436" s="23"/>
    </row>
    <row r="437" spans="3:7" x14ac:dyDescent="0.3">
      <c r="C437" s="6"/>
      <c r="E437" s="23"/>
      <c r="G437" s="23"/>
    </row>
    <row r="438" spans="3:7" x14ac:dyDescent="0.3">
      <c r="C438" s="6"/>
      <c r="E438" s="23"/>
      <c r="G438" s="23"/>
    </row>
    <row r="439" spans="3:7" x14ac:dyDescent="0.3">
      <c r="C439" s="6"/>
      <c r="E439" s="23"/>
      <c r="G439" s="23"/>
    </row>
    <row r="440" spans="3:7" x14ac:dyDescent="0.3">
      <c r="C440" s="6"/>
      <c r="E440" s="23"/>
      <c r="G440" s="23"/>
    </row>
    <row r="441" spans="3:7" x14ac:dyDescent="0.3">
      <c r="C441" s="6"/>
      <c r="E441" s="23"/>
      <c r="G441" s="23"/>
    </row>
    <row r="442" spans="3:7" x14ac:dyDescent="0.3">
      <c r="C442" s="6"/>
      <c r="E442" s="23"/>
      <c r="G442" s="23"/>
    </row>
    <row r="443" spans="3:7" x14ac:dyDescent="0.3">
      <c r="C443" s="6"/>
      <c r="E443" s="23"/>
      <c r="G443" s="23"/>
    </row>
    <row r="444" spans="3:7" x14ac:dyDescent="0.3">
      <c r="C444" s="6"/>
      <c r="E444" s="23"/>
      <c r="G444" s="23"/>
    </row>
    <row r="445" spans="3:7" x14ac:dyDescent="0.3">
      <c r="C445" s="6"/>
      <c r="E445" s="23"/>
      <c r="G445" s="23"/>
    </row>
    <row r="446" spans="3:7" x14ac:dyDescent="0.3">
      <c r="C446" s="6"/>
      <c r="E446" s="23"/>
      <c r="G446" s="23"/>
    </row>
    <row r="447" spans="3:7" x14ac:dyDescent="0.3">
      <c r="C447" s="6"/>
      <c r="E447" s="23"/>
      <c r="G447" s="23"/>
    </row>
    <row r="448" spans="3:7" x14ac:dyDescent="0.3">
      <c r="C448" s="6"/>
      <c r="E448" s="23"/>
      <c r="G448" s="23"/>
    </row>
    <row r="449" spans="3:7" x14ac:dyDescent="0.3">
      <c r="C449" s="6"/>
      <c r="E449" s="23"/>
      <c r="G449" s="23"/>
    </row>
    <row r="450" spans="3:7" x14ac:dyDescent="0.3">
      <c r="C450" s="6"/>
      <c r="E450" s="23"/>
      <c r="G450" s="23"/>
    </row>
    <row r="451" spans="3:7" x14ac:dyDescent="0.3">
      <c r="C451" s="6"/>
      <c r="E451" s="23"/>
      <c r="G451" s="23"/>
    </row>
    <row r="452" spans="3:7" x14ac:dyDescent="0.3">
      <c r="C452" s="6"/>
      <c r="E452" s="23"/>
      <c r="G452" s="23"/>
    </row>
    <row r="453" spans="3:7" x14ac:dyDescent="0.3">
      <c r="C453" s="6"/>
      <c r="E453" s="23"/>
      <c r="G453" s="23"/>
    </row>
    <row r="454" spans="3:7" x14ac:dyDescent="0.3">
      <c r="C454" s="6"/>
      <c r="E454" s="23"/>
      <c r="G454" s="23"/>
    </row>
    <row r="455" spans="3:7" x14ac:dyDescent="0.3">
      <c r="C455" s="6"/>
      <c r="E455" s="23"/>
      <c r="G455" s="23"/>
    </row>
    <row r="456" spans="3:7" x14ac:dyDescent="0.3">
      <c r="C456" s="6"/>
      <c r="E456" s="23"/>
      <c r="G456" s="23"/>
    </row>
    <row r="457" spans="3:7" x14ac:dyDescent="0.3">
      <c r="C457" s="6"/>
      <c r="E457" s="23"/>
      <c r="G457" s="23"/>
    </row>
    <row r="458" spans="3:7" x14ac:dyDescent="0.3">
      <c r="C458" s="6"/>
      <c r="E458" s="23"/>
      <c r="G458" s="23"/>
    </row>
    <row r="459" spans="3:7" x14ac:dyDescent="0.3">
      <c r="C459" s="6"/>
      <c r="E459" s="23"/>
      <c r="G459" s="23"/>
    </row>
    <row r="460" spans="3:7" x14ac:dyDescent="0.3">
      <c r="C460" s="6"/>
      <c r="E460" s="23"/>
      <c r="G460" s="23"/>
    </row>
    <row r="461" spans="3:7" x14ac:dyDescent="0.3">
      <c r="C461" s="6"/>
      <c r="E461" s="23"/>
      <c r="G461" s="23"/>
    </row>
    <row r="462" spans="3:7" x14ac:dyDescent="0.3">
      <c r="C462" s="6"/>
      <c r="E462" s="23"/>
      <c r="G462" s="23"/>
    </row>
    <row r="463" spans="3:7" x14ac:dyDescent="0.3">
      <c r="C463" s="6"/>
      <c r="E463" s="23"/>
      <c r="G463" s="23"/>
    </row>
    <row r="464" spans="3:7" x14ac:dyDescent="0.3">
      <c r="C464" s="6"/>
      <c r="E464" s="23"/>
      <c r="G464" s="23"/>
    </row>
    <row r="465" spans="3:7" x14ac:dyDescent="0.3">
      <c r="C465" s="6"/>
      <c r="E465" s="23"/>
      <c r="G465" s="23"/>
    </row>
    <row r="466" spans="3:7" x14ac:dyDescent="0.3">
      <c r="C466" s="6"/>
      <c r="E466" s="23"/>
      <c r="G466" s="23"/>
    </row>
    <row r="467" spans="3:7" x14ac:dyDescent="0.3">
      <c r="C467" s="6"/>
      <c r="E467" s="23"/>
      <c r="G467" s="23"/>
    </row>
    <row r="468" spans="3:7" x14ac:dyDescent="0.3">
      <c r="C468" s="6"/>
      <c r="E468" s="23"/>
      <c r="G468" s="23"/>
    </row>
    <row r="469" spans="3:7" x14ac:dyDescent="0.3">
      <c r="C469" s="6"/>
      <c r="E469" s="23"/>
      <c r="G469" s="23"/>
    </row>
    <row r="470" spans="3:7" x14ac:dyDescent="0.3">
      <c r="C470" s="6"/>
      <c r="E470" s="23"/>
      <c r="G470" s="23"/>
    </row>
    <row r="471" spans="3:7" x14ac:dyDescent="0.3">
      <c r="C471" s="6"/>
      <c r="E471" s="23"/>
      <c r="G471" s="23"/>
    </row>
    <row r="472" spans="3:7" x14ac:dyDescent="0.3">
      <c r="C472" s="6"/>
      <c r="E472" s="23"/>
      <c r="G472" s="23"/>
    </row>
    <row r="473" spans="3:7" x14ac:dyDescent="0.3">
      <c r="C473" s="6"/>
      <c r="E473" s="23"/>
      <c r="G473" s="23"/>
    </row>
    <row r="474" spans="3:7" x14ac:dyDescent="0.3">
      <c r="C474" s="6"/>
      <c r="E474" s="23"/>
      <c r="G474" s="23"/>
    </row>
    <row r="475" spans="3:7" x14ac:dyDescent="0.3">
      <c r="C475" s="6"/>
      <c r="E475" s="23"/>
      <c r="G475" s="23"/>
    </row>
    <row r="476" spans="3:7" x14ac:dyDescent="0.3">
      <c r="C476" s="6"/>
      <c r="E476" s="23"/>
      <c r="G476" s="23"/>
    </row>
    <row r="477" spans="3:7" x14ac:dyDescent="0.3">
      <c r="C477" s="6"/>
      <c r="E477" s="23"/>
      <c r="G477" s="23"/>
    </row>
    <row r="478" spans="3:7" x14ac:dyDescent="0.3">
      <c r="C478" s="6"/>
      <c r="E478" s="23"/>
      <c r="G478" s="23"/>
    </row>
    <row r="479" spans="3:7" x14ac:dyDescent="0.3">
      <c r="C479" s="6"/>
      <c r="E479" s="23"/>
      <c r="G479" s="23"/>
    </row>
    <row r="480" spans="3:7" x14ac:dyDescent="0.3">
      <c r="C480" s="6"/>
      <c r="E480" s="23"/>
      <c r="G480" s="23"/>
    </row>
    <row r="481" spans="3:7" x14ac:dyDescent="0.3">
      <c r="C481" s="6"/>
      <c r="E481" s="23"/>
      <c r="G481" s="23"/>
    </row>
    <row r="482" spans="3:7" x14ac:dyDescent="0.3">
      <c r="C482" s="6"/>
      <c r="E482" s="23"/>
      <c r="G482" s="23"/>
    </row>
    <row r="483" spans="3:7" x14ac:dyDescent="0.3">
      <c r="C483" s="6"/>
      <c r="E483" s="23"/>
      <c r="G483" s="23"/>
    </row>
    <row r="484" spans="3:7" x14ac:dyDescent="0.3">
      <c r="C484" s="6"/>
      <c r="E484" s="23"/>
      <c r="G484" s="23"/>
    </row>
    <row r="485" spans="3:7" x14ac:dyDescent="0.3">
      <c r="C485" s="6"/>
      <c r="E485" s="23"/>
      <c r="G485" s="23"/>
    </row>
    <row r="486" spans="3:7" x14ac:dyDescent="0.3">
      <c r="C486" s="6"/>
      <c r="E486" s="23"/>
      <c r="G486" s="23"/>
    </row>
    <row r="487" spans="3:7" x14ac:dyDescent="0.3">
      <c r="C487" s="6"/>
      <c r="E487" s="23"/>
      <c r="G487" s="23"/>
    </row>
    <row r="488" spans="3:7" x14ac:dyDescent="0.3">
      <c r="C488" s="6"/>
      <c r="E488" s="23"/>
      <c r="G488" s="23"/>
    </row>
    <row r="489" spans="3:7" x14ac:dyDescent="0.3">
      <c r="C489" s="6"/>
      <c r="E489" s="23"/>
      <c r="G489" s="23"/>
    </row>
    <row r="490" spans="3:7" x14ac:dyDescent="0.3">
      <c r="C490" s="6"/>
      <c r="E490" s="23"/>
      <c r="G490" s="23"/>
    </row>
    <row r="491" spans="3:7" x14ac:dyDescent="0.3">
      <c r="C491" s="6"/>
      <c r="E491" s="23"/>
      <c r="G491" s="23"/>
    </row>
    <row r="492" spans="3:7" x14ac:dyDescent="0.3">
      <c r="C492" s="6"/>
      <c r="E492" s="23"/>
      <c r="G492" s="23"/>
    </row>
    <row r="493" spans="3:7" x14ac:dyDescent="0.3">
      <c r="C493" s="6"/>
      <c r="E493" s="23"/>
      <c r="G493" s="23"/>
    </row>
    <row r="494" spans="3:7" x14ac:dyDescent="0.3">
      <c r="C494" s="6"/>
      <c r="E494" s="23"/>
      <c r="G494" s="23"/>
    </row>
    <row r="495" spans="3:7" x14ac:dyDescent="0.3">
      <c r="C495" s="6"/>
      <c r="E495" s="23"/>
      <c r="G495" s="23"/>
    </row>
    <row r="496" spans="3:7" x14ac:dyDescent="0.3">
      <c r="C496" s="6"/>
      <c r="E496" s="23"/>
      <c r="G496" s="23"/>
    </row>
    <row r="497" spans="3:7" x14ac:dyDescent="0.3">
      <c r="C497" s="6"/>
      <c r="E497" s="23"/>
      <c r="G497" s="23"/>
    </row>
    <row r="498" spans="3:7" x14ac:dyDescent="0.3">
      <c r="C498" s="6"/>
      <c r="E498" s="23"/>
      <c r="G498" s="23"/>
    </row>
    <row r="499" spans="3:7" x14ac:dyDescent="0.3">
      <c r="C499" s="6"/>
      <c r="E499" s="23"/>
      <c r="G499" s="23"/>
    </row>
    <row r="500" spans="3:7" x14ac:dyDescent="0.3">
      <c r="C500" s="6"/>
      <c r="E500" s="23"/>
      <c r="G500" s="23"/>
    </row>
    <row r="501" spans="3:7" x14ac:dyDescent="0.3">
      <c r="C501" s="6"/>
      <c r="E501" s="23"/>
      <c r="G501" s="23"/>
    </row>
    <row r="502" spans="3:7" x14ac:dyDescent="0.3">
      <c r="C502" s="6"/>
      <c r="E502" s="23"/>
      <c r="G502" s="23"/>
    </row>
    <row r="503" spans="3:7" x14ac:dyDescent="0.3">
      <c r="C503" s="6"/>
      <c r="E503" s="23"/>
      <c r="G503" s="23"/>
    </row>
    <row r="504" spans="3:7" x14ac:dyDescent="0.3">
      <c r="C504" s="6"/>
      <c r="E504" s="23"/>
      <c r="G504" s="23"/>
    </row>
    <row r="505" spans="3:7" x14ac:dyDescent="0.3">
      <c r="C505" s="6"/>
      <c r="E505" s="23"/>
      <c r="G505" s="23"/>
    </row>
    <row r="506" spans="3:7" x14ac:dyDescent="0.3">
      <c r="C506" s="6"/>
      <c r="E506" s="23"/>
      <c r="G506" s="23"/>
    </row>
    <row r="507" spans="3:7" x14ac:dyDescent="0.3">
      <c r="C507" s="6"/>
      <c r="E507" s="23"/>
      <c r="G507" s="23"/>
    </row>
    <row r="508" spans="3:7" x14ac:dyDescent="0.3">
      <c r="C508" s="6"/>
      <c r="E508" s="23"/>
      <c r="G508" s="23"/>
    </row>
    <row r="509" spans="3:7" x14ac:dyDescent="0.3">
      <c r="C509" s="6"/>
      <c r="E509" s="23"/>
      <c r="G509" s="23"/>
    </row>
    <row r="510" spans="3:7" x14ac:dyDescent="0.3">
      <c r="C510" s="6"/>
      <c r="E510" s="23"/>
      <c r="G510" s="23"/>
    </row>
    <row r="511" spans="3:7" x14ac:dyDescent="0.3">
      <c r="C511" s="6"/>
      <c r="E511" s="23"/>
      <c r="G511" s="23"/>
    </row>
    <row r="512" spans="3:7" x14ac:dyDescent="0.3">
      <c r="C512" s="6"/>
      <c r="E512" s="23"/>
      <c r="G512" s="23"/>
    </row>
    <row r="513" spans="3:7" x14ac:dyDescent="0.3">
      <c r="C513" s="6"/>
      <c r="E513" s="23"/>
      <c r="G513" s="23"/>
    </row>
    <row r="514" spans="3:7" x14ac:dyDescent="0.3">
      <c r="C514" s="6"/>
      <c r="E514" s="23"/>
      <c r="G514" s="23"/>
    </row>
    <row r="515" spans="3:7" x14ac:dyDescent="0.3">
      <c r="C515" s="6"/>
      <c r="E515" s="23"/>
      <c r="G515" s="23"/>
    </row>
    <row r="516" spans="3:7" x14ac:dyDescent="0.3">
      <c r="C516" s="6"/>
      <c r="E516" s="23"/>
      <c r="G516" s="23"/>
    </row>
    <row r="517" spans="3:7" x14ac:dyDescent="0.3">
      <c r="C517" s="6"/>
      <c r="E517" s="23"/>
      <c r="G517" s="23"/>
    </row>
    <row r="518" spans="3:7" x14ac:dyDescent="0.3">
      <c r="C518" s="6"/>
      <c r="E518" s="23"/>
      <c r="G518" s="23"/>
    </row>
    <row r="519" spans="3:7" x14ac:dyDescent="0.3">
      <c r="C519" s="6"/>
      <c r="E519" s="23"/>
      <c r="G519" s="23"/>
    </row>
    <row r="520" spans="3:7" x14ac:dyDescent="0.3">
      <c r="C520" s="6"/>
      <c r="E520" s="23"/>
      <c r="G520" s="23"/>
    </row>
    <row r="521" spans="3:7" x14ac:dyDescent="0.3">
      <c r="C521" s="6"/>
      <c r="E521" s="23"/>
      <c r="G521" s="23"/>
    </row>
    <row r="522" spans="3:7" x14ac:dyDescent="0.3">
      <c r="C522" s="6"/>
      <c r="E522" s="23"/>
      <c r="G522" s="23"/>
    </row>
    <row r="523" spans="3:7" x14ac:dyDescent="0.3">
      <c r="C523" s="6"/>
      <c r="E523" s="23"/>
      <c r="G523" s="23"/>
    </row>
    <row r="524" spans="3:7" x14ac:dyDescent="0.3">
      <c r="C524" s="6"/>
      <c r="E524" s="23"/>
      <c r="G524" s="23"/>
    </row>
    <row r="525" spans="3:7" x14ac:dyDescent="0.3">
      <c r="C525" s="6"/>
      <c r="E525" s="23"/>
      <c r="G525" s="23"/>
    </row>
    <row r="526" spans="3:7" x14ac:dyDescent="0.3">
      <c r="C526" s="6"/>
      <c r="E526" s="23"/>
      <c r="G526" s="23"/>
    </row>
    <row r="527" spans="3:7" x14ac:dyDescent="0.3">
      <c r="C527" s="6"/>
      <c r="E527" s="23"/>
      <c r="G527" s="23"/>
    </row>
    <row r="528" spans="3:7" x14ac:dyDescent="0.3">
      <c r="C528" s="6"/>
      <c r="E528" s="23"/>
      <c r="G528" s="23"/>
    </row>
    <row r="529" spans="3:7" x14ac:dyDescent="0.3">
      <c r="C529" s="6"/>
      <c r="E529" s="23"/>
      <c r="G529" s="23"/>
    </row>
    <row r="530" spans="3:7" x14ac:dyDescent="0.3">
      <c r="C530" s="6"/>
      <c r="E530" s="23"/>
      <c r="G530" s="23"/>
    </row>
    <row r="531" spans="3:7" x14ac:dyDescent="0.3">
      <c r="C531" s="6"/>
      <c r="E531" s="23"/>
      <c r="G531" s="23"/>
    </row>
    <row r="532" spans="3:7" x14ac:dyDescent="0.3">
      <c r="C532" s="6"/>
      <c r="E532" s="23"/>
      <c r="G532" s="23"/>
    </row>
    <row r="533" spans="3:7" x14ac:dyDescent="0.3">
      <c r="C533" s="6"/>
      <c r="E533" s="23"/>
      <c r="G533" s="23"/>
    </row>
    <row r="534" spans="3:7" x14ac:dyDescent="0.3">
      <c r="C534" s="6"/>
      <c r="E534" s="23"/>
      <c r="G534" s="23"/>
    </row>
    <row r="535" spans="3:7" x14ac:dyDescent="0.3">
      <c r="C535" s="6"/>
      <c r="E535" s="23"/>
      <c r="G535" s="23"/>
    </row>
    <row r="536" spans="3:7" x14ac:dyDescent="0.3">
      <c r="C536" s="6"/>
      <c r="E536" s="23"/>
      <c r="G536" s="23"/>
    </row>
    <row r="537" spans="3:7" x14ac:dyDescent="0.3">
      <c r="C537" s="6"/>
      <c r="E537" s="23"/>
      <c r="G537" s="23"/>
    </row>
    <row r="538" spans="3:7" x14ac:dyDescent="0.3">
      <c r="C538" s="6"/>
      <c r="E538" s="23"/>
      <c r="G538" s="23"/>
    </row>
    <row r="539" spans="3:7" x14ac:dyDescent="0.3">
      <c r="C539" s="6"/>
      <c r="E539" s="23"/>
      <c r="G539" s="23"/>
    </row>
    <row r="540" spans="3:7" x14ac:dyDescent="0.3">
      <c r="C540" s="6"/>
      <c r="E540" s="23"/>
      <c r="G540" s="23"/>
    </row>
    <row r="541" spans="3:7" x14ac:dyDescent="0.3">
      <c r="C541" s="6"/>
      <c r="E541" s="23"/>
      <c r="G541" s="23"/>
    </row>
    <row r="542" spans="3:7" x14ac:dyDescent="0.3">
      <c r="C542" s="6"/>
      <c r="E542" s="23"/>
      <c r="G542" s="23"/>
    </row>
    <row r="543" spans="3:7" x14ac:dyDescent="0.3">
      <c r="C543" s="6"/>
      <c r="E543" s="23"/>
      <c r="G543" s="23"/>
    </row>
    <row r="544" spans="3:7" x14ac:dyDescent="0.3">
      <c r="C544" s="6"/>
      <c r="E544" s="23"/>
      <c r="G544" s="23"/>
    </row>
    <row r="545" spans="3:7" x14ac:dyDescent="0.3">
      <c r="C545" s="6"/>
      <c r="E545" s="23"/>
      <c r="G545" s="23"/>
    </row>
    <row r="546" spans="3:7" x14ac:dyDescent="0.3">
      <c r="C546" s="6"/>
      <c r="E546" s="23"/>
      <c r="G546" s="23"/>
    </row>
    <row r="547" spans="3:7" x14ac:dyDescent="0.3">
      <c r="C547" s="6"/>
      <c r="E547" s="23"/>
      <c r="G547" s="23"/>
    </row>
    <row r="548" spans="3:7" x14ac:dyDescent="0.3">
      <c r="C548" s="6"/>
      <c r="E548" s="23"/>
      <c r="G548" s="23"/>
    </row>
    <row r="549" spans="3:7" x14ac:dyDescent="0.3">
      <c r="C549" s="6"/>
      <c r="E549" s="23"/>
      <c r="G549" s="23"/>
    </row>
    <row r="550" spans="3:7" x14ac:dyDescent="0.3">
      <c r="C550" s="6"/>
      <c r="E550" s="23"/>
      <c r="G550" s="23"/>
    </row>
    <row r="551" spans="3:7" x14ac:dyDescent="0.3">
      <c r="C551" s="6"/>
      <c r="E551" s="23"/>
      <c r="G551" s="23"/>
    </row>
    <row r="552" spans="3:7" x14ac:dyDescent="0.3">
      <c r="C552" s="6"/>
      <c r="E552" s="23"/>
      <c r="G552" s="23"/>
    </row>
    <row r="553" spans="3:7" x14ac:dyDescent="0.3">
      <c r="C553" s="6"/>
      <c r="E553" s="23"/>
      <c r="G553" s="23"/>
    </row>
    <row r="554" spans="3:7" x14ac:dyDescent="0.3">
      <c r="C554" s="6"/>
      <c r="E554" s="23"/>
      <c r="G554" s="23"/>
    </row>
    <row r="555" spans="3:7" x14ac:dyDescent="0.3">
      <c r="C555" s="6"/>
      <c r="E555" s="23"/>
      <c r="G555" s="23"/>
    </row>
    <row r="556" spans="3:7" x14ac:dyDescent="0.3">
      <c r="C556" s="6"/>
      <c r="E556" s="23"/>
      <c r="G556" s="23"/>
    </row>
    <row r="557" spans="3:7" x14ac:dyDescent="0.3">
      <c r="C557" s="6"/>
      <c r="E557" s="23"/>
      <c r="G557" s="23"/>
    </row>
    <row r="558" spans="3:7" x14ac:dyDescent="0.3">
      <c r="C558" s="6"/>
      <c r="E558" s="23"/>
      <c r="G558" s="23"/>
    </row>
    <row r="559" spans="3:7" x14ac:dyDescent="0.3">
      <c r="C559" s="6"/>
      <c r="E559" s="23"/>
      <c r="G559" s="23"/>
    </row>
    <row r="560" spans="3:7" x14ac:dyDescent="0.3">
      <c r="C560" s="6"/>
      <c r="E560" s="23"/>
      <c r="G560" s="23"/>
    </row>
    <row r="561" spans="3:7" x14ac:dyDescent="0.3">
      <c r="C561" s="6"/>
      <c r="E561" s="23"/>
      <c r="G561" s="23"/>
    </row>
    <row r="562" spans="3:7" x14ac:dyDescent="0.3">
      <c r="C562" s="6"/>
      <c r="E562" s="23"/>
      <c r="G562" s="23"/>
    </row>
    <row r="563" spans="3:7" x14ac:dyDescent="0.3">
      <c r="C563" s="6"/>
      <c r="E563" s="23"/>
      <c r="G563" s="23"/>
    </row>
    <row r="564" spans="3:7" x14ac:dyDescent="0.3">
      <c r="C564" s="6"/>
      <c r="E564" s="23"/>
      <c r="G564" s="23"/>
    </row>
    <row r="565" spans="3:7" x14ac:dyDescent="0.3">
      <c r="C565" s="6"/>
      <c r="E565" s="23"/>
      <c r="G565" s="23"/>
    </row>
    <row r="566" spans="3:7" x14ac:dyDescent="0.3">
      <c r="C566" s="6"/>
      <c r="E566" s="23"/>
      <c r="G566" s="23"/>
    </row>
    <row r="567" spans="3:7" x14ac:dyDescent="0.3">
      <c r="C567" s="6"/>
      <c r="E567" s="23"/>
      <c r="G567" s="23"/>
    </row>
    <row r="568" spans="3:7" x14ac:dyDescent="0.3">
      <c r="C568" s="6"/>
      <c r="E568" s="23"/>
      <c r="G568" s="23"/>
    </row>
    <row r="569" spans="3:7" x14ac:dyDescent="0.3">
      <c r="C569" s="6"/>
      <c r="E569" s="23"/>
      <c r="G569" s="23"/>
    </row>
    <row r="570" spans="3:7" x14ac:dyDescent="0.3">
      <c r="C570" s="6"/>
      <c r="E570" s="23"/>
      <c r="G570" s="23"/>
    </row>
    <row r="571" spans="3:7" x14ac:dyDescent="0.3">
      <c r="C571" s="6"/>
      <c r="E571" s="23"/>
      <c r="G571" s="23"/>
    </row>
    <row r="572" spans="3:7" x14ac:dyDescent="0.3">
      <c r="C572" s="6"/>
      <c r="E572" s="23"/>
      <c r="G572" s="23"/>
    </row>
    <row r="573" spans="3:7" x14ac:dyDescent="0.3">
      <c r="C573" s="6"/>
      <c r="E573" s="23"/>
      <c r="G573" s="23"/>
    </row>
    <row r="574" spans="3:7" x14ac:dyDescent="0.3">
      <c r="C574" s="6"/>
      <c r="E574" s="23"/>
      <c r="G574" s="23"/>
    </row>
    <row r="575" spans="3:7" x14ac:dyDescent="0.3">
      <c r="C575" s="6"/>
      <c r="E575" s="23"/>
      <c r="G575" s="23"/>
    </row>
    <row r="576" spans="3:7" x14ac:dyDescent="0.3">
      <c r="C576" s="6"/>
      <c r="E576" s="23"/>
      <c r="G576" s="23"/>
    </row>
    <row r="577" spans="3:7" x14ac:dyDescent="0.3">
      <c r="C577" s="6"/>
      <c r="E577" s="23"/>
      <c r="G577" s="23"/>
    </row>
    <row r="578" spans="3:7" x14ac:dyDescent="0.3">
      <c r="C578" s="6"/>
      <c r="E578" s="23"/>
      <c r="G578" s="23"/>
    </row>
    <row r="579" spans="3:7" x14ac:dyDescent="0.3">
      <c r="C579" s="6"/>
      <c r="E579" s="23"/>
      <c r="G579" s="23"/>
    </row>
    <row r="580" spans="3:7" x14ac:dyDescent="0.3">
      <c r="C580" s="6"/>
      <c r="E580" s="23"/>
      <c r="G580" s="23"/>
    </row>
    <row r="581" spans="3:7" x14ac:dyDescent="0.3">
      <c r="C581" s="6"/>
      <c r="E581" s="23"/>
      <c r="G581" s="23"/>
    </row>
    <row r="582" spans="3:7" x14ac:dyDescent="0.3">
      <c r="C582" s="6"/>
      <c r="E582" s="23"/>
      <c r="G582" s="23"/>
    </row>
    <row r="583" spans="3:7" x14ac:dyDescent="0.3">
      <c r="C583" s="6"/>
      <c r="E583" s="23"/>
      <c r="G583" s="23"/>
    </row>
    <row r="584" spans="3:7" x14ac:dyDescent="0.3">
      <c r="C584" s="6"/>
      <c r="E584" s="23"/>
      <c r="G584" s="23"/>
    </row>
    <row r="585" spans="3:7" x14ac:dyDescent="0.3">
      <c r="C585" s="6"/>
      <c r="E585" s="23"/>
      <c r="G585" s="23"/>
    </row>
    <row r="586" spans="3:7" x14ac:dyDescent="0.3">
      <c r="C586" s="6"/>
      <c r="E586" s="23"/>
      <c r="G586" s="23"/>
    </row>
    <row r="587" spans="3:7" x14ac:dyDescent="0.3">
      <c r="C587" s="6"/>
      <c r="E587" s="23"/>
      <c r="G587" s="23"/>
    </row>
    <row r="588" spans="3:7" x14ac:dyDescent="0.3">
      <c r="C588" s="6"/>
      <c r="E588" s="23"/>
      <c r="G588" s="23"/>
    </row>
    <row r="589" spans="3:7" x14ac:dyDescent="0.3">
      <c r="C589" s="6"/>
      <c r="E589" s="23"/>
      <c r="G589" s="23"/>
    </row>
    <row r="590" spans="3:7" x14ac:dyDescent="0.3">
      <c r="C590" s="6"/>
      <c r="E590" s="23"/>
      <c r="G590" s="23"/>
    </row>
    <row r="591" spans="3:7" x14ac:dyDescent="0.3">
      <c r="C591" s="6"/>
      <c r="E591" s="23"/>
      <c r="G591" s="23"/>
    </row>
    <row r="592" spans="3:7" x14ac:dyDescent="0.3">
      <c r="C592" s="6"/>
      <c r="E592" s="23"/>
      <c r="G592" s="23"/>
    </row>
    <row r="593" spans="3:7" x14ac:dyDescent="0.3">
      <c r="C593" s="6"/>
      <c r="E593" s="23"/>
      <c r="G593" s="23"/>
    </row>
    <row r="594" spans="3:7" x14ac:dyDescent="0.3">
      <c r="C594" s="6"/>
      <c r="E594" s="23"/>
      <c r="G594" s="23"/>
    </row>
    <row r="595" spans="3:7" x14ac:dyDescent="0.3">
      <c r="C595" s="6"/>
      <c r="E595" s="23"/>
      <c r="G595" s="23"/>
    </row>
    <row r="596" spans="3:7" x14ac:dyDescent="0.3">
      <c r="C596" s="6"/>
      <c r="E596" s="23"/>
      <c r="G596" s="23"/>
    </row>
    <row r="597" spans="3:7" x14ac:dyDescent="0.3">
      <c r="C597" s="6"/>
      <c r="E597" s="23"/>
      <c r="G597" s="23"/>
    </row>
    <row r="598" spans="3:7" x14ac:dyDescent="0.3">
      <c r="C598" s="6"/>
      <c r="E598" s="23"/>
      <c r="G598" s="23"/>
    </row>
    <row r="599" spans="3:7" x14ac:dyDescent="0.3">
      <c r="C599" s="6"/>
      <c r="E599" s="23"/>
      <c r="G599" s="23"/>
    </row>
    <row r="600" spans="3:7" x14ac:dyDescent="0.3">
      <c r="C600" s="6"/>
      <c r="E600" s="23"/>
      <c r="G600" s="23"/>
    </row>
    <row r="601" spans="3:7" x14ac:dyDescent="0.3">
      <c r="C601" s="6"/>
      <c r="E601" s="23"/>
      <c r="G601" s="23"/>
    </row>
    <row r="602" spans="3:7" x14ac:dyDescent="0.3">
      <c r="C602" s="6"/>
      <c r="E602" s="23"/>
      <c r="G602" s="23"/>
    </row>
    <row r="603" spans="3:7" x14ac:dyDescent="0.3">
      <c r="C603" s="6"/>
      <c r="E603" s="23"/>
      <c r="G603" s="23"/>
    </row>
    <row r="604" spans="3:7" x14ac:dyDescent="0.3">
      <c r="C604" s="6"/>
      <c r="E604" s="23"/>
      <c r="G604" s="23"/>
    </row>
    <row r="605" spans="3:7" x14ac:dyDescent="0.3">
      <c r="C605" s="6"/>
      <c r="E605" s="23"/>
      <c r="G605" s="23"/>
    </row>
    <row r="606" spans="3:7" x14ac:dyDescent="0.3">
      <c r="C606" s="6"/>
      <c r="E606" s="23"/>
      <c r="G606" s="23"/>
    </row>
    <row r="607" spans="3:7" x14ac:dyDescent="0.3">
      <c r="C607" s="6"/>
      <c r="E607" s="23"/>
      <c r="G607" s="23"/>
    </row>
    <row r="608" spans="3:7" x14ac:dyDescent="0.3">
      <c r="C608" s="6"/>
      <c r="E608" s="23"/>
      <c r="G608" s="23"/>
    </row>
    <row r="609" spans="3:7" x14ac:dyDescent="0.3">
      <c r="C609" s="6"/>
      <c r="E609" s="23"/>
      <c r="G609" s="23"/>
    </row>
    <row r="610" spans="3:7" x14ac:dyDescent="0.3">
      <c r="C610" s="6"/>
      <c r="E610" s="23"/>
      <c r="G610" s="23"/>
    </row>
    <row r="611" spans="3:7" x14ac:dyDescent="0.3">
      <c r="C611" s="6"/>
      <c r="E611" s="23"/>
      <c r="G611" s="23"/>
    </row>
    <row r="612" spans="3:7" x14ac:dyDescent="0.3">
      <c r="C612" s="6"/>
      <c r="E612" s="23"/>
      <c r="G612" s="23"/>
    </row>
    <row r="613" spans="3:7" x14ac:dyDescent="0.3">
      <c r="C613" s="6"/>
      <c r="E613" s="23"/>
      <c r="G613" s="23"/>
    </row>
    <row r="614" spans="3:7" x14ac:dyDescent="0.3">
      <c r="C614" s="6"/>
      <c r="E614" s="23"/>
      <c r="G614" s="23"/>
    </row>
    <row r="615" spans="3:7" x14ac:dyDescent="0.3">
      <c r="C615" s="6"/>
      <c r="E615" s="23"/>
      <c r="G615" s="23"/>
    </row>
    <row r="616" spans="3:7" x14ac:dyDescent="0.3">
      <c r="C616" s="6"/>
      <c r="E616" s="23"/>
      <c r="G616" s="23"/>
    </row>
    <row r="617" spans="3:7" x14ac:dyDescent="0.3">
      <c r="C617" s="6"/>
      <c r="E617" s="23"/>
      <c r="G617" s="23"/>
    </row>
    <row r="618" spans="3:7" x14ac:dyDescent="0.3">
      <c r="C618" s="6"/>
      <c r="E618" s="23"/>
      <c r="G618" s="23"/>
    </row>
    <row r="619" spans="3:7" x14ac:dyDescent="0.3">
      <c r="C619" s="6"/>
      <c r="E619" s="23"/>
      <c r="G619" s="23"/>
    </row>
    <row r="620" spans="3:7" x14ac:dyDescent="0.3">
      <c r="C620" s="6"/>
      <c r="E620" s="23"/>
      <c r="G620" s="23"/>
    </row>
    <row r="621" spans="3:7" x14ac:dyDescent="0.3">
      <c r="C621" s="6"/>
      <c r="E621" s="23"/>
      <c r="G621" s="23"/>
    </row>
    <row r="622" spans="3:7" x14ac:dyDescent="0.3">
      <c r="C622" s="6"/>
      <c r="E622" s="23"/>
      <c r="G622" s="23"/>
    </row>
    <row r="623" spans="3:7" x14ac:dyDescent="0.3">
      <c r="C623" s="6"/>
      <c r="E623" s="23"/>
      <c r="G623" s="23"/>
    </row>
    <row r="624" spans="3:7" x14ac:dyDescent="0.3">
      <c r="C624" s="6"/>
      <c r="E624" s="23"/>
      <c r="G624" s="23"/>
    </row>
    <row r="625" spans="3:7" x14ac:dyDescent="0.3">
      <c r="C625" s="6"/>
      <c r="E625" s="23"/>
      <c r="G625" s="23"/>
    </row>
    <row r="626" spans="3:7" x14ac:dyDescent="0.3">
      <c r="C626" s="6"/>
      <c r="E626" s="23"/>
      <c r="G626" s="23"/>
    </row>
    <row r="627" spans="3:7" x14ac:dyDescent="0.3">
      <c r="C627" s="6"/>
      <c r="E627" s="23"/>
      <c r="G627" s="23"/>
    </row>
    <row r="628" spans="3:7" x14ac:dyDescent="0.3">
      <c r="C628" s="6"/>
      <c r="E628" s="23"/>
      <c r="G628" s="23"/>
    </row>
    <row r="629" spans="3:7" x14ac:dyDescent="0.3">
      <c r="C629" s="6"/>
      <c r="E629" s="23"/>
      <c r="G629" s="23"/>
    </row>
    <row r="630" spans="3:7" x14ac:dyDescent="0.3">
      <c r="C630" s="6"/>
      <c r="E630" s="23"/>
      <c r="G630" s="23"/>
    </row>
    <row r="631" spans="3:7" x14ac:dyDescent="0.3">
      <c r="C631" s="6"/>
      <c r="E631" s="23"/>
      <c r="G631" s="23"/>
    </row>
    <row r="632" spans="3:7" x14ac:dyDescent="0.3">
      <c r="C632" s="6"/>
      <c r="E632" s="23"/>
      <c r="G632" s="23"/>
    </row>
    <row r="633" spans="3:7" x14ac:dyDescent="0.3">
      <c r="C633" s="6"/>
      <c r="E633" s="23"/>
      <c r="G633" s="23"/>
    </row>
    <row r="634" spans="3:7" x14ac:dyDescent="0.3">
      <c r="C634" s="6"/>
      <c r="E634" s="23"/>
      <c r="G634" s="23"/>
    </row>
    <row r="635" spans="3:7" x14ac:dyDescent="0.3">
      <c r="C635" s="6"/>
      <c r="E635" s="23"/>
      <c r="G635" s="23"/>
    </row>
    <row r="636" spans="3:7" x14ac:dyDescent="0.3">
      <c r="C636" s="6"/>
      <c r="E636" s="23"/>
      <c r="G636" s="23"/>
    </row>
    <row r="637" spans="3:7" x14ac:dyDescent="0.3">
      <c r="C637" s="6"/>
      <c r="E637" s="23"/>
      <c r="G637" s="23"/>
    </row>
    <row r="638" spans="3:7" x14ac:dyDescent="0.3">
      <c r="C638" s="6"/>
      <c r="E638" s="23"/>
      <c r="G638" s="23"/>
    </row>
    <row r="639" spans="3:7" x14ac:dyDescent="0.3">
      <c r="C639" s="6"/>
      <c r="E639" s="23"/>
      <c r="G639" s="23"/>
    </row>
    <row r="640" spans="3:7" x14ac:dyDescent="0.3">
      <c r="C640" s="6"/>
      <c r="E640" s="23"/>
      <c r="G640" s="23"/>
    </row>
    <row r="641" spans="3:7" x14ac:dyDescent="0.3">
      <c r="C641" s="6"/>
      <c r="E641" s="23"/>
      <c r="G641" s="23"/>
    </row>
    <row r="642" spans="3:7" x14ac:dyDescent="0.3">
      <c r="C642" s="6"/>
      <c r="E642" s="23"/>
      <c r="G642" s="23"/>
    </row>
    <row r="643" spans="3:7" x14ac:dyDescent="0.3">
      <c r="C643" s="6"/>
      <c r="E643" s="23"/>
      <c r="G643" s="23"/>
    </row>
    <row r="644" spans="3:7" x14ac:dyDescent="0.3">
      <c r="C644" s="6"/>
      <c r="E644" s="23"/>
      <c r="G644" s="23"/>
    </row>
    <row r="645" spans="3:7" x14ac:dyDescent="0.3">
      <c r="C645" s="6"/>
      <c r="E645" s="23"/>
      <c r="G645" s="23"/>
    </row>
    <row r="646" spans="3:7" x14ac:dyDescent="0.3">
      <c r="C646" s="6"/>
      <c r="E646" s="23"/>
      <c r="G646" s="23"/>
    </row>
    <row r="647" spans="3:7" x14ac:dyDescent="0.3">
      <c r="C647" s="6"/>
      <c r="E647" s="23"/>
      <c r="G647" s="23"/>
    </row>
    <row r="648" spans="3:7" x14ac:dyDescent="0.3">
      <c r="C648" s="6"/>
      <c r="E648" s="23"/>
      <c r="G648" s="23"/>
    </row>
    <row r="649" spans="3:7" x14ac:dyDescent="0.3">
      <c r="C649" s="6"/>
      <c r="E649" s="23"/>
      <c r="G649" s="23"/>
    </row>
    <row r="650" spans="3:7" x14ac:dyDescent="0.3">
      <c r="C650" s="6"/>
      <c r="E650" s="23"/>
      <c r="G650" s="23"/>
    </row>
    <row r="651" spans="3:7" x14ac:dyDescent="0.3">
      <c r="C651" s="6"/>
      <c r="E651" s="23"/>
      <c r="G651" s="23"/>
    </row>
    <row r="652" spans="3:7" x14ac:dyDescent="0.3">
      <c r="C652" s="6"/>
      <c r="E652" s="23"/>
      <c r="G652" s="23"/>
    </row>
    <row r="653" spans="3:7" x14ac:dyDescent="0.3">
      <c r="C653" s="6"/>
      <c r="E653" s="23"/>
      <c r="G653" s="23"/>
    </row>
    <row r="654" spans="3:7" x14ac:dyDescent="0.3">
      <c r="C654" s="6"/>
      <c r="E654" s="23"/>
      <c r="G654" s="23"/>
    </row>
    <row r="655" spans="3:7" x14ac:dyDescent="0.3">
      <c r="C655" s="6"/>
      <c r="E655" s="23"/>
      <c r="G655" s="23"/>
    </row>
    <row r="656" spans="3:7" x14ac:dyDescent="0.3">
      <c r="C656" s="6"/>
      <c r="E656" s="23"/>
      <c r="G656" s="23"/>
    </row>
    <row r="657" spans="3:7" x14ac:dyDescent="0.3">
      <c r="C657" s="6"/>
      <c r="E657" s="23"/>
      <c r="G657" s="23"/>
    </row>
    <row r="658" spans="3:7" x14ac:dyDescent="0.3">
      <c r="C658" s="6"/>
      <c r="E658" s="23"/>
      <c r="G658" s="23"/>
    </row>
    <row r="659" spans="3:7" x14ac:dyDescent="0.3">
      <c r="C659" s="6"/>
      <c r="E659" s="23"/>
      <c r="G659" s="23"/>
    </row>
    <row r="660" spans="3:7" x14ac:dyDescent="0.3">
      <c r="C660" s="6"/>
      <c r="E660" s="23"/>
      <c r="G660" s="23"/>
    </row>
    <row r="661" spans="3:7" x14ac:dyDescent="0.3">
      <c r="C661" s="6"/>
      <c r="E661" s="23"/>
      <c r="G661" s="23"/>
    </row>
    <row r="662" spans="3:7" x14ac:dyDescent="0.3">
      <c r="C662" s="6"/>
      <c r="E662" s="23"/>
      <c r="G662" s="23"/>
    </row>
    <row r="663" spans="3:7" x14ac:dyDescent="0.3">
      <c r="C663" s="6"/>
      <c r="E663" s="23"/>
      <c r="G663" s="23"/>
    </row>
    <row r="664" spans="3:7" x14ac:dyDescent="0.3">
      <c r="C664" s="6"/>
      <c r="E664" s="23"/>
      <c r="G664" s="23"/>
    </row>
    <row r="665" spans="3:7" x14ac:dyDescent="0.3">
      <c r="C665" s="6"/>
      <c r="E665" s="23"/>
      <c r="G665" s="23"/>
    </row>
    <row r="666" spans="3:7" x14ac:dyDescent="0.3">
      <c r="C666" s="6"/>
      <c r="E666" s="23"/>
      <c r="G666" s="23"/>
    </row>
    <row r="667" spans="3:7" x14ac:dyDescent="0.3">
      <c r="C667" s="6"/>
      <c r="E667" s="23"/>
      <c r="G667" s="23"/>
    </row>
    <row r="668" spans="3:7" x14ac:dyDescent="0.3">
      <c r="C668" s="6"/>
      <c r="E668" s="23"/>
      <c r="G668" s="23"/>
    </row>
    <row r="669" spans="3:7" x14ac:dyDescent="0.3">
      <c r="C669" s="6"/>
      <c r="E669" s="23"/>
      <c r="G669" s="23"/>
    </row>
    <row r="670" spans="3:7" x14ac:dyDescent="0.3">
      <c r="C670" s="6"/>
      <c r="E670" s="23"/>
      <c r="G670" s="23"/>
    </row>
    <row r="671" spans="3:7" x14ac:dyDescent="0.3">
      <c r="C671" s="6"/>
      <c r="E671" s="23"/>
      <c r="G671" s="23"/>
    </row>
    <row r="672" spans="3:7" x14ac:dyDescent="0.3">
      <c r="C672" s="6"/>
      <c r="E672" s="23"/>
      <c r="G672" s="23"/>
    </row>
    <row r="673" spans="3:7" x14ac:dyDescent="0.3">
      <c r="C673" s="6"/>
      <c r="E673" s="23"/>
      <c r="G673" s="23"/>
    </row>
    <row r="674" spans="3:7" x14ac:dyDescent="0.3">
      <c r="C674" s="6"/>
      <c r="E674" s="23"/>
      <c r="G674" s="23"/>
    </row>
    <row r="675" spans="3:7" x14ac:dyDescent="0.3">
      <c r="C675" s="6"/>
      <c r="E675" s="23"/>
      <c r="G675" s="23"/>
    </row>
    <row r="676" spans="3:7" x14ac:dyDescent="0.3">
      <c r="C676" s="6"/>
      <c r="E676" s="23"/>
      <c r="G676" s="23"/>
    </row>
    <row r="677" spans="3:7" x14ac:dyDescent="0.3">
      <c r="C677" s="6"/>
      <c r="E677" s="23"/>
      <c r="G677" s="23"/>
    </row>
    <row r="678" spans="3:7" x14ac:dyDescent="0.3">
      <c r="C678" s="6"/>
      <c r="E678" s="23"/>
      <c r="G678" s="23"/>
    </row>
    <row r="679" spans="3:7" x14ac:dyDescent="0.3">
      <c r="C679" s="6"/>
      <c r="E679" s="23"/>
      <c r="G679" s="23"/>
    </row>
    <row r="680" spans="3:7" x14ac:dyDescent="0.3">
      <c r="C680" s="6"/>
      <c r="E680" s="23"/>
      <c r="G680" s="23"/>
    </row>
    <row r="681" spans="3:7" x14ac:dyDescent="0.3">
      <c r="C681" s="6"/>
      <c r="E681" s="23"/>
      <c r="G681" s="23"/>
    </row>
    <row r="682" spans="3:7" x14ac:dyDescent="0.3">
      <c r="C682" s="6"/>
      <c r="E682" s="23"/>
      <c r="G682" s="23"/>
    </row>
    <row r="683" spans="3:7" x14ac:dyDescent="0.3">
      <c r="C683" s="6"/>
      <c r="E683" s="23"/>
      <c r="G683" s="23"/>
    </row>
    <row r="684" spans="3:7" x14ac:dyDescent="0.3">
      <c r="C684" s="6"/>
      <c r="E684" s="23"/>
      <c r="G684" s="23"/>
    </row>
    <row r="685" spans="3:7" x14ac:dyDescent="0.3">
      <c r="C685" s="6"/>
      <c r="E685" s="23"/>
      <c r="G685" s="23"/>
    </row>
    <row r="686" spans="3:7" x14ac:dyDescent="0.3">
      <c r="C686" s="6"/>
      <c r="E686" s="23"/>
      <c r="G686" s="23"/>
    </row>
    <row r="687" spans="3:7" x14ac:dyDescent="0.3">
      <c r="C687" s="6"/>
      <c r="E687" s="23"/>
      <c r="G687" s="23"/>
    </row>
    <row r="688" spans="3:7" x14ac:dyDescent="0.3">
      <c r="C688" s="6"/>
      <c r="E688" s="23"/>
      <c r="G688" s="23"/>
    </row>
    <row r="689" spans="3:7" x14ac:dyDescent="0.3">
      <c r="C689" s="6"/>
      <c r="E689" s="23"/>
      <c r="G689" s="23"/>
    </row>
    <row r="690" spans="3:7" x14ac:dyDescent="0.3">
      <c r="C690" s="6"/>
      <c r="E690" s="23"/>
      <c r="G690" s="23"/>
    </row>
    <row r="691" spans="3:7" x14ac:dyDescent="0.3">
      <c r="C691" s="6"/>
      <c r="E691" s="23"/>
      <c r="G691" s="23"/>
    </row>
    <row r="692" spans="3:7" x14ac:dyDescent="0.3">
      <c r="C692" s="6"/>
      <c r="E692" s="23"/>
      <c r="G692" s="23"/>
    </row>
    <row r="693" spans="3:7" x14ac:dyDescent="0.3">
      <c r="C693" s="6"/>
      <c r="E693" s="23"/>
      <c r="G693" s="23"/>
    </row>
    <row r="694" spans="3:7" x14ac:dyDescent="0.3">
      <c r="C694" s="6"/>
      <c r="E694" s="23"/>
      <c r="G694" s="23"/>
    </row>
    <row r="695" spans="3:7" x14ac:dyDescent="0.3">
      <c r="C695" s="6"/>
      <c r="E695" s="23"/>
      <c r="G695" s="23"/>
    </row>
    <row r="696" spans="3:7" x14ac:dyDescent="0.3">
      <c r="C696" s="6"/>
      <c r="E696" s="23"/>
      <c r="G696" s="23"/>
    </row>
    <row r="697" spans="3:7" x14ac:dyDescent="0.3">
      <c r="C697" s="6"/>
      <c r="E697" s="23"/>
      <c r="G697" s="23"/>
    </row>
    <row r="698" spans="3:7" x14ac:dyDescent="0.3">
      <c r="C698" s="6"/>
      <c r="E698" s="23"/>
      <c r="G698" s="23"/>
    </row>
    <row r="699" spans="3:7" x14ac:dyDescent="0.3">
      <c r="C699" s="6"/>
      <c r="E699" s="23"/>
      <c r="G699" s="23"/>
    </row>
    <row r="700" spans="3:7" x14ac:dyDescent="0.3">
      <c r="C700" s="6"/>
      <c r="E700" s="23"/>
      <c r="G700" s="23"/>
    </row>
    <row r="701" spans="3:7" x14ac:dyDescent="0.3">
      <c r="C701" s="6"/>
      <c r="E701" s="23"/>
      <c r="G701" s="23"/>
    </row>
    <row r="702" spans="3:7" x14ac:dyDescent="0.3">
      <c r="C702" s="6"/>
      <c r="E702" s="23"/>
      <c r="G702" s="23"/>
    </row>
    <row r="703" spans="3:7" x14ac:dyDescent="0.3">
      <c r="C703" s="6"/>
      <c r="E703" s="23"/>
      <c r="G703" s="23"/>
    </row>
    <row r="704" spans="3:7" x14ac:dyDescent="0.3">
      <c r="C704" s="6"/>
      <c r="E704" s="23"/>
      <c r="G704" s="23"/>
    </row>
    <row r="705" spans="3:7" x14ac:dyDescent="0.3">
      <c r="C705" s="6"/>
      <c r="E705" s="23"/>
      <c r="G705" s="23"/>
    </row>
    <row r="706" spans="3:7" x14ac:dyDescent="0.3">
      <c r="C706" s="6"/>
      <c r="E706" s="23"/>
      <c r="G706" s="23"/>
    </row>
    <row r="707" spans="3:7" x14ac:dyDescent="0.3">
      <c r="C707" s="6"/>
      <c r="E707" s="23"/>
      <c r="G707" s="23"/>
    </row>
    <row r="708" spans="3:7" x14ac:dyDescent="0.3">
      <c r="C708" s="6"/>
      <c r="E708" s="23"/>
      <c r="G708" s="23"/>
    </row>
    <row r="709" spans="3:7" x14ac:dyDescent="0.3">
      <c r="C709" s="6"/>
      <c r="E709" s="23"/>
      <c r="G709" s="23"/>
    </row>
    <row r="710" spans="3:7" x14ac:dyDescent="0.3">
      <c r="C710" s="6"/>
      <c r="E710" s="23"/>
      <c r="G710" s="23"/>
    </row>
    <row r="711" spans="3:7" x14ac:dyDescent="0.3">
      <c r="C711" s="6"/>
      <c r="E711" s="23"/>
      <c r="G711" s="23"/>
    </row>
    <row r="712" spans="3:7" x14ac:dyDescent="0.3">
      <c r="C712" s="6"/>
      <c r="E712" s="23"/>
      <c r="G712" s="23"/>
    </row>
    <row r="713" spans="3:7" x14ac:dyDescent="0.3">
      <c r="C713" s="6"/>
      <c r="E713" s="23"/>
      <c r="G713" s="23"/>
    </row>
    <row r="714" spans="3:7" x14ac:dyDescent="0.3">
      <c r="C714" s="6"/>
      <c r="E714" s="23"/>
      <c r="G714" s="23"/>
    </row>
    <row r="715" spans="3:7" x14ac:dyDescent="0.3">
      <c r="C715" s="6"/>
      <c r="E715" s="23"/>
      <c r="G715" s="23"/>
    </row>
    <row r="716" spans="3:7" x14ac:dyDescent="0.3">
      <c r="C716" s="6"/>
      <c r="E716" s="23"/>
      <c r="G716" s="23"/>
    </row>
    <row r="717" spans="3:7" x14ac:dyDescent="0.3">
      <c r="C717" s="6"/>
      <c r="E717" s="23"/>
      <c r="G717" s="23"/>
    </row>
    <row r="718" spans="3:7" x14ac:dyDescent="0.3">
      <c r="C718" s="6"/>
      <c r="E718" s="23"/>
      <c r="G718" s="23"/>
    </row>
    <row r="719" spans="3:7" x14ac:dyDescent="0.3">
      <c r="C719" s="6"/>
      <c r="E719" s="23"/>
      <c r="G719" s="23"/>
    </row>
    <row r="720" spans="3:7" x14ac:dyDescent="0.3">
      <c r="C720" s="6"/>
      <c r="E720" s="23"/>
      <c r="G720" s="23"/>
    </row>
    <row r="721" spans="3:7" x14ac:dyDescent="0.3">
      <c r="C721" s="6"/>
      <c r="E721" s="23"/>
      <c r="G721" s="23"/>
    </row>
    <row r="722" spans="3:7" x14ac:dyDescent="0.3">
      <c r="C722" s="6"/>
      <c r="E722" s="23"/>
      <c r="G722" s="23"/>
    </row>
    <row r="723" spans="3:7" x14ac:dyDescent="0.3">
      <c r="C723" s="6"/>
      <c r="E723" s="23"/>
      <c r="G723" s="23"/>
    </row>
    <row r="724" spans="3:7" x14ac:dyDescent="0.3">
      <c r="C724" s="6"/>
      <c r="E724" s="23"/>
      <c r="G724" s="23"/>
    </row>
    <row r="725" spans="3:7" x14ac:dyDescent="0.3">
      <c r="C725" s="6"/>
      <c r="E725" s="23"/>
      <c r="G725" s="23"/>
    </row>
    <row r="726" spans="3:7" x14ac:dyDescent="0.3">
      <c r="C726" s="6"/>
      <c r="E726" s="23"/>
      <c r="G726" s="23"/>
    </row>
    <row r="727" spans="3:7" x14ac:dyDescent="0.3">
      <c r="C727" s="6"/>
      <c r="E727" s="23"/>
      <c r="G727" s="23"/>
    </row>
    <row r="728" spans="3:7" x14ac:dyDescent="0.3">
      <c r="C728" s="6"/>
      <c r="E728" s="23"/>
      <c r="G728" s="23"/>
    </row>
    <row r="729" spans="3:7" x14ac:dyDescent="0.3">
      <c r="C729" s="6"/>
      <c r="E729" s="23"/>
      <c r="G729" s="23"/>
    </row>
    <row r="730" spans="3:7" x14ac:dyDescent="0.3">
      <c r="C730" s="6"/>
      <c r="E730" s="23"/>
      <c r="G730" s="23"/>
    </row>
    <row r="731" spans="3:7" x14ac:dyDescent="0.3">
      <c r="C731" s="6"/>
      <c r="E731" s="23"/>
      <c r="G731" s="23"/>
    </row>
    <row r="732" spans="3:7" x14ac:dyDescent="0.3">
      <c r="C732" s="6"/>
      <c r="E732" s="23"/>
      <c r="G732" s="23"/>
    </row>
    <row r="733" spans="3:7" x14ac:dyDescent="0.3">
      <c r="C733" s="6"/>
      <c r="E733" s="23"/>
      <c r="G733" s="23"/>
    </row>
    <row r="734" spans="3:7" x14ac:dyDescent="0.3">
      <c r="C734" s="6"/>
      <c r="E734" s="23"/>
      <c r="G734" s="23"/>
    </row>
    <row r="735" spans="3:7" x14ac:dyDescent="0.3">
      <c r="C735" s="6"/>
      <c r="E735" s="23"/>
      <c r="G735" s="23"/>
    </row>
    <row r="736" spans="3:7" x14ac:dyDescent="0.3">
      <c r="C736" s="6"/>
      <c r="E736" s="23"/>
      <c r="G736" s="23"/>
    </row>
    <row r="737" spans="3:7" x14ac:dyDescent="0.3">
      <c r="C737" s="6"/>
      <c r="E737" s="23"/>
      <c r="G737" s="23"/>
    </row>
    <row r="738" spans="3:7" x14ac:dyDescent="0.3">
      <c r="C738" s="6"/>
      <c r="E738" s="23"/>
      <c r="G738" s="23"/>
    </row>
    <row r="739" spans="3:7" x14ac:dyDescent="0.3">
      <c r="C739" s="6"/>
      <c r="E739" s="23"/>
      <c r="G739" s="23"/>
    </row>
    <row r="740" spans="3:7" x14ac:dyDescent="0.3">
      <c r="C740" s="6"/>
      <c r="E740" s="23"/>
      <c r="G740" s="23"/>
    </row>
    <row r="741" spans="3:7" x14ac:dyDescent="0.3">
      <c r="C741" s="6"/>
      <c r="E741" s="23"/>
      <c r="G741" s="23"/>
    </row>
    <row r="742" spans="3:7" x14ac:dyDescent="0.3">
      <c r="C742" s="6"/>
      <c r="E742" s="23"/>
      <c r="G742" s="23"/>
    </row>
    <row r="743" spans="3:7" x14ac:dyDescent="0.3">
      <c r="C743" s="6"/>
      <c r="E743" s="23"/>
      <c r="G743" s="23"/>
    </row>
    <row r="744" spans="3:7" x14ac:dyDescent="0.3">
      <c r="C744" s="6"/>
      <c r="E744" s="23"/>
      <c r="G744" s="23"/>
    </row>
    <row r="745" spans="3:7" x14ac:dyDescent="0.3">
      <c r="C745" s="6"/>
      <c r="E745" s="23"/>
      <c r="G745" s="23"/>
    </row>
    <row r="746" spans="3:7" x14ac:dyDescent="0.3">
      <c r="C746" s="6"/>
      <c r="E746" s="23"/>
      <c r="G746" s="23"/>
    </row>
    <row r="747" spans="3:7" x14ac:dyDescent="0.3">
      <c r="C747" s="6"/>
      <c r="E747" s="23"/>
      <c r="G747" s="23"/>
    </row>
    <row r="748" spans="3:7" x14ac:dyDescent="0.3">
      <c r="C748" s="6"/>
      <c r="E748" s="23"/>
      <c r="G748" s="23"/>
    </row>
    <row r="749" spans="3:7" x14ac:dyDescent="0.3">
      <c r="C749" s="6"/>
      <c r="E749" s="23"/>
      <c r="G749" s="23"/>
    </row>
    <row r="750" spans="3:7" x14ac:dyDescent="0.3">
      <c r="C750" s="6"/>
      <c r="E750" s="23"/>
      <c r="G750" s="23"/>
    </row>
    <row r="751" spans="3:7" x14ac:dyDescent="0.3">
      <c r="C751" s="6"/>
      <c r="E751" s="23"/>
      <c r="G751" s="23"/>
    </row>
    <row r="752" spans="3:7" x14ac:dyDescent="0.3">
      <c r="C752" s="6"/>
      <c r="E752" s="23"/>
      <c r="G752" s="23"/>
    </row>
    <row r="753" spans="3:7" x14ac:dyDescent="0.3">
      <c r="C753" s="6"/>
      <c r="E753" s="23"/>
      <c r="G753" s="23"/>
    </row>
    <row r="754" spans="3:7" x14ac:dyDescent="0.3">
      <c r="C754" s="6"/>
      <c r="E754" s="23"/>
      <c r="G754" s="23"/>
    </row>
    <row r="755" spans="3:7" x14ac:dyDescent="0.3">
      <c r="C755" s="6"/>
      <c r="E755" s="23"/>
      <c r="G755" s="23"/>
    </row>
    <row r="756" spans="3:7" x14ac:dyDescent="0.3">
      <c r="C756" s="6"/>
      <c r="E756" s="23"/>
      <c r="G756" s="23"/>
    </row>
    <row r="757" spans="3:7" x14ac:dyDescent="0.3">
      <c r="C757" s="6"/>
      <c r="E757" s="23"/>
      <c r="G757" s="23"/>
    </row>
    <row r="758" spans="3:7" x14ac:dyDescent="0.3">
      <c r="C758" s="6"/>
      <c r="E758" s="23"/>
      <c r="G758" s="23"/>
    </row>
    <row r="759" spans="3:7" x14ac:dyDescent="0.3">
      <c r="C759" s="6"/>
      <c r="E759" s="23"/>
      <c r="G759" s="23"/>
    </row>
    <row r="760" spans="3:7" x14ac:dyDescent="0.3">
      <c r="C760" s="6"/>
      <c r="E760" s="23"/>
      <c r="G760" s="23"/>
    </row>
    <row r="761" spans="3:7" x14ac:dyDescent="0.3">
      <c r="C761" s="6"/>
      <c r="E761" s="23"/>
      <c r="G761" s="23"/>
    </row>
    <row r="762" spans="3:7" x14ac:dyDescent="0.3">
      <c r="C762" s="6"/>
      <c r="E762" s="23"/>
      <c r="G762" s="23"/>
    </row>
    <row r="763" spans="3:7" x14ac:dyDescent="0.3">
      <c r="C763" s="6"/>
      <c r="E763" s="23"/>
      <c r="G763" s="23"/>
    </row>
    <row r="764" spans="3:7" x14ac:dyDescent="0.3">
      <c r="C764" s="6"/>
      <c r="E764" s="23"/>
      <c r="G764" s="23"/>
    </row>
    <row r="765" spans="3:7" x14ac:dyDescent="0.3">
      <c r="C765" s="6"/>
      <c r="E765" s="23"/>
      <c r="G765" s="23"/>
    </row>
    <row r="766" spans="3:7" x14ac:dyDescent="0.3">
      <c r="C766" s="6"/>
      <c r="E766" s="23"/>
      <c r="G766" s="23"/>
    </row>
    <row r="767" spans="3:7" x14ac:dyDescent="0.3">
      <c r="C767" s="6"/>
      <c r="E767" s="23"/>
      <c r="G767" s="23"/>
    </row>
    <row r="768" spans="3:7" x14ac:dyDescent="0.3">
      <c r="C768" s="6"/>
      <c r="E768" s="23"/>
      <c r="G768" s="23"/>
    </row>
    <row r="769" spans="3:7" x14ac:dyDescent="0.3">
      <c r="C769" s="6"/>
      <c r="E769" s="23"/>
      <c r="G769" s="23"/>
    </row>
    <row r="770" spans="3:7" x14ac:dyDescent="0.3">
      <c r="C770" s="6"/>
      <c r="E770" s="23"/>
      <c r="G770" s="23"/>
    </row>
    <row r="771" spans="3:7" x14ac:dyDescent="0.3">
      <c r="C771" s="6"/>
      <c r="E771" s="23"/>
      <c r="G771" s="23"/>
    </row>
    <row r="772" spans="3:7" x14ac:dyDescent="0.3">
      <c r="C772" s="6"/>
      <c r="E772" s="23"/>
      <c r="G772" s="23"/>
    </row>
    <row r="773" spans="3:7" x14ac:dyDescent="0.3">
      <c r="C773" s="6"/>
      <c r="E773" s="23"/>
      <c r="G773" s="23"/>
    </row>
    <row r="774" spans="3:7" x14ac:dyDescent="0.3">
      <c r="C774" s="6"/>
      <c r="E774" s="23"/>
      <c r="G774" s="23"/>
    </row>
    <row r="775" spans="3:7" x14ac:dyDescent="0.3">
      <c r="C775" s="6"/>
      <c r="E775" s="23"/>
      <c r="G775" s="23"/>
    </row>
    <row r="776" spans="3:7" x14ac:dyDescent="0.3">
      <c r="C776" s="6"/>
      <c r="E776" s="23"/>
      <c r="G776" s="23"/>
    </row>
    <row r="777" spans="3:7" x14ac:dyDescent="0.3">
      <c r="C777" s="6"/>
      <c r="E777" s="23"/>
      <c r="G777" s="23"/>
    </row>
    <row r="778" spans="3:7" x14ac:dyDescent="0.3">
      <c r="C778" s="6"/>
      <c r="E778" s="23"/>
      <c r="G778" s="23"/>
    </row>
    <row r="779" spans="3:7" x14ac:dyDescent="0.3">
      <c r="C779" s="6"/>
      <c r="E779" s="23"/>
      <c r="G779" s="23"/>
    </row>
    <row r="780" spans="3:7" x14ac:dyDescent="0.3">
      <c r="C780" s="6"/>
      <c r="E780" s="23"/>
      <c r="G780" s="23"/>
    </row>
    <row r="781" spans="3:7" x14ac:dyDescent="0.3">
      <c r="C781" s="6"/>
      <c r="E781" s="23"/>
      <c r="G781" s="23"/>
    </row>
    <row r="782" spans="3:7" x14ac:dyDescent="0.3">
      <c r="C782" s="6"/>
      <c r="E782" s="23"/>
      <c r="G782" s="23"/>
    </row>
    <row r="783" spans="3:7" x14ac:dyDescent="0.3">
      <c r="C783" s="6"/>
      <c r="E783" s="23"/>
      <c r="G783" s="23"/>
    </row>
    <row r="784" spans="3:7" x14ac:dyDescent="0.3">
      <c r="C784" s="6"/>
      <c r="E784" s="23"/>
      <c r="G784" s="23"/>
    </row>
    <row r="785" spans="3:7" x14ac:dyDescent="0.3">
      <c r="C785" s="6"/>
      <c r="E785" s="23"/>
      <c r="G785" s="23"/>
    </row>
    <row r="786" spans="3:7" x14ac:dyDescent="0.3">
      <c r="C786" s="6"/>
      <c r="E786" s="23"/>
      <c r="G786" s="23"/>
    </row>
    <row r="787" spans="3:7" x14ac:dyDescent="0.3">
      <c r="C787" s="6"/>
      <c r="E787" s="23"/>
      <c r="G787" s="23"/>
    </row>
    <row r="788" spans="3:7" x14ac:dyDescent="0.3">
      <c r="C788" s="6"/>
      <c r="E788" s="23"/>
      <c r="G788" s="23"/>
    </row>
    <row r="789" spans="3:7" x14ac:dyDescent="0.3">
      <c r="C789" s="6"/>
      <c r="E789" s="23"/>
      <c r="G789" s="23"/>
    </row>
    <row r="790" spans="3:7" x14ac:dyDescent="0.3">
      <c r="C790" s="6"/>
      <c r="E790" s="23"/>
      <c r="G790" s="23"/>
    </row>
    <row r="791" spans="3:7" x14ac:dyDescent="0.3">
      <c r="C791" s="6"/>
      <c r="E791" s="23"/>
      <c r="G791" s="23"/>
    </row>
    <row r="792" spans="3:7" x14ac:dyDescent="0.3">
      <c r="C792" s="6"/>
      <c r="E792" s="23"/>
      <c r="G792" s="23"/>
    </row>
    <row r="793" spans="3:7" x14ac:dyDescent="0.3">
      <c r="C793" s="6"/>
      <c r="E793" s="23"/>
      <c r="G793" s="23"/>
    </row>
    <row r="794" spans="3:7" x14ac:dyDescent="0.3">
      <c r="C794" s="6"/>
      <c r="E794" s="23"/>
      <c r="G794" s="23"/>
    </row>
    <row r="795" spans="3:7" x14ac:dyDescent="0.3">
      <c r="C795" s="6"/>
      <c r="E795" s="23"/>
      <c r="G795" s="23"/>
    </row>
    <row r="796" spans="3:7" x14ac:dyDescent="0.3">
      <c r="C796" s="6"/>
      <c r="E796" s="23"/>
      <c r="G796" s="23"/>
    </row>
    <row r="797" spans="3:7" x14ac:dyDescent="0.3">
      <c r="C797" s="6"/>
      <c r="E797" s="23"/>
      <c r="G797" s="23"/>
    </row>
    <row r="798" spans="3:7" x14ac:dyDescent="0.3">
      <c r="C798" s="6"/>
      <c r="E798" s="23"/>
      <c r="G798" s="23"/>
    </row>
    <row r="799" spans="3:7" x14ac:dyDescent="0.3">
      <c r="C799" s="6"/>
      <c r="E799" s="23"/>
      <c r="G799" s="23"/>
    </row>
    <row r="800" spans="3:7" x14ac:dyDescent="0.3">
      <c r="C800" s="6"/>
      <c r="E800" s="23"/>
      <c r="G800" s="23"/>
    </row>
    <row r="801" spans="3:7" x14ac:dyDescent="0.3">
      <c r="C801" s="6"/>
      <c r="E801" s="23"/>
      <c r="G801" s="23"/>
    </row>
    <row r="802" spans="3:7" x14ac:dyDescent="0.3">
      <c r="C802" s="6"/>
      <c r="E802" s="23"/>
      <c r="G802" s="23"/>
    </row>
    <row r="803" spans="3:7" x14ac:dyDescent="0.3">
      <c r="C803" s="6"/>
      <c r="E803" s="23"/>
      <c r="G803" s="23"/>
    </row>
    <row r="804" spans="3:7" x14ac:dyDescent="0.3">
      <c r="C804" s="6"/>
      <c r="E804" s="23"/>
      <c r="G804" s="23"/>
    </row>
    <row r="805" spans="3:7" x14ac:dyDescent="0.3">
      <c r="C805" s="6"/>
      <c r="E805" s="23"/>
      <c r="G805" s="23"/>
    </row>
    <row r="806" spans="3:7" x14ac:dyDescent="0.3">
      <c r="C806" s="6"/>
      <c r="E806" s="23"/>
      <c r="G806" s="23"/>
    </row>
    <row r="807" spans="3:7" x14ac:dyDescent="0.3">
      <c r="C807" s="6"/>
      <c r="E807" s="23"/>
      <c r="G807" s="23"/>
    </row>
    <row r="808" spans="3:7" x14ac:dyDescent="0.3">
      <c r="C808" s="6"/>
      <c r="E808" s="23"/>
      <c r="G808" s="23"/>
    </row>
    <row r="809" spans="3:7" x14ac:dyDescent="0.3">
      <c r="C809" s="6"/>
      <c r="E809" s="23"/>
      <c r="G809" s="23"/>
    </row>
    <row r="810" spans="3:7" x14ac:dyDescent="0.3">
      <c r="C810" s="6"/>
      <c r="E810" s="23"/>
      <c r="G810" s="23"/>
    </row>
    <row r="811" spans="3:7" x14ac:dyDescent="0.3">
      <c r="C811" s="6"/>
      <c r="E811" s="23"/>
      <c r="G811" s="23"/>
    </row>
    <row r="812" spans="3:7" x14ac:dyDescent="0.3">
      <c r="C812" s="6"/>
      <c r="E812" s="23"/>
      <c r="G812" s="23"/>
    </row>
    <row r="813" spans="3:7" x14ac:dyDescent="0.3">
      <c r="C813" s="6"/>
      <c r="E813" s="23"/>
      <c r="G813" s="23"/>
    </row>
    <row r="814" spans="3:7" x14ac:dyDescent="0.3">
      <c r="C814" s="6"/>
      <c r="E814" s="23"/>
      <c r="G814" s="23"/>
    </row>
    <row r="815" spans="3:7" x14ac:dyDescent="0.3">
      <c r="C815" s="6"/>
      <c r="E815" s="23"/>
      <c r="G815" s="23"/>
    </row>
    <row r="816" spans="3:7" x14ac:dyDescent="0.3">
      <c r="C816" s="6"/>
      <c r="E816" s="23"/>
      <c r="G816" s="23"/>
    </row>
    <row r="817" spans="3:7" x14ac:dyDescent="0.3">
      <c r="C817" s="6"/>
      <c r="E817" s="23"/>
      <c r="G817" s="23"/>
    </row>
    <row r="818" spans="3:7" x14ac:dyDescent="0.3">
      <c r="C818" s="6"/>
      <c r="E818" s="23"/>
      <c r="G818" s="23"/>
    </row>
    <row r="819" spans="3:7" x14ac:dyDescent="0.3">
      <c r="C819" s="6"/>
      <c r="E819" s="23"/>
      <c r="G819" s="23"/>
    </row>
    <row r="820" spans="3:7" x14ac:dyDescent="0.3">
      <c r="C820" s="6"/>
      <c r="E820" s="23"/>
      <c r="G820" s="23"/>
    </row>
    <row r="821" spans="3:7" x14ac:dyDescent="0.3">
      <c r="C821" s="6"/>
      <c r="E821" s="23"/>
      <c r="G821" s="23"/>
    </row>
    <row r="822" spans="3:7" x14ac:dyDescent="0.3">
      <c r="C822" s="6"/>
      <c r="E822" s="23"/>
      <c r="G822" s="23"/>
    </row>
    <row r="823" spans="3:7" x14ac:dyDescent="0.3">
      <c r="C823" s="6"/>
      <c r="E823" s="23"/>
      <c r="G823" s="23"/>
    </row>
    <row r="824" spans="3:7" x14ac:dyDescent="0.3">
      <c r="C824" s="6"/>
      <c r="E824" s="23"/>
      <c r="G824" s="23"/>
    </row>
    <row r="825" spans="3:7" x14ac:dyDescent="0.3">
      <c r="C825" s="6"/>
      <c r="E825" s="23"/>
      <c r="G825" s="23"/>
    </row>
    <row r="826" spans="3:7" x14ac:dyDescent="0.3">
      <c r="C826" s="6"/>
      <c r="E826" s="23"/>
      <c r="G826" s="23"/>
    </row>
    <row r="827" spans="3:7" x14ac:dyDescent="0.3">
      <c r="C827" s="6"/>
      <c r="E827" s="23"/>
      <c r="G827" s="23"/>
    </row>
    <row r="828" spans="3:7" x14ac:dyDescent="0.3">
      <c r="C828" s="6"/>
      <c r="E828" s="23"/>
      <c r="G828" s="23"/>
    </row>
    <row r="829" spans="3:7" x14ac:dyDescent="0.3">
      <c r="C829" s="6"/>
      <c r="E829" s="23"/>
      <c r="G829" s="23"/>
    </row>
    <row r="830" spans="3:7" x14ac:dyDescent="0.3">
      <c r="C830" s="6"/>
      <c r="E830" s="23"/>
      <c r="G830" s="23"/>
    </row>
    <row r="831" spans="3:7" x14ac:dyDescent="0.3">
      <c r="C831" s="6"/>
      <c r="E831" s="23"/>
      <c r="G831" s="23"/>
    </row>
    <row r="832" spans="3:7" x14ac:dyDescent="0.3">
      <c r="C832" s="6"/>
      <c r="E832" s="23"/>
      <c r="G832" s="23"/>
    </row>
    <row r="833" spans="3:7" x14ac:dyDescent="0.3">
      <c r="C833" s="6"/>
      <c r="E833" s="23"/>
      <c r="G833" s="23"/>
    </row>
    <row r="834" spans="3:7" x14ac:dyDescent="0.3">
      <c r="C834" s="6"/>
      <c r="E834" s="23"/>
      <c r="G834" s="23"/>
    </row>
    <row r="835" spans="3:7" x14ac:dyDescent="0.3">
      <c r="C835" s="6"/>
      <c r="E835" s="23"/>
      <c r="G835" s="23"/>
    </row>
    <row r="836" spans="3:7" x14ac:dyDescent="0.3">
      <c r="C836" s="6"/>
      <c r="E836" s="23"/>
      <c r="G836" s="23"/>
    </row>
    <row r="837" spans="3:7" x14ac:dyDescent="0.3">
      <c r="C837" s="6"/>
      <c r="E837" s="23"/>
      <c r="G837" s="23"/>
    </row>
    <row r="838" spans="3:7" x14ac:dyDescent="0.3">
      <c r="C838" s="6"/>
      <c r="E838" s="23"/>
      <c r="G838" s="23"/>
    </row>
    <row r="839" spans="3:7" x14ac:dyDescent="0.3">
      <c r="C839" s="6"/>
      <c r="E839" s="23"/>
      <c r="G839" s="23"/>
    </row>
    <row r="840" spans="3:7" x14ac:dyDescent="0.3">
      <c r="C840" s="6"/>
      <c r="E840" s="23"/>
      <c r="G840" s="23"/>
    </row>
    <row r="841" spans="3:7" x14ac:dyDescent="0.3">
      <c r="C841" s="6"/>
      <c r="E841" s="23"/>
      <c r="G841" s="23"/>
    </row>
    <row r="842" spans="3:7" x14ac:dyDescent="0.3">
      <c r="C842" s="6"/>
      <c r="E842" s="23"/>
      <c r="G842" s="23"/>
    </row>
    <row r="843" spans="3:7" x14ac:dyDescent="0.3">
      <c r="C843" s="6"/>
      <c r="E843" s="23"/>
      <c r="G843" s="23"/>
    </row>
    <row r="844" spans="3:7" x14ac:dyDescent="0.3">
      <c r="C844" s="6"/>
      <c r="E844" s="23"/>
      <c r="G844" s="23"/>
    </row>
    <row r="845" spans="3:7" x14ac:dyDescent="0.3">
      <c r="C845" s="6"/>
      <c r="E845" s="23"/>
      <c r="G845" s="23"/>
    </row>
    <row r="846" spans="3:7" x14ac:dyDescent="0.3">
      <c r="C846" s="6"/>
      <c r="E846" s="23"/>
      <c r="G846" s="23"/>
    </row>
    <row r="847" spans="3:7" x14ac:dyDescent="0.3">
      <c r="C847" s="6"/>
      <c r="E847" s="23"/>
      <c r="G847" s="23"/>
    </row>
    <row r="848" spans="3:7" x14ac:dyDescent="0.3">
      <c r="C848" s="6"/>
      <c r="E848" s="23"/>
      <c r="G848" s="23"/>
    </row>
    <row r="849" spans="3:7" x14ac:dyDescent="0.3">
      <c r="C849" s="6"/>
      <c r="E849" s="23"/>
      <c r="G849" s="23"/>
    </row>
    <row r="850" spans="3:7" x14ac:dyDescent="0.3">
      <c r="C850" s="6"/>
      <c r="E850" s="23"/>
      <c r="G850" s="23"/>
    </row>
    <row r="851" spans="3:7" x14ac:dyDescent="0.3">
      <c r="C851" s="6"/>
      <c r="E851" s="23"/>
      <c r="G851" s="23"/>
    </row>
    <row r="852" spans="3:7" x14ac:dyDescent="0.3">
      <c r="C852" s="6"/>
      <c r="E852" s="23"/>
      <c r="G852" s="23"/>
    </row>
    <row r="853" spans="3:7" x14ac:dyDescent="0.3">
      <c r="C853" s="6"/>
      <c r="E853" s="23"/>
      <c r="G853" s="23"/>
    </row>
    <row r="854" spans="3:7" x14ac:dyDescent="0.3">
      <c r="C854" s="6"/>
      <c r="E854" s="23"/>
      <c r="G854" s="23"/>
    </row>
    <row r="855" spans="3:7" x14ac:dyDescent="0.3">
      <c r="C855" s="6"/>
      <c r="E855" s="23"/>
      <c r="G855" s="23"/>
    </row>
    <row r="856" spans="3:7" x14ac:dyDescent="0.3">
      <c r="C856" s="6"/>
      <c r="E856" s="23"/>
      <c r="G856" s="23"/>
    </row>
    <row r="857" spans="3:7" x14ac:dyDescent="0.3">
      <c r="C857" s="6"/>
      <c r="E857" s="23"/>
      <c r="G857" s="23"/>
    </row>
    <row r="858" spans="3:7" x14ac:dyDescent="0.3">
      <c r="C858" s="6"/>
      <c r="E858" s="23"/>
      <c r="G858" s="23"/>
    </row>
    <row r="859" spans="3:7" x14ac:dyDescent="0.3">
      <c r="C859" s="6"/>
      <c r="E859" s="23"/>
      <c r="G859" s="23"/>
    </row>
    <row r="860" spans="3:7" x14ac:dyDescent="0.3">
      <c r="C860" s="6"/>
      <c r="E860" s="23"/>
      <c r="G860" s="23"/>
    </row>
    <row r="861" spans="3:7" x14ac:dyDescent="0.3">
      <c r="C861" s="6"/>
      <c r="E861" s="23"/>
      <c r="G861" s="23"/>
    </row>
    <row r="862" spans="3:7" x14ac:dyDescent="0.3">
      <c r="C862" s="6"/>
      <c r="E862" s="23"/>
      <c r="G862" s="23"/>
    </row>
    <row r="863" spans="3:7" x14ac:dyDescent="0.3">
      <c r="C863" s="6"/>
      <c r="E863" s="23"/>
      <c r="G863" s="23"/>
    </row>
    <row r="864" spans="3:7" x14ac:dyDescent="0.3">
      <c r="C864" s="6"/>
      <c r="E864" s="23"/>
      <c r="G864" s="23"/>
    </row>
    <row r="865" spans="3:7" x14ac:dyDescent="0.3">
      <c r="C865" s="6"/>
      <c r="E865" s="23"/>
      <c r="G865" s="23"/>
    </row>
    <row r="866" spans="3:7" x14ac:dyDescent="0.3">
      <c r="C866" s="6"/>
      <c r="E866" s="23"/>
      <c r="G866" s="23"/>
    </row>
    <row r="867" spans="3:7" x14ac:dyDescent="0.3">
      <c r="C867" s="6"/>
      <c r="E867" s="23"/>
      <c r="G867" s="23"/>
    </row>
    <row r="868" spans="3:7" x14ac:dyDescent="0.3">
      <c r="C868" s="6"/>
      <c r="E868" s="23"/>
      <c r="G868" s="23"/>
    </row>
    <row r="869" spans="3:7" x14ac:dyDescent="0.3">
      <c r="C869" s="6"/>
      <c r="E869" s="23"/>
      <c r="G869" s="23"/>
    </row>
    <row r="870" spans="3:7" x14ac:dyDescent="0.3">
      <c r="C870" s="6"/>
      <c r="E870" s="23"/>
      <c r="G870" s="23"/>
    </row>
    <row r="871" spans="3:7" x14ac:dyDescent="0.3">
      <c r="C871" s="6"/>
      <c r="E871" s="23"/>
      <c r="G871" s="23"/>
    </row>
    <row r="872" spans="3:7" x14ac:dyDescent="0.3">
      <c r="C872" s="6"/>
      <c r="E872" s="23"/>
      <c r="G872" s="23"/>
    </row>
    <row r="873" spans="3:7" x14ac:dyDescent="0.3">
      <c r="C873" s="6"/>
      <c r="E873" s="23"/>
      <c r="G873" s="23"/>
    </row>
    <row r="874" spans="3:7" x14ac:dyDescent="0.3">
      <c r="C874" s="6"/>
      <c r="E874" s="23"/>
      <c r="G874" s="23"/>
    </row>
    <row r="875" spans="3:7" x14ac:dyDescent="0.3">
      <c r="C875" s="6"/>
      <c r="E875" s="23"/>
      <c r="G875" s="23"/>
    </row>
    <row r="876" spans="3:7" x14ac:dyDescent="0.3">
      <c r="C876" s="6"/>
      <c r="E876" s="23"/>
      <c r="G876" s="23"/>
    </row>
    <row r="877" spans="3:7" x14ac:dyDescent="0.3">
      <c r="C877" s="6"/>
      <c r="E877" s="23"/>
      <c r="G877" s="23"/>
    </row>
    <row r="878" spans="3:7" x14ac:dyDescent="0.3">
      <c r="C878" s="6"/>
      <c r="E878" s="23"/>
      <c r="G878" s="23"/>
    </row>
    <row r="879" spans="3:7" x14ac:dyDescent="0.3">
      <c r="C879" s="6"/>
      <c r="E879" s="23"/>
      <c r="G879" s="23"/>
    </row>
    <row r="880" spans="3:7" x14ac:dyDescent="0.3">
      <c r="C880" s="6"/>
      <c r="E880" s="23"/>
      <c r="G880" s="23"/>
    </row>
    <row r="881" spans="3:7" x14ac:dyDescent="0.3">
      <c r="C881" s="6"/>
      <c r="E881" s="23"/>
      <c r="G881" s="23"/>
    </row>
    <row r="882" spans="3:7" x14ac:dyDescent="0.3">
      <c r="C882" s="6"/>
      <c r="E882" s="23"/>
      <c r="G882" s="23"/>
    </row>
    <row r="883" spans="3:7" x14ac:dyDescent="0.3">
      <c r="C883" s="6"/>
      <c r="E883" s="23"/>
      <c r="G883" s="23"/>
    </row>
    <row r="884" spans="3:7" x14ac:dyDescent="0.3">
      <c r="C884" s="6"/>
      <c r="E884" s="23"/>
      <c r="G884" s="23"/>
    </row>
    <row r="885" spans="3:7" x14ac:dyDescent="0.3">
      <c r="C885" s="6"/>
      <c r="E885" s="23"/>
      <c r="G885" s="23"/>
    </row>
    <row r="886" spans="3:7" x14ac:dyDescent="0.3">
      <c r="C886" s="6"/>
      <c r="E886" s="23"/>
      <c r="G886" s="23"/>
    </row>
    <row r="887" spans="3:7" x14ac:dyDescent="0.3">
      <c r="C887" s="6"/>
      <c r="E887" s="23"/>
      <c r="G887" s="23"/>
    </row>
    <row r="888" spans="3:7" x14ac:dyDescent="0.3">
      <c r="C888" s="6"/>
      <c r="E888" s="23"/>
      <c r="G888" s="23"/>
    </row>
    <row r="889" spans="3:7" x14ac:dyDescent="0.3">
      <c r="C889" s="6"/>
      <c r="E889" s="23"/>
      <c r="G889" s="23"/>
    </row>
    <row r="890" spans="3:7" x14ac:dyDescent="0.3">
      <c r="C890" s="6"/>
      <c r="E890" s="23"/>
      <c r="G890" s="23"/>
    </row>
    <row r="891" spans="3:7" x14ac:dyDescent="0.3">
      <c r="C891" s="6"/>
      <c r="E891" s="23"/>
      <c r="G891" s="23"/>
    </row>
    <row r="892" spans="3:7" x14ac:dyDescent="0.3">
      <c r="C892" s="6"/>
      <c r="E892" s="23"/>
      <c r="G892" s="23"/>
    </row>
    <row r="893" spans="3:7" x14ac:dyDescent="0.3">
      <c r="C893" s="6"/>
      <c r="E893" s="23"/>
      <c r="G893" s="23"/>
    </row>
    <row r="894" spans="3:7" x14ac:dyDescent="0.3">
      <c r="C894" s="6"/>
      <c r="E894" s="23"/>
      <c r="G894" s="23"/>
    </row>
    <row r="895" spans="3:7" x14ac:dyDescent="0.3">
      <c r="C895" s="6"/>
      <c r="E895" s="23"/>
      <c r="G895" s="23"/>
    </row>
    <row r="896" spans="3:7" x14ac:dyDescent="0.3">
      <c r="C896" s="6"/>
      <c r="E896" s="23"/>
      <c r="G896" s="23"/>
    </row>
    <row r="897" spans="3:7" x14ac:dyDescent="0.3">
      <c r="C897" s="6"/>
      <c r="E897" s="23"/>
      <c r="G897" s="23"/>
    </row>
    <row r="898" spans="3:7" x14ac:dyDescent="0.3">
      <c r="C898" s="6"/>
      <c r="E898" s="23"/>
      <c r="G898" s="23"/>
    </row>
    <row r="899" spans="3:7" x14ac:dyDescent="0.3">
      <c r="C899" s="6"/>
      <c r="E899" s="23"/>
      <c r="G899" s="23"/>
    </row>
    <row r="900" spans="3:7" x14ac:dyDescent="0.3">
      <c r="C900" s="6"/>
      <c r="E900" s="23"/>
      <c r="G900" s="23"/>
    </row>
    <row r="901" spans="3:7" x14ac:dyDescent="0.3">
      <c r="C901" s="6"/>
      <c r="E901" s="23"/>
      <c r="G901" s="23"/>
    </row>
    <row r="902" spans="3:7" x14ac:dyDescent="0.3">
      <c r="C902" s="6"/>
      <c r="E902" s="23"/>
      <c r="G902" s="23"/>
    </row>
    <row r="903" spans="3:7" x14ac:dyDescent="0.3">
      <c r="C903" s="6"/>
      <c r="E903" s="23"/>
      <c r="G903" s="23"/>
    </row>
    <row r="904" spans="3:7" x14ac:dyDescent="0.3">
      <c r="C904" s="6"/>
      <c r="E904" s="23"/>
      <c r="G904" s="23"/>
    </row>
    <row r="905" spans="3:7" x14ac:dyDescent="0.3">
      <c r="C905" s="6"/>
      <c r="E905" s="23"/>
      <c r="G905" s="23"/>
    </row>
    <row r="906" spans="3:7" x14ac:dyDescent="0.3">
      <c r="C906" s="6"/>
      <c r="E906" s="23"/>
      <c r="G906" s="23"/>
    </row>
    <row r="907" spans="3:7" x14ac:dyDescent="0.3">
      <c r="C907" s="6"/>
      <c r="E907" s="23"/>
      <c r="G907" s="23"/>
    </row>
    <row r="908" spans="3:7" x14ac:dyDescent="0.3">
      <c r="C908" s="6"/>
      <c r="E908" s="23"/>
      <c r="G908" s="23"/>
    </row>
    <row r="909" spans="3:7" x14ac:dyDescent="0.3">
      <c r="C909" s="6"/>
      <c r="E909" s="23"/>
      <c r="G909" s="23"/>
    </row>
    <row r="910" spans="3:7" x14ac:dyDescent="0.3">
      <c r="C910" s="6"/>
      <c r="E910" s="23"/>
      <c r="G910" s="23"/>
    </row>
    <row r="911" spans="3:7" x14ac:dyDescent="0.3">
      <c r="C911" s="6"/>
      <c r="E911" s="23"/>
      <c r="G911" s="23"/>
    </row>
    <row r="912" spans="3:7" x14ac:dyDescent="0.3">
      <c r="C912" s="6"/>
      <c r="E912" s="23"/>
      <c r="G912" s="23"/>
    </row>
    <row r="913" spans="3:7" x14ac:dyDescent="0.3">
      <c r="C913" s="6"/>
      <c r="E913" s="23"/>
      <c r="G913" s="23"/>
    </row>
    <row r="914" spans="3:7" x14ac:dyDescent="0.3">
      <c r="C914" s="6"/>
      <c r="E914" s="23"/>
      <c r="G914" s="23"/>
    </row>
    <row r="915" spans="3:7" x14ac:dyDescent="0.3">
      <c r="C915" s="6"/>
      <c r="E915" s="23"/>
      <c r="G915" s="23"/>
    </row>
    <row r="916" spans="3:7" x14ac:dyDescent="0.3">
      <c r="C916" s="6"/>
      <c r="E916" s="23"/>
      <c r="G916" s="23"/>
    </row>
    <row r="917" spans="3:7" x14ac:dyDescent="0.3">
      <c r="C917" s="6"/>
      <c r="E917" s="23"/>
      <c r="G917" s="23"/>
    </row>
    <row r="918" spans="3:7" x14ac:dyDescent="0.3">
      <c r="C918" s="6"/>
      <c r="E918" s="23"/>
      <c r="G918" s="23"/>
    </row>
    <row r="919" spans="3:7" x14ac:dyDescent="0.3">
      <c r="C919" s="6"/>
      <c r="E919" s="23"/>
      <c r="G919" s="23"/>
    </row>
    <row r="920" spans="3:7" x14ac:dyDescent="0.3">
      <c r="C920" s="6"/>
      <c r="E920" s="23"/>
      <c r="G920" s="23"/>
    </row>
    <row r="921" spans="3:7" x14ac:dyDescent="0.3">
      <c r="C921" s="6"/>
      <c r="E921" s="23"/>
      <c r="G921" s="23"/>
    </row>
    <row r="922" spans="3:7" x14ac:dyDescent="0.3">
      <c r="C922" s="6"/>
      <c r="E922" s="23"/>
      <c r="G922" s="23"/>
    </row>
    <row r="923" spans="3:7" x14ac:dyDescent="0.3">
      <c r="C923" s="6"/>
      <c r="E923" s="23"/>
      <c r="G923" s="23"/>
    </row>
    <row r="924" spans="3:7" x14ac:dyDescent="0.3">
      <c r="C924" s="6"/>
      <c r="E924" s="23"/>
      <c r="G924" s="23"/>
    </row>
    <row r="925" spans="3:7" x14ac:dyDescent="0.3">
      <c r="C925" s="6"/>
      <c r="E925" s="23"/>
      <c r="G925" s="23"/>
    </row>
    <row r="926" spans="3:7" x14ac:dyDescent="0.3">
      <c r="C926" s="6"/>
      <c r="E926" s="23"/>
      <c r="G926" s="23"/>
    </row>
    <row r="927" spans="3:7" x14ac:dyDescent="0.3">
      <c r="C927" s="6"/>
      <c r="E927" s="23"/>
      <c r="G927" s="23"/>
    </row>
    <row r="928" spans="3:7" x14ac:dyDescent="0.3">
      <c r="C928" s="6"/>
      <c r="E928" s="23"/>
      <c r="G928" s="23"/>
    </row>
    <row r="929" spans="3:7" x14ac:dyDescent="0.3">
      <c r="C929" s="6"/>
      <c r="E929" s="23"/>
      <c r="G929" s="23"/>
    </row>
    <row r="930" spans="3:7" x14ac:dyDescent="0.3">
      <c r="C930" s="6"/>
      <c r="E930" s="23"/>
      <c r="G930" s="23"/>
    </row>
    <row r="931" spans="3:7" x14ac:dyDescent="0.3">
      <c r="C931" s="6"/>
      <c r="E931" s="23"/>
      <c r="G931" s="23"/>
    </row>
    <row r="932" spans="3:7" x14ac:dyDescent="0.3">
      <c r="C932" s="6"/>
      <c r="E932" s="23"/>
      <c r="G932" s="23"/>
    </row>
    <row r="933" spans="3:7" x14ac:dyDescent="0.3">
      <c r="C933" s="6"/>
      <c r="E933" s="23"/>
      <c r="G933" s="23"/>
    </row>
    <row r="934" spans="3:7" x14ac:dyDescent="0.3">
      <c r="C934" s="6"/>
      <c r="E934" s="23"/>
      <c r="G934" s="23"/>
    </row>
    <row r="935" spans="3:7" x14ac:dyDescent="0.3">
      <c r="C935" s="6"/>
      <c r="E935" s="23"/>
      <c r="G935" s="23"/>
    </row>
    <row r="936" spans="3:7" x14ac:dyDescent="0.3">
      <c r="C936" s="6"/>
      <c r="E936" s="23"/>
      <c r="G936" s="23"/>
    </row>
    <row r="937" spans="3:7" x14ac:dyDescent="0.3">
      <c r="C937" s="6"/>
      <c r="E937" s="23"/>
      <c r="G937" s="23"/>
    </row>
    <row r="938" spans="3:7" x14ac:dyDescent="0.3">
      <c r="C938" s="6"/>
      <c r="E938" s="23"/>
      <c r="G938" s="23"/>
    </row>
    <row r="939" spans="3:7" x14ac:dyDescent="0.3">
      <c r="C939" s="6"/>
      <c r="E939" s="23"/>
      <c r="G939" s="23"/>
    </row>
    <row r="940" spans="3:7" x14ac:dyDescent="0.3">
      <c r="C940" s="6"/>
      <c r="E940" s="23"/>
      <c r="G940" s="23"/>
    </row>
    <row r="941" spans="3:7" x14ac:dyDescent="0.3">
      <c r="C941" s="6"/>
      <c r="E941" s="23"/>
      <c r="G941" s="23"/>
    </row>
    <row r="942" spans="3:7" x14ac:dyDescent="0.3">
      <c r="C942" s="6"/>
      <c r="E942" s="23"/>
      <c r="G942" s="23"/>
    </row>
    <row r="943" spans="3:7" x14ac:dyDescent="0.3">
      <c r="C943" s="6"/>
      <c r="E943" s="23"/>
      <c r="G943" s="23"/>
    </row>
    <row r="944" spans="3:7" x14ac:dyDescent="0.3">
      <c r="C944" s="6"/>
      <c r="E944" s="23"/>
      <c r="G944" s="23"/>
    </row>
    <row r="945" spans="3:7" x14ac:dyDescent="0.3">
      <c r="C945" s="6"/>
      <c r="E945" s="23"/>
      <c r="G945" s="23"/>
    </row>
    <row r="946" spans="3:7" x14ac:dyDescent="0.3">
      <c r="C946" s="6"/>
      <c r="E946" s="23"/>
      <c r="G946" s="23"/>
    </row>
    <row r="947" spans="3:7" x14ac:dyDescent="0.3">
      <c r="C947" s="6"/>
      <c r="E947" s="23"/>
      <c r="G947" s="23"/>
    </row>
    <row r="948" spans="3:7" x14ac:dyDescent="0.3">
      <c r="C948" s="6"/>
      <c r="E948" s="23"/>
      <c r="G948" s="23"/>
    </row>
    <row r="949" spans="3:7" x14ac:dyDescent="0.3">
      <c r="C949" s="6"/>
      <c r="E949" s="23"/>
      <c r="G949" s="23"/>
    </row>
    <row r="950" spans="3:7" x14ac:dyDescent="0.3">
      <c r="C950" s="6"/>
      <c r="E950" s="23"/>
      <c r="G950" s="23"/>
    </row>
    <row r="951" spans="3:7" x14ac:dyDescent="0.3">
      <c r="C951" s="6"/>
      <c r="E951" s="23"/>
      <c r="G951" s="23"/>
    </row>
    <row r="952" spans="3:7" x14ac:dyDescent="0.3">
      <c r="C952" s="6"/>
      <c r="E952" s="23"/>
      <c r="G952" s="23"/>
    </row>
    <row r="953" spans="3:7" x14ac:dyDescent="0.3">
      <c r="C953" s="6"/>
      <c r="E953" s="23"/>
      <c r="G953" s="23"/>
    </row>
    <row r="954" spans="3:7" x14ac:dyDescent="0.3">
      <c r="C954" s="6"/>
      <c r="E954" s="23"/>
      <c r="G954" s="23"/>
    </row>
    <row r="955" spans="3:7" x14ac:dyDescent="0.3">
      <c r="C955" s="6"/>
      <c r="E955" s="23"/>
      <c r="G955" s="23"/>
    </row>
    <row r="956" spans="3:7" x14ac:dyDescent="0.3">
      <c r="C956" s="6"/>
      <c r="E956" s="23"/>
      <c r="G956" s="23"/>
    </row>
    <row r="957" spans="3:7" x14ac:dyDescent="0.3">
      <c r="C957" s="6"/>
      <c r="E957" s="23"/>
      <c r="G957" s="23"/>
    </row>
    <row r="958" spans="3:7" x14ac:dyDescent="0.3">
      <c r="C958" s="6"/>
      <c r="E958" s="23"/>
      <c r="G958" s="23"/>
    </row>
    <row r="959" spans="3:7" x14ac:dyDescent="0.3">
      <c r="C959" s="6"/>
      <c r="E959" s="23"/>
      <c r="G959" s="23"/>
    </row>
    <row r="960" spans="3:7" x14ac:dyDescent="0.3">
      <c r="C960" s="6"/>
      <c r="E960" s="23"/>
      <c r="G960" s="23"/>
    </row>
    <row r="961" spans="3:7" x14ac:dyDescent="0.3">
      <c r="C961" s="6"/>
      <c r="E961" s="23"/>
      <c r="G961" s="23"/>
    </row>
    <row r="962" spans="3:7" x14ac:dyDescent="0.3">
      <c r="C962" s="6"/>
      <c r="E962" s="23"/>
      <c r="G962" s="23"/>
    </row>
    <row r="963" spans="3:7" x14ac:dyDescent="0.3">
      <c r="C963" s="6"/>
      <c r="E963" s="23"/>
      <c r="G963" s="23"/>
    </row>
    <row r="964" spans="3:7" x14ac:dyDescent="0.3">
      <c r="C964" s="6"/>
      <c r="E964" s="23"/>
      <c r="G964" s="23"/>
    </row>
    <row r="965" spans="3:7" x14ac:dyDescent="0.3">
      <c r="C965" s="6"/>
      <c r="E965" s="23"/>
      <c r="G965" s="23"/>
    </row>
    <row r="966" spans="3:7" x14ac:dyDescent="0.3">
      <c r="C966" s="6"/>
      <c r="E966" s="23"/>
      <c r="G966" s="23"/>
    </row>
    <row r="967" spans="3:7" x14ac:dyDescent="0.3">
      <c r="C967" s="6"/>
      <c r="E967" s="23"/>
      <c r="G967" s="23"/>
    </row>
    <row r="968" spans="3:7" x14ac:dyDescent="0.3">
      <c r="C968" s="6"/>
      <c r="E968" s="23"/>
      <c r="G968" s="23"/>
    </row>
    <row r="969" spans="3:7" x14ac:dyDescent="0.3">
      <c r="C969" s="6"/>
      <c r="E969" s="23"/>
      <c r="G969" s="23"/>
    </row>
    <row r="970" spans="3:7" x14ac:dyDescent="0.3">
      <c r="C970" s="6"/>
      <c r="E970" s="23"/>
      <c r="G970" s="23"/>
    </row>
    <row r="971" spans="3:7" x14ac:dyDescent="0.3">
      <c r="C971" s="6"/>
      <c r="E971" s="23"/>
      <c r="G971" s="23"/>
    </row>
    <row r="972" spans="3:7" x14ac:dyDescent="0.3">
      <c r="C972" s="6"/>
      <c r="E972" s="23"/>
      <c r="G972" s="23"/>
    </row>
    <row r="973" spans="3:7" x14ac:dyDescent="0.3">
      <c r="C973" s="6"/>
      <c r="E973" s="23"/>
      <c r="G973" s="23"/>
    </row>
    <row r="974" spans="3:7" x14ac:dyDescent="0.3">
      <c r="C974" s="6"/>
      <c r="E974" s="23"/>
      <c r="G974" s="23"/>
    </row>
    <row r="975" spans="3:7" x14ac:dyDescent="0.3">
      <c r="C975" s="6"/>
      <c r="E975" s="23"/>
      <c r="G975" s="23"/>
    </row>
    <row r="976" spans="3:7" x14ac:dyDescent="0.3">
      <c r="C976" s="6"/>
      <c r="E976" s="23"/>
      <c r="G976" s="23"/>
    </row>
    <row r="977" spans="3:7" x14ac:dyDescent="0.3">
      <c r="C977" s="6"/>
      <c r="E977" s="23"/>
      <c r="G977" s="23"/>
    </row>
    <row r="978" spans="3:7" x14ac:dyDescent="0.3">
      <c r="C978" s="6"/>
      <c r="E978" s="23"/>
      <c r="G978" s="23"/>
    </row>
    <row r="979" spans="3:7" x14ac:dyDescent="0.3">
      <c r="C979" s="6"/>
      <c r="E979" s="23"/>
      <c r="G979" s="23"/>
    </row>
    <row r="980" spans="3:7" x14ac:dyDescent="0.3">
      <c r="C980" s="6"/>
      <c r="E980" s="23"/>
      <c r="G980" s="23"/>
    </row>
    <row r="981" spans="3:7" x14ac:dyDescent="0.3">
      <c r="C981" s="6"/>
      <c r="E981" s="23"/>
      <c r="G981" s="23"/>
    </row>
    <row r="982" spans="3:7" x14ac:dyDescent="0.3">
      <c r="C982" s="6"/>
      <c r="E982" s="23"/>
      <c r="G982" s="23"/>
    </row>
    <row r="983" spans="3:7" x14ac:dyDescent="0.3">
      <c r="C983" s="6"/>
      <c r="E983" s="23"/>
      <c r="G983" s="23"/>
    </row>
    <row r="984" spans="3:7" x14ac:dyDescent="0.3">
      <c r="C984" s="6"/>
      <c r="E984" s="23"/>
      <c r="G984" s="23"/>
    </row>
    <row r="985" spans="3:7" x14ac:dyDescent="0.3">
      <c r="C985" s="6"/>
      <c r="E985" s="23"/>
      <c r="G985" s="23"/>
    </row>
    <row r="986" spans="3:7" x14ac:dyDescent="0.3">
      <c r="C986" s="6"/>
      <c r="E986" s="23"/>
      <c r="G986" s="23"/>
    </row>
    <row r="987" spans="3:7" x14ac:dyDescent="0.3">
      <c r="C987" s="6"/>
      <c r="E987" s="23"/>
      <c r="G987" s="23"/>
    </row>
    <row r="988" spans="3:7" x14ac:dyDescent="0.3">
      <c r="C988" s="6"/>
      <c r="E988" s="23"/>
      <c r="G988" s="23"/>
    </row>
    <row r="989" spans="3:7" x14ac:dyDescent="0.3">
      <c r="C989" s="6"/>
      <c r="E989" s="23"/>
      <c r="G989" s="23"/>
    </row>
    <row r="990" spans="3:7" x14ac:dyDescent="0.3">
      <c r="C990" s="6"/>
      <c r="E990" s="23"/>
      <c r="G990" s="23"/>
    </row>
    <row r="991" spans="3:7" x14ac:dyDescent="0.3">
      <c r="C991" s="6"/>
      <c r="E991" s="23"/>
      <c r="G991" s="23"/>
    </row>
    <row r="992" spans="3:7" x14ac:dyDescent="0.3">
      <c r="C992" s="6"/>
      <c r="E992" s="23"/>
      <c r="G992" s="23"/>
    </row>
    <row r="993" spans="3:7" x14ac:dyDescent="0.3">
      <c r="C993" s="6"/>
      <c r="E993" s="23"/>
      <c r="G993" s="23"/>
    </row>
    <row r="994" spans="3:7" x14ac:dyDescent="0.3">
      <c r="C994" s="6"/>
      <c r="E994" s="23"/>
      <c r="G994" s="23"/>
    </row>
    <row r="995" spans="3:7" x14ac:dyDescent="0.3">
      <c r="C995" s="6"/>
      <c r="E995" s="23"/>
      <c r="G995" s="23"/>
    </row>
    <row r="996" spans="3:7" x14ac:dyDescent="0.3">
      <c r="C996" s="6"/>
      <c r="E996" s="23"/>
      <c r="G996" s="23"/>
    </row>
    <row r="997" spans="3:7" x14ac:dyDescent="0.3">
      <c r="C997" s="6"/>
      <c r="E997" s="23"/>
      <c r="G997" s="23"/>
    </row>
    <row r="998" spans="3:7" x14ac:dyDescent="0.3">
      <c r="C998" s="6"/>
      <c r="E998" s="23"/>
      <c r="G998" s="23"/>
    </row>
    <row r="999" spans="3:7" x14ac:dyDescent="0.3">
      <c r="C999" s="6"/>
      <c r="E999" s="23"/>
      <c r="G999" s="23"/>
    </row>
    <row r="1000" spans="3:7" x14ac:dyDescent="0.3">
      <c r="C1000" s="6"/>
      <c r="E1000" s="23"/>
      <c r="G1000" s="23"/>
    </row>
    <row r="1001" spans="3:7" x14ac:dyDescent="0.3">
      <c r="C1001" s="6"/>
      <c r="E1001" s="23"/>
      <c r="G1001" s="23"/>
    </row>
    <row r="1002" spans="3:7" x14ac:dyDescent="0.3">
      <c r="C1002" s="6"/>
      <c r="E1002" s="23"/>
      <c r="G1002" s="23"/>
    </row>
    <row r="1003" spans="3:7" x14ac:dyDescent="0.3">
      <c r="C1003" s="6"/>
      <c r="E1003" s="23"/>
      <c r="G1003" s="23"/>
    </row>
    <row r="1004" spans="3:7" x14ac:dyDescent="0.3">
      <c r="C1004" s="6"/>
      <c r="E1004" s="23"/>
      <c r="G1004" s="23"/>
    </row>
    <row r="1005" spans="3:7" x14ac:dyDescent="0.3">
      <c r="C1005" s="6"/>
      <c r="E1005" s="23"/>
      <c r="G1005" s="23"/>
    </row>
    <row r="1006" spans="3:7" x14ac:dyDescent="0.3">
      <c r="C1006" s="6"/>
      <c r="E1006" s="23"/>
      <c r="G1006" s="23"/>
    </row>
    <row r="1007" spans="3:7" x14ac:dyDescent="0.3">
      <c r="C1007" s="6"/>
      <c r="E1007" s="23"/>
      <c r="G1007" s="23"/>
    </row>
    <row r="1008" spans="3:7" x14ac:dyDescent="0.3">
      <c r="C1008" s="6"/>
      <c r="E1008" s="23"/>
      <c r="G1008" s="23"/>
    </row>
    <row r="1009" spans="3:7" x14ac:dyDescent="0.3">
      <c r="C1009" s="6"/>
      <c r="E1009" s="23"/>
      <c r="G1009" s="23"/>
    </row>
    <row r="1010" spans="3:7" x14ac:dyDescent="0.3">
      <c r="C1010" s="6"/>
      <c r="E1010" s="23"/>
      <c r="G1010" s="23"/>
    </row>
    <row r="1011" spans="3:7" x14ac:dyDescent="0.3">
      <c r="C1011" s="6"/>
      <c r="E1011" s="23"/>
      <c r="G1011" s="23"/>
    </row>
    <row r="1012" spans="3:7" x14ac:dyDescent="0.3">
      <c r="C1012" s="6"/>
      <c r="E1012" s="23"/>
      <c r="G1012" s="23"/>
    </row>
    <row r="1013" spans="3:7" x14ac:dyDescent="0.3">
      <c r="C1013" s="6"/>
      <c r="E1013" s="23"/>
      <c r="G1013" s="23"/>
    </row>
    <row r="1014" spans="3:7" x14ac:dyDescent="0.3">
      <c r="C1014" s="6"/>
      <c r="E1014" s="23"/>
      <c r="G1014" s="23"/>
    </row>
    <row r="1015" spans="3:7" x14ac:dyDescent="0.3">
      <c r="C1015" s="6"/>
      <c r="E1015" s="23"/>
      <c r="G1015" s="23"/>
    </row>
    <row r="1016" spans="3:7" x14ac:dyDescent="0.3">
      <c r="C1016" s="6"/>
      <c r="E1016" s="23"/>
      <c r="G1016" s="23"/>
    </row>
    <row r="1017" spans="3:7" x14ac:dyDescent="0.3">
      <c r="C1017" s="6"/>
      <c r="E1017" s="23"/>
      <c r="G1017" s="23"/>
    </row>
    <row r="1018" spans="3:7" x14ac:dyDescent="0.3">
      <c r="C1018" s="6"/>
      <c r="E1018" s="23"/>
      <c r="G1018" s="23"/>
    </row>
    <row r="1019" spans="3:7" x14ac:dyDescent="0.3">
      <c r="C1019" s="6"/>
      <c r="E1019" s="23"/>
      <c r="G1019" s="23"/>
    </row>
    <row r="1020" spans="3:7" x14ac:dyDescent="0.3">
      <c r="C1020" s="6"/>
      <c r="E1020" s="23"/>
      <c r="G1020" s="23"/>
    </row>
    <row r="1021" spans="3:7" x14ac:dyDescent="0.3">
      <c r="C1021" s="6"/>
      <c r="E1021" s="23"/>
      <c r="G1021" s="23"/>
    </row>
    <row r="1022" spans="3:7" x14ac:dyDescent="0.3">
      <c r="C1022" s="6"/>
      <c r="E1022" s="23"/>
      <c r="G1022" s="23"/>
    </row>
    <row r="1023" spans="3:7" x14ac:dyDescent="0.3">
      <c r="C1023" s="6"/>
      <c r="E1023" s="23"/>
      <c r="G1023" s="23"/>
    </row>
    <row r="1024" spans="3:7" x14ac:dyDescent="0.3">
      <c r="C1024" s="6"/>
      <c r="E1024" s="23"/>
      <c r="G1024" s="23"/>
    </row>
    <row r="1025" spans="3:7" x14ac:dyDescent="0.3">
      <c r="C1025" s="6"/>
      <c r="E1025" s="23"/>
      <c r="G1025" s="23"/>
    </row>
    <row r="1026" spans="3:7" x14ac:dyDescent="0.3">
      <c r="C1026" s="6"/>
      <c r="E1026" s="23"/>
      <c r="G1026" s="23"/>
    </row>
    <row r="1027" spans="3:7" x14ac:dyDescent="0.3">
      <c r="C1027" s="6"/>
      <c r="E1027" s="23"/>
      <c r="G1027" s="23"/>
    </row>
    <row r="1028" spans="3:7" x14ac:dyDescent="0.3">
      <c r="C1028" s="6"/>
      <c r="E1028" s="23"/>
      <c r="G1028" s="23"/>
    </row>
    <row r="1029" spans="3:7" x14ac:dyDescent="0.3">
      <c r="C1029" s="6"/>
      <c r="E1029" s="23"/>
      <c r="G1029" s="23"/>
    </row>
    <row r="1030" spans="3:7" x14ac:dyDescent="0.3">
      <c r="C1030" s="6"/>
      <c r="E1030" s="23"/>
      <c r="G1030" s="23"/>
    </row>
    <row r="1031" spans="3:7" x14ac:dyDescent="0.3">
      <c r="C1031" s="6"/>
      <c r="E1031" s="23"/>
      <c r="G1031" s="23"/>
    </row>
    <row r="1032" spans="3:7" x14ac:dyDescent="0.3">
      <c r="C1032" s="6"/>
      <c r="E1032" s="23"/>
      <c r="G1032" s="23"/>
    </row>
    <row r="1033" spans="3:7" x14ac:dyDescent="0.3">
      <c r="C1033" s="6"/>
      <c r="E1033" s="23"/>
      <c r="G1033" s="23"/>
    </row>
    <row r="1034" spans="3:7" x14ac:dyDescent="0.3">
      <c r="C1034" s="6"/>
      <c r="E1034" s="23"/>
      <c r="G1034" s="23"/>
    </row>
    <row r="1035" spans="3:7" x14ac:dyDescent="0.3">
      <c r="C1035" s="6"/>
      <c r="E1035" s="23"/>
      <c r="G1035" s="23"/>
    </row>
    <row r="1036" spans="3:7" x14ac:dyDescent="0.3">
      <c r="C1036" s="6"/>
      <c r="E1036" s="23"/>
      <c r="G1036" s="23"/>
    </row>
    <row r="1037" spans="3:7" x14ac:dyDescent="0.3">
      <c r="C1037" s="6"/>
      <c r="E1037" s="23"/>
      <c r="G1037" s="23"/>
    </row>
    <row r="1038" spans="3:7" x14ac:dyDescent="0.3">
      <c r="C1038" s="6"/>
      <c r="E1038" s="23"/>
      <c r="G1038" s="23"/>
    </row>
    <row r="1039" spans="3:7" x14ac:dyDescent="0.3">
      <c r="C1039" s="6"/>
      <c r="E1039" s="23"/>
      <c r="G1039" s="23"/>
    </row>
    <row r="1040" spans="3:7" x14ac:dyDescent="0.3">
      <c r="C1040" s="6"/>
      <c r="E1040" s="23"/>
      <c r="G1040" s="23"/>
    </row>
    <row r="1041" spans="3:7" x14ac:dyDescent="0.3">
      <c r="C1041" s="6"/>
      <c r="E1041" s="23"/>
      <c r="G1041" s="23"/>
    </row>
    <row r="1042" spans="3:7" x14ac:dyDescent="0.3">
      <c r="C1042" s="6"/>
      <c r="E1042" s="23"/>
      <c r="G1042" s="23"/>
    </row>
    <row r="1043" spans="3:7" x14ac:dyDescent="0.3">
      <c r="C1043" s="6"/>
      <c r="E1043" s="23"/>
      <c r="G1043" s="23"/>
    </row>
    <row r="1044" spans="3:7" x14ac:dyDescent="0.3">
      <c r="C1044" s="6"/>
      <c r="E1044" s="23"/>
      <c r="G1044" s="23"/>
    </row>
    <row r="1045" spans="3:7" x14ac:dyDescent="0.3">
      <c r="C1045" s="6"/>
      <c r="E1045" s="23"/>
      <c r="G1045" s="23"/>
    </row>
    <row r="1046" spans="3:7" x14ac:dyDescent="0.3">
      <c r="C1046" s="6"/>
      <c r="E1046" s="23"/>
      <c r="G1046" s="23"/>
    </row>
    <row r="1047" spans="3:7" x14ac:dyDescent="0.3">
      <c r="C1047" s="6"/>
      <c r="E1047" s="23"/>
      <c r="G1047" s="23"/>
    </row>
    <row r="1048" spans="3:7" x14ac:dyDescent="0.3">
      <c r="C1048" s="6"/>
      <c r="E1048" s="23"/>
      <c r="G1048" s="23"/>
    </row>
    <row r="1049" spans="3:7" x14ac:dyDescent="0.3">
      <c r="C1049" s="6"/>
      <c r="E1049" s="23"/>
      <c r="G1049" s="23"/>
    </row>
    <row r="1050" spans="3:7" x14ac:dyDescent="0.3">
      <c r="C1050" s="6"/>
      <c r="E1050" s="23"/>
      <c r="G1050" s="23"/>
    </row>
    <row r="1051" spans="3:7" x14ac:dyDescent="0.3">
      <c r="C1051" s="6"/>
      <c r="E1051" s="23"/>
      <c r="G1051" s="23"/>
    </row>
    <row r="1052" spans="3:7" x14ac:dyDescent="0.3">
      <c r="C1052" s="6"/>
      <c r="E1052" s="23"/>
      <c r="G1052" s="23"/>
    </row>
    <row r="1053" spans="3:7" x14ac:dyDescent="0.3">
      <c r="C1053" s="6"/>
      <c r="E1053" s="23"/>
      <c r="G1053" s="23"/>
    </row>
    <row r="1054" spans="3:7" x14ac:dyDescent="0.3">
      <c r="C1054" s="6"/>
      <c r="E1054" s="23"/>
      <c r="G1054" s="23"/>
    </row>
    <row r="1055" spans="3:7" x14ac:dyDescent="0.3">
      <c r="C1055" s="6"/>
      <c r="E1055" s="23"/>
      <c r="G1055" s="23"/>
    </row>
    <row r="1056" spans="3:7" x14ac:dyDescent="0.3">
      <c r="C1056" s="6"/>
      <c r="E1056" s="23"/>
      <c r="G1056" s="23"/>
    </row>
    <row r="1057" spans="3:7" x14ac:dyDescent="0.3">
      <c r="C1057" s="6"/>
      <c r="E1057" s="23"/>
      <c r="G1057" s="23"/>
    </row>
    <row r="1058" spans="3:7" x14ac:dyDescent="0.3">
      <c r="C1058" s="6"/>
      <c r="E1058" s="23"/>
      <c r="G1058" s="23"/>
    </row>
    <row r="1059" spans="3:7" x14ac:dyDescent="0.3">
      <c r="C1059" s="6"/>
      <c r="E1059" s="23"/>
      <c r="G1059" s="23"/>
    </row>
    <row r="1060" spans="3:7" x14ac:dyDescent="0.3">
      <c r="C1060" s="6"/>
      <c r="E1060" s="23"/>
      <c r="G1060" s="23"/>
    </row>
    <row r="1061" spans="3:7" x14ac:dyDescent="0.3">
      <c r="C1061" s="6"/>
      <c r="E1061" s="23"/>
      <c r="G1061" s="23"/>
    </row>
    <row r="1062" spans="3:7" x14ac:dyDescent="0.3">
      <c r="C1062" s="6"/>
      <c r="E1062" s="23"/>
      <c r="G1062" s="23"/>
    </row>
    <row r="1063" spans="3:7" x14ac:dyDescent="0.3">
      <c r="C1063" s="6"/>
      <c r="E1063" s="23"/>
      <c r="G1063" s="23"/>
    </row>
    <row r="1064" spans="3:7" x14ac:dyDescent="0.3">
      <c r="C1064" s="6"/>
      <c r="E1064" s="23"/>
      <c r="G1064" s="23"/>
    </row>
    <row r="1065" spans="3:7" x14ac:dyDescent="0.3">
      <c r="C1065" s="6"/>
      <c r="E1065" s="23"/>
      <c r="G1065" s="23"/>
    </row>
    <row r="1066" spans="3:7" x14ac:dyDescent="0.3">
      <c r="C1066" s="6"/>
      <c r="E1066" s="23"/>
      <c r="G1066" s="23"/>
    </row>
    <row r="1067" spans="3:7" x14ac:dyDescent="0.3">
      <c r="C1067" s="6"/>
      <c r="E1067" s="23"/>
      <c r="G1067" s="23"/>
    </row>
    <row r="1068" spans="3:7" x14ac:dyDescent="0.3">
      <c r="C1068" s="6"/>
      <c r="E1068" s="23"/>
      <c r="G1068" s="23"/>
    </row>
    <row r="1069" spans="3:7" x14ac:dyDescent="0.3">
      <c r="C1069" s="6"/>
      <c r="E1069" s="23"/>
      <c r="G1069" s="23"/>
    </row>
    <row r="1070" spans="3:7" x14ac:dyDescent="0.3">
      <c r="C1070" s="6"/>
      <c r="E1070" s="23"/>
      <c r="G1070" s="23"/>
    </row>
    <row r="1071" spans="3:7" x14ac:dyDescent="0.3">
      <c r="C1071" s="6"/>
      <c r="E1071" s="23"/>
      <c r="G1071" s="23"/>
    </row>
    <row r="1072" spans="3:7" x14ac:dyDescent="0.3">
      <c r="C1072" s="6"/>
      <c r="E1072" s="23"/>
      <c r="G1072" s="23"/>
    </row>
    <row r="1073" spans="3:7" x14ac:dyDescent="0.3">
      <c r="C1073" s="6"/>
      <c r="E1073" s="23"/>
      <c r="G1073" s="23"/>
    </row>
    <row r="1074" spans="3:7" x14ac:dyDescent="0.3">
      <c r="C1074" s="6"/>
      <c r="E1074" s="23"/>
      <c r="G1074" s="23"/>
    </row>
    <row r="1075" spans="3:7" x14ac:dyDescent="0.3">
      <c r="C1075" s="6"/>
      <c r="E1075" s="23"/>
      <c r="G1075" s="23"/>
    </row>
    <row r="1076" spans="3:7" x14ac:dyDescent="0.3">
      <c r="C1076" s="6"/>
      <c r="E1076" s="23"/>
      <c r="G1076" s="23"/>
    </row>
    <row r="1077" spans="3:7" x14ac:dyDescent="0.3">
      <c r="C1077" s="6"/>
      <c r="E1077" s="23"/>
      <c r="G1077" s="23"/>
    </row>
    <row r="1078" spans="3:7" x14ac:dyDescent="0.3">
      <c r="C1078" s="6"/>
      <c r="E1078" s="23"/>
      <c r="G1078" s="23"/>
    </row>
    <row r="1079" spans="3:7" x14ac:dyDescent="0.3">
      <c r="C1079" s="6"/>
      <c r="E1079" s="23"/>
      <c r="G1079" s="23"/>
    </row>
    <row r="1080" spans="3:7" x14ac:dyDescent="0.3">
      <c r="C1080" s="6"/>
      <c r="E1080" s="23"/>
      <c r="G1080" s="23"/>
    </row>
    <row r="1081" spans="3:7" x14ac:dyDescent="0.3">
      <c r="C1081" s="6"/>
      <c r="E1081" s="23"/>
      <c r="G1081" s="23"/>
    </row>
    <row r="1082" spans="3:7" x14ac:dyDescent="0.3">
      <c r="C1082" s="6"/>
      <c r="E1082" s="23"/>
      <c r="G1082" s="23"/>
    </row>
    <row r="1083" spans="3:7" x14ac:dyDescent="0.3">
      <c r="C1083" s="6"/>
      <c r="E1083" s="23"/>
      <c r="G1083" s="23"/>
    </row>
    <row r="1084" spans="3:7" x14ac:dyDescent="0.3">
      <c r="C1084" s="6"/>
      <c r="E1084" s="23"/>
      <c r="G1084" s="23"/>
    </row>
    <row r="1085" spans="3:7" x14ac:dyDescent="0.3">
      <c r="C1085" s="6"/>
      <c r="E1085" s="23"/>
      <c r="G1085" s="23"/>
    </row>
    <row r="1086" spans="3:7" x14ac:dyDescent="0.3">
      <c r="C1086" s="6"/>
      <c r="E1086" s="23"/>
      <c r="G1086" s="23"/>
    </row>
    <row r="1087" spans="3:7" x14ac:dyDescent="0.3">
      <c r="C1087" s="6"/>
      <c r="E1087" s="23"/>
      <c r="G1087" s="23"/>
    </row>
    <row r="1088" spans="3:7" x14ac:dyDescent="0.3">
      <c r="C1088" s="6"/>
      <c r="E1088" s="23"/>
      <c r="G1088" s="23"/>
    </row>
    <row r="1089" spans="3:7" x14ac:dyDescent="0.3">
      <c r="C1089" s="6"/>
      <c r="E1089" s="23"/>
      <c r="G1089" s="23"/>
    </row>
    <row r="1090" spans="3:7" x14ac:dyDescent="0.3">
      <c r="C1090" s="6"/>
      <c r="E1090" s="23"/>
      <c r="G1090" s="23"/>
    </row>
    <row r="1091" spans="3:7" x14ac:dyDescent="0.3">
      <c r="C1091" s="6"/>
      <c r="E1091" s="23"/>
      <c r="G1091" s="23"/>
    </row>
    <row r="1092" spans="3:7" x14ac:dyDescent="0.3">
      <c r="C1092" s="6"/>
      <c r="E1092" s="23"/>
      <c r="G1092" s="23"/>
    </row>
    <row r="1093" spans="3:7" x14ac:dyDescent="0.3">
      <c r="C1093" s="6"/>
      <c r="E1093" s="23"/>
      <c r="G1093" s="23"/>
    </row>
    <row r="1094" spans="3:7" x14ac:dyDescent="0.3">
      <c r="C1094" s="6"/>
      <c r="E1094" s="23"/>
      <c r="G1094" s="23"/>
    </row>
    <row r="1095" spans="3:7" x14ac:dyDescent="0.3">
      <c r="C1095" s="6"/>
      <c r="E1095" s="23"/>
      <c r="G1095" s="23"/>
    </row>
    <row r="1096" spans="3:7" x14ac:dyDescent="0.3">
      <c r="C1096" s="6"/>
      <c r="E1096" s="23"/>
      <c r="G1096" s="23"/>
    </row>
    <row r="1097" spans="3:7" x14ac:dyDescent="0.3">
      <c r="C1097" s="6"/>
      <c r="E1097" s="23"/>
      <c r="G1097" s="23"/>
    </row>
    <row r="1098" spans="3:7" x14ac:dyDescent="0.3">
      <c r="C1098" s="6"/>
      <c r="E1098" s="23"/>
      <c r="G1098" s="23"/>
    </row>
    <row r="1099" spans="3:7" x14ac:dyDescent="0.3">
      <c r="C1099" s="6"/>
      <c r="E1099" s="23"/>
      <c r="G1099" s="23"/>
    </row>
    <row r="1100" spans="3:7" x14ac:dyDescent="0.3">
      <c r="C1100" s="6"/>
      <c r="E1100" s="23"/>
      <c r="G1100" s="23"/>
    </row>
    <row r="1101" spans="3:7" x14ac:dyDescent="0.3">
      <c r="C1101" s="6"/>
      <c r="E1101" s="23"/>
      <c r="G1101" s="23"/>
    </row>
    <row r="1102" spans="3:7" x14ac:dyDescent="0.3">
      <c r="C1102" s="6"/>
      <c r="E1102" s="23"/>
      <c r="G1102" s="23"/>
    </row>
    <row r="1103" spans="3:7" x14ac:dyDescent="0.3">
      <c r="C1103" s="6"/>
      <c r="E1103" s="23"/>
      <c r="G1103" s="23"/>
    </row>
    <row r="1104" spans="3:7" x14ac:dyDescent="0.3">
      <c r="C1104" s="6"/>
      <c r="E1104" s="23"/>
      <c r="G1104" s="23"/>
    </row>
    <row r="1105" spans="3:7" x14ac:dyDescent="0.3">
      <c r="C1105" s="6"/>
      <c r="E1105" s="23"/>
      <c r="G1105" s="23"/>
    </row>
    <row r="1106" spans="3:7" x14ac:dyDescent="0.3">
      <c r="C1106" s="6"/>
      <c r="E1106" s="23"/>
      <c r="G1106" s="23"/>
    </row>
    <row r="1107" spans="3:7" x14ac:dyDescent="0.3">
      <c r="C1107" s="6"/>
      <c r="E1107" s="23"/>
      <c r="G1107" s="23"/>
    </row>
    <row r="1108" spans="3:7" x14ac:dyDescent="0.3">
      <c r="C1108" s="6"/>
      <c r="E1108" s="23"/>
      <c r="G1108" s="23"/>
    </row>
    <row r="1109" spans="3:7" x14ac:dyDescent="0.3">
      <c r="C1109" s="6"/>
      <c r="E1109" s="23"/>
      <c r="G1109" s="23"/>
    </row>
    <row r="1110" spans="3:7" x14ac:dyDescent="0.3">
      <c r="C1110" s="6"/>
      <c r="E1110" s="23"/>
      <c r="G1110" s="23"/>
    </row>
    <row r="1111" spans="3:7" x14ac:dyDescent="0.3">
      <c r="C1111" s="6"/>
      <c r="E1111" s="23"/>
      <c r="G1111" s="23"/>
    </row>
    <row r="1112" spans="3:7" x14ac:dyDescent="0.3">
      <c r="C1112" s="6"/>
      <c r="E1112" s="23"/>
      <c r="G1112" s="23"/>
    </row>
    <row r="1113" spans="3:7" x14ac:dyDescent="0.3">
      <c r="C1113" s="6"/>
      <c r="E1113" s="23"/>
      <c r="G1113" s="23"/>
    </row>
    <row r="1114" spans="3:7" x14ac:dyDescent="0.3">
      <c r="C1114" s="6"/>
      <c r="E1114" s="23"/>
      <c r="G1114" s="23"/>
    </row>
    <row r="1115" spans="3:7" x14ac:dyDescent="0.3">
      <c r="C1115" s="6"/>
      <c r="E1115" s="23"/>
      <c r="G1115" s="23"/>
    </row>
    <row r="1116" spans="3:7" x14ac:dyDescent="0.3">
      <c r="C1116" s="6"/>
      <c r="E1116" s="23"/>
      <c r="G1116" s="23"/>
    </row>
    <row r="1117" spans="3:7" x14ac:dyDescent="0.3">
      <c r="C1117" s="6"/>
      <c r="E1117" s="23"/>
      <c r="G1117" s="23"/>
    </row>
    <row r="1118" spans="3:7" x14ac:dyDescent="0.3">
      <c r="C1118" s="6"/>
      <c r="E1118" s="23"/>
      <c r="G1118" s="23"/>
    </row>
    <row r="1119" spans="3:7" x14ac:dyDescent="0.3">
      <c r="C1119" s="6"/>
      <c r="E1119" s="23"/>
      <c r="G1119" s="23"/>
    </row>
    <row r="1120" spans="3:7" x14ac:dyDescent="0.3">
      <c r="C1120" s="6"/>
      <c r="E1120" s="23"/>
      <c r="G1120" s="23"/>
    </row>
    <row r="1121" spans="3:7" x14ac:dyDescent="0.3">
      <c r="C1121" s="6"/>
      <c r="E1121" s="23"/>
      <c r="G1121" s="23"/>
    </row>
    <row r="1122" spans="3:7" x14ac:dyDescent="0.3">
      <c r="C1122" s="6"/>
      <c r="E1122" s="23"/>
      <c r="G1122" s="23"/>
    </row>
    <row r="1123" spans="3:7" x14ac:dyDescent="0.3">
      <c r="C1123" s="6"/>
      <c r="E1123" s="23"/>
      <c r="G1123" s="23"/>
    </row>
    <row r="1124" spans="3:7" x14ac:dyDescent="0.3">
      <c r="C1124" s="6"/>
      <c r="E1124" s="23"/>
      <c r="G1124" s="23"/>
    </row>
    <row r="1125" spans="3:7" x14ac:dyDescent="0.3">
      <c r="C1125" s="6"/>
      <c r="E1125" s="23"/>
      <c r="G1125" s="23"/>
    </row>
    <row r="1126" spans="3:7" x14ac:dyDescent="0.3">
      <c r="C1126" s="6"/>
      <c r="E1126" s="23"/>
      <c r="G1126" s="23"/>
    </row>
    <row r="1127" spans="3:7" x14ac:dyDescent="0.3">
      <c r="C1127" s="6"/>
      <c r="E1127" s="23"/>
      <c r="G1127" s="23"/>
    </row>
    <row r="1128" spans="3:7" x14ac:dyDescent="0.3">
      <c r="C1128" s="6"/>
      <c r="E1128" s="23"/>
      <c r="G1128" s="23"/>
    </row>
    <row r="1129" spans="3:7" x14ac:dyDescent="0.3">
      <c r="C1129" s="6"/>
      <c r="E1129" s="23"/>
      <c r="G1129" s="23"/>
    </row>
    <row r="1130" spans="3:7" x14ac:dyDescent="0.3">
      <c r="C1130" s="6"/>
      <c r="E1130" s="23"/>
      <c r="G1130" s="23"/>
    </row>
    <row r="1131" spans="3:7" x14ac:dyDescent="0.3">
      <c r="C1131" s="6"/>
      <c r="E1131" s="23"/>
      <c r="G1131" s="23"/>
    </row>
    <row r="1132" spans="3:7" x14ac:dyDescent="0.3">
      <c r="C1132" s="6"/>
      <c r="E1132" s="23"/>
      <c r="G1132" s="23"/>
    </row>
    <row r="1133" spans="3:7" x14ac:dyDescent="0.3">
      <c r="C1133" s="6"/>
      <c r="E1133" s="23"/>
      <c r="G1133" s="23"/>
    </row>
    <row r="1134" spans="3:7" x14ac:dyDescent="0.3">
      <c r="C1134" s="6"/>
      <c r="E1134" s="23"/>
      <c r="G1134" s="23"/>
    </row>
    <row r="1135" spans="3:7" x14ac:dyDescent="0.3">
      <c r="C1135" s="6"/>
      <c r="E1135" s="23"/>
      <c r="G1135" s="23"/>
    </row>
    <row r="1136" spans="3:7" x14ac:dyDescent="0.3">
      <c r="C1136" s="6"/>
      <c r="E1136" s="23"/>
      <c r="G1136" s="23"/>
    </row>
    <row r="1137" spans="3:7" x14ac:dyDescent="0.3">
      <c r="C1137" s="6"/>
      <c r="E1137" s="23"/>
      <c r="G1137" s="23"/>
    </row>
    <row r="1138" spans="3:7" x14ac:dyDescent="0.3">
      <c r="C1138" s="6"/>
      <c r="E1138" s="23"/>
      <c r="G1138" s="23"/>
    </row>
    <row r="1139" spans="3:7" x14ac:dyDescent="0.3">
      <c r="C1139" s="6"/>
      <c r="E1139" s="23"/>
      <c r="G1139" s="23"/>
    </row>
    <row r="1140" spans="3:7" x14ac:dyDescent="0.3">
      <c r="C1140" s="6"/>
      <c r="E1140" s="23"/>
      <c r="G1140" s="23"/>
    </row>
    <row r="1141" spans="3:7" x14ac:dyDescent="0.3">
      <c r="C1141" s="6"/>
      <c r="E1141" s="23"/>
      <c r="G1141" s="23"/>
    </row>
    <row r="1142" spans="3:7" x14ac:dyDescent="0.3">
      <c r="C1142" s="6"/>
      <c r="E1142" s="23"/>
      <c r="G1142" s="23"/>
    </row>
    <row r="1143" spans="3:7" x14ac:dyDescent="0.3">
      <c r="C1143" s="6"/>
      <c r="E1143" s="23"/>
      <c r="G1143" s="23"/>
    </row>
    <row r="1144" spans="3:7" x14ac:dyDescent="0.3">
      <c r="C1144" s="6"/>
      <c r="E1144" s="23"/>
      <c r="G1144" s="23"/>
    </row>
    <row r="1145" spans="3:7" x14ac:dyDescent="0.3">
      <c r="C1145" s="6"/>
      <c r="E1145" s="23"/>
      <c r="G1145" s="23"/>
    </row>
    <row r="1146" spans="3:7" x14ac:dyDescent="0.3">
      <c r="C1146" s="6"/>
      <c r="E1146" s="23"/>
      <c r="G1146" s="23"/>
    </row>
    <row r="1147" spans="3:7" x14ac:dyDescent="0.3">
      <c r="C1147" s="6"/>
      <c r="E1147" s="23"/>
      <c r="G1147" s="23"/>
    </row>
    <row r="1148" spans="3:7" x14ac:dyDescent="0.3">
      <c r="C1148" s="6"/>
      <c r="E1148" s="23"/>
      <c r="G1148" s="23"/>
    </row>
    <row r="1149" spans="3:7" x14ac:dyDescent="0.3">
      <c r="C1149" s="6"/>
      <c r="E1149" s="23"/>
      <c r="G1149" s="23"/>
    </row>
    <row r="1150" spans="3:7" x14ac:dyDescent="0.3">
      <c r="C1150" s="6"/>
      <c r="E1150" s="23"/>
      <c r="G1150" s="23"/>
    </row>
    <row r="1151" spans="3:7" x14ac:dyDescent="0.3">
      <c r="C1151" s="6"/>
      <c r="E1151" s="23"/>
      <c r="G1151" s="23"/>
    </row>
    <row r="1152" spans="3:7" x14ac:dyDescent="0.3">
      <c r="C1152" s="6"/>
      <c r="E1152" s="23"/>
      <c r="G1152" s="23"/>
    </row>
    <row r="1153" spans="3:7" x14ac:dyDescent="0.3">
      <c r="C1153" s="6"/>
      <c r="E1153" s="23"/>
      <c r="G1153" s="23"/>
    </row>
    <row r="1154" spans="3:7" x14ac:dyDescent="0.3">
      <c r="C1154" s="6"/>
      <c r="E1154" s="23"/>
      <c r="G1154" s="23"/>
    </row>
    <row r="1155" spans="3:7" x14ac:dyDescent="0.3">
      <c r="C1155" s="6"/>
      <c r="E1155" s="23"/>
      <c r="G1155" s="23"/>
    </row>
    <row r="1156" spans="3:7" x14ac:dyDescent="0.3">
      <c r="C1156" s="6"/>
      <c r="E1156" s="23"/>
      <c r="G1156" s="23"/>
    </row>
    <row r="1157" spans="3:7" x14ac:dyDescent="0.3">
      <c r="C1157" s="6"/>
      <c r="E1157" s="23"/>
      <c r="G1157" s="23"/>
    </row>
    <row r="1158" spans="3:7" x14ac:dyDescent="0.3">
      <c r="C1158" s="6"/>
      <c r="E1158" s="23"/>
      <c r="G1158" s="23"/>
    </row>
    <row r="1159" spans="3:7" x14ac:dyDescent="0.3">
      <c r="C1159" s="6"/>
      <c r="E1159" s="23"/>
      <c r="G1159" s="23"/>
    </row>
    <row r="1160" spans="3:7" x14ac:dyDescent="0.3">
      <c r="C1160" s="6"/>
      <c r="E1160" s="23"/>
      <c r="G1160" s="23"/>
    </row>
    <row r="1161" spans="3:7" x14ac:dyDescent="0.3">
      <c r="C1161" s="6"/>
      <c r="E1161" s="23"/>
      <c r="G1161" s="23"/>
    </row>
    <row r="1162" spans="3:7" x14ac:dyDescent="0.3">
      <c r="C1162" s="6"/>
      <c r="E1162" s="23"/>
      <c r="G1162" s="23"/>
    </row>
    <row r="1163" spans="3:7" x14ac:dyDescent="0.3">
      <c r="C1163" s="6"/>
      <c r="E1163" s="23"/>
      <c r="G1163" s="23"/>
    </row>
    <row r="1164" spans="3:7" x14ac:dyDescent="0.3">
      <c r="C1164" s="6"/>
      <c r="E1164" s="23"/>
      <c r="G1164" s="23"/>
    </row>
    <row r="1165" spans="3:7" x14ac:dyDescent="0.3">
      <c r="C1165" s="6"/>
      <c r="E1165" s="23"/>
      <c r="G1165" s="23"/>
    </row>
    <row r="1166" spans="3:7" x14ac:dyDescent="0.3">
      <c r="C1166" s="6"/>
      <c r="E1166" s="23"/>
      <c r="G1166" s="23"/>
    </row>
    <row r="1167" spans="3:7" x14ac:dyDescent="0.3">
      <c r="C1167" s="6"/>
      <c r="E1167" s="23"/>
      <c r="G1167" s="23"/>
    </row>
    <row r="1168" spans="3:7" x14ac:dyDescent="0.3">
      <c r="C1168" s="6"/>
      <c r="E1168" s="23"/>
      <c r="G1168" s="23"/>
    </row>
    <row r="1169" spans="3:7" x14ac:dyDescent="0.3">
      <c r="C1169" s="6"/>
      <c r="E1169" s="23"/>
      <c r="G1169" s="23"/>
    </row>
    <row r="1170" spans="3:7" x14ac:dyDescent="0.3">
      <c r="C1170" s="6"/>
      <c r="E1170" s="23"/>
      <c r="G1170" s="23"/>
    </row>
    <row r="1171" spans="3:7" x14ac:dyDescent="0.3">
      <c r="C1171" s="6"/>
      <c r="E1171" s="23"/>
      <c r="G1171" s="23"/>
    </row>
    <row r="1172" spans="3:7" x14ac:dyDescent="0.3">
      <c r="C1172" s="6"/>
      <c r="E1172" s="23"/>
      <c r="G1172" s="23"/>
    </row>
    <row r="1173" spans="3:7" x14ac:dyDescent="0.3">
      <c r="C1173" s="6"/>
      <c r="E1173" s="23"/>
      <c r="G1173" s="23"/>
    </row>
    <row r="1174" spans="3:7" x14ac:dyDescent="0.3">
      <c r="C1174" s="6"/>
      <c r="E1174" s="23"/>
      <c r="G1174" s="23"/>
    </row>
    <row r="1175" spans="3:7" x14ac:dyDescent="0.3">
      <c r="C1175" s="6"/>
      <c r="E1175" s="23"/>
      <c r="G1175" s="23"/>
    </row>
    <row r="1176" spans="3:7" x14ac:dyDescent="0.3">
      <c r="C1176" s="6"/>
      <c r="E1176" s="23"/>
      <c r="G1176" s="23"/>
    </row>
    <row r="1177" spans="3:7" x14ac:dyDescent="0.3">
      <c r="C1177" s="6"/>
      <c r="E1177" s="23"/>
      <c r="G1177" s="23"/>
    </row>
    <row r="1178" spans="3:7" x14ac:dyDescent="0.3">
      <c r="C1178" s="6"/>
      <c r="E1178" s="23"/>
      <c r="G1178" s="23"/>
    </row>
    <row r="1179" spans="3:7" x14ac:dyDescent="0.3">
      <c r="C1179" s="6"/>
      <c r="E1179" s="23"/>
      <c r="G1179" s="23"/>
    </row>
    <row r="1180" spans="3:7" x14ac:dyDescent="0.3">
      <c r="C1180" s="6"/>
      <c r="E1180" s="23"/>
      <c r="G1180" s="23"/>
    </row>
    <row r="1181" spans="3:7" x14ac:dyDescent="0.3">
      <c r="C1181" s="6"/>
      <c r="E1181" s="23"/>
      <c r="G1181" s="23"/>
    </row>
    <row r="1182" spans="3:7" x14ac:dyDescent="0.3">
      <c r="C1182" s="6"/>
      <c r="E1182" s="23"/>
      <c r="G1182" s="23"/>
    </row>
    <row r="1183" spans="3:7" x14ac:dyDescent="0.3">
      <c r="C1183" s="6"/>
      <c r="E1183" s="23"/>
      <c r="G1183" s="23"/>
    </row>
    <row r="1184" spans="3:7" x14ac:dyDescent="0.3">
      <c r="C1184" s="6"/>
      <c r="E1184" s="23"/>
      <c r="G1184" s="23"/>
    </row>
    <row r="1185" spans="3:7" x14ac:dyDescent="0.3">
      <c r="C1185" s="6"/>
      <c r="E1185" s="23"/>
      <c r="G1185" s="23"/>
    </row>
    <row r="1186" spans="3:7" x14ac:dyDescent="0.3">
      <c r="C1186" s="6"/>
      <c r="E1186" s="23"/>
      <c r="G1186" s="23"/>
    </row>
    <row r="1187" spans="3:7" x14ac:dyDescent="0.3">
      <c r="C1187" s="6"/>
      <c r="E1187" s="23"/>
      <c r="G1187" s="23"/>
    </row>
    <row r="1188" spans="3:7" x14ac:dyDescent="0.3">
      <c r="C1188" s="6"/>
      <c r="E1188" s="23"/>
      <c r="G1188" s="23"/>
    </row>
    <row r="1189" spans="3:7" x14ac:dyDescent="0.3">
      <c r="C1189" s="6"/>
      <c r="E1189" s="23"/>
      <c r="G1189" s="23"/>
    </row>
    <row r="1190" spans="3:7" x14ac:dyDescent="0.3">
      <c r="C1190" s="6"/>
      <c r="E1190" s="23"/>
      <c r="G1190" s="23"/>
    </row>
    <row r="1191" spans="3:7" x14ac:dyDescent="0.3">
      <c r="C1191" s="6"/>
      <c r="E1191" s="23"/>
      <c r="G1191" s="23"/>
    </row>
    <row r="1192" spans="3:7" x14ac:dyDescent="0.3">
      <c r="C1192" s="6"/>
      <c r="E1192" s="23"/>
      <c r="G1192" s="23"/>
    </row>
    <row r="1193" spans="3:7" x14ac:dyDescent="0.3">
      <c r="C1193" s="6"/>
      <c r="E1193" s="23"/>
      <c r="G1193" s="23"/>
    </row>
    <row r="1194" spans="3:7" x14ac:dyDescent="0.3">
      <c r="C1194" s="6"/>
      <c r="E1194" s="23"/>
      <c r="G1194" s="23"/>
    </row>
    <row r="1195" spans="3:7" x14ac:dyDescent="0.3">
      <c r="C1195" s="6"/>
      <c r="E1195" s="23"/>
      <c r="G1195" s="23"/>
    </row>
    <row r="1196" spans="3:7" x14ac:dyDescent="0.3">
      <c r="C1196" s="6"/>
      <c r="E1196" s="23"/>
      <c r="G1196" s="23"/>
    </row>
    <row r="1197" spans="3:7" x14ac:dyDescent="0.3">
      <c r="C1197" s="6"/>
      <c r="E1197" s="23"/>
      <c r="G1197" s="23"/>
    </row>
    <row r="1198" spans="3:7" x14ac:dyDescent="0.3">
      <c r="C1198" s="6"/>
      <c r="E1198" s="23"/>
      <c r="G1198" s="23"/>
    </row>
    <row r="1199" spans="3:7" x14ac:dyDescent="0.3">
      <c r="C1199" s="6"/>
      <c r="E1199" s="23"/>
      <c r="G1199" s="23"/>
    </row>
    <row r="1200" spans="3:7" x14ac:dyDescent="0.3">
      <c r="C1200" s="6"/>
      <c r="E1200" s="23"/>
      <c r="G1200" s="23"/>
    </row>
    <row r="1201" spans="3:7" x14ac:dyDescent="0.3">
      <c r="C1201" s="6"/>
      <c r="E1201" s="23"/>
      <c r="G1201" s="23"/>
    </row>
    <row r="1202" spans="3:7" x14ac:dyDescent="0.3">
      <c r="C1202" s="6"/>
      <c r="E1202" s="23"/>
      <c r="G1202" s="23"/>
    </row>
    <row r="1203" spans="3:7" x14ac:dyDescent="0.3">
      <c r="C1203" s="6"/>
      <c r="E1203" s="23"/>
      <c r="G1203" s="23"/>
    </row>
    <row r="1204" spans="3:7" x14ac:dyDescent="0.3">
      <c r="C1204" s="6"/>
      <c r="E1204" s="23"/>
      <c r="G1204" s="23"/>
    </row>
    <row r="1205" spans="3:7" x14ac:dyDescent="0.3">
      <c r="C1205" s="6"/>
      <c r="E1205" s="23"/>
      <c r="G1205" s="23"/>
    </row>
    <row r="1206" spans="3:7" x14ac:dyDescent="0.3">
      <c r="C1206" s="6"/>
      <c r="E1206" s="23"/>
      <c r="G1206" s="23"/>
    </row>
    <row r="1207" spans="3:7" x14ac:dyDescent="0.3">
      <c r="C1207" s="6"/>
      <c r="E1207" s="23"/>
      <c r="G1207" s="23"/>
    </row>
    <row r="1208" spans="3:7" x14ac:dyDescent="0.3">
      <c r="C1208" s="6"/>
      <c r="E1208" s="23"/>
      <c r="G1208" s="23"/>
    </row>
    <row r="1209" spans="3:7" x14ac:dyDescent="0.3">
      <c r="C1209" s="6"/>
      <c r="E1209" s="23"/>
      <c r="G1209" s="23"/>
    </row>
    <row r="1210" spans="3:7" x14ac:dyDescent="0.3">
      <c r="C1210" s="6"/>
      <c r="E1210" s="23"/>
      <c r="G1210" s="23"/>
    </row>
    <row r="1211" spans="3:7" x14ac:dyDescent="0.3">
      <c r="C1211" s="6"/>
      <c r="E1211" s="23"/>
      <c r="G1211" s="23"/>
    </row>
    <row r="1212" spans="3:7" x14ac:dyDescent="0.3">
      <c r="C1212" s="6"/>
      <c r="E1212" s="23"/>
      <c r="G1212" s="23"/>
    </row>
    <row r="1213" spans="3:7" x14ac:dyDescent="0.3">
      <c r="C1213" s="6"/>
      <c r="E1213" s="23"/>
      <c r="G1213" s="23"/>
    </row>
    <row r="1214" spans="3:7" x14ac:dyDescent="0.3">
      <c r="C1214" s="6"/>
      <c r="E1214" s="23"/>
      <c r="G1214" s="23"/>
    </row>
    <row r="1215" spans="3:7" x14ac:dyDescent="0.3">
      <c r="C1215" s="6"/>
      <c r="E1215" s="23"/>
      <c r="G1215" s="23"/>
    </row>
    <row r="1216" spans="3:7" x14ac:dyDescent="0.3">
      <c r="C1216" s="6"/>
      <c r="E1216" s="23"/>
      <c r="G1216" s="23"/>
    </row>
    <row r="1217" spans="3:7" x14ac:dyDescent="0.3">
      <c r="C1217" s="6"/>
      <c r="E1217" s="23"/>
      <c r="G1217" s="23"/>
    </row>
    <row r="1218" spans="3:7" x14ac:dyDescent="0.3">
      <c r="C1218" s="6"/>
      <c r="E1218" s="23"/>
      <c r="G1218" s="23"/>
    </row>
    <row r="1219" spans="3:7" x14ac:dyDescent="0.3">
      <c r="C1219" s="6"/>
      <c r="E1219" s="23"/>
      <c r="G1219" s="23"/>
    </row>
    <row r="1220" spans="3:7" x14ac:dyDescent="0.3">
      <c r="C1220" s="6"/>
      <c r="E1220" s="23"/>
      <c r="G1220" s="23"/>
    </row>
    <row r="1221" spans="3:7" x14ac:dyDescent="0.3">
      <c r="C1221" s="6"/>
      <c r="E1221" s="23"/>
      <c r="G1221" s="23"/>
    </row>
    <row r="1222" spans="3:7" x14ac:dyDescent="0.3">
      <c r="C1222" s="6"/>
      <c r="E1222" s="23"/>
      <c r="G1222" s="23"/>
    </row>
    <row r="1223" spans="3:7" x14ac:dyDescent="0.3">
      <c r="C1223" s="6"/>
      <c r="E1223" s="23"/>
      <c r="G1223" s="23"/>
    </row>
    <row r="1224" spans="3:7" x14ac:dyDescent="0.3">
      <c r="C1224" s="6"/>
      <c r="E1224" s="23"/>
      <c r="G1224" s="23"/>
    </row>
    <row r="1225" spans="3:7" x14ac:dyDescent="0.3">
      <c r="C1225" s="6"/>
      <c r="E1225" s="23"/>
      <c r="G1225" s="23"/>
    </row>
    <row r="1226" spans="3:7" x14ac:dyDescent="0.3">
      <c r="C1226" s="6"/>
      <c r="E1226" s="23"/>
      <c r="G1226" s="23"/>
    </row>
    <row r="1227" spans="3:7" x14ac:dyDescent="0.3">
      <c r="C1227" s="6"/>
      <c r="E1227" s="23"/>
      <c r="G1227" s="23"/>
    </row>
    <row r="1228" spans="3:7" x14ac:dyDescent="0.3">
      <c r="C1228" s="6"/>
      <c r="E1228" s="23"/>
      <c r="G1228" s="23"/>
    </row>
    <row r="1229" spans="3:7" x14ac:dyDescent="0.3">
      <c r="C1229" s="6"/>
      <c r="E1229" s="23"/>
      <c r="G1229" s="23"/>
    </row>
    <row r="1230" spans="3:7" x14ac:dyDescent="0.3">
      <c r="C1230" s="6"/>
      <c r="E1230" s="23"/>
      <c r="G1230" s="23"/>
    </row>
    <row r="1231" spans="3:7" x14ac:dyDescent="0.3">
      <c r="C1231" s="6"/>
      <c r="E1231" s="23"/>
      <c r="G1231" s="23"/>
    </row>
    <row r="1232" spans="3:7" x14ac:dyDescent="0.3">
      <c r="C1232" s="6"/>
      <c r="E1232" s="23"/>
      <c r="G1232" s="23"/>
    </row>
    <row r="1233" spans="3:7" x14ac:dyDescent="0.3">
      <c r="C1233" s="6"/>
      <c r="E1233" s="23"/>
      <c r="G1233" s="23"/>
    </row>
    <row r="1234" spans="3:7" x14ac:dyDescent="0.3">
      <c r="C1234" s="6"/>
      <c r="E1234" s="23"/>
      <c r="G1234" s="23"/>
    </row>
    <row r="1235" spans="3:7" x14ac:dyDescent="0.3">
      <c r="C1235" s="6"/>
      <c r="E1235" s="23"/>
      <c r="G1235" s="23"/>
    </row>
    <row r="1236" spans="3:7" x14ac:dyDescent="0.3">
      <c r="C1236" s="6"/>
      <c r="E1236" s="23"/>
      <c r="G1236" s="23"/>
    </row>
    <row r="1237" spans="3:7" x14ac:dyDescent="0.3">
      <c r="C1237" s="6"/>
      <c r="E1237" s="23"/>
      <c r="G1237" s="23"/>
    </row>
    <row r="1238" spans="3:7" x14ac:dyDescent="0.3">
      <c r="C1238" s="6"/>
      <c r="E1238" s="23"/>
      <c r="G1238" s="23"/>
    </row>
    <row r="1239" spans="3:7" x14ac:dyDescent="0.3">
      <c r="C1239" s="6"/>
      <c r="E1239" s="23"/>
      <c r="G1239" s="23"/>
    </row>
    <row r="1240" spans="3:7" x14ac:dyDescent="0.3">
      <c r="C1240" s="6"/>
      <c r="E1240" s="23"/>
      <c r="G1240" s="23"/>
    </row>
    <row r="1241" spans="3:7" x14ac:dyDescent="0.3">
      <c r="C1241" s="6"/>
      <c r="E1241" s="23"/>
      <c r="G1241" s="23"/>
    </row>
    <row r="1242" spans="3:7" x14ac:dyDescent="0.3">
      <c r="C1242" s="6"/>
      <c r="E1242" s="23"/>
      <c r="G1242" s="23"/>
    </row>
    <row r="1243" spans="3:7" x14ac:dyDescent="0.3">
      <c r="C1243" s="6"/>
      <c r="E1243" s="23"/>
      <c r="G1243" s="23"/>
    </row>
    <row r="1244" spans="3:7" x14ac:dyDescent="0.3">
      <c r="C1244" s="6"/>
      <c r="E1244" s="23"/>
      <c r="G1244" s="23"/>
    </row>
    <row r="1245" spans="3:7" x14ac:dyDescent="0.3">
      <c r="C1245" s="6"/>
      <c r="E1245" s="23"/>
      <c r="G1245" s="23"/>
    </row>
    <row r="1246" spans="3:7" x14ac:dyDescent="0.3">
      <c r="C1246" s="6"/>
      <c r="E1246" s="23"/>
      <c r="G1246" s="23"/>
    </row>
    <row r="1247" spans="3:7" x14ac:dyDescent="0.3">
      <c r="C1247" s="6"/>
      <c r="E1247" s="23"/>
      <c r="G1247" s="23"/>
    </row>
    <row r="1248" spans="3:7" x14ac:dyDescent="0.3">
      <c r="C1248" s="6"/>
      <c r="E1248" s="23"/>
      <c r="G1248" s="23"/>
    </row>
    <row r="1249" spans="3:7" x14ac:dyDescent="0.3">
      <c r="C1249" s="6"/>
      <c r="E1249" s="23"/>
      <c r="G1249" s="23"/>
    </row>
    <row r="1250" spans="3:7" x14ac:dyDescent="0.3">
      <c r="C1250" s="6"/>
      <c r="E1250" s="23"/>
      <c r="G1250" s="23"/>
    </row>
    <row r="1251" spans="3:7" x14ac:dyDescent="0.3">
      <c r="C1251" s="6"/>
      <c r="E1251" s="23"/>
      <c r="G1251" s="23"/>
    </row>
    <row r="1252" spans="3:7" x14ac:dyDescent="0.3">
      <c r="C1252" s="6"/>
      <c r="E1252" s="23"/>
      <c r="G1252" s="23"/>
    </row>
    <row r="1253" spans="3:7" x14ac:dyDescent="0.3">
      <c r="C1253" s="6"/>
      <c r="E1253" s="23"/>
      <c r="G1253" s="23"/>
    </row>
    <row r="1254" spans="3:7" x14ac:dyDescent="0.3">
      <c r="C1254" s="6"/>
      <c r="E1254" s="23"/>
      <c r="G1254" s="23"/>
    </row>
    <row r="1255" spans="3:7" x14ac:dyDescent="0.3">
      <c r="C1255" s="6"/>
      <c r="E1255" s="23"/>
      <c r="G1255" s="23"/>
    </row>
    <row r="1256" spans="3:7" x14ac:dyDescent="0.3">
      <c r="C1256" s="6"/>
      <c r="E1256" s="23"/>
      <c r="G1256" s="23"/>
    </row>
    <row r="1257" spans="3:7" x14ac:dyDescent="0.3">
      <c r="C1257" s="6"/>
      <c r="E1257" s="23"/>
      <c r="G1257" s="23"/>
    </row>
    <row r="1258" spans="3:7" x14ac:dyDescent="0.3">
      <c r="C1258" s="6"/>
      <c r="E1258" s="23"/>
      <c r="G1258" s="23"/>
    </row>
    <row r="1259" spans="3:7" x14ac:dyDescent="0.3">
      <c r="C1259" s="6"/>
      <c r="E1259" s="23"/>
      <c r="G1259" s="23"/>
    </row>
    <row r="1260" spans="3:7" x14ac:dyDescent="0.3">
      <c r="C1260" s="6"/>
      <c r="E1260" s="23"/>
      <c r="G1260" s="23"/>
    </row>
    <row r="1261" spans="3:7" x14ac:dyDescent="0.3">
      <c r="C1261" s="6"/>
      <c r="E1261" s="23"/>
      <c r="G1261" s="23"/>
    </row>
    <row r="1262" spans="3:7" x14ac:dyDescent="0.3">
      <c r="C1262" s="6"/>
      <c r="E1262" s="23"/>
      <c r="G1262" s="23"/>
    </row>
    <row r="1263" spans="3:7" x14ac:dyDescent="0.3">
      <c r="C1263" s="6"/>
      <c r="E1263" s="23"/>
      <c r="G1263" s="23"/>
    </row>
    <row r="1264" spans="3:7" x14ac:dyDescent="0.3">
      <c r="C1264" s="6"/>
      <c r="E1264" s="23"/>
      <c r="G1264" s="23"/>
    </row>
    <row r="1265" spans="3:7" x14ac:dyDescent="0.3">
      <c r="C1265" s="6"/>
      <c r="E1265" s="23"/>
      <c r="G1265" s="23"/>
    </row>
    <row r="1266" spans="3:7" x14ac:dyDescent="0.3">
      <c r="C1266" s="6"/>
      <c r="E1266" s="23"/>
      <c r="G1266" s="23"/>
    </row>
    <row r="1267" spans="3:7" x14ac:dyDescent="0.3">
      <c r="C1267" s="6"/>
      <c r="E1267" s="23"/>
      <c r="G1267" s="23"/>
    </row>
    <row r="1268" spans="3:7" x14ac:dyDescent="0.3">
      <c r="C1268" s="6"/>
      <c r="E1268" s="23"/>
      <c r="G1268" s="23"/>
    </row>
    <row r="1269" spans="3:7" x14ac:dyDescent="0.3">
      <c r="C1269" s="6"/>
      <c r="E1269" s="23"/>
      <c r="G1269" s="23"/>
    </row>
    <row r="1270" spans="3:7" x14ac:dyDescent="0.3">
      <c r="C1270" s="6"/>
      <c r="E1270" s="23"/>
      <c r="G1270" s="23"/>
    </row>
    <row r="1271" spans="3:7" x14ac:dyDescent="0.3">
      <c r="C1271" s="6"/>
      <c r="E1271" s="23"/>
      <c r="G1271" s="23"/>
    </row>
    <row r="1272" spans="3:7" x14ac:dyDescent="0.3">
      <c r="C1272" s="6"/>
      <c r="E1272" s="23"/>
      <c r="G1272" s="23"/>
    </row>
    <row r="1273" spans="3:7" x14ac:dyDescent="0.3">
      <c r="C1273" s="6"/>
      <c r="E1273" s="23"/>
      <c r="G1273" s="23"/>
    </row>
    <row r="1274" spans="3:7" x14ac:dyDescent="0.3">
      <c r="C1274" s="6"/>
      <c r="E1274" s="23"/>
      <c r="G1274" s="23"/>
    </row>
    <row r="1275" spans="3:7" x14ac:dyDescent="0.3">
      <c r="C1275" s="6"/>
      <c r="E1275" s="23"/>
      <c r="G1275" s="23"/>
    </row>
    <row r="1276" spans="3:7" x14ac:dyDescent="0.3">
      <c r="C1276" s="6"/>
      <c r="E1276" s="23"/>
      <c r="G1276" s="23"/>
    </row>
    <row r="1277" spans="3:7" x14ac:dyDescent="0.3">
      <c r="C1277" s="6"/>
      <c r="E1277" s="23"/>
      <c r="G1277" s="23"/>
    </row>
    <row r="1278" spans="3:7" x14ac:dyDescent="0.3">
      <c r="C1278" s="6"/>
      <c r="E1278" s="23"/>
      <c r="G1278" s="23"/>
    </row>
    <row r="1279" spans="3:7" x14ac:dyDescent="0.3">
      <c r="C1279" s="6"/>
      <c r="E1279" s="23"/>
      <c r="G1279" s="23"/>
    </row>
    <row r="1280" spans="3:7" x14ac:dyDescent="0.3">
      <c r="C1280" s="6"/>
      <c r="E1280" s="23"/>
      <c r="G1280" s="23"/>
    </row>
    <row r="1281" spans="3:7" x14ac:dyDescent="0.3">
      <c r="C1281" s="6"/>
      <c r="E1281" s="23"/>
      <c r="G1281" s="23"/>
    </row>
    <row r="1282" spans="3:7" x14ac:dyDescent="0.3">
      <c r="C1282" s="6"/>
      <c r="E1282" s="23"/>
      <c r="G1282" s="23"/>
    </row>
    <row r="1283" spans="3:7" x14ac:dyDescent="0.3">
      <c r="C1283" s="6"/>
      <c r="E1283" s="23"/>
      <c r="G1283" s="23"/>
    </row>
    <row r="1284" spans="3:7" x14ac:dyDescent="0.3">
      <c r="C1284" s="6"/>
      <c r="E1284" s="23"/>
      <c r="G1284" s="23"/>
    </row>
    <row r="1285" spans="3:7" x14ac:dyDescent="0.3">
      <c r="C1285" s="6"/>
      <c r="E1285" s="23"/>
      <c r="G1285" s="23"/>
    </row>
    <row r="1286" spans="3:7" x14ac:dyDescent="0.3">
      <c r="C1286" s="6"/>
      <c r="E1286" s="23"/>
      <c r="G1286" s="23"/>
    </row>
    <row r="1287" spans="3:7" x14ac:dyDescent="0.3">
      <c r="C1287" s="6"/>
      <c r="E1287" s="23"/>
      <c r="G1287" s="23"/>
    </row>
    <row r="1288" spans="3:7" x14ac:dyDescent="0.3">
      <c r="C1288" s="6"/>
      <c r="E1288" s="23"/>
      <c r="G1288" s="23"/>
    </row>
    <row r="1289" spans="3:7" x14ac:dyDescent="0.3">
      <c r="C1289" s="6"/>
      <c r="E1289" s="23"/>
      <c r="G1289" s="23"/>
    </row>
    <row r="1290" spans="3:7" x14ac:dyDescent="0.3">
      <c r="C1290" s="6"/>
      <c r="E1290" s="23"/>
      <c r="G1290" s="23"/>
    </row>
    <row r="1291" spans="3:7" x14ac:dyDescent="0.3">
      <c r="C1291" s="6"/>
      <c r="E1291" s="23"/>
      <c r="G1291" s="23"/>
    </row>
    <row r="1292" spans="3:7" x14ac:dyDescent="0.3">
      <c r="C1292" s="6"/>
      <c r="E1292" s="23"/>
      <c r="G1292" s="23"/>
    </row>
    <row r="1293" spans="3:7" x14ac:dyDescent="0.3">
      <c r="C1293" s="6"/>
      <c r="E1293" s="23"/>
      <c r="G1293" s="23"/>
    </row>
    <row r="1294" spans="3:7" x14ac:dyDescent="0.3">
      <c r="C1294" s="6"/>
      <c r="E1294" s="23"/>
      <c r="G1294" s="23"/>
    </row>
    <row r="1295" spans="3:7" x14ac:dyDescent="0.3">
      <c r="C1295" s="6"/>
      <c r="E1295" s="23"/>
      <c r="G1295" s="23"/>
    </row>
    <row r="1296" spans="3:7" x14ac:dyDescent="0.3">
      <c r="C1296" s="6"/>
      <c r="E1296" s="23"/>
      <c r="G1296" s="23"/>
    </row>
    <row r="1297" spans="3:7" x14ac:dyDescent="0.3">
      <c r="C1297" s="6"/>
      <c r="E1297" s="23"/>
      <c r="G1297" s="23"/>
    </row>
    <row r="1298" spans="3:7" x14ac:dyDescent="0.3">
      <c r="C1298" s="6"/>
      <c r="E1298" s="23"/>
      <c r="G1298" s="23"/>
    </row>
    <row r="1299" spans="3:7" x14ac:dyDescent="0.3">
      <c r="C1299" s="6"/>
      <c r="E1299" s="23"/>
      <c r="G1299" s="23"/>
    </row>
    <row r="1300" spans="3:7" x14ac:dyDescent="0.3">
      <c r="C1300" s="6"/>
      <c r="E1300" s="23"/>
      <c r="G1300" s="23"/>
    </row>
    <row r="1301" spans="3:7" x14ac:dyDescent="0.3">
      <c r="C1301" s="6"/>
      <c r="E1301" s="23"/>
      <c r="G1301" s="23"/>
    </row>
    <row r="1302" spans="3:7" x14ac:dyDescent="0.3">
      <c r="C1302" s="6"/>
      <c r="E1302" s="23"/>
      <c r="G1302" s="23"/>
    </row>
    <row r="1303" spans="3:7" x14ac:dyDescent="0.3">
      <c r="C1303" s="6"/>
      <c r="E1303" s="23"/>
      <c r="G1303" s="23"/>
    </row>
    <row r="1304" spans="3:7" x14ac:dyDescent="0.3">
      <c r="C1304" s="6"/>
      <c r="E1304" s="23"/>
      <c r="G1304" s="23"/>
    </row>
    <row r="1305" spans="3:7" x14ac:dyDescent="0.3">
      <c r="C1305" s="6"/>
      <c r="E1305" s="23"/>
      <c r="G1305" s="23"/>
    </row>
    <row r="1306" spans="3:7" x14ac:dyDescent="0.3">
      <c r="C1306" s="6"/>
      <c r="E1306" s="23"/>
      <c r="G1306" s="23"/>
    </row>
    <row r="1307" spans="3:7" x14ac:dyDescent="0.3">
      <c r="C1307" s="6"/>
      <c r="E1307" s="23"/>
      <c r="G1307" s="23"/>
    </row>
    <row r="1308" spans="3:7" x14ac:dyDescent="0.3">
      <c r="C1308" s="6"/>
      <c r="E1308" s="23"/>
      <c r="G1308" s="23"/>
    </row>
    <row r="1309" spans="3:7" x14ac:dyDescent="0.3">
      <c r="C1309" s="6"/>
      <c r="E1309" s="23"/>
      <c r="G1309" s="23"/>
    </row>
    <row r="1310" spans="3:7" x14ac:dyDescent="0.3">
      <c r="C1310" s="6"/>
      <c r="E1310" s="23"/>
      <c r="G1310" s="23"/>
    </row>
    <row r="1311" spans="3:7" x14ac:dyDescent="0.3">
      <c r="C1311" s="6"/>
      <c r="E1311" s="23"/>
      <c r="G1311" s="23"/>
    </row>
    <row r="1312" spans="3:7" x14ac:dyDescent="0.3">
      <c r="C1312" s="6"/>
      <c r="E1312" s="23"/>
      <c r="G1312" s="23"/>
    </row>
    <row r="1313" spans="3:7" x14ac:dyDescent="0.3">
      <c r="C1313" s="6"/>
      <c r="E1313" s="23"/>
      <c r="G1313" s="23"/>
    </row>
    <row r="1314" spans="3:7" x14ac:dyDescent="0.3">
      <c r="C1314" s="6"/>
      <c r="E1314" s="23"/>
      <c r="G1314" s="23"/>
    </row>
    <row r="1315" spans="3:7" x14ac:dyDescent="0.3">
      <c r="C1315" s="6"/>
      <c r="E1315" s="23"/>
      <c r="G1315" s="23"/>
    </row>
    <row r="1316" spans="3:7" x14ac:dyDescent="0.3">
      <c r="C1316" s="6"/>
      <c r="E1316" s="23"/>
      <c r="G1316" s="23"/>
    </row>
    <row r="1317" spans="3:7" x14ac:dyDescent="0.3">
      <c r="C1317" s="6"/>
      <c r="E1317" s="23"/>
      <c r="G1317" s="23"/>
    </row>
    <row r="1318" spans="3:7" x14ac:dyDescent="0.3">
      <c r="C1318" s="6"/>
      <c r="E1318" s="23"/>
      <c r="G1318" s="23"/>
    </row>
    <row r="1319" spans="3:7" x14ac:dyDescent="0.3">
      <c r="C1319" s="6"/>
      <c r="E1319" s="23"/>
      <c r="G1319" s="23"/>
    </row>
    <row r="1320" spans="3:7" x14ac:dyDescent="0.3">
      <c r="C1320" s="6"/>
      <c r="E1320" s="23"/>
      <c r="G1320" s="23"/>
    </row>
    <row r="1321" spans="3:7" x14ac:dyDescent="0.3">
      <c r="C1321" s="6"/>
      <c r="E1321" s="23"/>
      <c r="G1321" s="23"/>
    </row>
    <row r="1322" spans="3:7" x14ac:dyDescent="0.3">
      <c r="C1322" s="6"/>
      <c r="E1322" s="23"/>
      <c r="G1322" s="23"/>
    </row>
    <row r="1323" spans="3:7" x14ac:dyDescent="0.3">
      <c r="C1323" s="6"/>
      <c r="E1323" s="23"/>
      <c r="G1323" s="23"/>
    </row>
    <row r="1324" spans="3:7" x14ac:dyDescent="0.3">
      <c r="C1324" s="6"/>
      <c r="E1324" s="23"/>
      <c r="G1324" s="23"/>
    </row>
    <row r="1325" spans="3:7" x14ac:dyDescent="0.3">
      <c r="C1325" s="6"/>
      <c r="E1325" s="23"/>
      <c r="G1325" s="23"/>
    </row>
    <row r="1326" spans="3:7" x14ac:dyDescent="0.3">
      <c r="C1326" s="6"/>
      <c r="E1326" s="23"/>
      <c r="G1326" s="23"/>
    </row>
    <row r="1327" spans="3:7" x14ac:dyDescent="0.3">
      <c r="C1327" s="6"/>
      <c r="E1327" s="23"/>
      <c r="G1327" s="23"/>
    </row>
    <row r="1328" spans="3:7" x14ac:dyDescent="0.3">
      <c r="C1328" s="6"/>
      <c r="E1328" s="23"/>
      <c r="G1328" s="23"/>
    </row>
    <row r="1329" spans="3:7" x14ac:dyDescent="0.3">
      <c r="C1329" s="6"/>
      <c r="E1329" s="23"/>
      <c r="G1329" s="23"/>
    </row>
    <row r="1330" spans="3:7" x14ac:dyDescent="0.3">
      <c r="C1330" s="6"/>
      <c r="E1330" s="23"/>
      <c r="G1330" s="23"/>
    </row>
    <row r="1331" spans="3:7" x14ac:dyDescent="0.3">
      <c r="C1331" s="6"/>
      <c r="E1331" s="23"/>
      <c r="G1331" s="23"/>
    </row>
    <row r="1332" spans="3:7" x14ac:dyDescent="0.3">
      <c r="C1332" s="6"/>
      <c r="E1332" s="23"/>
      <c r="G1332" s="23"/>
    </row>
    <row r="1333" spans="3:7" x14ac:dyDescent="0.3">
      <c r="C1333" s="6"/>
      <c r="E1333" s="23"/>
      <c r="G1333" s="23"/>
    </row>
    <row r="1334" spans="3:7" x14ac:dyDescent="0.3">
      <c r="C1334" s="6"/>
      <c r="E1334" s="23"/>
      <c r="G1334" s="23"/>
    </row>
    <row r="1335" spans="3:7" x14ac:dyDescent="0.3">
      <c r="C1335" s="6"/>
      <c r="E1335" s="23"/>
      <c r="G1335" s="23"/>
    </row>
    <row r="1336" spans="3:7" x14ac:dyDescent="0.3">
      <c r="C1336" s="6"/>
      <c r="E1336" s="23"/>
      <c r="G1336" s="23"/>
    </row>
    <row r="1337" spans="3:7" x14ac:dyDescent="0.3">
      <c r="C1337" s="6"/>
      <c r="E1337" s="23"/>
      <c r="G1337" s="23"/>
    </row>
    <row r="1338" spans="3:7" x14ac:dyDescent="0.3">
      <c r="C1338" s="6"/>
      <c r="E1338" s="23"/>
      <c r="G1338" s="23"/>
    </row>
    <row r="1339" spans="3:7" x14ac:dyDescent="0.3">
      <c r="C1339" s="6"/>
      <c r="E1339" s="23"/>
      <c r="G1339" s="23"/>
    </row>
    <row r="1340" spans="3:7" x14ac:dyDescent="0.3">
      <c r="C1340" s="6"/>
      <c r="E1340" s="23"/>
      <c r="G1340" s="23"/>
    </row>
    <row r="1341" spans="3:7" x14ac:dyDescent="0.3">
      <c r="C1341" s="6"/>
      <c r="E1341" s="23"/>
      <c r="G1341" s="23"/>
    </row>
    <row r="1342" spans="3:7" x14ac:dyDescent="0.3">
      <c r="C1342" s="6"/>
      <c r="E1342" s="23"/>
      <c r="G1342" s="23"/>
    </row>
    <row r="1343" spans="3:7" x14ac:dyDescent="0.3">
      <c r="C1343" s="6"/>
      <c r="E1343" s="23"/>
      <c r="G1343" s="23"/>
    </row>
    <row r="1344" spans="3:7" x14ac:dyDescent="0.3">
      <c r="C1344" s="6"/>
      <c r="E1344" s="23"/>
      <c r="G1344" s="23"/>
    </row>
    <row r="1345" spans="3:7" x14ac:dyDescent="0.3">
      <c r="C1345" s="6"/>
      <c r="E1345" s="23"/>
      <c r="G1345" s="23"/>
    </row>
    <row r="1346" spans="3:7" x14ac:dyDescent="0.3">
      <c r="C1346" s="6"/>
      <c r="E1346" s="23"/>
      <c r="G1346" s="23"/>
    </row>
    <row r="1347" spans="3:7" x14ac:dyDescent="0.3">
      <c r="C1347" s="6"/>
      <c r="E1347" s="23"/>
      <c r="G1347" s="23"/>
    </row>
    <row r="1348" spans="3:7" x14ac:dyDescent="0.3">
      <c r="C1348" s="6"/>
      <c r="E1348" s="23"/>
      <c r="G1348" s="23"/>
    </row>
    <row r="1349" spans="3:7" x14ac:dyDescent="0.3">
      <c r="C1349" s="6"/>
      <c r="E1349" s="23"/>
      <c r="G1349" s="23"/>
    </row>
    <row r="1350" spans="3:7" x14ac:dyDescent="0.3">
      <c r="C1350" s="6"/>
      <c r="E1350" s="23"/>
      <c r="G1350" s="23"/>
    </row>
    <row r="1351" spans="3:7" x14ac:dyDescent="0.3">
      <c r="C1351" s="6"/>
      <c r="E1351" s="23"/>
      <c r="G1351" s="23"/>
    </row>
    <row r="1352" spans="3:7" x14ac:dyDescent="0.3">
      <c r="C1352" s="6"/>
      <c r="E1352" s="23"/>
      <c r="G1352" s="23"/>
    </row>
    <row r="1353" spans="3:7" x14ac:dyDescent="0.3">
      <c r="C1353" s="6"/>
      <c r="E1353" s="23"/>
      <c r="G1353" s="23"/>
    </row>
    <row r="1354" spans="3:7" x14ac:dyDescent="0.3">
      <c r="C1354" s="6"/>
      <c r="E1354" s="23"/>
      <c r="G1354" s="23"/>
    </row>
    <row r="1355" spans="3:7" x14ac:dyDescent="0.3">
      <c r="C1355" s="6"/>
      <c r="E1355" s="23"/>
      <c r="G1355" s="23"/>
    </row>
    <row r="1356" spans="3:7" x14ac:dyDescent="0.3">
      <c r="C1356" s="6"/>
      <c r="E1356" s="23"/>
      <c r="G1356" s="23"/>
    </row>
    <row r="1357" spans="3:7" x14ac:dyDescent="0.3">
      <c r="C1357" s="6"/>
      <c r="E1357" s="23"/>
      <c r="G1357" s="23"/>
    </row>
    <row r="1358" spans="3:7" x14ac:dyDescent="0.3">
      <c r="C1358" s="6"/>
      <c r="E1358" s="23"/>
      <c r="G1358" s="23"/>
    </row>
    <row r="1359" spans="3:7" x14ac:dyDescent="0.3">
      <c r="C1359" s="6"/>
      <c r="E1359" s="23"/>
      <c r="G1359" s="23"/>
    </row>
    <row r="1360" spans="3:7" x14ac:dyDescent="0.3">
      <c r="C1360" s="6"/>
      <c r="E1360" s="23"/>
      <c r="G1360" s="23"/>
    </row>
    <row r="1361" spans="3:7" x14ac:dyDescent="0.3">
      <c r="C1361" s="6"/>
      <c r="E1361" s="23"/>
      <c r="G1361" s="23"/>
    </row>
    <row r="1362" spans="3:7" x14ac:dyDescent="0.3">
      <c r="C1362" s="6"/>
      <c r="E1362" s="23"/>
      <c r="G1362" s="23"/>
    </row>
    <row r="1363" spans="3:7" x14ac:dyDescent="0.3">
      <c r="C1363" s="6"/>
      <c r="E1363" s="23"/>
      <c r="G1363" s="23"/>
    </row>
    <row r="1364" spans="3:7" x14ac:dyDescent="0.3">
      <c r="C1364" s="6"/>
      <c r="E1364" s="23"/>
      <c r="G1364" s="23"/>
    </row>
    <row r="1365" spans="3:7" x14ac:dyDescent="0.3">
      <c r="C1365" s="6"/>
      <c r="E1365" s="23"/>
      <c r="G1365" s="23"/>
    </row>
    <row r="1366" spans="3:7" x14ac:dyDescent="0.3">
      <c r="C1366" s="6"/>
      <c r="E1366" s="23"/>
      <c r="G1366" s="23"/>
    </row>
    <row r="1367" spans="3:7" x14ac:dyDescent="0.3">
      <c r="C1367" s="6"/>
      <c r="E1367" s="23"/>
      <c r="G1367" s="23"/>
    </row>
    <row r="1368" spans="3:7" x14ac:dyDescent="0.3">
      <c r="C1368" s="6"/>
      <c r="E1368" s="23"/>
      <c r="G1368" s="23"/>
    </row>
    <row r="1369" spans="3:7" x14ac:dyDescent="0.3">
      <c r="C1369" s="6"/>
      <c r="E1369" s="23"/>
      <c r="G1369" s="23"/>
    </row>
    <row r="1370" spans="3:7" x14ac:dyDescent="0.3">
      <c r="C1370" s="6"/>
      <c r="E1370" s="23"/>
      <c r="G1370" s="23"/>
    </row>
    <row r="1371" spans="3:7" x14ac:dyDescent="0.3">
      <c r="C1371" s="6"/>
      <c r="E1371" s="23"/>
      <c r="G1371" s="23"/>
    </row>
    <row r="1372" spans="3:7" x14ac:dyDescent="0.3">
      <c r="C1372" s="6"/>
      <c r="E1372" s="23"/>
      <c r="G1372" s="23"/>
    </row>
    <row r="1373" spans="3:7" x14ac:dyDescent="0.3">
      <c r="C1373" s="6"/>
      <c r="E1373" s="23"/>
      <c r="G1373" s="23"/>
    </row>
    <row r="1374" spans="3:7" x14ac:dyDescent="0.3">
      <c r="C1374" s="6"/>
      <c r="E1374" s="23"/>
      <c r="G1374" s="23"/>
    </row>
    <row r="1375" spans="3:7" x14ac:dyDescent="0.3">
      <c r="C1375" s="6"/>
      <c r="E1375" s="23"/>
      <c r="G1375" s="23"/>
    </row>
    <row r="1376" spans="3:7" x14ac:dyDescent="0.3">
      <c r="C1376" s="6"/>
      <c r="E1376" s="23"/>
      <c r="G1376" s="23"/>
    </row>
    <row r="1377" spans="3:7" x14ac:dyDescent="0.3">
      <c r="C1377" s="6"/>
      <c r="E1377" s="23"/>
      <c r="G1377" s="23"/>
    </row>
    <row r="1378" spans="3:7" x14ac:dyDescent="0.3">
      <c r="C1378" s="6"/>
      <c r="E1378" s="23"/>
      <c r="G1378" s="23"/>
    </row>
    <row r="1379" spans="3:7" x14ac:dyDescent="0.3">
      <c r="C1379" s="6"/>
      <c r="E1379" s="23"/>
      <c r="G1379" s="23"/>
    </row>
    <row r="1380" spans="3:7" x14ac:dyDescent="0.3">
      <c r="C1380" s="6"/>
      <c r="E1380" s="23"/>
      <c r="G1380" s="23"/>
    </row>
    <row r="1381" spans="3:7" x14ac:dyDescent="0.3">
      <c r="C1381" s="6"/>
      <c r="E1381" s="23"/>
      <c r="G1381" s="23"/>
    </row>
    <row r="1382" spans="3:7" x14ac:dyDescent="0.3">
      <c r="C1382" s="6"/>
      <c r="E1382" s="23"/>
      <c r="G1382" s="23"/>
    </row>
    <row r="1383" spans="3:7" x14ac:dyDescent="0.3">
      <c r="C1383" s="6"/>
      <c r="E1383" s="23"/>
      <c r="G1383" s="23"/>
    </row>
    <row r="1384" spans="3:7" x14ac:dyDescent="0.3">
      <c r="C1384" s="6"/>
      <c r="E1384" s="23"/>
      <c r="G1384" s="23"/>
    </row>
    <row r="1385" spans="3:7" x14ac:dyDescent="0.3">
      <c r="C1385" s="6"/>
      <c r="E1385" s="23"/>
      <c r="G1385" s="23"/>
    </row>
    <row r="1386" spans="3:7" x14ac:dyDescent="0.3">
      <c r="C1386" s="6"/>
      <c r="E1386" s="23"/>
      <c r="G1386" s="23"/>
    </row>
    <row r="1387" spans="3:7" x14ac:dyDescent="0.3">
      <c r="C1387" s="6"/>
      <c r="E1387" s="23"/>
      <c r="G1387" s="23"/>
    </row>
    <row r="1388" spans="3:7" x14ac:dyDescent="0.3">
      <c r="C1388" s="6"/>
      <c r="E1388" s="23"/>
      <c r="G1388" s="23"/>
    </row>
    <row r="1389" spans="3:7" x14ac:dyDescent="0.3">
      <c r="C1389" s="6"/>
      <c r="E1389" s="23"/>
      <c r="G1389" s="23"/>
    </row>
    <row r="1390" spans="3:7" x14ac:dyDescent="0.3">
      <c r="C1390" s="6"/>
      <c r="E1390" s="23"/>
      <c r="G1390" s="23"/>
    </row>
    <row r="1391" spans="3:7" x14ac:dyDescent="0.3">
      <c r="C1391" s="6"/>
      <c r="E1391" s="23"/>
      <c r="G1391" s="23"/>
    </row>
    <row r="1392" spans="3:7" x14ac:dyDescent="0.3">
      <c r="C1392" s="6"/>
      <c r="E1392" s="23"/>
      <c r="G1392" s="23"/>
    </row>
    <row r="1393" spans="3:7" x14ac:dyDescent="0.3">
      <c r="C1393" s="6"/>
      <c r="E1393" s="23"/>
      <c r="G1393" s="23"/>
    </row>
    <row r="1394" spans="3:7" x14ac:dyDescent="0.3">
      <c r="C1394" s="6"/>
      <c r="E1394" s="23"/>
      <c r="G1394" s="23"/>
    </row>
    <row r="1395" spans="3:7" x14ac:dyDescent="0.3">
      <c r="C1395" s="6"/>
      <c r="E1395" s="23"/>
      <c r="G1395" s="23"/>
    </row>
    <row r="1396" spans="3:7" x14ac:dyDescent="0.3">
      <c r="C1396" s="6"/>
      <c r="E1396" s="23"/>
      <c r="G1396" s="23"/>
    </row>
    <row r="1397" spans="3:7" x14ac:dyDescent="0.3">
      <c r="C1397" s="6"/>
      <c r="E1397" s="23"/>
      <c r="G1397" s="23"/>
    </row>
    <row r="1398" spans="3:7" x14ac:dyDescent="0.3">
      <c r="C1398" s="6"/>
      <c r="E1398" s="23"/>
      <c r="G1398" s="23"/>
    </row>
    <row r="1399" spans="3:7" x14ac:dyDescent="0.3">
      <c r="C1399" s="6"/>
      <c r="E1399" s="23"/>
      <c r="G1399" s="23"/>
    </row>
    <row r="1400" spans="3:7" x14ac:dyDescent="0.3">
      <c r="C1400" s="6"/>
      <c r="E1400" s="23"/>
      <c r="G1400" s="23"/>
    </row>
    <row r="1401" spans="3:7" x14ac:dyDescent="0.3">
      <c r="C1401" s="6"/>
      <c r="E1401" s="23"/>
      <c r="G1401" s="23"/>
    </row>
    <row r="1402" spans="3:7" x14ac:dyDescent="0.3">
      <c r="C1402" s="6"/>
      <c r="E1402" s="23"/>
      <c r="G1402" s="23"/>
    </row>
    <row r="1403" spans="3:7" x14ac:dyDescent="0.3">
      <c r="C1403" s="6"/>
      <c r="E1403" s="23"/>
      <c r="G1403" s="23"/>
    </row>
    <row r="1404" spans="3:7" x14ac:dyDescent="0.3">
      <c r="C1404" s="6"/>
      <c r="E1404" s="23"/>
      <c r="G1404" s="23"/>
    </row>
    <row r="1405" spans="3:7" x14ac:dyDescent="0.3">
      <c r="C1405" s="6"/>
      <c r="E1405" s="23"/>
      <c r="G1405" s="23"/>
    </row>
    <row r="1406" spans="3:7" x14ac:dyDescent="0.3">
      <c r="C1406" s="6"/>
      <c r="E1406" s="23"/>
      <c r="G1406" s="23"/>
    </row>
    <row r="1407" spans="3:7" x14ac:dyDescent="0.3">
      <c r="C1407" s="6"/>
      <c r="E1407" s="23"/>
      <c r="G1407" s="23"/>
    </row>
    <row r="1408" spans="3:7" x14ac:dyDescent="0.3">
      <c r="C1408" s="6"/>
      <c r="E1408" s="23"/>
      <c r="G1408" s="23"/>
    </row>
    <row r="1409" spans="3:7" x14ac:dyDescent="0.3">
      <c r="C1409" s="6"/>
      <c r="E1409" s="23"/>
      <c r="G1409" s="23"/>
    </row>
    <row r="1410" spans="3:7" x14ac:dyDescent="0.3">
      <c r="C1410" s="6"/>
      <c r="E1410" s="23"/>
      <c r="G1410" s="23"/>
    </row>
    <row r="1411" spans="3:7" x14ac:dyDescent="0.3">
      <c r="C1411" s="6"/>
      <c r="E1411" s="23"/>
      <c r="G1411" s="23"/>
    </row>
    <row r="1412" spans="3:7" x14ac:dyDescent="0.3">
      <c r="C1412" s="6"/>
      <c r="E1412" s="23"/>
      <c r="G1412" s="23"/>
    </row>
    <row r="1413" spans="3:7" x14ac:dyDescent="0.3">
      <c r="C1413" s="6"/>
      <c r="E1413" s="23"/>
      <c r="G1413" s="23"/>
    </row>
    <row r="1414" spans="3:7" x14ac:dyDescent="0.3">
      <c r="C1414" s="6"/>
      <c r="E1414" s="23"/>
      <c r="G1414" s="23"/>
    </row>
    <row r="1415" spans="3:7" x14ac:dyDescent="0.3">
      <c r="C1415" s="6"/>
      <c r="E1415" s="23"/>
      <c r="G1415" s="23"/>
    </row>
    <row r="1416" spans="3:7" x14ac:dyDescent="0.3">
      <c r="C1416" s="6"/>
      <c r="E1416" s="23"/>
      <c r="G1416" s="23"/>
    </row>
    <row r="1417" spans="3:7" x14ac:dyDescent="0.3">
      <c r="C1417" s="6"/>
      <c r="E1417" s="23"/>
      <c r="G1417" s="23"/>
    </row>
    <row r="1418" spans="3:7" x14ac:dyDescent="0.3">
      <c r="C1418" s="6"/>
      <c r="E1418" s="23"/>
      <c r="G1418" s="23"/>
    </row>
    <row r="1419" spans="3:7" x14ac:dyDescent="0.3">
      <c r="C1419" s="6"/>
      <c r="E1419" s="23"/>
      <c r="G1419" s="23"/>
    </row>
    <row r="1420" spans="3:7" x14ac:dyDescent="0.3">
      <c r="C1420" s="6"/>
      <c r="E1420" s="23"/>
      <c r="G1420" s="23"/>
    </row>
    <row r="1421" spans="3:7" x14ac:dyDescent="0.3">
      <c r="C1421" s="6"/>
      <c r="E1421" s="23"/>
      <c r="G1421" s="23"/>
    </row>
    <row r="1422" spans="3:7" x14ac:dyDescent="0.3">
      <c r="C1422" s="6"/>
      <c r="E1422" s="23"/>
      <c r="G1422" s="23"/>
    </row>
    <row r="1423" spans="3:7" x14ac:dyDescent="0.3">
      <c r="C1423" s="6"/>
      <c r="E1423" s="23"/>
      <c r="G1423" s="23"/>
    </row>
    <row r="1424" spans="3:7" x14ac:dyDescent="0.3">
      <c r="C1424" s="6"/>
      <c r="E1424" s="23"/>
      <c r="G1424" s="23"/>
    </row>
    <row r="1425" spans="3:7" x14ac:dyDescent="0.3">
      <c r="C1425" s="6"/>
      <c r="E1425" s="23"/>
      <c r="G1425" s="23"/>
    </row>
    <row r="1426" spans="3:7" x14ac:dyDescent="0.3">
      <c r="C1426" s="6"/>
      <c r="E1426" s="23"/>
      <c r="G1426" s="23"/>
    </row>
    <row r="1427" spans="3:7" x14ac:dyDescent="0.3">
      <c r="C1427" s="6"/>
      <c r="E1427" s="23"/>
      <c r="G1427" s="23"/>
    </row>
    <row r="1428" spans="3:7" x14ac:dyDescent="0.3">
      <c r="C1428" s="6"/>
      <c r="E1428" s="23"/>
      <c r="G1428" s="23"/>
    </row>
    <row r="1429" spans="3:7" x14ac:dyDescent="0.3">
      <c r="C1429" s="6"/>
      <c r="E1429" s="23"/>
      <c r="G1429" s="23"/>
    </row>
    <row r="1430" spans="3:7" x14ac:dyDescent="0.3">
      <c r="C1430" s="6"/>
      <c r="E1430" s="23"/>
      <c r="G1430" s="23"/>
    </row>
    <row r="1431" spans="3:7" x14ac:dyDescent="0.3">
      <c r="C1431" s="6"/>
      <c r="E1431" s="23"/>
      <c r="G1431" s="23"/>
    </row>
    <row r="1432" spans="3:7" x14ac:dyDescent="0.3">
      <c r="C1432" s="6"/>
      <c r="E1432" s="23"/>
      <c r="G1432" s="23"/>
    </row>
    <row r="1433" spans="3:7" x14ac:dyDescent="0.3">
      <c r="C1433" s="6"/>
      <c r="E1433" s="23"/>
      <c r="G1433" s="23"/>
    </row>
    <row r="1434" spans="3:7" x14ac:dyDescent="0.3">
      <c r="C1434" s="6"/>
      <c r="E1434" s="23"/>
      <c r="G1434" s="23"/>
    </row>
    <row r="1435" spans="3:7" x14ac:dyDescent="0.3">
      <c r="C1435" s="6"/>
      <c r="E1435" s="23"/>
      <c r="G1435" s="23"/>
    </row>
    <row r="1436" spans="3:7" x14ac:dyDescent="0.3">
      <c r="C1436" s="6"/>
      <c r="E1436" s="23"/>
      <c r="G1436" s="23"/>
    </row>
    <row r="1437" spans="3:7" x14ac:dyDescent="0.3">
      <c r="C1437" s="6"/>
      <c r="E1437" s="23"/>
      <c r="G1437" s="23"/>
    </row>
    <row r="1438" spans="3:7" x14ac:dyDescent="0.3">
      <c r="C1438" s="6"/>
      <c r="E1438" s="23"/>
      <c r="G1438" s="23"/>
    </row>
    <row r="1439" spans="3:7" x14ac:dyDescent="0.3">
      <c r="C1439" s="6"/>
      <c r="E1439" s="23"/>
      <c r="G1439" s="23"/>
    </row>
    <row r="1440" spans="3:7" x14ac:dyDescent="0.3">
      <c r="C1440" s="6"/>
      <c r="E1440" s="23"/>
      <c r="G1440" s="23"/>
    </row>
    <row r="1441" spans="3:7" x14ac:dyDescent="0.3">
      <c r="C1441" s="6"/>
      <c r="E1441" s="23"/>
      <c r="G1441" s="23"/>
    </row>
    <row r="1442" spans="3:7" x14ac:dyDescent="0.3">
      <c r="C1442" s="6"/>
      <c r="E1442" s="23"/>
      <c r="G1442" s="23"/>
    </row>
    <row r="1443" spans="3:7" x14ac:dyDescent="0.3">
      <c r="C1443" s="6"/>
      <c r="E1443" s="23"/>
      <c r="G1443" s="23"/>
    </row>
    <row r="1444" spans="3:7" x14ac:dyDescent="0.3">
      <c r="C1444" s="6"/>
      <c r="E1444" s="23"/>
      <c r="G1444" s="23"/>
    </row>
    <row r="1445" spans="3:7" x14ac:dyDescent="0.3">
      <c r="C1445" s="6"/>
      <c r="E1445" s="23"/>
      <c r="G1445" s="23"/>
    </row>
    <row r="1446" spans="3:7" x14ac:dyDescent="0.3">
      <c r="C1446" s="6"/>
      <c r="E1446" s="23"/>
      <c r="G1446" s="23"/>
    </row>
    <row r="1447" spans="3:7" x14ac:dyDescent="0.3">
      <c r="C1447" s="6"/>
      <c r="E1447" s="23"/>
      <c r="G1447" s="23"/>
    </row>
    <row r="1448" spans="3:7" x14ac:dyDescent="0.3">
      <c r="C1448" s="6"/>
      <c r="E1448" s="23"/>
      <c r="G1448" s="23"/>
    </row>
    <row r="1449" spans="3:7" x14ac:dyDescent="0.3">
      <c r="C1449" s="6"/>
      <c r="E1449" s="23"/>
      <c r="G1449" s="23"/>
    </row>
    <row r="1450" spans="3:7" x14ac:dyDescent="0.3">
      <c r="C1450" s="6"/>
      <c r="E1450" s="23"/>
      <c r="G1450" s="23"/>
    </row>
    <row r="1451" spans="3:7" x14ac:dyDescent="0.3">
      <c r="C1451" s="6"/>
      <c r="E1451" s="23"/>
      <c r="G1451" s="23"/>
    </row>
    <row r="1452" spans="3:7" x14ac:dyDescent="0.3">
      <c r="C1452" s="6"/>
      <c r="E1452" s="23"/>
      <c r="G1452" s="23"/>
    </row>
    <row r="1453" spans="3:7" x14ac:dyDescent="0.3">
      <c r="C1453" s="6"/>
      <c r="E1453" s="23"/>
      <c r="G1453" s="23"/>
    </row>
    <row r="1454" spans="3:7" x14ac:dyDescent="0.3">
      <c r="C1454" s="6"/>
      <c r="E1454" s="23"/>
      <c r="G1454" s="23"/>
    </row>
    <row r="1455" spans="3:7" x14ac:dyDescent="0.3">
      <c r="C1455" s="6"/>
      <c r="E1455" s="23"/>
      <c r="G1455" s="23"/>
    </row>
    <row r="1456" spans="3:7" x14ac:dyDescent="0.3">
      <c r="C1456" s="6"/>
      <c r="E1456" s="23"/>
      <c r="G1456" s="23"/>
    </row>
    <row r="1457" spans="3:7" x14ac:dyDescent="0.3">
      <c r="C1457" s="6"/>
      <c r="E1457" s="23"/>
      <c r="G1457" s="23"/>
    </row>
    <row r="1458" spans="3:7" x14ac:dyDescent="0.3">
      <c r="C1458" s="6"/>
      <c r="E1458" s="23"/>
      <c r="G1458" s="23"/>
    </row>
    <row r="1459" spans="3:7" x14ac:dyDescent="0.3">
      <c r="C1459" s="6"/>
      <c r="E1459" s="23"/>
      <c r="G1459" s="23"/>
    </row>
    <row r="1460" spans="3:7" x14ac:dyDescent="0.3">
      <c r="C1460" s="6"/>
      <c r="E1460" s="23"/>
      <c r="G1460" s="23"/>
    </row>
    <row r="1461" spans="3:7" x14ac:dyDescent="0.3">
      <c r="C1461" s="6"/>
      <c r="E1461" s="23"/>
      <c r="G1461" s="23"/>
    </row>
    <row r="1462" spans="3:7" x14ac:dyDescent="0.3">
      <c r="C1462" s="6"/>
      <c r="E1462" s="23"/>
      <c r="G1462" s="23"/>
    </row>
    <row r="1463" spans="3:7" x14ac:dyDescent="0.3">
      <c r="C1463" s="6"/>
      <c r="E1463" s="23"/>
      <c r="G1463" s="23"/>
    </row>
    <row r="1464" spans="3:7" x14ac:dyDescent="0.3">
      <c r="C1464" s="6"/>
      <c r="E1464" s="23"/>
      <c r="G1464" s="23"/>
    </row>
    <row r="1465" spans="3:7" x14ac:dyDescent="0.3">
      <c r="C1465" s="6"/>
      <c r="E1465" s="23"/>
      <c r="G1465" s="23"/>
    </row>
    <row r="1466" spans="3:7" x14ac:dyDescent="0.3">
      <c r="C1466" s="6"/>
      <c r="E1466" s="23"/>
      <c r="G1466" s="23"/>
    </row>
    <row r="1467" spans="3:7" x14ac:dyDescent="0.3">
      <c r="C1467" s="6"/>
      <c r="E1467" s="23"/>
      <c r="G1467" s="23"/>
    </row>
    <row r="1468" spans="3:7" x14ac:dyDescent="0.3">
      <c r="C1468" s="6"/>
      <c r="E1468" s="23"/>
      <c r="G1468" s="23"/>
    </row>
    <row r="1469" spans="3:7" x14ac:dyDescent="0.3">
      <c r="C1469" s="6"/>
      <c r="E1469" s="23"/>
      <c r="G1469" s="23"/>
    </row>
    <row r="1470" spans="3:7" x14ac:dyDescent="0.3">
      <c r="C1470" s="6"/>
      <c r="E1470" s="23"/>
      <c r="G1470" s="23"/>
    </row>
    <row r="1471" spans="3:7" x14ac:dyDescent="0.3">
      <c r="C1471" s="6"/>
      <c r="E1471" s="23"/>
      <c r="G1471" s="23"/>
    </row>
    <row r="1472" spans="3:7" x14ac:dyDescent="0.3">
      <c r="C1472" s="6"/>
      <c r="E1472" s="23"/>
      <c r="G1472" s="23"/>
    </row>
    <row r="1473" spans="3:7" x14ac:dyDescent="0.3">
      <c r="C1473" s="6"/>
      <c r="E1473" s="23"/>
      <c r="G1473" s="23"/>
    </row>
    <row r="1474" spans="3:7" x14ac:dyDescent="0.3">
      <c r="C1474" s="6"/>
      <c r="E1474" s="23"/>
      <c r="G1474" s="23"/>
    </row>
    <row r="1475" spans="3:7" x14ac:dyDescent="0.3">
      <c r="C1475" s="6"/>
      <c r="E1475" s="23"/>
      <c r="G1475" s="23"/>
    </row>
    <row r="1476" spans="3:7" x14ac:dyDescent="0.3">
      <c r="C1476" s="6"/>
      <c r="E1476" s="23"/>
      <c r="G1476" s="23"/>
    </row>
    <row r="1477" spans="3:7" x14ac:dyDescent="0.3">
      <c r="C1477" s="6"/>
      <c r="E1477" s="23"/>
      <c r="G1477" s="23"/>
    </row>
    <row r="1478" spans="3:7" x14ac:dyDescent="0.3">
      <c r="C1478" s="6"/>
      <c r="E1478" s="23"/>
      <c r="G1478" s="23"/>
    </row>
    <row r="1479" spans="3:7" x14ac:dyDescent="0.3">
      <c r="C1479" s="6"/>
      <c r="E1479" s="23"/>
      <c r="G1479" s="23"/>
    </row>
    <row r="1480" spans="3:7" x14ac:dyDescent="0.3">
      <c r="C1480" s="6"/>
      <c r="E1480" s="23"/>
      <c r="G1480" s="23"/>
    </row>
    <row r="1481" spans="3:7" x14ac:dyDescent="0.3">
      <c r="C1481" s="6"/>
      <c r="E1481" s="23"/>
      <c r="G1481" s="23"/>
    </row>
    <row r="1482" spans="3:7" x14ac:dyDescent="0.3">
      <c r="C1482" s="6"/>
      <c r="E1482" s="23"/>
      <c r="G1482" s="23"/>
    </row>
    <row r="1483" spans="3:7" x14ac:dyDescent="0.3">
      <c r="C1483" s="6"/>
      <c r="E1483" s="23"/>
      <c r="G1483" s="23"/>
    </row>
    <row r="1484" spans="3:7" x14ac:dyDescent="0.3">
      <c r="C1484" s="6"/>
      <c r="E1484" s="23"/>
      <c r="G1484" s="23"/>
    </row>
    <row r="1485" spans="3:7" x14ac:dyDescent="0.3">
      <c r="C1485" s="6"/>
      <c r="E1485" s="23"/>
      <c r="G1485" s="23"/>
    </row>
    <row r="1486" spans="3:7" x14ac:dyDescent="0.3">
      <c r="C1486" s="6"/>
      <c r="E1486" s="23"/>
      <c r="G1486" s="23"/>
    </row>
    <row r="1487" spans="3:7" x14ac:dyDescent="0.3">
      <c r="C1487" s="6"/>
      <c r="E1487" s="23"/>
      <c r="G1487" s="23"/>
    </row>
    <row r="1488" spans="3:7" x14ac:dyDescent="0.3">
      <c r="C1488" s="6"/>
      <c r="E1488" s="23"/>
      <c r="G1488" s="23"/>
    </row>
    <row r="1489" spans="3:7" x14ac:dyDescent="0.3">
      <c r="C1489" s="6"/>
      <c r="E1489" s="23"/>
      <c r="G1489" s="23"/>
    </row>
    <row r="1490" spans="3:7" x14ac:dyDescent="0.3">
      <c r="C1490" s="6"/>
      <c r="E1490" s="23"/>
      <c r="G1490" s="23"/>
    </row>
    <row r="1491" spans="3:7" x14ac:dyDescent="0.3">
      <c r="C1491" s="6"/>
      <c r="E1491" s="23"/>
      <c r="G1491" s="23"/>
    </row>
    <row r="1492" spans="3:7" x14ac:dyDescent="0.3">
      <c r="C1492" s="6"/>
      <c r="E1492" s="23"/>
      <c r="G1492" s="23"/>
    </row>
    <row r="1493" spans="3:7" x14ac:dyDescent="0.3">
      <c r="C1493" s="6"/>
      <c r="E1493" s="23"/>
      <c r="G1493" s="23"/>
    </row>
    <row r="1494" spans="3:7" x14ac:dyDescent="0.3">
      <c r="C1494" s="6"/>
      <c r="E1494" s="23"/>
      <c r="G1494" s="23"/>
    </row>
    <row r="1495" spans="3:7" x14ac:dyDescent="0.3">
      <c r="C1495" s="6"/>
      <c r="E1495" s="23"/>
      <c r="G1495" s="23"/>
    </row>
    <row r="1496" spans="3:7" x14ac:dyDescent="0.3">
      <c r="C1496" s="6"/>
      <c r="E1496" s="23"/>
      <c r="G1496" s="23"/>
    </row>
    <row r="1497" spans="3:7" x14ac:dyDescent="0.3">
      <c r="C1497" s="6"/>
      <c r="E1497" s="23"/>
      <c r="G1497" s="23"/>
    </row>
    <row r="1498" spans="3:7" x14ac:dyDescent="0.3">
      <c r="C1498" s="6"/>
      <c r="E1498" s="23"/>
      <c r="G1498" s="23"/>
    </row>
    <row r="1499" spans="3:7" x14ac:dyDescent="0.3">
      <c r="C1499" s="6"/>
      <c r="E1499" s="23"/>
      <c r="G1499" s="23"/>
    </row>
    <row r="1500" spans="3:7" x14ac:dyDescent="0.3">
      <c r="C1500" s="6"/>
      <c r="E1500" s="23"/>
      <c r="G1500" s="23"/>
    </row>
    <row r="1501" spans="3:7" x14ac:dyDescent="0.3">
      <c r="C1501" s="6"/>
      <c r="E1501" s="23"/>
      <c r="G1501" s="23"/>
    </row>
    <row r="1502" spans="3:7" x14ac:dyDescent="0.3">
      <c r="C1502" s="6"/>
      <c r="E1502" s="23"/>
      <c r="G1502" s="23"/>
    </row>
    <row r="1503" spans="3:7" x14ac:dyDescent="0.3">
      <c r="C1503" s="6"/>
      <c r="E1503" s="23"/>
      <c r="G1503" s="23"/>
    </row>
    <row r="1504" spans="3:7" x14ac:dyDescent="0.3">
      <c r="C1504" s="6"/>
      <c r="E1504" s="23"/>
      <c r="G1504" s="23"/>
    </row>
    <row r="1505" spans="3:7" x14ac:dyDescent="0.3">
      <c r="C1505" s="6"/>
      <c r="E1505" s="23"/>
      <c r="G1505" s="23"/>
    </row>
    <row r="1506" spans="3:7" x14ac:dyDescent="0.3">
      <c r="C1506" s="6"/>
      <c r="E1506" s="23"/>
      <c r="G1506" s="23"/>
    </row>
    <row r="1507" spans="3:7" x14ac:dyDescent="0.3">
      <c r="C1507" s="6"/>
      <c r="E1507" s="23"/>
      <c r="G1507" s="23"/>
    </row>
    <row r="1508" spans="3:7" x14ac:dyDescent="0.3">
      <c r="C1508" s="6"/>
      <c r="E1508" s="23"/>
      <c r="G1508" s="23"/>
    </row>
    <row r="1509" spans="3:7" x14ac:dyDescent="0.3">
      <c r="C1509" s="6"/>
      <c r="E1509" s="23"/>
      <c r="G1509" s="23"/>
    </row>
    <row r="1510" spans="3:7" x14ac:dyDescent="0.3">
      <c r="C1510" s="6"/>
      <c r="E1510" s="23"/>
      <c r="G1510" s="23"/>
    </row>
    <row r="1511" spans="3:7" x14ac:dyDescent="0.3">
      <c r="C1511" s="6"/>
      <c r="E1511" s="23"/>
      <c r="G1511" s="23"/>
    </row>
    <row r="1512" spans="3:7" x14ac:dyDescent="0.3">
      <c r="C1512" s="6"/>
      <c r="E1512" s="23"/>
      <c r="G1512" s="23"/>
    </row>
    <row r="1513" spans="3:7" x14ac:dyDescent="0.3">
      <c r="C1513" s="6"/>
      <c r="E1513" s="23"/>
      <c r="G1513" s="23"/>
    </row>
    <row r="1514" spans="3:7" x14ac:dyDescent="0.3">
      <c r="C1514" s="6"/>
      <c r="E1514" s="23"/>
      <c r="G1514" s="23"/>
    </row>
    <row r="1515" spans="3:7" x14ac:dyDescent="0.3">
      <c r="C1515" s="6"/>
      <c r="E1515" s="23"/>
      <c r="G1515" s="23"/>
    </row>
    <row r="1516" spans="3:7" x14ac:dyDescent="0.3">
      <c r="C1516" s="6"/>
      <c r="E1516" s="23"/>
      <c r="G1516" s="23"/>
    </row>
    <row r="1517" spans="3:7" x14ac:dyDescent="0.3">
      <c r="C1517" s="6"/>
      <c r="E1517" s="23"/>
      <c r="G1517" s="23"/>
    </row>
    <row r="1518" spans="3:7" x14ac:dyDescent="0.3">
      <c r="C1518" s="6"/>
      <c r="E1518" s="23"/>
      <c r="G1518" s="23"/>
    </row>
    <row r="1519" spans="3:7" x14ac:dyDescent="0.3">
      <c r="C1519" s="6"/>
      <c r="E1519" s="23"/>
      <c r="G1519" s="23"/>
    </row>
    <row r="1520" spans="3:7" x14ac:dyDescent="0.3">
      <c r="C1520" s="6"/>
      <c r="E1520" s="23"/>
      <c r="G1520" s="23"/>
    </row>
    <row r="1521" spans="3:7" x14ac:dyDescent="0.3">
      <c r="C1521" s="6"/>
      <c r="E1521" s="23"/>
      <c r="G1521" s="23"/>
    </row>
    <row r="1522" spans="3:7" x14ac:dyDescent="0.3">
      <c r="C1522" s="6"/>
      <c r="E1522" s="23"/>
      <c r="G1522" s="23"/>
    </row>
    <row r="1523" spans="3:7" x14ac:dyDescent="0.3">
      <c r="C1523" s="6"/>
      <c r="E1523" s="23"/>
      <c r="G1523" s="23"/>
    </row>
    <row r="1524" spans="3:7" x14ac:dyDescent="0.3">
      <c r="C1524" s="6"/>
      <c r="E1524" s="23"/>
      <c r="G1524" s="23"/>
    </row>
    <row r="1525" spans="3:7" x14ac:dyDescent="0.3">
      <c r="C1525" s="6"/>
      <c r="E1525" s="23"/>
      <c r="G1525" s="23"/>
    </row>
    <row r="1526" spans="3:7" x14ac:dyDescent="0.3">
      <c r="C1526" s="6"/>
      <c r="E1526" s="23"/>
      <c r="G1526" s="23"/>
    </row>
    <row r="1527" spans="3:7" x14ac:dyDescent="0.3">
      <c r="C1527" s="6"/>
      <c r="E1527" s="23"/>
      <c r="G1527" s="23"/>
    </row>
    <row r="1528" spans="3:7" x14ac:dyDescent="0.3">
      <c r="C1528" s="6"/>
      <c r="E1528" s="23"/>
      <c r="G1528" s="23"/>
    </row>
    <row r="1529" spans="3:7" x14ac:dyDescent="0.3">
      <c r="C1529" s="6"/>
      <c r="E1529" s="23"/>
      <c r="G1529" s="23"/>
    </row>
    <row r="1530" spans="3:7" x14ac:dyDescent="0.3">
      <c r="C1530" s="6"/>
      <c r="E1530" s="23"/>
      <c r="G1530" s="23"/>
    </row>
    <row r="1531" spans="3:7" x14ac:dyDescent="0.3">
      <c r="C1531" s="6"/>
      <c r="E1531" s="23"/>
      <c r="G1531" s="23"/>
    </row>
    <row r="1532" spans="3:7" x14ac:dyDescent="0.3">
      <c r="C1532" s="6"/>
      <c r="E1532" s="23"/>
      <c r="G1532" s="23"/>
    </row>
    <row r="1533" spans="3:7" x14ac:dyDescent="0.3">
      <c r="C1533" s="6"/>
      <c r="E1533" s="23"/>
      <c r="G1533" s="23"/>
    </row>
    <row r="1534" spans="3:7" x14ac:dyDescent="0.3">
      <c r="C1534" s="6"/>
      <c r="E1534" s="23"/>
      <c r="G1534" s="23"/>
    </row>
    <row r="1535" spans="3:7" x14ac:dyDescent="0.3">
      <c r="C1535" s="6"/>
      <c r="E1535" s="23"/>
      <c r="G1535" s="23"/>
    </row>
    <row r="1536" spans="3:7" x14ac:dyDescent="0.3">
      <c r="C1536" s="6"/>
      <c r="E1536" s="23"/>
      <c r="G1536" s="23"/>
    </row>
    <row r="1537" spans="3:7" x14ac:dyDescent="0.3">
      <c r="C1537" s="6"/>
      <c r="E1537" s="23"/>
      <c r="G1537" s="23"/>
    </row>
    <row r="1538" spans="3:7" x14ac:dyDescent="0.3">
      <c r="C1538" s="6"/>
      <c r="E1538" s="23"/>
      <c r="G1538" s="23"/>
    </row>
    <row r="1539" spans="3:7" x14ac:dyDescent="0.3">
      <c r="C1539" s="6"/>
      <c r="E1539" s="23"/>
      <c r="G1539" s="23"/>
    </row>
    <row r="1540" spans="3:7" x14ac:dyDescent="0.3">
      <c r="C1540" s="6"/>
      <c r="E1540" s="23"/>
      <c r="G1540" s="23"/>
    </row>
    <row r="1541" spans="3:7" x14ac:dyDescent="0.3">
      <c r="C1541" s="6"/>
      <c r="E1541" s="23"/>
      <c r="G1541" s="23"/>
    </row>
    <row r="1542" spans="3:7" x14ac:dyDescent="0.3">
      <c r="C1542" s="6"/>
      <c r="E1542" s="23"/>
      <c r="G1542" s="23"/>
    </row>
    <row r="1543" spans="3:7" x14ac:dyDescent="0.3">
      <c r="C1543" s="6"/>
      <c r="E1543" s="23"/>
      <c r="G1543" s="23"/>
    </row>
    <row r="1544" spans="3:7" x14ac:dyDescent="0.3">
      <c r="C1544" s="6"/>
      <c r="E1544" s="23"/>
      <c r="G1544" s="23"/>
    </row>
    <row r="1545" spans="3:7" x14ac:dyDescent="0.3">
      <c r="C1545" s="6"/>
      <c r="E1545" s="23"/>
      <c r="G1545" s="23"/>
    </row>
    <row r="1546" spans="3:7" x14ac:dyDescent="0.3">
      <c r="C1546" s="6"/>
      <c r="E1546" s="23"/>
      <c r="G1546" s="23"/>
    </row>
    <row r="1547" spans="3:7" x14ac:dyDescent="0.3">
      <c r="C1547" s="6"/>
      <c r="E1547" s="23"/>
      <c r="G1547" s="23"/>
    </row>
    <row r="1548" spans="3:7" x14ac:dyDescent="0.3">
      <c r="C1548" s="6"/>
      <c r="E1548" s="23"/>
      <c r="G1548" s="23"/>
    </row>
    <row r="1549" spans="3:7" x14ac:dyDescent="0.3">
      <c r="C1549" s="6"/>
      <c r="E1549" s="23"/>
      <c r="G1549" s="23"/>
    </row>
    <row r="1550" spans="3:7" x14ac:dyDescent="0.3">
      <c r="C1550" s="6"/>
      <c r="E1550" s="23"/>
      <c r="G1550" s="23"/>
    </row>
    <row r="1551" spans="3:7" x14ac:dyDescent="0.3">
      <c r="C1551" s="6"/>
      <c r="E1551" s="23"/>
      <c r="G1551" s="23"/>
    </row>
    <row r="1552" spans="3:7" x14ac:dyDescent="0.3">
      <c r="C1552" s="6"/>
      <c r="E1552" s="23"/>
      <c r="G1552" s="23"/>
    </row>
    <row r="1553" spans="3:7" x14ac:dyDescent="0.3">
      <c r="C1553" s="6"/>
      <c r="E1553" s="23"/>
      <c r="G1553" s="23"/>
    </row>
    <row r="1554" spans="3:7" x14ac:dyDescent="0.3">
      <c r="C1554" s="6"/>
      <c r="E1554" s="23"/>
      <c r="G1554" s="23"/>
    </row>
    <row r="1555" spans="3:7" x14ac:dyDescent="0.3">
      <c r="C1555" s="6"/>
      <c r="E1555" s="23"/>
      <c r="G1555" s="23"/>
    </row>
    <row r="1556" spans="3:7" x14ac:dyDescent="0.3">
      <c r="C1556" s="6"/>
      <c r="E1556" s="23"/>
      <c r="G1556" s="23"/>
    </row>
    <row r="1557" spans="3:7" x14ac:dyDescent="0.3">
      <c r="C1557" s="6"/>
      <c r="E1557" s="23"/>
      <c r="G1557" s="23"/>
    </row>
    <row r="1558" spans="3:7" x14ac:dyDescent="0.3">
      <c r="C1558" s="6"/>
      <c r="E1558" s="23"/>
      <c r="G1558" s="23"/>
    </row>
    <row r="1559" spans="3:7" x14ac:dyDescent="0.3">
      <c r="C1559" s="6"/>
      <c r="E1559" s="23"/>
      <c r="G1559" s="23"/>
    </row>
    <row r="1560" spans="3:7" x14ac:dyDescent="0.3">
      <c r="C1560" s="6"/>
      <c r="E1560" s="23"/>
      <c r="G1560" s="23"/>
    </row>
    <row r="1561" spans="3:7" x14ac:dyDescent="0.3">
      <c r="C1561" s="6"/>
      <c r="E1561" s="23"/>
      <c r="G1561" s="23"/>
    </row>
    <row r="1562" spans="3:7" x14ac:dyDescent="0.3">
      <c r="C1562" s="6"/>
      <c r="E1562" s="23"/>
      <c r="G1562" s="23"/>
    </row>
    <row r="1563" spans="3:7" x14ac:dyDescent="0.3">
      <c r="C1563" s="6"/>
      <c r="E1563" s="23"/>
      <c r="G1563" s="23"/>
    </row>
    <row r="1564" spans="3:7" x14ac:dyDescent="0.3">
      <c r="C1564" s="6"/>
      <c r="E1564" s="23"/>
      <c r="G1564" s="23"/>
    </row>
    <row r="1565" spans="3:7" x14ac:dyDescent="0.3">
      <c r="C1565" s="6"/>
      <c r="E1565" s="23"/>
      <c r="G1565" s="23"/>
    </row>
    <row r="1566" spans="3:7" x14ac:dyDescent="0.3">
      <c r="C1566" s="6"/>
      <c r="E1566" s="23"/>
      <c r="G1566" s="23"/>
    </row>
    <row r="1567" spans="3:7" x14ac:dyDescent="0.3">
      <c r="C1567" s="6"/>
      <c r="E1567" s="23"/>
      <c r="G1567" s="23"/>
    </row>
    <row r="1568" spans="3:7" x14ac:dyDescent="0.3">
      <c r="C1568" s="6"/>
      <c r="E1568" s="23"/>
      <c r="G1568" s="23"/>
    </row>
    <row r="1569" spans="3:7" x14ac:dyDescent="0.3">
      <c r="C1569" s="6"/>
      <c r="E1569" s="23"/>
      <c r="G1569" s="23"/>
    </row>
    <row r="1570" spans="3:7" x14ac:dyDescent="0.3">
      <c r="C1570" s="6"/>
      <c r="E1570" s="23"/>
      <c r="G1570" s="23"/>
    </row>
    <row r="1571" spans="3:7" x14ac:dyDescent="0.3">
      <c r="C1571" s="6"/>
      <c r="E1571" s="23"/>
      <c r="G1571" s="23"/>
    </row>
    <row r="1572" spans="3:7" x14ac:dyDescent="0.3">
      <c r="C1572" s="6"/>
      <c r="E1572" s="23"/>
      <c r="G1572" s="23"/>
    </row>
    <row r="1573" spans="3:7" x14ac:dyDescent="0.3">
      <c r="C1573" s="6"/>
      <c r="E1573" s="23"/>
      <c r="G1573" s="23"/>
    </row>
    <row r="1574" spans="3:7" x14ac:dyDescent="0.3">
      <c r="C1574" s="6"/>
      <c r="E1574" s="23"/>
      <c r="G1574" s="23"/>
    </row>
    <row r="1575" spans="3:7" x14ac:dyDescent="0.3">
      <c r="C1575" s="6"/>
      <c r="E1575" s="23"/>
      <c r="G1575" s="23"/>
    </row>
    <row r="1576" spans="3:7" x14ac:dyDescent="0.3">
      <c r="C1576" s="6"/>
      <c r="E1576" s="23"/>
      <c r="G1576" s="23"/>
    </row>
    <row r="1577" spans="3:7" x14ac:dyDescent="0.3">
      <c r="C1577" s="6"/>
      <c r="E1577" s="23"/>
      <c r="G1577" s="23"/>
    </row>
    <row r="1578" spans="3:7" x14ac:dyDescent="0.3">
      <c r="C1578" s="6"/>
      <c r="E1578" s="23"/>
      <c r="G1578" s="23"/>
    </row>
    <row r="1579" spans="3:7" x14ac:dyDescent="0.3">
      <c r="C1579" s="6"/>
      <c r="E1579" s="23"/>
      <c r="G1579" s="23"/>
    </row>
    <row r="1580" spans="3:7" x14ac:dyDescent="0.3">
      <c r="C1580" s="6"/>
      <c r="E1580" s="23"/>
      <c r="G1580" s="23"/>
    </row>
    <row r="1581" spans="3:7" x14ac:dyDescent="0.3">
      <c r="C1581" s="6"/>
      <c r="E1581" s="23"/>
      <c r="G1581" s="23"/>
    </row>
    <row r="1582" spans="3:7" x14ac:dyDescent="0.3">
      <c r="C1582" s="6"/>
      <c r="E1582" s="23"/>
      <c r="G1582" s="23"/>
    </row>
    <row r="1583" spans="3:7" x14ac:dyDescent="0.3">
      <c r="C1583" s="6"/>
      <c r="E1583" s="23"/>
      <c r="G1583" s="23"/>
    </row>
    <row r="1584" spans="3:7" x14ac:dyDescent="0.3">
      <c r="C1584" s="6"/>
      <c r="E1584" s="23"/>
      <c r="G1584" s="23"/>
    </row>
    <row r="1585" spans="3:7" x14ac:dyDescent="0.3">
      <c r="C1585" s="6"/>
      <c r="E1585" s="23"/>
      <c r="G1585" s="23"/>
    </row>
    <row r="1586" spans="3:7" x14ac:dyDescent="0.3">
      <c r="C1586" s="6"/>
      <c r="E1586" s="23"/>
      <c r="G1586" s="23"/>
    </row>
    <row r="1587" spans="3:7" x14ac:dyDescent="0.3">
      <c r="C1587" s="6"/>
      <c r="E1587" s="23"/>
      <c r="G1587" s="23"/>
    </row>
    <row r="1588" spans="3:7" x14ac:dyDescent="0.3">
      <c r="C1588" s="6"/>
      <c r="E1588" s="23"/>
      <c r="G1588" s="23"/>
    </row>
    <row r="1589" spans="3:7" x14ac:dyDescent="0.3">
      <c r="C1589" s="6"/>
      <c r="E1589" s="23"/>
      <c r="G1589" s="23"/>
    </row>
    <row r="1590" spans="3:7" x14ac:dyDescent="0.3">
      <c r="C1590" s="6"/>
      <c r="E1590" s="23"/>
      <c r="G1590" s="23"/>
    </row>
    <row r="1591" spans="3:7" x14ac:dyDescent="0.3">
      <c r="C1591" s="6"/>
      <c r="E1591" s="23"/>
      <c r="G1591" s="23"/>
    </row>
    <row r="1592" spans="3:7" x14ac:dyDescent="0.3">
      <c r="C1592" s="6"/>
      <c r="E1592" s="23"/>
      <c r="G1592" s="23"/>
    </row>
    <row r="1593" spans="3:7" x14ac:dyDescent="0.3">
      <c r="C1593" s="6"/>
      <c r="E1593" s="23"/>
      <c r="G1593" s="23"/>
    </row>
    <row r="1594" spans="3:7" x14ac:dyDescent="0.3">
      <c r="C1594" s="6"/>
      <c r="E1594" s="23"/>
      <c r="G1594" s="23"/>
    </row>
    <row r="1595" spans="3:7" x14ac:dyDescent="0.3">
      <c r="C1595" s="6"/>
      <c r="E1595" s="23"/>
      <c r="G1595" s="23"/>
    </row>
    <row r="1596" spans="3:7" x14ac:dyDescent="0.3">
      <c r="C1596" s="6"/>
      <c r="E1596" s="23"/>
      <c r="G1596" s="23"/>
    </row>
    <row r="1597" spans="3:7" x14ac:dyDescent="0.3">
      <c r="C1597" s="6"/>
      <c r="E1597" s="23"/>
      <c r="G1597" s="23"/>
    </row>
    <row r="1598" spans="3:7" x14ac:dyDescent="0.3">
      <c r="C1598" s="6"/>
      <c r="E1598" s="23"/>
      <c r="G1598" s="23"/>
    </row>
    <row r="1599" spans="3:7" x14ac:dyDescent="0.3">
      <c r="C1599" s="6"/>
      <c r="E1599" s="23"/>
      <c r="G1599" s="23"/>
    </row>
    <row r="1600" spans="3:7" x14ac:dyDescent="0.3">
      <c r="C1600" s="6"/>
      <c r="E1600" s="23"/>
      <c r="G1600" s="23"/>
    </row>
    <row r="1601" spans="5:7" x14ac:dyDescent="0.3">
      <c r="E1601" s="23"/>
      <c r="G1601" s="23"/>
    </row>
    <row r="1602" spans="5:7" x14ac:dyDescent="0.3">
      <c r="E1602" s="23"/>
      <c r="G1602" s="23"/>
    </row>
    <row r="1603" spans="5:7" x14ac:dyDescent="0.3">
      <c r="E1603" s="23"/>
      <c r="G1603" s="23"/>
    </row>
    <row r="1604" spans="5:7" x14ac:dyDescent="0.3">
      <c r="E1604" s="23"/>
      <c r="G1604" s="23"/>
    </row>
    <row r="1605" spans="5:7" x14ac:dyDescent="0.3">
      <c r="E1605" s="23"/>
      <c r="G1605" s="23"/>
    </row>
    <row r="1606" spans="5:7" x14ac:dyDescent="0.3">
      <c r="E1606" s="23"/>
      <c r="G1606" s="23"/>
    </row>
    <row r="1607" spans="5:7" x14ac:dyDescent="0.3">
      <c r="E1607" s="23"/>
      <c r="G1607" s="23"/>
    </row>
    <row r="1608" spans="5:7" x14ac:dyDescent="0.3">
      <c r="E1608" s="23"/>
      <c r="G1608" s="23"/>
    </row>
    <row r="1609" spans="5:7" x14ac:dyDescent="0.3">
      <c r="E1609" s="23"/>
      <c r="G1609" s="23"/>
    </row>
    <row r="1610" spans="5:7" x14ac:dyDescent="0.3">
      <c r="E1610" s="23"/>
      <c r="G1610" s="23"/>
    </row>
    <row r="1611" spans="5:7" x14ac:dyDescent="0.3">
      <c r="E1611" s="23"/>
      <c r="G1611" s="23"/>
    </row>
    <row r="1612" spans="5:7" x14ac:dyDescent="0.3">
      <c r="E1612" s="23"/>
      <c r="G1612" s="23"/>
    </row>
    <row r="1613" spans="5:7" x14ac:dyDescent="0.3">
      <c r="E1613" s="23"/>
      <c r="G1613" s="23"/>
    </row>
    <row r="1614" spans="5:7" x14ac:dyDescent="0.3">
      <c r="E1614" s="23"/>
      <c r="G1614" s="23"/>
    </row>
    <row r="1615" spans="5:7" x14ac:dyDescent="0.3">
      <c r="E1615" s="23"/>
      <c r="G1615" s="23"/>
    </row>
    <row r="1616" spans="5:7" x14ac:dyDescent="0.3">
      <c r="E1616" s="23"/>
      <c r="G1616" s="23"/>
    </row>
    <row r="1617" spans="5:7" x14ac:dyDescent="0.3">
      <c r="E1617" s="23"/>
      <c r="G1617" s="23"/>
    </row>
    <row r="1618" spans="5:7" x14ac:dyDescent="0.3">
      <c r="E1618" s="23"/>
      <c r="G1618" s="23"/>
    </row>
    <row r="1619" spans="5:7" x14ac:dyDescent="0.3">
      <c r="E1619" s="23"/>
      <c r="G1619" s="23"/>
    </row>
    <row r="1620" spans="5:7" x14ac:dyDescent="0.3">
      <c r="E1620" s="23"/>
      <c r="G1620" s="23"/>
    </row>
    <row r="1621" spans="5:7" x14ac:dyDescent="0.3">
      <c r="E1621" s="23"/>
      <c r="G1621" s="23"/>
    </row>
    <row r="1622" spans="5:7" x14ac:dyDescent="0.3">
      <c r="E1622" s="23"/>
      <c r="G1622" s="23"/>
    </row>
    <row r="1623" spans="5:7" x14ac:dyDescent="0.3">
      <c r="E1623" s="23"/>
      <c r="G1623" s="23"/>
    </row>
    <row r="1624" spans="5:7" x14ac:dyDescent="0.3">
      <c r="E1624" s="23"/>
      <c r="G1624" s="23"/>
    </row>
    <row r="1625" spans="5:7" x14ac:dyDescent="0.3">
      <c r="E1625" s="23"/>
      <c r="G1625" s="23"/>
    </row>
    <row r="1626" spans="5:7" x14ac:dyDescent="0.3">
      <c r="E1626" s="23"/>
      <c r="G1626" s="23"/>
    </row>
    <row r="1627" spans="5:7" x14ac:dyDescent="0.3">
      <c r="E1627" s="23"/>
      <c r="G1627" s="23"/>
    </row>
    <row r="1628" spans="5:7" x14ac:dyDescent="0.3">
      <c r="E1628" s="23"/>
      <c r="G1628" s="23"/>
    </row>
    <row r="1629" spans="5:7" x14ac:dyDescent="0.3">
      <c r="E1629" s="23"/>
      <c r="G1629" s="23"/>
    </row>
    <row r="1630" spans="5:7" x14ac:dyDescent="0.3">
      <c r="E1630" s="23"/>
      <c r="G1630" s="23"/>
    </row>
    <row r="1631" spans="5:7" x14ac:dyDescent="0.3">
      <c r="E1631" s="23"/>
      <c r="G1631" s="23"/>
    </row>
    <row r="1632" spans="5:7" x14ac:dyDescent="0.3">
      <c r="E1632" s="23"/>
      <c r="G1632" s="23"/>
    </row>
    <row r="1633" spans="5:7" x14ac:dyDescent="0.3">
      <c r="E1633" s="23"/>
      <c r="G1633" s="23"/>
    </row>
    <row r="1634" spans="5:7" x14ac:dyDescent="0.3">
      <c r="E1634" s="23"/>
      <c r="G1634" s="23"/>
    </row>
    <row r="1635" spans="5:7" x14ac:dyDescent="0.3">
      <c r="E1635" s="23"/>
      <c r="G1635" s="23"/>
    </row>
    <row r="1636" spans="5:7" x14ac:dyDescent="0.3">
      <c r="E1636" s="23"/>
      <c r="G1636" s="23"/>
    </row>
    <row r="1637" spans="5:7" x14ac:dyDescent="0.3">
      <c r="E1637" s="23"/>
      <c r="G1637" s="23"/>
    </row>
    <row r="1638" spans="5:7" x14ac:dyDescent="0.3">
      <c r="E1638" s="23"/>
      <c r="G1638" s="23"/>
    </row>
    <row r="1639" spans="5:7" x14ac:dyDescent="0.3">
      <c r="E1639" s="23"/>
      <c r="G1639" s="23"/>
    </row>
    <row r="1640" spans="5:7" x14ac:dyDescent="0.3">
      <c r="E1640" s="23"/>
      <c r="G1640" s="23"/>
    </row>
    <row r="1641" spans="5:7" x14ac:dyDescent="0.3">
      <c r="E1641" s="23"/>
      <c r="G1641" s="23"/>
    </row>
    <row r="1642" spans="5:7" x14ac:dyDescent="0.3">
      <c r="E1642" s="23"/>
      <c r="G1642" s="23"/>
    </row>
    <row r="1643" spans="5:7" x14ac:dyDescent="0.3">
      <c r="E1643" s="23"/>
      <c r="G1643" s="23"/>
    </row>
    <row r="1644" spans="5:7" x14ac:dyDescent="0.3">
      <c r="E1644" s="23"/>
      <c r="G1644" s="23"/>
    </row>
    <row r="1645" spans="5:7" x14ac:dyDescent="0.3">
      <c r="E1645" s="23"/>
      <c r="G1645" s="23"/>
    </row>
    <row r="1646" spans="5:7" x14ac:dyDescent="0.3">
      <c r="E1646" s="23"/>
      <c r="G1646" s="23"/>
    </row>
    <row r="1647" spans="5:7" x14ac:dyDescent="0.3">
      <c r="E1647" s="23"/>
      <c r="G1647" s="23"/>
    </row>
    <row r="1648" spans="5:7" x14ac:dyDescent="0.3">
      <c r="E1648" s="23"/>
      <c r="G1648" s="23"/>
    </row>
    <row r="1649" spans="5:7" x14ac:dyDescent="0.3">
      <c r="E1649" s="23"/>
      <c r="G1649" s="23"/>
    </row>
    <row r="1650" spans="5:7" x14ac:dyDescent="0.3">
      <c r="E1650" s="23"/>
      <c r="G1650" s="23"/>
    </row>
    <row r="1651" spans="5:7" x14ac:dyDescent="0.3">
      <c r="E1651" s="23"/>
      <c r="G1651" s="23"/>
    </row>
    <row r="1652" spans="5:7" x14ac:dyDescent="0.3">
      <c r="E1652" s="23"/>
      <c r="G1652" s="23"/>
    </row>
    <row r="1653" spans="5:7" x14ac:dyDescent="0.3">
      <c r="E1653" s="23"/>
      <c r="G1653" s="23"/>
    </row>
    <row r="1654" spans="5:7" x14ac:dyDescent="0.3">
      <c r="E1654" s="23"/>
      <c r="G1654" s="23"/>
    </row>
    <row r="1655" spans="5:7" x14ac:dyDescent="0.3">
      <c r="E1655" s="23"/>
      <c r="G1655" s="23"/>
    </row>
    <row r="1656" spans="5:7" x14ac:dyDescent="0.3">
      <c r="E1656" s="23"/>
      <c r="G1656" s="23"/>
    </row>
    <row r="1657" spans="5:7" x14ac:dyDescent="0.3">
      <c r="E1657" s="23"/>
      <c r="G1657" s="23"/>
    </row>
    <row r="1658" spans="5:7" x14ac:dyDescent="0.3">
      <c r="E1658" s="23"/>
      <c r="G1658" s="23"/>
    </row>
    <row r="1659" spans="5:7" x14ac:dyDescent="0.3">
      <c r="E1659" s="23"/>
      <c r="G1659" s="23"/>
    </row>
    <row r="1660" spans="5:7" x14ac:dyDescent="0.3">
      <c r="E1660" s="23"/>
      <c r="G1660" s="23"/>
    </row>
    <row r="1661" spans="5:7" x14ac:dyDescent="0.3">
      <c r="E1661" s="23"/>
      <c r="G1661" s="23"/>
    </row>
    <row r="1662" spans="5:7" x14ac:dyDescent="0.3">
      <c r="E1662" s="23"/>
      <c r="G1662" s="23"/>
    </row>
    <row r="1663" spans="5:7" x14ac:dyDescent="0.3">
      <c r="E1663" s="23"/>
      <c r="G1663" s="23"/>
    </row>
    <row r="1664" spans="5:7" x14ac:dyDescent="0.3">
      <c r="E1664" s="23"/>
      <c r="G1664" s="23"/>
    </row>
    <row r="1665" spans="5:7" x14ac:dyDescent="0.3">
      <c r="E1665" s="23"/>
      <c r="G1665" s="23"/>
    </row>
    <row r="1666" spans="5:7" x14ac:dyDescent="0.3">
      <c r="E1666" s="23"/>
      <c r="G1666" s="23"/>
    </row>
    <row r="1667" spans="5:7" x14ac:dyDescent="0.3">
      <c r="E1667" s="23"/>
      <c r="G1667" s="23"/>
    </row>
    <row r="1668" spans="5:7" x14ac:dyDescent="0.3">
      <c r="E1668" s="23"/>
      <c r="G1668" s="23"/>
    </row>
    <row r="1669" spans="5:7" x14ac:dyDescent="0.3">
      <c r="E1669" s="23"/>
      <c r="G1669" s="23"/>
    </row>
    <row r="1670" spans="5:7" x14ac:dyDescent="0.3">
      <c r="E1670" s="23"/>
      <c r="G1670" s="23"/>
    </row>
    <row r="1671" spans="5:7" x14ac:dyDescent="0.3">
      <c r="E1671" s="23"/>
      <c r="G1671" s="23"/>
    </row>
    <row r="1672" spans="5:7" x14ac:dyDescent="0.3">
      <c r="E1672" s="23"/>
      <c r="G1672" s="23"/>
    </row>
    <row r="1673" spans="5:7" x14ac:dyDescent="0.3">
      <c r="E1673" s="23"/>
      <c r="G1673" s="23"/>
    </row>
    <row r="1674" spans="5:7" x14ac:dyDescent="0.3">
      <c r="E1674" s="23"/>
      <c r="G1674" s="23"/>
    </row>
    <row r="1675" spans="5:7" x14ac:dyDescent="0.3">
      <c r="E1675" s="23"/>
      <c r="G1675" s="23"/>
    </row>
    <row r="1676" spans="5:7" x14ac:dyDescent="0.3">
      <c r="E1676" s="23"/>
      <c r="G1676" s="23"/>
    </row>
    <row r="1677" spans="5:7" x14ac:dyDescent="0.3">
      <c r="E1677" s="23"/>
      <c r="G1677" s="23"/>
    </row>
    <row r="1678" spans="5:7" x14ac:dyDescent="0.3">
      <c r="E1678" s="23"/>
      <c r="G1678" s="23"/>
    </row>
    <row r="1679" spans="5:7" x14ac:dyDescent="0.3">
      <c r="E1679" s="23"/>
      <c r="G1679" s="23"/>
    </row>
    <row r="1680" spans="5:7" x14ac:dyDescent="0.3">
      <c r="E1680" s="23"/>
      <c r="G1680" s="23"/>
    </row>
    <row r="1681" spans="5:7" x14ac:dyDescent="0.3">
      <c r="E1681" s="23"/>
      <c r="G1681" s="23"/>
    </row>
    <row r="1682" spans="5:7" x14ac:dyDescent="0.3">
      <c r="E1682" s="23"/>
      <c r="G1682" s="23"/>
    </row>
    <row r="1683" spans="5:7" x14ac:dyDescent="0.3">
      <c r="E1683" s="23"/>
      <c r="G1683" s="23"/>
    </row>
    <row r="1684" spans="5:7" x14ac:dyDescent="0.3">
      <c r="E1684" s="23"/>
      <c r="G1684" s="23"/>
    </row>
    <row r="1685" spans="5:7" x14ac:dyDescent="0.3">
      <c r="E1685" s="23"/>
      <c r="G1685" s="23"/>
    </row>
    <row r="1686" spans="5:7" x14ac:dyDescent="0.3">
      <c r="E1686" s="23"/>
      <c r="G1686" s="23"/>
    </row>
    <row r="1687" spans="5:7" x14ac:dyDescent="0.3">
      <c r="E1687" s="23"/>
      <c r="G1687" s="23"/>
    </row>
    <row r="1688" spans="5:7" x14ac:dyDescent="0.3">
      <c r="E1688" s="23"/>
      <c r="G1688" s="23"/>
    </row>
    <row r="1689" spans="5:7" x14ac:dyDescent="0.3">
      <c r="E1689" s="23"/>
      <c r="G1689" s="23"/>
    </row>
    <row r="1690" spans="5:7" x14ac:dyDescent="0.3">
      <c r="E1690" s="23"/>
      <c r="G1690" s="23"/>
    </row>
    <row r="1691" spans="5:7" x14ac:dyDescent="0.3">
      <c r="E1691" s="23"/>
      <c r="G1691" s="23"/>
    </row>
    <row r="1692" spans="5:7" x14ac:dyDescent="0.3">
      <c r="E1692" s="23"/>
      <c r="G1692" s="23"/>
    </row>
    <row r="1693" spans="5:7" x14ac:dyDescent="0.3">
      <c r="E1693" s="23"/>
      <c r="G1693" s="23"/>
    </row>
    <row r="1694" spans="5:7" x14ac:dyDescent="0.3">
      <c r="E1694" s="23"/>
      <c r="G1694" s="23"/>
    </row>
    <row r="1695" spans="5:7" x14ac:dyDescent="0.3">
      <c r="E1695" s="23"/>
      <c r="G1695" s="23"/>
    </row>
    <row r="1696" spans="5:7" x14ac:dyDescent="0.3">
      <c r="E1696" s="23"/>
      <c r="G1696" s="23"/>
    </row>
    <row r="1697" spans="5:7" x14ac:dyDescent="0.3">
      <c r="E1697" s="23"/>
      <c r="G1697" s="23"/>
    </row>
    <row r="1698" spans="5:7" x14ac:dyDescent="0.3">
      <c r="E1698" s="23"/>
      <c r="G1698" s="23"/>
    </row>
    <row r="1699" spans="5:7" x14ac:dyDescent="0.3">
      <c r="E1699" s="23"/>
      <c r="G1699" s="23"/>
    </row>
    <row r="1700" spans="5:7" x14ac:dyDescent="0.3">
      <c r="E1700" s="23"/>
      <c r="G1700" s="23"/>
    </row>
    <row r="1701" spans="5:7" x14ac:dyDescent="0.3">
      <c r="E1701" s="23"/>
      <c r="G1701" s="23"/>
    </row>
    <row r="1702" spans="5:7" x14ac:dyDescent="0.3">
      <c r="E1702" s="23"/>
      <c r="G1702" s="23"/>
    </row>
    <row r="1703" spans="5:7" x14ac:dyDescent="0.3">
      <c r="E1703" s="23"/>
      <c r="G1703" s="23"/>
    </row>
    <row r="1704" spans="5:7" x14ac:dyDescent="0.3">
      <c r="E1704" s="23"/>
      <c r="G1704" s="23"/>
    </row>
    <row r="1705" spans="5:7" x14ac:dyDescent="0.3">
      <c r="E1705" s="23"/>
      <c r="G1705" s="23"/>
    </row>
    <row r="1706" spans="5:7" x14ac:dyDescent="0.3">
      <c r="E1706" s="23"/>
      <c r="G1706" s="23"/>
    </row>
    <row r="1707" spans="5:7" x14ac:dyDescent="0.3">
      <c r="E1707" s="23"/>
      <c r="G1707" s="23"/>
    </row>
    <row r="1708" spans="5:7" x14ac:dyDescent="0.3">
      <c r="E1708" s="23"/>
      <c r="G1708" s="23"/>
    </row>
    <row r="1709" spans="5:7" x14ac:dyDescent="0.3">
      <c r="E1709" s="23"/>
      <c r="G1709" s="23"/>
    </row>
    <row r="1710" spans="5:7" x14ac:dyDescent="0.3">
      <c r="E1710" s="23"/>
      <c r="G1710" s="23"/>
    </row>
    <row r="1711" spans="5:7" x14ac:dyDescent="0.3">
      <c r="E1711" s="23"/>
      <c r="G1711" s="23"/>
    </row>
    <row r="1712" spans="5:7" x14ac:dyDescent="0.3">
      <c r="E1712" s="23"/>
      <c r="G1712" s="23"/>
    </row>
    <row r="1713" spans="5:7" x14ac:dyDescent="0.3">
      <c r="E1713" s="23"/>
      <c r="G1713" s="23"/>
    </row>
    <row r="1714" spans="5:7" x14ac:dyDescent="0.3">
      <c r="E1714" s="23"/>
      <c r="G1714" s="23"/>
    </row>
    <row r="1715" spans="5:7" x14ac:dyDescent="0.3">
      <c r="E1715" s="23"/>
      <c r="G1715" s="23"/>
    </row>
    <row r="1716" spans="5:7" x14ac:dyDescent="0.3">
      <c r="E1716" s="23"/>
      <c r="G1716" s="23"/>
    </row>
    <row r="1717" spans="5:7" x14ac:dyDescent="0.3">
      <c r="E1717" s="23"/>
      <c r="G1717" s="23"/>
    </row>
    <row r="1718" spans="5:7" x14ac:dyDescent="0.3">
      <c r="E1718" s="23"/>
      <c r="G1718" s="23"/>
    </row>
    <row r="1719" spans="5:7" x14ac:dyDescent="0.3">
      <c r="E1719" s="23"/>
      <c r="G1719" s="23"/>
    </row>
    <row r="1720" spans="5:7" x14ac:dyDescent="0.3">
      <c r="E1720" s="23"/>
      <c r="G1720" s="23"/>
    </row>
    <row r="1721" spans="5:7" x14ac:dyDescent="0.3">
      <c r="E1721" s="23"/>
      <c r="G1721" s="23"/>
    </row>
    <row r="1722" spans="5:7" x14ac:dyDescent="0.3">
      <c r="E1722" s="23"/>
      <c r="G1722" s="23"/>
    </row>
    <row r="1723" spans="5:7" x14ac:dyDescent="0.3">
      <c r="E1723" s="23"/>
      <c r="G1723" s="23"/>
    </row>
    <row r="1724" spans="5:7" x14ac:dyDescent="0.3">
      <c r="E1724" s="23"/>
      <c r="G1724" s="23"/>
    </row>
    <row r="1725" spans="5:7" x14ac:dyDescent="0.3">
      <c r="E1725" s="23"/>
      <c r="G1725" s="23"/>
    </row>
    <row r="1726" spans="5:7" x14ac:dyDescent="0.3">
      <c r="E1726" s="23"/>
      <c r="G1726" s="23"/>
    </row>
    <row r="1727" spans="5:7" x14ac:dyDescent="0.3">
      <c r="E1727" s="23"/>
      <c r="G1727" s="23"/>
    </row>
    <row r="1728" spans="5:7" x14ac:dyDescent="0.3">
      <c r="E1728" s="23"/>
      <c r="G1728" s="23"/>
    </row>
    <row r="1729" spans="5:7" x14ac:dyDescent="0.3">
      <c r="E1729" s="23"/>
      <c r="G1729" s="23"/>
    </row>
    <row r="1730" spans="5:7" x14ac:dyDescent="0.3">
      <c r="E1730" s="23"/>
      <c r="G1730" s="23"/>
    </row>
    <row r="1731" spans="5:7" x14ac:dyDescent="0.3">
      <c r="E1731" s="23"/>
      <c r="G1731" s="23"/>
    </row>
    <row r="1732" spans="5:7" x14ac:dyDescent="0.3">
      <c r="E1732" s="23"/>
      <c r="G1732" s="23"/>
    </row>
    <row r="1733" spans="5:7" x14ac:dyDescent="0.3">
      <c r="E1733" s="23"/>
      <c r="G1733" s="23"/>
    </row>
    <row r="1734" spans="5:7" x14ac:dyDescent="0.3">
      <c r="E1734" s="23"/>
      <c r="G1734" s="23"/>
    </row>
    <row r="1735" spans="5:7" x14ac:dyDescent="0.3">
      <c r="E1735" s="23"/>
      <c r="G1735" s="23"/>
    </row>
    <row r="1736" spans="5:7" x14ac:dyDescent="0.3">
      <c r="E1736" s="23"/>
      <c r="G1736" s="23"/>
    </row>
    <row r="1737" spans="5:7" x14ac:dyDescent="0.3">
      <c r="E1737" s="23"/>
      <c r="G1737" s="23"/>
    </row>
    <row r="1738" spans="5:7" x14ac:dyDescent="0.3">
      <c r="E1738" s="23"/>
      <c r="G1738" s="23"/>
    </row>
    <row r="1739" spans="5:7" x14ac:dyDescent="0.3">
      <c r="E1739" s="23"/>
      <c r="G1739" s="23"/>
    </row>
    <row r="1740" spans="5:7" x14ac:dyDescent="0.3">
      <c r="E1740" s="23"/>
      <c r="G1740" s="23"/>
    </row>
    <row r="1741" spans="5:7" x14ac:dyDescent="0.3">
      <c r="E1741" s="23"/>
      <c r="G1741" s="23"/>
    </row>
    <row r="1742" spans="5:7" x14ac:dyDescent="0.3">
      <c r="E1742" s="23"/>
      <c r="G1742" s="23"/>
    </row>
    <row r="1743" spans="5:7" x14ac:dyDescent="0.3">
      <c r="E1743" s="23"/>
      <c r="G1743" s="23"/>
    </row>
    <row r="1744" spans="5:7" x14ac:dyDescent="0.3">
      <c r="E1744" s="23"/>
      <c r="G1744" s="23"/>
    </row>
    <row r="1745" spans="5:7" x14ac:dyDescent="0.3">
      <c r="E1745" s="23"/>
      <c r="G1745" s="23"/>
    </row>
    <row r="1746" spans="5:7" x14ac:dyDescent="0.3">
      <c r="E1746" s="23"/>
      <c r="G1746" s="23"/>
    </row>
    <row r="1747" spans="5:7" x14ac:dyDescent="0.3">
      <c r="E1747" s="23"/>
      <c r="G1747" s="23"/>
    </row>
    <row r="1748" spans="5:7" x14ac:dyDescent="0.3">
      <c r="E1748" s="23"/>
      <c r="G1748" s="23"/>
    </row>
    <row r="1749" spans="5:7" x14ac:dyDescent="0.3">
      <c r="E1749" s="23"/>
      <c r="G1749" s="23"/>
    </row>
    <row r="1750" spans="5:7" x14ac:dyDescent="0.3">
      <c r="E1750" s="23"/>
      <c r="G1750" s="23"/>
    </row>
    <row r="1751" spans="5:7" x14ac:dyDescent="0.3">
      <c r="E1751" s="23"/>
      <c r="G1751" s="23"/>
    </row>
    <row r="1752" spans="5:7" x14ac:dyDescent="0.3">
      <c r="E1752" s="23"/>
      <c r="G1752" s="23"/>
    </row>
    <row r="1753" spans="5:7" x14ac:dyDescent="0.3">
      <c r="E1753" s="23"/>
      <c r="G1753" s="23"/>
    </row>
    <row r="1754" spans="5:7" x14ac:dyDescent="0.3">
      <c r="E1754" s="23"/>
      <c r="G1754" s="23"/>
    </row>
    <row r="1755" spans="5:7" x14ac:dyDescent="0.3">
      <c r="E1755" s="23"/>
      <c r="G1755" s="23"/>
    </row>
    <row r="1756" spans="5:7" x14ac:dyDescent="0.3">
      <c r="E1756" s="23"/>
      <c r="G1756" s="23"/>
    </row>
    <row r="1757" spans="5:7" x14ac:dyDescent="0.3">
      <c r="E1757" s="23"/>
      <c r="G1757" s="23"/>
    </row>
    <row r="1758" spans="5:7" x14ac:dyDescent="0.3">
      <c r="E1758" s="23"/>
      <c r="G1758" s="23"/>
    </row>
    <row r="1759" spans="5:7" x14ac:dyDescent="0.3">
      <c r="E1759" s="23"/>
      <c r="G1759" s="23"/>
    </row>
    <row r="1760" spans="5:7" x14ac:dyDescent="0.3">
      <c r="E1760" s="23"/>
      <c r="G1760" s="23"/>
    </row>
    <row r="1761" spans="5:7" x14ac:dyDescent="0.3">
      <c r="E1761" s="23"/>
      <c r="G1761" s="23"/>
    </row>
    <row r="1762" spans="5:7" x14ac:dyDescent="0.3">
      <c r="E1762" s="23"/>
      <c r="G1762" s="23"/>
    </row>
    <row r="1763" spans="5:7" x14ac:dyDescent="0.3">
      <c r="E1763" s="23"/>
      <c r="G1763" s="23"/>
    </row>
    <row r="1764" spans="5:7" x14ac:dyDescent="0.3">
      <c r="E1764" s="23"/>
      <c r="G1764" s="23"/>
    </row>
    <row r="1765" spans="5:7" x14ac:dyDescent="0.3">
      <c r="E1765" s="23"/>
      <c r="G1765" s="23"/>
    </row>
    <row r="1766" spans="5:7" x14ac:dyDescent="0.3">
      <c r="E1766" s="23"/>
      <c r="G1766" s="23"/>
    </row>
    <row r="1767" spans="5:7" x14ac:dyDescent="0.3">
      <c r="E1767" s="23"/>
      <c r="G1767" s="23"/>
    </row>
    <row r="1768" spans="5:7" x14ac:dyDescent="0.3">
      <c r="E1768" s="23"/>
      <c r="G1768" s="23"/>
    </row>
    <row r="1769" spans="5:7" x14ac:dyDescent="0.3">
      <c r="E1769" s="23"/>
      <c r="G1769" s="23"/>
    </row>
    <row r="1770" spans="5:7" x14ac:dyDescent="0.3">
      <c r="E1770" s="23"/>
      <c r="G1770" s="23"/>
    </row>
    <row r="1771" spans="5:7" x14ac:dyDescent="0.3">
      <c r="E1771" s="23"/>
      <c r="G1771" s="23"/>
    </row>
    <row r="1772" spans="5:7" x14ac:dyDescent="0.3">
      <c r="E1772" s="23"/>
      <c r="G1772" s="23"/>
    </row>
    <row r="1773" spans="5:7" x14ac:dyDescent="0.3">
      <c r="E1773" s="23"/>
      <c r="G1773" s="23"/>
    </row>
    <row r="1774" spans="5:7" x14ac:dyDescent="0.3">
      <c r="E1774" s="23"/>
      <c r="G1774" s="23"/>
    </row>
    <row r="1775" spans="5:7" x14ac:dyDescent="0.3">
      <c r="E1775" s="23"/>
      <c r="G1775" s="23"/>
    </row>
    <row r="1776" spans="5:7" x14ac:dyDescent="0.3">
      <c r="E1776" s="23"/>
      <c r="G1776" s="23"/>
    </row>
    <row r="1777" spans="5:7" x14ac:dyDescent="0.3">
      <c r="E1777" s="23"/>
      <c r="G1777" s="23"/>
    </row>
    <row r="1778" spans="5:7" x14ac:dyDescent="0.3">
      <c r="E1778" s="23"/>
      <c r="G1778" s="23"/>
    </row>
    <row r="1779" spans="5:7" x14ac:dyDescent="0.3">
      <c r="E1779" s="23"/>
      <c r="G1779" s="23"/>
    </row>
    <row r="1780" spans="5:7" x14ac:dyDescent="0.3">
      <c r="E1780" s="23"/>
      <c r="G1780" s="23"/>
    </row>
    <row r="1781" spans="5:7" x14ac:dyDescent="0.3">
      <c r="E1781" s="23"/>
      <c r="G1781" s="23"/>
    </row>
    <row r="1782" spans="5:7" x14ac:dyDescent="0.3">
      <c r="E1782" s="23"/>
      <c r="G1782" s="23"/>
    </row>
    <row r="1783" spans="5:7" x14ac:dyDescent="0.3">
      <c r="E1783" s="23"/>
      <c r="G1783" s="23"/>
    </row>
    <row r="1784" spans="5:7" x14ac:dyDescent="0.3">
      <c r="E1784" s="23"/>
      <c r="G1784" s="23"/>
    </row>
    <row r="1785" spans="5:7" x14ac:dyDescent="0.3">
      <c r="E1785" s="23"/>
      <c r="G1785" s="23"/>
    </row>
    <row r="1786" spans="5:7" x14ac:dyDescent="0.3">
      <c r="E1786" s="23"/>
      <c r="G1786" s="23"/>
    </row>
    <row r="1787" spans="5:7" x14ac:dyDescent="0.3">
      <c r="E1787" s="23"/>
      <c r="G1787" s="23"/>
    </row>
    <row r="1788" spans="5:7" x14ac:dyDescent="0.3">
      <c r="E1788" s="23"/>
      <c r="G1788" s="23"/>
    </row>
    <row r="1789" spans="5:7" x14ac:dyDescent="0.3">
      <c r="E1789" s="23"/>
      <c r="G1789" s="23"/>
    </row>
    <row r="1790" spans="5:7" x14ac:dyDescent="0.3">
      <c r="E1790" s="23"/>
      <c r="G1790" s="23"/>
    </row>
    <row r="1791" spans="5:7" x14ac:dyDescent="0.3">
      <c r="E1791" s="23"/>
      <c r="G1791" s="23"/>
    </row>
    <row r="1792" spans="5:7" x14ac:dyDescent="0.3">
      <c r="E1792" s="23"/>
      <c r="G1792" s="23"/>
    </row>
    <row r="1793" spans="5:7" x14ac:dyDescent="0.3">
      <c r="E1793" s="23"/>
      <c r="G1793" s="23"/>
    </row>
    <row r="1794" spans="5:7" x14ac:dyDescent="0.3">
      <c r="E1794" s="23"/>
      <c r="G1794" s="23"/>
    </row>
    <row r="1795" spans="5:7" x14ac:dyDescent="0.3">
      <c r="E1795" s="23"/>
      <c r="G1795" s="23"/>
    </row>
    <row r="1796" spans="5:7" x14ac:dyDescent="0.3">
      <c r="E1796" s="23"/>
      <c r="G1796" s="23"/>
    </row>
    <row r="1797" spans="5:7" x14ac:dyDescent="0.3">
      <c r="E1797" s="23"/>
      <c r="G1797" s="23"/>
    </row>
    <row r="1798" spans="5:7" x14ac:dyDescent="0.3">
      <c r="E1798" s="23"/>
      <c r="G1798" s="23"/>
    </row>
    <row r="1799" spans="5:7" x14ac:dyDescent="0.3">
      <c r="E1799" s="23"/>
      <c r="G1799" s="23"/>
    </row>
    <row r="1800" spans="5:7" x14ac:dyDescent="0.3">
      <c r="E1800" s="23"/>
      <c r="G1800" s="23"/>
    </row>
    <row r="1801" spans="5:7" x14ac:dyDescent="0.3">
      <c r="E1801" s="23"/>
      <c r="G1801" s="23"/>
    </row>
    <row r="1802" spans="5:7" x14ac:dyDescent="0.3">
      <c r="E1802" s="23"/>
      <c r="G1802" s="23"/>
    </row>
    <row r="1803" spans="5:7" x14ac:dyDescent="0.3">
      <c r="E1803" s="23"/>
      <c r="G1803" s="23"/>
    </row>
    <row r="1804" spans="5:7" x14ac:dyDescent="0.3">
      <c r="E1804" s="23"/>
      <c r="G1804" s="23"/>
    </row>
    <row r="1805" spans="5:7" x14ac:dyDescent="0.3">
      <c r="E1805" s="23"/>
      <c r="G1805" s="23"/>
    </row>
    <row r="1806" spans="5:7" x14ac:dyDescent="0.3">
      <c r="E1806" s="23"/>
      <c r="G1806" s="23"/>
    </row>
    <row r="1807" spans="5:7" x14ac:dyDescent="0.3">
      <c r="E1807" s="23"/>
      <c r="G1807" s="23"/>
    </row>
    <row r="1808" spans="5:7" x14ac:dyDescent="0.3">
      <c r="E1808" s="23"/>
      <c r="G1808" s="23"/>
    </row>
    <row r="1809" spans="5:7" x14ac:dyDescent="0.3">
      <c r="E1809" s="23"/>
      <c r="G1809" s="23"/>
    </row>
    <row r="1810" spans="5:7" x14ac:dyDescent="0.3">
      <c r="E1810" s="23"/>
      <c r="G1810" s="23"/>
    </row>
    <row r="1811" spans="5:7" x14ac:dyDescent="0.3">
      <c r="E1811" s="23"/>
      <c r="G1811" s="23"/>
    </row>
    <row r="1812" spans="5:7" x14ac:dyDescent="0.3">
      <c r="E1812" s="23"/>
      <c r="G1812" s="23"/>
    </row>
    <row r="1813" spans="5:7" x14ac:dyDescent="0.3">
      <c r="E1813" s="23"/>
      <c r="G1813" s="23"/>
    </row>
    <row r="1814" spans="5:7" x14ac:dyDescent="0.3">
      <c r="E1814" s="23"/>
      <c r="G1814" s="23"/>
    </row>
    <row r="1815" spans="5:7" x14ac:dyDescent="0.3">
      <c r="E1815" s="23"/>
      <c r="G1815" s="23"/>
    </row>
    <row r="1816" spans="5:7" x14ac:dyDescent="0.3">
      <c r="E1816" s="23"/>
      <c r="G1816" s="23"/>
    </row>
    <row r="1817" spans="5:7" x14ac:dyDescent="0.3">
      <c r="E1817" s="23"/>
      <c r="G1817" s="23"/>
    </row>
    <row r="1818" spans="5:7" x14ac:dyDescent="0.3">
      <c r="E1818" s="23"/>
      <c r="G1818" s="23"/>
    </row>
    <row r="1819" spans="5:7" x14ac:dyDescent="0.3">
      <c r="E1819" s="23"/>
      <c r="G1819" s="23"/>
    </row>
    <row r="1820" spans="5:7" x14ac:dyDescent="0.3">
      <c r="E1820" s="23"/>
      <c r="G1820" s="23"/>
    </row>
    <row r="1821" spans="5:7" x14ac:dyDescent="0.3">
      <c r="E1821" s="23"/>
      <c r="G1821" s="23"/>
    </row>
    <row r="1822" spans="5:7" x14ac:dyDescent="0.3">
      <c r="E1822" s="23"/>
      <c r="G1822" s="23"/>
    </row>
    <row r="1823" spans="5:7" x14ac:dyDescent="0.3">
      <c r="E1823" s="23"/>
      <c r="G1823" s="23"/>
    </row>
    <row r="1824" spans="5:7" x14ac:dyDescent="0.3">
      <c r="E1824" s="23"/>
      <c r="G1824" s="23"/>
    </row>
    <row r="1825" spans="5:7" x14ac:dyDescent="0.3">
      <c r="E1825" s="23"/>
      <c r="G1825" s="23"/>
    </row>
    <row r="1826" spans="5:7" x14ac:dyDescent="0.3">
      <c r="E1826" s="23"/>
      <c r="G1826" s="23"/>
    </row>
    <row r="1827" spans="5:7" x14ac:dyDescent="0.3">
      <c r="E1827" s="23"/>
      <c r="G1827" s="23"/>
    </row>
    <row r="1828" spans="5:7" x14ac:dyDescent="0.3">
      <c r="E1828" s="23"/>
      <c r="G1828" s="23"/>
    </row>
    <row r="1829" spans="5:7" x14ac:dyDescent="0.3">
      <c r="E1829" s="23"/>
      <c r="G1829" s="23"/>
    </row>
    <row r="1830" spans="5:7" x14ac:dyDescent="0.3">
      <c r="E1830" s="23"/>
      <c r="G1830" s="23"/>
    </row>
    <row r="1831" spans="5:7" x14ac:dyDescent="0.3">
      <c r="E1831" s="23"/>
      <c r="G1831" s="23"/>
    </row>
    <row r="1832" spans="5:7" x14ac:dyDescent="0.3">
      <c r="E1832" s="23"/>
      <c r="G1832" s="23"/>
    </row>
    <row r="1833" spans="5:7" x14ac:dyDescent="0.3">
      <c r="E1833" s="23"/>
      <c r="G1833" s="23"/>
    </row>
    <row r="1834" spans="5:7" x14ac:dyDescent="0.3">
      <c r="E1834" s="23"/>
      <c r="G1834" s="23"/>
    </row>
    <row r="1835" spans="5:7" x14ac:dyDescent="0.3">
      <c r="E1835" s="23"/>
      <c r="G1835" s="23"/>
    </row>
    <row r="1836" spans="5:7" x14ac:dyDescent="0.3">
      <c r="E1836" s="23"/>
      <c r="G1836" s="23"/>
    </row>
    <row r="1837" spans="5:7" x14ac:dyDescent="0.3">
      <c r="E1837" s="23"/>
      <c r="G1837" s="23"/>
    </row>
    <row r="1838" spans="5:7" x14ac:dyDescent="0.3">
      <c r="E1838" s="23"/>
      <c r="G1838" s="23"/>
    </row>
    <row r="1839" spans="5:7" x14ac:dyDescent="0.3">
      <c r="E1839" s="23"/>
      <c r="G1839" s="23"/>
    </row>
    <row r="1840" spans="5:7" x14ac:dyDescent="0.3">
      <c r="E1840" s="23"/>
      <c r="G1840" s="23"/>
    </row>
    <row r="1841" spans="5:7" x14ac:dyDescent="0.3">
      <c r="E1841" s="23"/>
      <c r="G1841" s="23"/>
    </row>
    <row r="1842" spans="5:7" x14ac:dyDescent="0.3">
      <c r="E1842" s="23"/>
      <c r="G1842" s="23"/>
    </row>
    <row r="1843" spans="5:7" x14ac:dyDescent="0.3">
      <c r="E1843" s="23"/>
      <c r="G1843" s="23"/>
    </row>
    <row r="1844" spans="5:7" x14ac:dyDescent="0.3">
      <c r="E1844" s="23"/>
      <c r="G1844" s="23"/>
    </row>
    <row r="1845" spans="5:7" x14ac:dyDescent="0.3">
      <c r="E1845" s="23"/>
      <c r="G1845" s="23"/>
    </row>
    <row r="1846" spans="5:7" x14ac:dyDescent="0.3">
      <c r="E1846" s="23"/>
      <c r="G1846" s="23"/>
    </row>
    <row r="1847" spans="5:7" x14ac:dyDescent="0.3">
      <c r="E1847" s="23"/>
      <c r="G1847" s="23"/>
    </row>
    <row r="1848" spans="5:7" x14ac:dyDescent="0.3">
      <c r="E1848" s="23"/>
      <c r="G1848" s="23"/>
    </row>
    <row r="1849" spans="5:7" x14ac:dyDescent="0.3">
      <c r="E1849" s="23"/>
      <c r="G1849" s="23"/>
    </row>
    <row r="1850" spans="5:7" x14ac:dyDescent="0.3">
      <c r="E1850" s="23"/>
      <c r="G1850" s="23"/>
    </row>
    <row r="1851" spans="5:7" x14ac:dyDescent="0.3">
      <c r="E1851" s="23"/>
      <c r="G1851" s="23"/>
    </row>
    <row r="1852" spans="5:7" x14ac:dyDescent="0.3">
      <c r="E1852" s="23"/>
      <c r="G1852" s="23"/>
    </row>
    <row r="1853" spans="5:7" x14ac:dyDescent="0.3">
      <c r="E1853" s="23"/>
      <c r="G1853" s="23"/>
    </row>
    <row r="1854" spans="5:7" x14ac:dyDescent="0.3">
      <c r="E1854" s="23"/>
      <c r="G1854" s="23"/>
    </row>
    <row r="1855" spans="5:7" x14ac:dyDescent="0.3">
      <c r="E1855" s="23"/>
      <c r="G1855" s="23"/>
    </row>
    <row r="1856" spans="5:7" x14ac:dyDescent="0.3">
      <c r="E1856" s="23"/>
      <c r="G1856" s="23"/>
    </row>
    <row r="1857" spans="5:7" x14ac:dyDescent="0.3">
      <c r="E1857" s="23"/>
      <c r="G1857" s="23"/>
    </row>
    <row r="1858" spans="5:7" x14ac:dyDescent="0.3">
      <c r="E1858" s="23"/>
      <c r="G1858" s="23"/>
    </row>
    <row r="1859" spans="5:7" x14ac:dyDescent="0.3">
      <c r="E1859" s="23"/>
      <c r="G1859" s="23"/>
    </row>
    <row r="1860" spans="5:7" x14ac:dyDescent="0.3">
      <c r="E1860" s="23"/>
      <c r="G1860" s="23"/>
    </row>
    <row r="1861" spans="5:7" x14ac:dyDescent="0.3">
      <c r="E1861" s="23"/>
      <c r="G1861" s="23"/>
    </row>
    <row r="1862" spans="5:7" x14ac:dyDescent="0.3">
      <c r="E1862" s="23"/>
      <c r="G1862" s="23"/>
    </row>
    <row r="1863" spans="5:7" x14ac:dyDescent="0.3">
      <c r="E1863" s="23"/>
      <c r="G1863" s="23"/>
    </row>
    <row r="1864" spans="5:7" x14ac:dyDescent="0.3">
      <c r="E1864" s="23"/>
      <c r="G1864" s="23"/>
    </row>
    <row r="1865" spans="5:7" x14ac:dyDescent="0.3">
      <c r="E1865" s="23"/>
      <c r="G1865" s="23"/>
    </row>
    <row r="1866" spans="5:7" x14ac:dyDescent="0.3">
      <c r="E1866" s="23"/>
      <c r="G1866" s="23"/>
    </row>
    <row r="1867" spans="5:7" x14ac:dyDescent="0.3">
      <c r="E1867" s="23"/>
      <c r="G1867" s="23"/>
    </row>
    <row r="1868" spans="5:7" x14ac:dyDescent="0.3">
      <c r="E1868" s="23"/>
      <c r="G1868" s="23"/>
    </row>
    <row r="1869" spans="5:7" x14ac:dyDescent="0.3">
      <c r="E1869" s="23"/>
      <c r="G1869" s="23"/>
    </row>
    <row r="1870" spans="5:7" x14ac:dyDescent="0.3">
      <c r="E1870" s="23"/>
      <c r="G1870" s="23"/>
    </row>
    <row r="1871" spans="5:7" x14ac:dyDescent="0.3">
      <c r="E1871" s="23"/>
      <c r="G1871" s="23"/>
    </row>
    <row r="1872" spans="5:7" x14ac:dyDescent="0.3">
      <c r="E1872" s="23"/>
      <c r="G1872" s="23"/>
    </row>
    <row r="1873" spans="5:7" x14ac:dyDescent="0.3">
      <c r="E1873" s="23"/>
      <c r="G1873" s="23"/>
    </row>
    <row r="1874" spans="5:7" x14ac:dyDescent="0.3">
      <c r="E1874" s="23"/>
      <c r="G1874" s="23"/>
    </row>
    <row r="1875" spans="5:7" x14ac:dyDescent="0.3">
      <c r="E1875" s="23"/>
      <c r="G1875" s="23"/>
    </row>
    <row r="1876" spans="5:7" x14ac:dyDescent="0.3">
      <c r="E1876" s="23"/>
      <c r="G1876" s="23"/>
    </row>
    <row r="1877" spans="5:7" x14ac:dyDescent="0.3">
      <c r="E1877" s="23"/>
      <c r="G1877" s="23"/>
    </row>
    <row r="1878" spans="5:7" x14ac:dyDescent="0.3">
      <c r="E1878" s="23"/>
      <c r="G1878" s="23"/>
    </row>
    <row r="1879" spans="5:7" x14ac:dyDescent="0.3">
      <c r="E1879" s="23"/>
      <c r="G1879" s="23"/>
    </row>
    <row r="1880" spans="5:7" x14ac:dyDescent="0.3">
      <c r="E1880" s="23"/>
      <c r="G1880" s="23"/>
    </row>
    <row r="1881" spans="5:7" x14ac:dyDescent="0.3">
      <c r="E1881" s="23"/>
      <c r="G1881" s="23"/>
    </row>
    <row r="1882" spans="5:7" x14ac:dyDescent="0.3">
      <c r="E1882" s="23"/>
      <c r="G1882" s="23"/>
    </row>
    <row r="1883" spans="5:7" x14ac:dyDescent="0.3">
      <c r="E1883" s="23"/>
      <c r="G1883" s="23"/>
    </row>
    <row r="1884" spans="5:7" x14ac:dyDescent="0.3">
      <c r="E1884" s="23"/>
      <c r="G1884" s="23"/>
    </row>
    <row r="1885" spans="5:7" x14ac:dyDescent="0.3">
      <c r="E1885" s="23"/>
      <c r="G1885" s="23"/>
    </row>
    <row r="1886" spans="5:7" x14ac:dyDescent="0.3">
      <c r="E1886" s="23"/>
      <c r="G1886" s="23"/>
    </row>
    <row r="1887" spans="5:7" x14ac:dyDescent="0.3">
      <c r="E1887" s="23"/>
      <c r="G1887" s="23"/>
    </row>
    <row r="1888" spans="5:7" x14ac:dyDescent="0.3">
      <c r="E1888" s="23"/>
      <c r="G1888" s="23"/>
    </row>
    <row r="1889" spans="5:7" x14ac:dyDescent="0.3">
      <c r="E1889" s="23"/>
      <c r="G1889" s="23"/>
    </row>
    <row r="1890" spans="5:7" x14ac:dyDescent="0.3">
      <c r="E1890" s="23"/>
      <c r="G1890" s="23"/>
    </row>
    <row r="1891" spans="5:7" x14ac:dyDescent="0.3">
      <c r="E1891" s="23"/>
      <c r="G1891" s="23"/>
    </row>
    <row r="1892" spans="5:7" x14ac:dyDescent="0.3">
      <c r="E1892" s="23"/>
      <c r="G1892" s="23"/>
    </row>
    <row r="1893" spans="5:7" x14ac:dyDescent="0.3">
      <c r="E1893" s="23"/>
      <c r="G1893" s="23"/>
    </row>
    <row r="1894" spans="5:7" x14ac:dyDescent="0.3">
      <c r="E1894" s="23"/>
      <c r="G1894" s="23"/>
    </row>
    <row r="1895" spans="5:7" x14ac:dyDescent="0.3">
      <c r="E1895" s="23"/>
      <c r="G1895" s="23"/>
    </row>
    <row r="1896" spans="5:7" x14ac:dyDescent="0.3">
      <c r="E1896" s="23"/>
      <c r="G1896" s="23"/>
    </row>
    <row r="1897" spans="5:7" x14ac:dyDescent="0.3">
      <c r="E1897" s="23"/>
      <c r="G1897" s="23"/>
    </row>
    <row r="1898" spans="5:7" x14ac:dyDescent="0.3">
      <c r="E1898" s="23"/>
      <c r="G1898" s="23"/>
    </row>
    <row r="1899" spans="5:7" x14ac:dyDescent="0.3">
      <c r="E1899" s="23"/>
      <c r="G1899" s="23"/>
    </row>
    <row r="1900" spans="5:7" x14ac:dyDescent="0.3">
      <c r="E1900" s="23"/>
      <c r="G1900" s="23"/>
    </row>
    <row r="1901" spans="5:7" x14ac:dyDescent="0.3">
      <c r="E1901" s="23"/>
      <c r="G1901" s="23"/>
    </row>
    <row r="1902" spans="5:7" x14ac:dyDescent="0.3">
      <c r="E1902" s="23"/>
      <c r="G1902" s="23"/>
    </row>
    <row r="1903" spans="5:7" x14ac:dyDescent="0.3">
      <c r="E1903" s="23"/>
      <c r="G1903" s="23"/>
    </row>
    <row r="1904" spans="5:7" x14ac:dyDescent="0.3">
      <c r="E1904" s="23"/>
      <c r="G1904" s="23"/>
    </row>
    <row r="1905" spans="5:7" x14ac:dyDescent="0.3">
      <c r="E1905" s="23"/>
      <c r="G1905" s="23"/>
    </row>
    <row r="1906" spans="5:7" x14ac:dyDescent="0.3">
      <c r="E1906" s="23"/>
      <c r="G1906" s="23"/>
    </row>
    <row r="1907" spans="5:7" x14ac:dyDescent="0.3">
      <c r="E1907" s="23"/>
      <c r="G1907" s="23"/>
    </row>
    <row r="1908" spans="5:7" x14ac:dyDescent="0.3">
      <c r="E1908" s="23"/>
      <c r="G1908" s="23"/>
    </row>
    <row r="1909" spans="5:7" x14ac:dyDescent="0.3">
      <c r="E1909" s="23"/>
      <c r="G1909" s="23"/>
    </row>
    <row r="1910" spans="5:7" x14ac:dyDescent="0.3">
      <c r="E1910" s="23"/>
      <c r="G1910" s="23"/>
    </row>
    <row r="1911" spans="5:7" x14ac:dyDescent="0.3">
      <c r="E1911" s="23"/>
      <c r="G1911" s="23"/>
    </row>
    <row r="1912" spans="5:7" x14ac:dyDescent="0.3">
      <c r="E1912" s="23"/>
      <c r="G1912" s="23"/>
    </row>
    <row r="1913" spans="5:7" x14ac:dyDescent="0.3">
      <c r="E1913" s="23"/>
      <c r="G1913" s="23"/>
    </row>
    <row r="1914" spans="5:7" x14ac:dyDescent="0.3">
      <c r="E1914" s="23"/>
      <c r="G1914" s="23"/>
    </row>
    <row r="1915" spans="5:7" x14ac:dyDescent="0.3">
      <c r="E1915" s="23"/>
      <c r="G1915" s="23"/>
    </row>
    <row r="1916" spans="5:7" x14ac:dyDescent="0.3">
      <c r="E1916" s="23"/>
      <c r="G1916" s="23"/>
    </row>
    <row r="1917" spans="5:7" x14ac:dyDescent="0.3">
      <c r="E1917" s="23"/>
      <c r="G1917" s="23"/>
    </row>
    <row r="1918" spans="5:7" x14ac:dyDescent="0.3">
      <c r="E1918" s="23"/>
      <c r="G1918" s="23"/>
    </row>
    <row r="1919" spans="5:7" x14ac:dyDescent="0.3">
      <c r="E1919" s="23"/>
      <c r="G1919" s="23"/>
    </row>
    <row r="1920" spans="5:7" x14ac:dyDescent="0.3">
      <c r="E1920" s="23"/>
      <c r="G1920" s="23"/>
    </row>
    <row r="1921" spans="5:7" x14ac:dyDescent="0.3">
      <c r="E1921" s="23"/>
      <c r="G1921" s="23"/>
    </row>
    <row r="1922" spans="5:7" x14ac:dyDescent="0.3">
      <c r="E1922" s="23"/>
      <c r="G1922" s="23"/>
    </row>
    <row r="1923" spans="5:7" x14ac:dyDescent="0.3">
      <c r="E1923" s="23"/>
      <c r="G1923" s="23"/>
    </row>
    <row r="1924" spans="5:7" x14ac:dyDescent="0.3">
      <c r="E1924" s="23"/>
      <c r="G1924" s="23"/>
    </row>
    <row r="1925" spans="5:7" x14ac:dyDescent="0.3">
      <c r="E1925" s="23"/>
      <c r="G1925" s="23"/>
    </row>
    <row r="1926" spans="5:7" x14ac:dyDescent="0.3">
      <c r="E1926" s="23"/>
      <c r="G1926" s="23"/>
    </row>
    <row r="1927" spans="5:7" x14ac:dyDescent="0.3">
      <c r="E1927" s="23"/>
      <c r="G1927" s="23"/>
    </row>
    <row r="1928" spans="5:7" x14ac:dyDescent="0.3">
      <c r="E1928" s="23"/>
      <c r="G1928" s="23"/>
    </row>
    <row r="1929" spans="5:7" x14ac:dyDescent="0.3">
      <c r="E1929" s="23"/>
      <c r="G1929" s="23"/>
    </row>
    <row r="1930" spans="5:7" x14ac:dyDescent="0.3">
      <c r="E1930" s="23"/>
      <c r="G1930" s="23"/>
    </row>
    <row r="1931" spans="5:7" x14ac:dyDescent="0.3">
      <c r="E1931" s="23"/>
      <c r="G1931" s="23"/>
    </row>
    <row r="1932" spans="5:7" x14ac:dyDescent="0.3">
      <c r="E1932" s="23"/>
      <c r="G1932" s="23"/>
    </row>
    <row r="1933" spans="5:7" x14ac:dyDescent="0.3">
      <c r="E1933" s="23"/>
      <c r="G1933" s="23"/>
    </row>
    <row r="1934" spans="5:7" x14ac:dyDescent="0.3">
      <c r="E1934" s="23"/>
      <c r="G1934" s="23"/>
    </row>
    <row r="1935" spans="5:7" x14ac:dyDescent="0.3">
      <c r="E1935" s="23"/>
      <c r="G1935" s="23"/>
    </row>
    <row r="1936" spans="5:7" x14ac:dyDescent="0.3">
      <c r="E1936" s="23"/>
      <c r="G1936" s="23"/>
    </row>
    <row r="1937" spans="5:7" x14ac:dyDescent="0.3">
      <c r="E1937" s="23"/>
      <c r="G1937" s="23"/>
    </row>
    <row r="1938" spans="5:7" x14ac:dyDescent="0.3">
      <c r="E1938" s="23"/>
      <c r="G1938" s="23"/>
    </row>
    <row r="1939" spans="5:7" x14ac:dyDescent="0.3">
      <c r="E1939" s="23"/>
      <c r="G1939" s="23"/>
    </row>
    <row r="1940" spans="5:7" x14ac:dyDescent="0.3">
      <c r="E1940" s="23"/>
      <c r="G1940" s="23"/>
    </row>
    <row r="1941" spans="5:7" x14ac:dyDescent="0.3">
      <c r="E1941" s="23"/>
      <c r="G1941" s="23"/>
    </row>
    <row r="1942" spans="5:7" x14ac:dyDescent="0.3">
      <c r="E1942" s="23"/>
      <c r="G1942" s="23"/>
    </row>
    <row r="1943" spans="5:7" x14ac:dyDescent="0.3">
      <c r="E1943" s="23"/>
      <c r="G1943" s="23"/>
    </row>
    <row r="1944" spans="5:7" x14ac:dyDescent="0.3">
      <c r="E1944" s="23"/>
      <c r="G1944" s="23"/>
    </row>
    <row r="1945" spans="5:7" x14ac:dyDescent="0.3">
      <c r="E1945" s="23"/>
      <c r="G1945" s="23"/>
    </row>
    <row r="1946" spans="5:7" x14ac:dyDescent="0.3">
      <c r="E1946" s="23"/>
      <c r="G1946" s="23"/>
    </row>
    <row r="1947" spans="5:7" x14ac:dyDescent="0.3">
      <c r="E1947" s="23"/>
      <c r="G1947" s="23"/>
    </row>
    <row r="1948" spans="5:7" x14ac:dyDescent="0.3">
      <c r="E1948" s="23"/>
      <c r="G1948" s="23"/>
    </row>
    <row r="1949" spans="5:7" x14ac:dyDescent="0.3">
      <c r="E1949" s="23"/>
      <c r="G1949" s="23"/>
    </row>
    <row r="1950" spans="5:7" x14ac:dyDescent="0.3">
      <c r="E1950" s="23"/>
      <c r="G1950" s="23"/>
    </row>
    <row r="1951" spans="5:7" x14ac:dyDescent="0.3">
      <c r="E1951" s="23"/>
      <c r="G1951" s="23"/>
    </row>
    <row r="1952" spans="5:7" x14ac:dyDescent="0.3">
      <c r="E1952" s="23"/>
      <c r="G1952" s="23"/>
    </row>
    <row r="1953" spans="5:7" x14ac:dyDescent="0.3">
      <c r="E1953" s="23"/>
      <c r="G1953" s="23"/>
    </row>
    <row r="1954" spans="5:7" x14ac:dyDescent="0.3">
      <c r="E1954" s="23"/>
      <c r="G1954" s="23"/>
    </row>
    <row r="1955" spans="5:7" x14ac:dyDescent="0.3">
      <c r="E1955" s="23"/>
      <c r="G1955" s="23"/>
    </row>
    <row r="1956" spans="5:7" x14ac:dyDescent="0.3">
      <c r="E1956" s="23"/>
      <c r="G1956" s="23"/>
    </row>
    <row r="1957" spans="5:7" x14ac:dyDescent="0.3">
      <c r="E1957" s="23"/>
      <c r="G1957" s="23"/>
    </row>
    <row r="1958" spans="5:7" x14ac:dyDescent="0.3">
      <c r="E1958" s="23"/>
      <c r="G1958" s="23"/>
    </row>
    <row r="1959" spans="5:7" x14ac:dyDescent="0.3">
      <c r="E1959" s="23"/>
      <c r="G1959" s="23"/>
    </row>
    <row r="1960" spans="5:7" x14ac:dyDescent="0.3">
      <c r="E1960" s="23"/>
      <c r="G1960" s="23"/>
    </row>
    <row r="1961" spans="5:7" x14ac:dyDescent="0.3">
      <c r="E1961" s="23"/>
      <c r="G1961" s="23"/>
    </row>
    <row r="1962" spans="5:7" x14ac:dyDescent="0.3">
      <c r="E1962" s="23"/>
      <c r="G1962" s="23"/>
    </row>
    <row r="1963" spans="5:7" x14ac:dyDescent="0.3">
      <c r="E1963" s="23"/>
      <c r="G1963" s="23"/>
    </row>
    <row r="1964" spans="5:7" x14ac:dyDescent="0.3">
      <c r="E1964" s="23"/>
      <c r="G1964" s="23"/>
    </row>
    <row r="1965" spans="5:7" x14ac:dyDescent="0.3">
      <c r="E1965" s="23"/>
      <c r="G1965" s="23"/>
    </row>
    <row r="1966" spans="5:7" x14ac:dyDescent="0.3">
      <c r="E1966" s="23"/>
      <c r="G1966" s="23"/>
    </row>
    <row r="1967" spans="5:7" x14ac:dyDescent="0.3">
      <c r="E1967" s="23"/>
      <c r="G1967" s="23"/>
    </row>
    <row r="1968" spans="5:7" x14ac:dyDescent="0.3">
      <c r="E1968" s="23"/>
      <c r="G1968" s="23"/>
    </row>
    <row r="1969" spans="5:7" x14ac:dyDescent="0.3">
      <c r="E1969" s="23"/>
      <c r="G1969" s="23"/>
    </row>
    <row r="1970" spans="5:7" x14ac:dyDescent="0.3">
      <c r="E1970" s="23"/>
      <c r="G1970" s="23"/>
    </row>
    <row r="1971" spans="5:7" x14ac:dyDescent="0.3">
      <c r="E1971" s="23"/>
      <c r="G1971" s="23"/>
    </row>
    <row r="1972" spans="5:7" x14ac:dyDescent="0.3">
      <c r="E1972" s="23"/>
      <c r="G1972" s="23"/>
    </row>
    <row r="1973" spans="5:7" x14ac:dyDescent="0.3">
      <c r="E1973" s="23"/>
      <c r="G1973" s="23"/>
    </row>
    <row r="1974" spans="5:7" x14ac:dyDescent="0.3">
      <c r="E1974" s="23"/>
      <c r="G1974" s="23"/>
    </row>
    <row r="1975" spans="5:7" x14ac:dyDescent="0.3">
      <c r="E1975" s="23"/>
      <c r="G1975" s="23"/>
    </row>
    <row r="1976" spans="5:7" x14ac:dyDescent="0.3">
      <c r="E1976" s="23"/>
      <c r="G1976" s="23"/>
    </row>
    <row r="1977" spans="5:7" x14ac:dyDescent="0.3">
      <c r="E1977" s="23"/>
      <c r="G1977" s="23"/>
    </row>
    <row r="1978" spans="5:7" x14ac:dyDescent="0.3">
      <c r="E1978" s="23"/>
      <c r="G1978" s="23"/>
    </row>
    <row r="1979" spans="5:7" x14ac:dyDescent="0.3">
      <c r="E1979" s="23"/>
      <c r="G1979" s="23"/>
    </row>
    <row r="1980" spans="5:7" x14ac:dyDescent="0.3">
      <c r="E1980" s="23"/>
      <c r="G1980" s="23"/>
    </row>
    <row r="1981" spans="5:7" x14ac:dyDescent="0.3">
      <c r="E1981" s="23"/>
      <c r="G1981" s="23"/>
    </row>
    <row r="1982" spans="5:7" x14ac:dyDescent="0.3">
      <c r="E1982" s="23"/>
      <c r="G1982" s="23"/>
    </row>
    <row r="1983" spans="5:7" x14ac:dyDescent="0.3">
      <c r="E1983" s="23"/>
      <c r="G1983" s="23"/>
    </row>
    <row r="1984" spans="5:7" x14ac:dyDescent="0.3">
      <c r="E1984" s="23"/>
      <c r="G1984" s="23"/>
    </row>
    <row r="1985" spans="5:7" x14ac:dyDescent="0.3">
      <c r="E1985" s="23"/>
      <c r="G1985" s="23"/>
    </row>
    <row r="1986" spans="5:7" x14ac:dyDescent="0.3">
      <c r="E1986" s="23"/>
      <c r="G1986" s="23"/>
    </row>
    <row r="1987" spans="5:7" x14ac:dyDescent="0.3">
      <c r="E1987" s="23"/>
      <c r="G1987" s="23"/>
    </row>
    <row r="1988" spans="5:7" x14ac:dyDescent="0.3">
      <c r="E1988" s="23"/>
      <c r="G1988" s="23"/>
    </row>
    <row r="1989" spans="5:7" x14ac:dyDescent="0.3">
      <c r="E1989" s="23"/>
      <c r="G1989" s="23"/>
    </row>
    <row r="1990" spans="5:7" x14ac:dyDescent="0.3">
      <c r="E1990" s="23"/>
      <c r="G1990" s="23"/>
    </row>
    <row r="1991" spans="5:7" x14ac:dyDescent="0.3">
      <c r="E1991" s="23"/>
      <c r="G1991" s="23"/>
    </row>
    <row r="1992" spans="5:7" x14ac:dyDescent="0.3">
      <c r="E1992" s="23"/>
      <c r="G1992" s="23"/>
    </row>
    <row r="1993" spans="5:7" x14ac:dyDescent="0.3">
      <c r="E1993" s="23"/>
      <c r="G1993" s="23"/>
    </row>
    <row r="1994" spans="5:7" x14ac:dyDescent="0.3">
      <c r="E1994" s="23"/>
      <c r="G1994" s="23"/>
    </row>
    <row r="1995" spans="5:7" x14ac:dyDescent="0.3">
      <c r="E1995" s="23"/>
      <c r="G1995" s="23"/>
    </row>
    <row r="1996" spans="5:7" x14ac:dyDescent="0.3">
      <c r="E1996" s="23"/>
      <c r="G1996" s="23"/>
    </row>
    <row r="1997" spans="5:7" x14ac:dyDescent="0.3">
      <c r="E1997" s="23"/>
      <c r="G1997" s="23"/>
    </row>
    <row r="1998" spans="5:7" x14ac:dyDescent="0.3">
      <c r="E1998" s="23"/>
      <c r="G1998" s="23"/>
    </row>
    <row r="1999" spans="5:7" x14ac:dyDescent="0.3">
      <c r="E1999" s="23"/>
      <c r="G1999" s="23"/>
    </row>
    <row r="2000" spans="5:7" x14ac:dyDescent="0.3">
      <c r="E2000" s="23"/>
      <c r="G2000" s="23"/>
    </row>
    <row r="2001" spans="5:7" x14ac:dyDescent="0.3">
      <c r="E2001" s="23"/>
      <c r="G2001" s="23"/>
    </row>
    <row r="2002" spans="5:7" x14ac:dyDescent="0.3">
      <c r="E2002" s="23"/>
      <c r="G2002" s="23"/>
    </row>
    <row r="2003" spans="5:7" x14ac:dyDescent="0.3">
      <c r="E2003" s="23"/>
      <c r="G2003" s="23"/>
    </row>
    <row r="2004" spans="5:7" x14ac:dyDescent="0.3">
      <c r="E2004" s="23"/>
      <c r="G2004" s="23"/>
    </row>
    <row r="2005" spans="5:7" x14ac:dyDescent="0.3">
      <c r="E2005" s="23"/>
      <c r="G2005" s="23"/>
    </row>
    <row r="2006" spans="5:7" x14ac:dyDescent="0.3">
      <c r="E2006" s="23"/>
      <c r="G2006" s="23"/>
    </row>
    <row r="2007" spans="5:7" x14ac:dyDescent="0.3">
      <c r="E2007" s="23"/>
      <c r="G2007" s="23"/>
    </row>
    <row r="2008" spans="5:7" x14ac:dyDescent="0.3">
      <c r="E2008" s="23"/>
      <c r="G2008" s="23"/>
    </row>
    <row r="2009" spans="5:7" x14ac:dyDescent="0.3">
      <c r="E2009" s="23"/>
      <c r="G2009" s="23"/>
    </row>
    <row r="2010" spans="5:7" x14ac:dyDescent="0.3">
      <c r="E2010" s="23"/>
      <c r="G2010" s="23"/>
    </row>
    <row r="2011" spans="5:7" x14ac:dyDescent="0.3">
      <c r="E2011" s="23"/>
      <c r="G2011" s="23"/>
    </row>
    <row r="2012" spans="5:7" x14ac:dyDescent="0.3">
      <c r="E2012" s="23"/>
      <c r="G2012" s="23"/>
    </row>
    <row r="2013" spans="5:7" x14ac:dyDescent="0.3">
      <c r="E2013" s="23"/>
      <c r="G2013" s="23"/>
    </row>
    <row r="2014" spans="5:7" x14ac:dyDescent="0.3">
      <c r="E2014" s="23"/>
      <c r="G2014" s="23"/>
    </row>
    <row r="2015" spans="5:7" x14ac:dyDescent="0.3">
      <c r="E2015" s="23"/>
      <c r="G2015" s="23"/>
    </row>
    <row r="2016" spans="5:7" x14ac:dyDescent="0.3">
      <c r="E2016" s="23"/>
      <c r="G2016" s="23"/>
    </row>
    <row r="2017" spans="5:7" x14ac:dyDescent="0.3">
      <c r="E2017" s="23"/>
      <c r="G2017" s="23"/>
    </row>
    <row r="2018" spans="5:7" x14ac:dyDescent="0.3">
      <c r="E2018" s="23"/>
      <c r="G2018" s="23"/>
    </row>
    <row r="2019" spans="5:7" x14ac:dyDescent="0.3">
      <c r="E2019" s="23"/>
      <c r="G2019" s="23"/>
    </row>
    <row r="2020" spans="5:7" x14ac:dyDescent="0.3">
      <c r="E2020" s="23"/>
      <c r="G2020" s="23"/>
    </row>
    <row r="2021" spans="5:7" x14ac:dyDescent="0.3">
      <c r="E2021" s="23"/>
      <c r="G2021" s="23"/>
    </row>
    <row r="2022" spans="5:7" x14ac:dyDescent="0.3">
      <c r="E2022" s="23"/>
      <c r="G2022" s="23"/>
    </row>
    <row r="2023" spans="5:7" x14ac:dyDescent="0.3">
      <c r="E2023" s="23"/>
      <c r="G2023" s="23"/>
    </row>
    <row r="2024" spans="5:7" x14ac:dyDescent="0.3">
      <c r="E2024" s="23"/>
      <c r="G2024" s="23"/>
    </row>
    <row r="2025" spans="5:7" x14ac:dyDescent="0.3">
      <c r="E2025" s="23"/>
      <c r="G2025" s="23"/>
    </row>
    <row r="2026" spans="5:7" x14ac:dyDescent="0.3">
      <c r="E2026" s="23"/>
      <c r="G2026" s="23"/>
    </row>
    <row r="2027" spans="5:7" x14ac:dyDescent="0.3">
      <c r="E2027" s="23"/>
      <c r="G2027" s="23"/>
    </row>
    <row r="2028" spans="5:7" x14ac:dyDescent="0.3">
      <c r="E2028" s="23"/>
      <c r="G2028" s="23"/>
    </row>
    <row r="2029" spans="5:7" x14ac:dyDescent="0.3">
      <c r="E2029" s="23"/>
      <c r="G2029" s="23"/>
    </row>
    <row r="2030" spans="5:7" x14ac:dyDescent="0.3">
      <c r="E2030" s="23"/>
      <c r="G2030" s="23"/>
    </row>
    <row r="2031" spans="5:7" x14ac:dyDescent="0.3">
      <c r="E2031" s="23"/>
      <c r="G2031" s="23"/>
    </row>
    <row r="2032" spans="5:7" x14ac:dyDescent="0.3">
      <c r="E2032" s="23"/>
      <c r="G2032" s="23"/>
    </row>
    <row r="2033" spans="5:7" x14ac:dyDescent="0.3">
      <c r="E2033" s="23"/>
      <c r="G2033" s="23"/>
    </row>
    <row r="2034" spans="5:7" x14ac:dyDescent="0.3">
      <c r="E2034" s="23"/>
      <c r="G2034" s="23"/>
    </row>
    <row r="2035" spans="5:7" x14ac:dyDescent="0.3">
      <c r="E2035" s="23"/>
      <c r="G2035" s="23"/>
    </row>
    <row r="2036" spans="5:7" x14ac:dyDescent="0.3">
      <c r="E2036" s="23"/>
      <c r="G2036" s="23"/>
    </row>
    <row r="2037" spans="5:7" x14ac:dyDescent="0.3">
      <c r="E2037" s="23"/>
      <c r="G2037" s="23"/>
    </row>
    <row r="2038" spans="5:7" x14ac:dyDescent="0.3">
      <c r="E2038" s="23"/>
      <c r="G2038" s="23"/>
    </row>
    <row r="2039" spans="5:7" x14ac:dyDescent="0.3">
      <c r="E2039" s="23"/>
      <c r="G2039" s="23"/>
    </row>
    <row r="2040" spans="5:7" x14ac:dyDescent="0.3">
      <c r="E2040" s="23"/>
      <c r="G2040" s="23"/>
    </row>
    <row r="2041" spans="5:7" x14ac:dyDescent="0.3">
      <c r="E2041" s="23"/>
      <c r="G2041" s="23"/>
    </row>
    <row r="2042" spans="5:7" x14ac:dyDescent="0.3">
      <c r="E2042" s="23"/>
      <c r="G2042" s="23"/>
    </row>
    <row r="2043" spans="5:7" x14ac:dyDescent="0.3">
      <c r="E2043" s="23"/>
      <c r="G2043" s="23"/>
    </row>
    <row r="2044" spans="5:7" x14ac:dyDescent="0.3">
      <c r="E2044" s="23"/>
      <c r="G2044" s="23"/>
    </row>
    <row r="2045" spans="5:7" x14ac:dyDescent="0.3">
      <c r="E2045" s="23"/>
      <c r="G2045" s="23"/>
    </row>
    <row r="2046" spans="5:7" x14ac:dyDescent="0.3">
      <c r="E2046" s="23"/>
      <c r="G2046" s="23"/>
    </row>
    <row r="2047" spans="5:7" x14ac:dyDescent="0.3">
      <c r="E2047" s="23"/>
      <c r="G2047" s="23"/>
    </row>
    <row r="2048" spans="5:7" x14ac:dyDescent="0.3">
      <c r="E2048" s="23"/>
      <c r="G2048" s="23"/>
    </row>
    <row r="2049" spans="5:7" x14ac:dyDescent="0.3">
      <c r="E2049" s="23"/>
      <c r="G2049" s="23"/>
    </row>
    <row r="2050" spans="5:7" x14ac:dyDescent="0.3">
      <c r="E2050" s="23"/>
      <c r="G2050" s="23"/>
    </row>
    <row r="2051" spans="5:7" x14ac:dyDescent="0.3">
      <c r="E2051" s="23"/>
      <c r="G2051" s="23"/>
    </row>
    <row r="2052" spans="5:7" x14ac:dyDescent="0.3">
      <c r="E2052" s="23"/>
      <c r="G2052" s="23"/>
    </row>
    <row r="2053" spans="5:7" x14ac:dyDescent="0.3">
      <c r="E2053" s="23"/>
      <c r="G2053" s="23"/>
    </row>
    <row r="2054" spans="5:7" x14ac:dyDescent="0.3">
      <c r="E2054" s="23"/>
      <c r="G2054" s="23"/>
    </row>
    <row r="2055" spans="5:7" x14ac:dyDescent="0.3">
      <c r="E2055" s="23"/>
      <c r="G2055" s="23"/>
    </row>
    <row r="2056" spans="5:7" x14ac:dyDescent="0.3">
      <c r="E2056" s="23"/>
      <c r="G2056" s="23"/>
    </row>
    <row r="2057" spans="5:7" x14ac:dyDescent="0.3">
      <c r="E2057" s="23"/>
      <c r="G2057" s="23"/>
    </row>
    <row r="2058" spans="5:7" x14ac:dyDescent="0.3">
      <c r="E2058" s="23"/>
      <c r="G2058" s="23"/>
    </row>
    <row r="2059" spans="5:7" x14ac:dyDescent="0.3">
      <c r="E2059" s="23"/>
      <c r="G2059" s="23"/>
    </row>
    <row r="2060" spans="5:7" x14ac:dyDescent="0.3">
      <c r="E2060" s="23"/>
      <c r="G2060" s="23"/>
    </row>
    <row r="2061" spans="5:7" x14ac:dyDescent="0.3">
      <c r="E2061" s="23"/>
      <c r="G2061" s="23"/>
    </row>
    <row r="2062" spans="5:7" x14ac:dyDescent="0.3">
      <c r="E2062" s="23"/>
      <c r="G2062" s="23"/>
    </row>
    <row r="2063" spans="5:7" x14ac:dyDescent="0.3">
      <c r="E2063" s="23"/>
      <c r="G2063" s="23"/>
    </row>
    <row r="2064" spans="5:7" x14ac:dyDescent="0.3">
      <c r="E2064" s="23"/>
      <c r="G2064" s="23"/>
    </row>
    <row r="2065" spans="5:7" x14ac:dyDescent="0.3">
      <c r="E2065" s="23"/>
      <c r="G2065" s="23"/>
    </row>
    <row r="2066" spans="5:7" x14ac:dyDescent="0.3">
      <c r="E2066" s="23"/>
      <c r="G2066" s="23"/>
    </row>
    <row r="2067" spans="5:7" x14ac:dyDescent="0.3">
      <c r="E2067" s="23"/>
      <c r="G2067" s="23"/>
    </row>
    <row r="2068" spans="5:7" x14ac:dyDescent="0.3">
      <c r="E2068" s="23"/>
      <c r="G2068" s="23"/>
    </row>
    <row r="2069" spans="5:7" x14ac:dyDescent="0.3">
      <c r="E2069" s="23"/>
      <c r="G2069" s="23"/>
    </row>
    <row r="2070" spans="5:7" x14ac:dyDescent="0.3">
      <c r="E2070" s="23"/>
      <c r="G2070" s="23"/>
    </row>
    <row r="2071" spans="5:7" x14ac:dyDescent="0.3">
      <c r="E2071" s="23"/>
      <c r="G2071" s="23"/>
    </row>
    <row r="2072" spans="5:7" x14ac:dyDescent="0.3">
      <c r="E2072" s="23"/>
      <c r="G2072" s="23"/>
    </row>
    <row r="2073" spans="5:7" x14ac:dyDescent="0.3">
      <c r="E2073" s="23"/>
      <c r="G2073" s="23"/>
    </row>
    <row r="2074" spans="5:7" x14ac:dyDescent="0.3">
      <c r="E2074" s="23"/>
      <c r="G2074" s="23"/>
    </row>
    <row r="2075" spans="5:7" x14ac:dyDescent="0.3">
      <c r="E2075" s="23"/>
      <c r="G2075" s="23"/>
    </row>
    <row r="2076" spans="5:7" x14ac:dyDescent="0.3">
      <c r="E2076" s="23"/>
      <c r="G2076" s="23"/>
    </row>
    <row r="2077" spans="5:7" x14ac:dyDescent="0.3">
      <c r="E2077" s="23"/>
      <c r="G2077" s="23"/>
    </row>
    <row r="2078" spans="5:7" x14ac:dyDescent="0.3">
      <c r="E2078" s="23"/>
      <c r="G2078" s="23"/>
    </row>
    <row r="2079" spans="5:7" x14ac:dyDescent="0.3">
      <c r="E2079" s="23"/>
      <c r="G2079" s="23"/>
    </row>
    <row r="2080" spans="5:7" x14ac:dyDescent="0.3">
      <c r="E2080" s="23"/>
      <c r="G2080" s="23"/>
    </row>
    <row r="2081" spans="5:7" x14ac:dyDescent="0.3">
      <c r="E2081" s="23"/>
      <c r="G2081" s="23"/>
    </row>
    <row r="2082" spans="5:7" x14ac:dyDescent="0.3">
      <c r="E2082" s="23"/>
      <c r="G2082" s="23"/>
    </row>
    <row r="2083" spans="5:7" x14ac:dyDescent="0.3">
      <c r="E2083" s="23"/>
      <c r="G2083" s="23"/>
    </row>
    <row r="2084" spans="5:7" x14ac:dyDescent="0.3">
      <c r="E2084" s="23"/>
      <c r="G2084" s="23"/>
    </row>
    <row r="2085" spans="5:7" x14ac:dyDescent="0.3">
      <c r="E2085" s="23"/>
      <c r="G2085" s="23"/>
    </row>
    <row r="2086" spans="5:7" x14ac:dyDescent="0.3">
      <c r="E2086" s="23"/>
      <c r="G2086" s="23"/>
    </row>
    <row r="2087" spans="5:7" x14ac:dyDescent="0.3">
      <c r="E2087" s="23"/>
      <c r="G2087" s="23"/>
    </row>
    <row r="2088" spans="5:7" x14ac:dyDescent="0.3">
      <c r="E2088" s="23"/>
      <c r="G2088" s="23"/>
    </row>
    <row r="2089" spans="5:7" x14ac:dyDescent="0.3">
      <c r="E2089" s="23"/>
      <c r="G2089" s="23"/>
    </row>
    <row r="2090" spans="5:7" x14ac:dyDescent="0.3">
      <c r="E2090" s="23"/>
      <c r="G2090" s="23"/>
    </row>
    <row r="2091" spans="5:7" x14ac:dyDescent="0.3">
      <c r="E2091" s="23"/>
      <c r="G2091" s="23"/>
    </row>
    <row r="2092" spans="5:7" x14ac:dyDescent="0.3">
      <c r="E2092" s="23"/>
      <c r="G2092" s="23"/>
    </row>
    <row r="2093" spans="5:7" x14ac:dyDescent="0.3">
      <c r="E2093" s="23"/>
      <c r="G2093" s="23"/>
    </row>
    <row r="2094" spans="5:7" x14ac:dyDescent="0.3">
      <c r="E2094" s="23"/>
      <c r="G2094" s="23"/>
    </row>
    <row r="2095" spans="5:7" x14ac:dyDescent="0.3">
      <c r="E2095" s="23"/>
      <c r="G2095" s="23"/>
    </row>
    <row r="2096" spans="5:7" x14ac:dyDescent="0.3">
      <c r="E2096" s="23"/>
      <c r="G2096" s="23"/>
    </row>
    <row r="2097" spans="5:7" x14ac:dyDescent="0.3">
      <c r="E2097" s="23"/>
      <c r="G2097" s="23"/>
    </row>
    <row r="2098" spans="5:7" x14ac:dyDescent="0.3">
      <c r="E2098" s="23"/>
      <c r="G2098" s="23"/>
    </row>
    <row r="2099" spans="5:7" x14ac:dyDescent="0.3">
      <c r="E2099" s="23"/>
      <c r="G2099" s="23"/>
    </row>
    <row r="2100" spans="5:7" x14ac:dyDescent="0.3">
      <c r="E2100" s="23"/>
      <c r="G2100" s="23"/>
    </row>
    <row r="2101" spans="5:7" x14ac:dyDescent="0.3">
      <c r="E2101" s="23"/>
      <c r="G2101" s="23"/>
    </row>
    <row r="2102" spans="5:7" x14ac:dyDescent="0.3">
      <c r="E2102" s="23"/>
      <c r="G2102" s="23"/>
    </row>
    <row r="2103" spans="5:7" x14ac:dyDescent="0.3">
      <c r="E2103" s="23"/>
      <c r="G2103" s="23"/>
    </row>
    <row r="2104" spans="5:7" x14ac:dyDescent="0.3">
      <c r="E2104" s="23"/>
      <c r="G2104" s="23"/>
    </row>
    <row r="2105" spans="5:7" x14ac:dyDescent="0.3">
      <c r="E2105" s="23"/>
      <c r="G2105" s="23"/>
    </row>
    <row r="2106" spans="5:7" x14ac:dyDescent="0.3">
      <c r="E2106" s="23"/>
      <c r="G2106" s="23"/>
    </row>
    <row r="2107" spans="5:7" x14ac:dyDescent="0.3">
      <c r="E2107" s="23"/>
      <c r="G2107" s="23"/>
    </row>
    <row r="2108" spans="5:7" x14ac:dyDescent="0.3">
      <c r="E2108" s="23"/>
      <c r="G2108" s="23"/>
    </row>
    <row r="2109" spans="5:7" x14ac:dyDescent="0.3">
      <c r="E2109" s="23"/>
      <c r="G2109" s="23"/>
    </row>
    <row r="2110" spans="5:7" x14ac:dyDescent="0.3">
      <c r="E2110" s="23"/>
      <c r="G2110" s="23"/>
    </row>
    <row r="2111" spans="5:7" x14ac:dyDescent="0.3">
      <c r="E2111" s="23"/>
      <c r="G2111" s="23"/>
    </row>
    <row r="2112" spans="5:7" x14ac:dyDescent="0.3">
      <c r="E2112" s="23"/>
      <c r="G2112" s="23"/>
    </row>
    <row r="2113" spans="5:7" x14ac:dyDescent="0.3">
      <c r="E2113" s="23"/>
      <c r="G2113" s="23"/>
    </row>
    <row r="2114" spans="5:7" x14ac:dyDescent="0.3">
      <c r="E2114" s="23"/>
      <c r="G2114" s="23"/>
    </row>
    <row r="2115" spans="5:7" x14ac:dyDescent="0.3">
      <c r="E2115" s="23"/>
      <c r="G2115" s="23"/>
    </row>
    <row r="2116" spans="5:7" x14ac:dyDescent="0.3">
      <c r="E2116" s="23"/>
      <c r="G2116" s="23"/>
    </row>
    <row r="2117" spans="5:7" x14ac:dyDescent="0.3">
      <c r="E2117" s="23"/>
      <c r="G2117" s="23"/>
    </row>
    <row r="2118" spans="5:7" x14ac:dyDescent="0.3">
      <c r="E2118" s="23"/>
      <c r="G2118" s="23"/>
    </row>
    <row r="2119" spans="5:7" x14ac:dyDescent="0.3">
      <c r="E2119" s="23"/>
      <c r="G2119" s="23"/>
    </row>
    <row r="2120" spans="5:7" x14ac:dyDescent="0.3">
      <c r="E2120" s="23"/>
      <c r="G2120" s="23"/>
    </row>
    <row r="2121" spans="5:7" x14ac:dyDescent="0.3">
      <c r="E2121" s="23"/>
      <c r="G2121" s="23"/>
    </row>
    <row r="2122" spans="5:7" x14ac:dyDescent="0.3">
      <c r="E2122" s="23"/>
      <c r="G2122" s="23"/>
    </row>
    <row r="2123" spans="5:7" x14ac:dyDescent="0.3">
      <c r="E2123" s="23"/>
      <c r="G2123" s="23"/>
    </row>
    <row r="2124" spans="5:7" x14ac:dyDescent="0.3">
      <c r="E2124" s="23"/>
      <c r="G2124" s="23"/>
    </row>
    <row r="2125" spans="5:7" x14ac:dyDescent="0.3">
      <c r="E2125" s="23"/>
      <c r="G2125" s="23"/>
    </row>
    <row r="2126" spans="5:7" x14ac:dyDescent="0.3">
      <c r="E2126" s="23"/>
      <c r="G2126" s="23"/>
    </row>
    <row r="2127" spans="5:7" x14ac:dyDescent="0.3">
      <c r="E2127" s="23"/>
      <c r="G2127" s="23"/>
    </row>
    <row r="2128" spans="5:7" x14ac:dyDescent="0.3">
      <c r="E2128" s="23"/>
      <c r="G2128" s="23"/>
    </row>
    <row r="2129" spans="5:7" x14ac:dyDescent="0.3">
      <c r="E2129" s="23"/>
      <c r="G2129" s="23"/>
    </row>
    <row r="2130" spans="5:7" x14ac:dyDescent="0.3">
      <c r="E2130" s="23"/>
      <c r="G2130" s="23"/>
    </row>
    <row r="2131" spans="5:7" x14ac:dyDescent="0.3">
      <c r="E2131" s="23"/>
      <c r="G2131" s="23"/>
    </row>
    <row r="2132" spans="5:7" x14ac:dyDescent="0.3">
      <c r="E2132" s="23"/>
      <c r="G2132" s="23"/>
    </row>
    <row r="2133" spans="5:7" x14ac:dyDescent="0.3">
      <c r="E2133" s="23"/>
      <c r="G2133" s="23"/>
    </row>
    <row r="2134" spans="5:7" x14ac:dyDescent="0.3">
      <c r="E2134" s="23"/>
      <c r="G2134" s="23"/>
    </row>
    <row r="2135" spans="5:7" x14ac:dyDescent="0.3">
      <c r="E2135" s="23"/>
      <c r="G2135" s="23"/>
    </row>
    <row r="2136" spans="5:7" x14ac:dyDescent="0.3">
      <c r="E2136" s="23"/>
      <c r="G2136" s="23"/>
    </row>
    <row r="2137" spans="5:7" x14ac:dyDescent="0.3">
      <c r="E2137" s="23"/>
      <c r="G2137" s="23"/>
    </row>
    <row r="2138" spans="5:7" x14ac:dyDescent="0.3">
      <c r="E2138" s="23"/>
      <c r="G2138" s="23"/>
    </row>
    <row r="2139" spans="5:7" x14ac:dyDescent="0.3">
      <c r="E2139" s="23"/>
      <c r="G2139" s="23"/>
    </row>
    <row r="2140" spans="5:7" x14ac:dyDescent="0.3">
      <c r="E2140" s="23"/>
      <c r="G2140" s="23"/>
    </row>
    <row r="2141" spans="5:7" x14ac:dyDescent="0.3">
      <c r="E2141" s="23"/>
      <c r="G2141" s="23"/>
    </row>
    <row r="2142" spans="5:7" x14ac:dyDescent="0.3">
      <c r="E2142" s="23"/>
      <c r="G2142" s="23"/>
    </row>
    <row r="2143" spans="5:7" x14ac:dyDescent="0.3">
      <c r="E2143" s="23"/>
      <c r="G2143" s="23"/>
    </row>
    <row r="2144" spans="5:7" x14ac:dyDescent="0.3">
      <c r="E2144" s="23"/>
      <c r="G2144" s="23"/>
    </row>
    <row r="2145" spans="5:7" x14ac:dyDescent="0.3">
      <c r="E2145" s="23"/>
      <c r="G2145" s="23"/>
    </row>
    <row r="2146" spans="5:7" x14ac:dyDescent="0.3">
      <c r="E2146" s="23"/>
      <c r="G2146" s="23"/>
    </row>
    <row r="2147" spans="5:7" x14ac:dyDescent="0.3">
      <c r="E2147" s="23"/>
      <c r="G2147" s="23"/>
    </row>
    <row r="2148" spans="5:7" x14ac:dyDescent="0.3">
      <c r="E2148" s="23"/>
      <c r="G2148" s="23"/>
    </row>
    <row r="2149" spans="5:7" x14ac:dyDescent="0.3">
      <c r="E2149" s="23"/>
      <c r="G2149" s="23"/>
    </row>
    <row r="2150" spans="5:7" x14ac:dyDescent="0.3">
      <c r="E2150" s="23"/>
      <c r="G2150" s="23"/>
    </row>
    <row r="2151" spans="5:7" x14ac:dyDescent="0.3">
      <c r="E2151" s="23"/>
      <c r="G2151" s="23"/>
    </row>
    <row r="2152" spans="5:7" x14ac:dyDescent="0.3">
      <c r="E2152" s="23"/>
      <c r="G2152" s="23"/>
    </row>
    <row r="2153" spans="5:7" x14ac:dyDescent="0.3">
      <c r="E2153" s="23"/>
      <c r="G2153" s="23"/>
    </row>
    <row r="2154" spans="5:7" x14ac:dyDescent="0.3">
      <c r="E2154" s="23"/>
      <c r="G2154" s="23"/>
    </row>
    <row r="2155" spans="5:7" x14ac:dyDescent="0.3">
      <c r="E2155" s="23"/>
      <c r="G2155" s="23"/>
    </row>
    <row r="2156" spans="5:7" x14ac:dyDescent="0.3">
      <c r="E2156" s="23"/>
      <c r="G2156" s="23"/>
    </row>
    <row r="2157" spans="5:7" x14ac:dyDescent="0.3">
      <c r="E2157" s="23"/>
      <c r="G2157" s="23"/>
    </row>
    <row r="2158" spans="5:7" x14ac:dyDescent="0.3">
      <c r="E2158" s="23"/>
      <c r="G2158" s="23"/>
    </row>
    <row r="2159" spans="5:7" x14ac:dyDescent="0.3">
      <c r="E2159" s="23"/>
      <c r="G2159" s="23"/>
    </row>
    <row r="2160" spans="5:7" x14ac:dyDescent="0.3">
      <c r="E2160" s="23"/>
      <c r="G2160" s="23"/>
    </row>
    <row r="2161" spans="5:7" x14ac:dyDescent="0.3">
      <c r="E2161" s="23"/>
      <c r="G2161" s="23"/>
    </row>
    <row r="2162" spans="5:7" x14ac:dyDescent="0.3">
      <c r="E2162" s="23"/>
      <c r="G2162" s="23"/>
    </row>
    <row r="2163" spans="5:7" x14ac:dyDescent="0.3">
      <c r="E2163" s="23"/>
      <c r="G2163" s="23"/>
    </row>
    <row r="2164" spans="5:7" x14ac:dyDescent="0.3">
      <c r="E2164" s="23"/>
      <c r="G2164" s="23"/>
    </row>
    <row r="2165" spans="5:7" x14ac:dyDescent="0.3">
      <c r="E2165" s="23"/>
      <c r="G2165" s="23"/>
    </row>
    <row r="2166" spans="5:7" x14ac:dyDescent="0.3">
      <c r="E2166" s="23"/>
      <c r="G2166" s="23"/>
    </row>
    <row r="2167" spans="5:7" x14ac:dyDescent="0.3">
      <c r="E2167" s="23"/>
      <c r="G2167" s="23"/>
    </row>
    <row r="2168" spans="5:7" x14ac:dyDescent="0.3">
      <c r="E2168" s="23"/>
      <c r="G2168" s="23"/>
    </row>
    <row r="2169" spans="5:7" x14ac:dyDescent="0.3">
      <c r="E2169" s="23"/>
      <c r="G2169" s="23"/>
    </row>
    <row r="2170" spans="5:7" x14ac:dyDescent="0.3">
      <c r="E2170" s="23"/>
      <c r="G2170" s="23"/>
    </row>
    <row r="2171" spans="5:7" x14ac:dyDescent="0.3">
      <c r="E2171" s="23"/>
      <c r="G2171" s="23"/>
    </row>
    <row r="2172" spans="5:7" x14ac:dyDescent="0.3">
      <c r="E2172" s="23"/>
      <c r="G2172" s="23"/>
    </row>
    <row r="2173" spans="5:7" x14ac:dyDescent="0.3">
      <c r="E2173" s="23"/>
      <c r="G2173" s="23"/>
    </row>
    <row r="2174" spans="5:7" x14ac:dyDescent="0.3">
      <c r="E2174" s="23"/>
      <c r="G2174" s="23"/>
    </row>
    <row r="2175" spans="5:7" x14ac:dyDescent="0.3">
      <c r="E2175" s="23"/>
      <c r="G2175" s="23"/>
    </row>
    <row r="2176" spans="5:7" x14ac:dyDescent="0.3">
      <c r="E2176" s="23"/>
      <c r="G2176" s="23"/>
    </row>
    <row r="2177" spans="5:7" x14ac:dyDescent="0.3">
      <c r="E2177" s="23"/>
      <c r="G2177" s="23"/>
    </row>
    <row r="2178" spans="5:7" x14ac:dyDescent="0.3">
      <c r="E2178" s="23"/>
      <c r="G2178" s="23"/>
    </row>
    <row r="2179" spans="5:7" x14ac:dyDescent="0.3">
      <c r="E2179" s="23"/>
      <c r="G2179" s="23"/>
    </row>
    <row r="2180" spans="5:7" x14ac:dyDescent="0.3">
      <c r="E2180" s="23"/>
      <c r="G2180" s="23"/>
    </row>
    <row r="2181" spans="5:7" x14ac:dyDescent="0.3">
      <c r="E2181" s="23"/>
      <c r="G2181" s="23"/>
    </row>
    <row r="2182" spans="5:7" x14ac:dyDescent="0.3">
      <c r="E2182" s="23"/>
      <c r="G2182" s="23"/>
    </row>
    <row r="2183" spans="5:7" x14ac:dyDescent="0.3">
      <c r="E2183" s="23"/>
      <c r="G2183" s="23"/>
    </row>
    <row r="2184" spans="5:7" x14ac:dyDescent="0.3">
      <c r="E2184" s="23"/>
      <c r="G2184" s="23"/>
    </row>
    <row r="2185" spans="5:7" x14ac:dyDescent="0.3">
      <c r="E2185" s="23"/>
      <c r="G2185" s="23"/>
    </row>
    <row r="2186" spans="5:7" x14ac:dyDescent="0.3">
      <c r="E2186" s="23"/>
      <c r="G2186" s="23"/>
    </row>
    <row r="2187" spans="5:7" x14ac:dyDescent="0.3">
      <c r="E2187" s="23"/>
      <c r="G2187" s="23"/>
    </row>
    <row r="2188" spans="5:7" x14ac:dyDescent="0.3">
      <c r="E2188" s="23"/>
      <c r="G2188" s="23"/>
    </row>
    <row r="2189" spans="5:7" x14ac:dyDescent="0.3">
      <c r="E2189" s="23"/>
      <c r="G2189" s="23"/>
    </row>
    <row r="2190" spans="5:7" x14ac:dyDescent="0.3">
      <c r="E2190" s="23"/>
      <c r="G2190" s="23"/>
    </row>
    <row r="2191" spans="5:7" x14ac:dyDescent="0.3">
      <c r="E2191" s="23"/>
      <c r="G2191" s="23"/>
    </row>
    <row r="2192" spans="5:7" x14ac:dyDescent="0.3">
      <c r="E2192" s="23"/>
      <c r="G2192" s="23"/>
    </row>
    <row r="2193" spans="5:7" x14ac:dyDescent="0.3">
      <c r="E2193" s="23"/>
      <c r="G2193" s="23"/>
    </row>
    <row r="2194" spans="5:7" x14ac:dyDescent="0.3">
      <c r="E2194" s="23"/>
      <c r="G2194" s="23"/>
    </row>
    <row r="2195" spans="5:7" x14ac:dyDescent="0.3">
      <c r="E2195" s="23"/>
      <c r="G2195" s="23"/>
    </row>
    <row r="2196" spans="5:7" x14ac:dyDescent="0.3">
      <c r="E2196" s="23"/>
      <c r="G2196" s="23"/>
    </row>
    <row r="2197" spans="5:7" x14ac:dyDescent="0.3">
      <c r="E2197" s="23"/>
      <c r="G2197" s="23"/>
    </row>
    <row r="2198" spans="5:7" x14ac:dyDescent="0.3">
      <c r="E2198" s="23"/>
      <c r="G2198" s="23"/>
    </row>
    <row r="2199" spans="5:7" x14ac:dyDescent="0.3">
      <c r="E2199" s="23"/>
      <c r="G2199" s="23"/>
    </row>
    <row r="2200" spans="5:7" x14ac:dyDescent="0.3">
      <c r="E2200" s="23"/>
      <c r="G2200" s="23"/>
    </row>
    <row r="2201" spans="5:7" x14ac:dyDescent="0.3">
      <c r="E2201" s="23"/>
      <c r="G2201" s="23"/>
    </row>
    <row r="2202" spans="5:7" x14ac:dyDescent="0.3">
      <c r="E2202" s="23"/>
      <c r="G2202" s="23"/>
    </row>
    <row r="2203" spans="5:7" x14ac:dyDescent="0.3">
      <c r="E2203" s="23"/>
      <c r="G2203" s="23"/>
    </row>
    <row r="2204" spans="5:7" x14ac:dyDescent="0.3">
      <c r="E2204" s="23"/>
      <c r="G2204" s="23"/>
    </row>
    <row r="2205" spans="5:7" x14ac:dyDescent="0.3">
      <c r="E2205" s="23"/>
      <c r="G2205" s="23"/>
    </row>
    <row r="2206" spans="5:7" x14ac:dyDescent="0.3">
      <c r="E2206" s="23"/>
      <c r="G2206" s="23"/>
    </row>
    <row r="2207" spans="5:7" x14ac:dyDescent="0.3">
      <c r="E2207" s="23"/>
      <c r="G2207" s="23"/>
    </row>
    <row r="2208" spans="5:7" x14ac:dyDescent="0.3">
      <c r="E2208" s="23"/>
      <c r="G2208" s="23"/>
    </row>
    <row r="2209" spans="5:7" x14ac:dyDescent="0.3">
      <c r="E2209" s="23"/>
      <c r="G2209" s="23"/>
    </row>
    <row r="2210" spans="5:7" x14ac:dyDescent="0.3">
      <c r="E2210" s="23"/>
      <c r="G2210" s="23"/>
    </row>
    <row r="2211" spans="5:7" x14ac:dyDescent="0.3">
      <c r="E2211" s="23"/>
      <c r="G2211" s="23"/>
    </row>
    <row r="2212" spans="5:7" x14ac:dyDescent="0.3">
      <c r="E2212" s="23"/>
      <c r="G2212" s="23"/>
    </row>
    <row r="2213" spans="5:7" x14ac:dyDescent="0.3">
      <c r="E2213" s="23"/>
      <c r="G2213" s="23"/>
    </row>
    <row r="2214" spans="5:7" x14ac:dyDescent="0.3">
      <c r="E2214" s="23"/>
      <c r="G2214" s="23"/>
    </row>
    <row r="2215" spans="5:7" x14ac:dyDescent="0.3">
      <c r="E2215" s="23"/>
      <c r="G2215" s="23"/>
    </row>
    <row r="2216" spans="5:7" x14ac:dyDescent="0.3">
      <c r="E2216" s="23"/>
      <c r="G2216" s="23"/>
    </row>
    <row r="2217" spans="5:7" x14ac:dyDescent="0.3">
      <c r="E2217" s="23"/>
      <c r="G2217" s="23"/>
    </row>
    <row r="2218" spans="5:7" x14ac:dyDescent="0.3">
      <c r="E2218" s="23"/>
      <c r="G2218" s="23"/>
    </row>
    <row r="2219" spans="5:7" x14ac:dyDescent="0.3">
      <c r="E2219" s="23"/>
      <c r="G2219" s="23"/>
    </row>
    <row r="2220" spans="5:7" x14ac:dyDescent="0.3">
      <c r="E2220" s="23"/>
      <c r="G2220" s="23"/>
    </row>
    <row r="2221" spans="5:7" x14ac:dyDescent="0.3">
      <c r="E2221" s="23"/>
      <c r="G2221" s="23"/>
    </row>
    <row r="2222" spans="5:7" x14ac:dyDescent="0.3">
      <c r="E2222" s="23"/>
      <c r="G2222" s="23"/>
    </row>
    <row r="2223" spans="5:7" x14ac:dyDescent="0.3">
      <c r="E2223" s="23"/>
      <c r="G2223" s="23"/>
    </row>
    <row r="2224" spans="5:7" x14ac:dyDescent="0.3">
      <c r="E2224" s="23"/>
      <c r="G2224" s="23"/>
    </row>
    <row r="2225" spans="5:7" x14ac:dyDescent="0.3">
      <c r="E2225" s="23"/>
      <c r="G2225" s="23"/>
    </row>
    <row r="2226" spans="5:7" x14ac:dyDescent="0.3">
      <c r="E2226" s="23"/>
      <c r="G2226" s="23"/>
    </row>
    <row r="2227" spans="5:7" x14ac:dyDescent="0.3">
      <c r="E2227" s="23"/>
      <c r="G2227" s="23"/>
    </row>
    <row r="2228" spans="5:7" x14ac:dyDescent="0.3">
      <c r="E2228" s="23"/>
      <c r="G2228" s="23"/>
    </row>
    <row r="2229" spans="5:7" x14ac:dyDescent="0.3">
      <c r="E2229" s="23"/>
      <c r="G2229" s="23"/>
    </row>
    <row r="2230" spans="5:7" x14ac:dyDescent="0.3">
      <c r="E2230" s="23"/>
      <c r="G2230" s="23"/>
    </row>
    <row r="2231" spans="5:7" x14ac:dyDescent="0.3">
      <c r="E2231" s="23"/>
      <c r="G2231" s="23"/>
    </row>
    <row r="2232" spans="5:7" x14ac:dyDescent="0.3">
      <c r="E2232" s="23"/>
      <c r="G2232" s="23"/>
    </row>
    <row r="2233" spans="5:7" x14ac:dyDescent="0.3">
      <c r="E2233" s="23"/>
      <c r="G2233" s="23"/>
    </row>
    <row r="2234" spans="5:7" x14ac:dyDescent="0.3">
      <c r="E2234" s="23"/>
      <c r="G2234" s="23"/>
    </row>
    <row r="2235" spans="5:7" x14ac:dyDescent="0.3">
      <c r="E2235" s="23"/>
      <c r="G2235" s="23"/>
    </row>
    <row r="2236" spans="5:7" x14ac:dyDescent="0.3">
      <c r="E2236" s="23"/>
      <c r="G2236" s="23"/>
    </row>
    <row r="2237" spans="5:7" x14ac:dyDescent="0.3">
      <c r="E2237" s="23"/>
      <c r="G2237" s="23"/>
    </row>
    <row r="2238" spans="5:7" x14ac:dyDescent="0.3">
      <c r="E2238" s="23"/>
      <c r="G2238" s="23"/>
    </row>
    <row r="2239" spans="5:7" x14ac:dyDescent="0.3">
      <c r="E2239" s="23"/>
      <c r="G2239" s="23"/>
    </row>
    <row r="2240" spans="5:7" x14ac:dyDescent="0.3">
      <c r="E2240" s="23"/>
      <c r="G2240" s="23"/>
    </row>
    <row r="2241" spans="5:7" x14ac:dyDescent="0.3">
      <c r="E2241" s="23"/>
      <c r="G2241" s="23"/>
    </row>
    <row r="2242" spans="5:7" x14ac:dyDescent="0.3">
      <c r="E2242" s="23"/>
      <c r="G2242" s="23"/>
    </row>
    <row r="2243" spans="5:7" x14ac:dyDescent="0.3">
      <c r="E2243" s="23"/>
      <c r="G2243" s="23"/>
    </row>
    <row r="2244" spans="5:7" x14ac:dyDescent="0.3">
      <c r="E2244" s="23"/>
      <c r="G2244" s="23"/>
    </row>
    <row r="2245" spans="5:7" x14ac:dyDescent="0.3">
      <c r="E2245" s="23"/>
      <c r="G2245" s="23"/>
    </row>
    <row r="2246" spans="5:7" x14ac:dyDescent="0.3">
      <c r="E2246" s="23"/>
      <c r="G2246" s="23"/>
    </row>
    <row r="2247" spans="5:7" x14ac:dyDescent="0.3">
      <c r="E2247" s="23"/>
      <c r="G2247" s="23"/>
    </row>
    <row r="2248" spans="5:7" x14ac:dyDescent="0.3">
      <c r="E2248" s="23"/>
      <c r="G2248" s="23"/>
    </row>
    <row r="2249" spans="5:7" x14ac:dyDescent="0.3">
      <c r="E2249" s="23"/>
      <c r="G2249" s="23"/>
    </row>
    <row r="2250" spans="5:7" x14ac:dyDescent="0.3">
      <c r="E2250" s="23"/>
      <c r="G2250" s="23"/>
    </row>
    <row r="2251" spans="5:7" x14ac:dyDescent="0.3">
      <c r="E2251" s="23"/>
      <c r="G2251" s="23"/>
    </row>
    <row r="2252" spans="5:7" x14ac:dyDescent="0.3">
      <c r="E2252" s="23"/>
      <c r="G2252" s="23"/>
    </row>
    <row r="2253" spans="5:7" x14ac:dyDescent="0.3">
      <c r="E2253" s="23"/>
      <c r="G2253" s="23"/>
    </row>
    <row r="2254" spans="5:7" x14ac:dyDescent="0.3">
      <c r="E2254" s="23"/>
      <c r="G2254" s="23"/>
    </row>
    <row r="2255" spans="5:7" x14ac:dyDescent="0.3">
      <c r="E2255" s="23"/>
      <c r="G2255" s="23"/>
    </row>
    <row r="2256" spans="5:7" x14ac:dyDescent="0.3">
      <c r="E2256" s="23"/>
      <c r="G2256" s="23"/>
    </row>
    <row r="2257" spans="5:7" x14ac:dyDescent="0.3">
      <c r="E2257" s="23"/>
      <c r="G2257" s="23"/>
    </row>
    <row r="2258" spans="5:7" x14ac:dyDescent="0.3">
      <c r="E2258" s="23"/>
      <c r="G2258" s="23"/>
    </row>
    <row r="2259" spans="5:7" x14ac:dyDescent="0.3">
      <c r="E2259" s="23"/>
      <c r="G2259" s="23"/>
    </row>
    <row r="2260" spans="5:7" x14ac:dyDescent="0.3">
      <c r="E2260" s="23"/>
      <c r="G2260" s="23"/>
    </row>
    <row r="2261" spans="5:7" x14ac:dyDescent="0.3">
      <c r="E2261" s="23"/>
      <c r="G2261" s="23"/>
    </row>
    <row r="2262" spans="5:7" x14ac:dyDescent="0.3">
      <c r="E2262" s="23"/>
      <c r="G2262" s="23"/>
    </row>
    <row r="2263" spans="5:7" x14ac:dyDescent="0.3">
      <c r="E2263" s="23"/>
      <c r="G2263" s="23"/>
    </row>
    <row r="2264" spans="5:7" x14ac:dyDescent="0.3">
      <c r="E2264" s="23"/>
      <c r="G2264" s="23"/>
    </row>
    <row r="2265" spans="5:7" x14ac:dyDescent="0.3">
      <c r="E2265" s="23"/>
      <c r="G2265" s="23"/>
    </row>
    <row r="2266" spans="5:7" x14ac:dyDescent="0.3">
      <c r="E2266" s="23"/>
      <c r="G2266" s="23"/>
    </row>
    <row r="2267" spans="5:7" x14ac:dyDescent="0.3">
      <c r="E2267" s="23"/>
      <c r="G2267" s="23"/>
    </row>
    <row r="2268" spans="5:7" x14ac:dyDescent="0.3">
      <c r="E2268" s="23"/>
      <c r="G2268" s="23"/>
    </row>
    <row r="2269" spans="5:7" x14ac:dyDescent="0.3">
      <c r="E2269" s="23"/>
      <c r="G2269" s="23"/>
    </row>
    <row r="2270" spans="5:7" x14ac:dyDescent="0.3">
      <c r="E2270" s="23"/>
      <c r="G2270" s="23"/>
    </row>
    <row r="2271" spans="5:7" x14ac:dyDescent="0.3">
      <c r="E2271" s="23"/>
      <c r="G2271" s="23"/>
    </row>
    <row r="2272" spans="5:7" x14ac:dyDescent="0.3">
      <c r="E2272" s="23"/>
      <c r="G2272" s="23"/>
    </row>
    <row r="2273" spans="5:7" x14ac:dyDescent="0.3">
      <c r="E2273" s="23"/>
      <c r="G2273" s="23"/>
    </row>
    <row r="2274" spans="5:7" x14ac:dyDescent="0.3">
      <c r="E2274" s="23"/>
      <c r="G2274" s="23"/>
    </row>
    <row r="2275" spans="5:7" x14ac:dyDescent="0.3">
      <c r="E2275" s="23"/>
      <c r="G2275" s="23"/>
    </row>
    <row r="2276" spans="5:7" x14ac:dyDescent="0.3">
      <c r="E2276" s="23"/>
      <c r="G2276" s="23"/>
    </row>
    <row r="2277" spans="5:7" x14ac:dyDescent="0.3">
      <c r="E2277" s="23"/>
      <c r="G2277" s="23"/>
    </row>
    <row r="2278" spans="5:7" x14ac:dyDescent="0.3">
      <c r="E2278" s="23"/>
      <c r="G2278" s="23"/>
    </row>
    <row r="2279" spans="5:7" x14ac:dyDescent="0.3">
      <c r="E2279" s="23"/>
      <c r="G2279" s="23"/>
    </row>
    <row r="2280" spans="5:7" x14ac:dyDescent="0.3">
      <c r="E2280" s="23"/>
      <c r="G2280" s="23"/>
    </row>
    <row r="2281" spans="5:7" x14ac:dyDescent="0.3">
      <c r="E2281" s="23"/>
      <c r="G2281" s="23"/>
    </row>
    <row r="2282" spans="5:7" x14ac:dyDescent="0.3">
      <c r="E2282" s="23"/>
      <c r="G2282" s="23"/>
    </row>
    <row r="2283" spans="5:7" x14ac:dyDescent="0.3">
      <c r="E2283" s="23"/>
      <c r="G2283" s="23"/>
    </row>
    <row r="2284" spans="5:7" x14ac:dyDescent="0.3">
      <c r="E2284" s="23"/>
      <c r="G2284" s="23"/>
    </row>
    <row r="2285" spans="5:7" x14ac:dyDescent="0.3">
      <c r="E2285" s="23"/>
      <c r="G2285" s="23"/>
    </row>
    <row r="2286" spans="5:7" x14ac:dyDescent="0.3">
      <c r="E2286" s="23"/>
      <c r="G2286" s="23"/>
    </row>
    <row r="2287" spans="5:7" x14ac:dyDescent="0.3">
      <c r="E2287" s="23"/>
      <c r="G2287" s="23"/>
    </row>
    <row r="2288" spans="5:7" x14ac:dyDescent="0.3">
      <c r="E2288" s="23"/>
      <c r="G2288" s="23"/>
    </row>
    <row r="2289" spans="5:7" x14ac:dyDescent="0.3">
      <c r="E2289" s="23"/>
      <c r="G2289" s="23"/>
    </row>
    <row r="2290" spans="5:7" x14ac:dyDescent="0.3">
      <c r="E2290" s="23"/>
      <c r="G2290" s="23"/>
    </row>
    <row r="2291" spans="5:7" x14ac:dyDescent="0.3">
      <c r="E2291" s="23"/>
      <c r="G2291" s="23"/>
    </row>
    <row r="2292" spans="5:7" x14ac:dyDescent="0.3">
      <c r="E2292" s="23"/>
      <c r="G2292" s="23"/>
    </row>
    <row r="2293" spans="5:7" x14ac:dyDescent="0.3">
      <c r="E2293" s="23"/>
      <c r="G2293" s="23"/>
    </row>
    <row r="2294" spans="5:7" x14ac:dyDescent="0.3">
      <c r="E2294" s="23"/>
      <c r="G2294" s="23"/>
    </row>
    <row r="2295" spans="5:7" x14ac:dyDescent="0.3">
      <c r="E2295" s="23"/>
      <c r="G2295" s="23"/>
    </row>
    <row r="2296" spans="5:7" x14ac:dyDescent="0.3">
      <c r="E2296" s="23"/>
      <c r="G2296" s="23"/>
    </row>
    <row r="2297" spans="5:7" x14ac:dyDescent="0.3">
      <c r="E2297" s="23"/>
      <c r="G2297" s="23"/>
    </row>
    <row r="2298" spans="5:7" x14ac:dyDescent="0.3">
      <c r="E2298" s="23"/>
      <c r="G2298" s="23"/>
    </row>
    <row r="2299" spans="5:7" x14ac:dyDescent="0.3">
      <c r="E2299" s="23"/>
      <c r="G2299" s="23"/>
    </row>
    <row r="2300" spans="5:7" x14ac:dyDescent="0.3">
      <c r="E2300" s="23"/>
      <c r="G2300" s="23"/>
    </row>
    <row r="2301" spans="5:7" x14ac:dyDescent="0.3">
      <c r="E2301" s="23"/>
      <c r="G2301" s="23"/>
    </row>
    <row r="2302" spans="5:7" x14ac:dyDescent="0.3">
      <c r="E2302" s="23"/>
      <c r="G2302" s="23"/>
    </row>
    <row r="2303" spans="5:7" x14ac:dyDescent="0.3">
      <c r="E2303" s="23"/>
      <c r="G2303" s="23"/>
    </row>
    <row r="2304" spans="5:7" x14ac:dyDescent="0.3">
      <c r="E2304" s="23"/>
      <c r="G2304" s="23"/>
    </row>
    <row r="2305" spans="5:7" x14ac:dyDescent="0.3">
      <c r="E2305" s="23"/>
      <c r="G2305" s="23"/>
    </row>
    <row r="2306" spans="5:7" x14ac:dyDescent="0.3">
      <c r="E2306" s="23"/>
      <c r="G2306" s="23"/>
    </row>
    <row r="2307" spans="5:7" x14ac:dyDescent="0.3">
      <c r="E2307" s="23"/>
      <c r="G2307" s="23"/>
    </row>
    <row r="2308" spans="5:7" x14ac:dyDescent="0.3">
      <c r="E2308" s="23"/>
      <c r="G2308" s="23"/>
    </row>
    <row r="2309" spans="5:7" x14ac:dyDescent="0.3">
      <c r="E2309" s="23"/>
      <c r="G2309" s="23"/>
    </row>
    <row r="2310" spans="5:7" x14ac:dyDescent="0.3">
      <c r="E2310" s="23"/>
      <c r="G2310" s="23"/>
    </row>
    <row r="2311" spans="5:7" x14ac:dyDescent="0.3">
      <c r="E2311" s="23"/>
      <c r="G2311" s="23"/>
    </row>
    <row r="2312" spans="5:7" x14ac:dyDescent="0.3">
      <c r="E2312" s="23"/>
      <c r="G2312" s="23"/>
    </row>
    <row r="2313" spans="5:7" x14ac:dyDescent="0.3">
      <c r="E2313" s="23"/>
      <c r="G2313" s="23"/>
    </row>
    <row r="2314" spans="5:7" x14ac:dyDescent="0.3">
      <c r="E2314" s="23"/>
      <c r="G2314" s="23"/>
    </row>
    <row r="2315" spans="5:7" x14ac:dyDescent="0.3">
      <c r="E2315" s="23"/>
      <c r="G2315" s="23"/>
    </row>
    <row r="2316" spans="5:7" x14ac:dyDescent="0.3">
      <c r="E2316" s="23"/>
      <c r="G2316" s="23"/>
    </row>
    <row r="2317" spans="5:7" x14ac:dyDescent="0.3">
      <c r="E2317" s="23"/>
      <c r="G2317" s="23"/>
    </row>
    <row r="2318" spans="5:7" x14ac:dyDescent="0.3">
      <c r="E2318" s="23"/>
      <c r="G2318" s="23"/>
    </row>
    <row r="2319" spans="5:7" x14ac:dyDescent="0.3">
      <c r="E2319" s="23"/>
      <c r="G2319" s="23"/>
    </row>
    <row r="2320" spans="5:7" x14ac:dyDescent="0.3">
      <c r="E2320" s="23"/>
      <c r="G2320" s="23"/>
    </row>
    <row r="2321" spans="5:7" x14ac:dyDescent="0.3">
      <c r="E2321" s="23"/>
      <c r="G2321" s="23"/>
    </row>
    <row r="2322" spans="5:7" x14ac:dyDescent="0.3">
      <c r="E2322" s="23"/>
      <c r="G2322" s="23"/>
    </row>
    <row r="2323" spans="5:7" x14ac:dyDescent="0.3">
      <c r="E2323" s="23"/>
      <c r="G2323" s="23"/>
    </row>
    <row r="2324" spans="5:7" x14ac:dyDescent="0.3">
      <c r="E2324" s="23"/>
      <c r="G2324" s="23"/>
    </row>
    <row r="2325" spans="5:7" x14ac:dyDescent="0.3">
      <c r="E2325" s="23"/>
      <c r="G2325" s="23"/>
    </row>
    <row r="2326" spans="5:7" x14ac:dyDescent="0.3">
      <c r="E2326" s="23"/>
      <c r="G2326" s="23"/>
    </row>
    <row r="2327" spans="5:7" x14ac:dyDescent="0.3">
      <c r="E2327" s="23"/>
      <c r="G2327" s="23"/>
    </row>
    <row r="2328" spans="5:7" x14ac:dyDescent="0.3">
      <c r="E2328" s="23"/>
      <c r="G2328" s="23"/>
    </row>
    <row r="2329" spans="5:7" x14ac:dyDescent="0.3">
      <c r="E2329" s="23"/>
      <c r="G2329" s="23"/>
    </row>
    <row r="2330" spans="5:7" x14ac:dyDescent="0.3">
      <c r="E2330" s="23"/>
      <c r="G2330" s="23"/>
    </row>
    <row r="2331" spans="5:7" x14ac:dyDescent="0.3">
      <c r="E2331" s="23"/>
      <c r="G2331" s="23"/>
    </row>
    <row r="2332" spans="5:7" x14ac:dyDescent="0.3">
      <c r="E2332" s="23"/>
      <c r="G2332" s="23"/>
    </row>
    <row r="2333" spans="5:7" x14ac:dyDescent="0.3">
      <c r="E2333" s="23"/>
      <c r="G2333" s="23"/>
    </row>
    <row r="2334" spans="5:7" x14ac:dyDescent="0.3">
      <c r="E2334" s="23"/>
      <c r="G2334" s="23"/>
    </row>
    <row r="2335" spans="5:7" x14ac:dyDescent="0.3">
      <c r="E2335" s="23"/>
      <c r="G2335" s="23"/>
    </row>
    <row r="2336" spans="5:7" x14ac:dyDescent="0.3">
      <c r="E2336" s="23"/>
      <c r="G2336" s="23"/>
    </row>
    <row r="2337" spans="5:7" x14ac:dyDescent="0.3">
      <c r="E2337" s="23"/>
      <c r="G2337" s="23"/>
    </row>
    <row r="2338" spans="5:7" x14ac:dyDescent="0.3">
      <c r="E2338" s="23"/>
      <c r="G2338" s="23"/>
    </row>
    <row r="2339" spans="5:7" x14ac:dyDescent="0.3">
      <c r="E2339" s="23"/>
      <c r="G2339" s="23"/>
    </row>
    <row r="2340" spans="5:7" x14ac:dyDescent="0.3">
      <c r="E2340" s="23"/>
      <c r="G2340" s="23"/>
    </row>
    <row r="2341" spans="5:7" x14ac:dyDescent="0.3">
      <c r="E2341" s="23"/>
      <c r="G2341" s="23"/>
    </row>
    <row r="2342" spans="5:7" x14ac:dyDescent="0.3">
      <c r="E2342" s="23"/>
      <c r="G2342" s="23"/>
    </row>
    <row r="2343" spans="5:7" x14ac:dyDescent="0.3">
      <c r="E2343" s="23"/>
      <c r="G2343" s="23"/>
    </row>
    <row r="2344" spans="5:7" x14ac:dyDescent="0.3">
      <c r="E2344" s="23"/>
      <c r="G2344" s="23"/>
    </row>
    <row r="2345" spans="5:7" x14ac:dyDescent="0.3">
      <c r="E2345" s="23"/>
      <c r="G2345" s="23"/>
    </row>
    <row r="2346" spans="5:7" x14ac:dyDescent="0.3">
      <c r="E2346" s="23"/>
      <c r="G2346" s="23"/>
    </row>
    <row r="2347" spans="5:7" x14ac:dyDescent="0.3">
      <c r="E2347" s="23"/>
      <c r="G2347" s="23"/>
    </row>
    <row r="2348" spans="5:7" x14ac:dyDescent="0.3">
      <c r="E2348" s="23"/>
      <c r="G2348" s="23"/>
    </row>
    <row r="2349" spans="5:7" x14ac:dyDescent="0.3">
      <c r="E2349" s="23"/>
      <c r="G2349" s="23"/>
    </row>
    <row r="2350" spans="5:7" x14ac:dyDescent="0.3">
      <c r="E2350" s="23"/>
      <c r="G2350" s="23"/>
    </row>
    <row r="2351" spans="5:7" x14ac:dyDescent="0.3">
      <c r="E2351" s="23"/>
      <c r="G2351" s="23"/>
    </row>
    <row r="2352" spans="5:7" x14ac:dyDescent="0.3">
      <c r="E2352" s="23"/>
      <c r="G2352" s="23"/>
    </row>
    <row r="2353" spans="5:7" x14ac:dyDescent="0.3">
      <c r="E2353" s="23"/>
      <c r="G2353" s="23"/>
    </row>
    <row r="2354" spans="5:7" x14ac:dyDescent="0.3">
      <c r="E2354" s="23"/>
      <c r="G2354" s="23"/>
    </row>
    <row r="2355" spans="5:7" x14ac:dyDescent="0.3">
      <c r="E2355" s="23"/>
      <c r="G2355" s="23"/>
    </row>
    <row r="2356" spans="5:7" x14ac:dyDescent="0.3">
      <c r="E2356" s="23"/>
      <c r="G2356" s="23"/>
    </row>
    <row r="2357" spans="5:7" x14ac:dyDescent="0.3">
      <c r="E2357" s="23"/>
      <c r="G2357" s="23"/>
    </row>
    <row r="2358" spans="5:7" x14ac:dyDescent="0.3">
      <c r="E2358" s="23"/>
      <c r="G2358" s="23"/>
    </row>
    <row r="2359" spans="5:7" x14ac:dyDescent="0.3">
      <c r="E2359" s="23"/>
      <c r="G2359" s="23"/>
    </row>
    <row r="2360" spans="5:7" x14ac:dyDescent="0.3">
      <c r="E2360" s="23"/>
      <c r="G2360" s="23"/>
    </row>
    <row r="2361" spans="5:7" x14ac:dyDescent="0.3">
      <c r="E2361" s="23"/>
      <c r="G2361" s="23"/>
    </row>
    <row r="2362" spans="5:7" x14ac:dyDescent="0.3">
      <c r="E2362" s="23"/>
      <c r="G2362" s="23"/>
    </row>
    <row r="2363" spans="5:7" x14ac:dyDescent="0.3">
      <c r="E2363" s="23"/>
      <c r="G2363" s="23"/>
    </row>
    <row r="2364" spans="5:7" x14ac:dyDescent="0.3">
      <c r="E2364" s="23"/>
      <c r="G2364" s="23"/>
    </row>
    <row r="2365" spans="5:7" x14ac:dyDescent="0.3">
      <c r="E2365" s="23"/>
      <c r="G2365" s="23"/>
    </row>
    <row r="2366" spans="5:7" x14ac:dyDescent="0.3">
      <c r="E2366" s="23"/>
      <c r="G2366" s="23"/>
    </row>
    <row r="2367" spans="5:7" x14ac:dyDescent="0.3">
      <c r="E2367" s="23"/>
      <c r="G2367" s="23"/>
    </row>
    <row r="2368" spans="5:7" x14ac:dyDescent="0.3">
      <c r="E2368" s="23"/>
      <c r="G2368" s="23"/>
    </row>
    <row r="2369" spans="5:7" x14ac:dyDescent="0.3">
      <c r="E2369" s="23"/>
      <c r="G2369" s="23"/>
    </row>
    <row r="2370" spans="5:7" x14ac:dyDescent="0.3">
      <c r="E2370" s="23"/>
      <c r="G2370" s="23"/>
    </row>
    <row r="2371" spans="5:7" x14ac:dyDescent="0.3">
      <c r="E2371" s="23"/>
      <c r="G2371" s="23"/>
    </row>
    <row r="2372" spans="5:7" x14ac:dyDescent="0.3">
      <c r="E2372" s="23"/>
      <c r="G2372" s="23"/>
    </row>
    <row r="2373" spans="5:7" x14ac:dyDescent="0.3">
      <c r="E2373" s="23"/>
      <c r="G2373" s="23"/>
    </row>
    <row r="2374" spans="5:7" x14ac:dyDescent="0.3">
      <c r="E2374" s="23"/>
      <c r="G2374" s="23"/>
    </row>
    <row r="2375" spans="5:7" x14ac:dyDescent="0.3">
      <c r="E2375" s="23"/>
      <c r="G2375" s="23"/>
    </row>
    <row r="2376" spans="5:7" x14ac:dyDescent="0.3">
      <c r="E2376" s="23"/>
      <c r="G2376" s="23"/>
    </row>
    <row r="2377" spans="5:7" x14ac:dyDescent="0.3">
      <c r="E2377" s="23"/>
      <c r="G2377" s="23"/>
    </row>
    <row r="2378" spans="5:7" x14ac:dyDescent="0.3">
      <c r="E2378" s="23"/>
      <c r="G2378" s="23"/>
    </row>
    <row r="2379" spans="5:7" x14ac:dyDescent="0.3">
      <c r="E2379" s="23"/>
      <c r="G2379" s="23"/>
    </row>
    <row r="2380" spans="5:7" x14ac:dyDescent="0.3">
      <c r="E2380" s="23"/>
      <c r="G2380" s="23"/>
    </row>
    <row r="2381" spans="5:7" x14ac:dyDescent="0.3">
      <c r="E2381" s="23"/>
      <c r="G2381" s="23"/>
    </row>
    <row r="2382" spans="5:7" x14ac:dyDescent="0.3">
      <c r="E2382" s="23"/>
      <c r="G2382" s="23"/>
    </row>
    <row r="2383" spans="5:7" x14ac:dyDescent="0.3">
      <c r="E2383" s="23"/>
      <c r="G2383" s="23"/>
    </row>
    <row r="2384" spans="5:7" x14ac:dyDescent="0.3">
      <c r="E2384" s="23"/>
      <c r="G2384" s="23"/>
    </row>
    <row r="2385" spans="5:7" x14ac:dyDescent="0.3">
      <c r="E2385" s="23"/>
      <c r="G2385" s="23"/>
    </row>
    <row r="2386" spans="5:7" x14ac:dyDescent="0.3">
      <c r="E2386" s="23"/>
      <c r="G2386" s="23"/>
    </row>
    <row r="2387" spans="5:7" x14ac:dyDescent="0.3">
      <c r="E2387" s="23"/>
      <c r="G2387" s="23"/>
    </row>
    <row r="2388" spans="5:7" x14ac:dyDescent="0.3">
      <c r="E2388" s="23"/>
      <c r="G2388" s="23"/>
    </row>
    <row r="2389" spans="5:7" x14ac:dyDescent="0.3">
      <c r="E2389" s="23"/>
      <c r="G2389" s="23"/>
    </row>
    <row r="2390" spans="5:7" x14ac:dyDescent="0.3">
      <c r="E2390" s="23"/>
      <c r="G2390" s="23"/>
    </row>
    <row r="2391" spans="5:7" x14ac:dyDescent="0.3">
      <c r="E2391" s="23"/>
      <c r="G2391" s="23"/>
    </row>
    <row r="2392" spans="5:7" x14ac:dyDescent="0.3">
      <c r="E2392" s="23"/>
      <c r="G2392" s="23"/>
    </row>
    <row r="2393" spans="5:7" x14ac:dyDescent="0.3">
      <c r="E2393" s="23"/>
      <c r="G2393" s="23"/>
    </row>
    <row r="2394" spans="5:7" x14ac:dyDescent="0.3">
      <c r="E2394" s="23"/>
      <c r="G2394" s="23"/>
    </row>
    <row r="2395" spans="5:7" x14ac:dyDescent="0.3">
      <c r="E2395" s="23"/>
      <c r="G2395" s="23"/>
    </row>
    <row r="2396" spans="5:7" x14ac:dyDescent="0.3">
      <c r="E2396" s="23"/>
      <c r="G2396" s="23"/>
    </row>
    <row r="2397" spans="5:7" x14ac:dyDescent="0.3">
      <c r="E2397" s="23"/>
      <c r="G2397" s="23"/>
    </row>
    <row r="2398" spans="5:7" x14ac:dyDescent="0.3">
      <c r="E2398" s="23"/>
      <c r="G2398" s="23"/>
    </row>
    <row r="2399" spans="5:7" x14ac:dyDescent="0.3">
      <c r="E2399" s="23"/>
      <c r="G2399" s="23"/>
    </row>
    <row r="2400" spans="5:7" x14ac:dyDescent="0.3">
      <c r="E2400" s="23"/>
      <c r="G2400" s="23"/>
    </row>
    <row r="2401" spans="5:7" x14ac:dyDescent="0.3">
      <c r="E2401" s="23"/>
      <c r="G2401" s="23"/>
    </row>
    <row r="2402" spans="5:7" x14ac:dyDescent="0.3">
      <c r="E2402" s="23"/>
      <c r="G2402" s="23"/>
    </row>
    <row r="2403" spans="5:7" x14ac:dyDescent="0.3">
      <c r="E2403" s="23"/>
      <c r="G2403" s="23"/>
    </row>
    <row r="2404" spans="5:7" x14ac:dyDescent="0.3">
      <c r="E2404" s="23"/>
      <c r="G2404" s="23"/>
    </row>
    <row r="2405" spans="5:7" x14ac:dyDescent="0.3">
      <c r="E2405" s="23"/>
      <c r="G2405" s="23"/>
    </row>
    <row r="2406" spans="5:7" x14ac:dyDescent="0.3">
      <c r="E2406" s="23"/>
      <c r="G2406" s="23"/>
    </row>
    <row r="2407" spans="5:7" x14ac:dyDescent="0.3">
      <c r="E2407" s="23"/>
      <c r="G2407" s="23"/>
    </row>
    <row r="2408" spans="5:7" x14ac:dyDescent="0.3">
      <c r="E2408" s="23"/>
      <c r="G2408" s="23"/>
    </row>
    <row r="2409" spans="5:7" x14ac:dyDescent="0.3">
      <c r="E2409" s="23"/>
      <c r="G2409" s="23"/>
    </row>
    <row r="2410" spans="5:7" x14ac:dyDescent="0.3">
      <c r="E2410" s="23"/>
      <c r="G2410" s="23"/>
    </row>
    <row r="2411" spans="5:7" x14ac:dyDescent="0.3">
      <c r="E2411" s="23"/>
      <c r="G2411" s="23"/>
    </row>
    <row r="2412" spans="5:7" x14ac:dyDescent="0.3">
      <c r="E2412" s="23"/>
      <c r="G2412" s="23"/>
    </row>
    <row r="2413" spans="5:7" x14ac:dyDescent="0.3">
      <c r="E2413" s="23"/>
      <c r="G2413" s="23"/>
    </row>
    <row r="2414" spans="5:7" x14ac:dyDescent="0.3">
      <c r="E2414" s="23"/>
      <c r="G2414" s="23"/>
    </row>
    <row r="2415" spans="5:7" x14ac:dyDescent="0.3">
      <c r="E2415" s="23"/>
      <c r="G2415" s="23"/>
    </row>
    <row r="2416" spans="5:7" x14ac:dyDescent="0.3">
      <c r="E2416" s="23"/>
      <c r="G2416" s="23"/>
    </row>
    <row r="2417" spans="5:7" x14ac:dyDescent="0.3">
      <c r="E2417" s="23"/>
      <c r="G2417" s="23"/>
    </row>
    <row r="2418" spans="5:7" x14ac:dyDescent="0.3">
      <c r="E2418" s="23"/>
      <c r="G2418" s="23"/>
    </row>
    <row r="2419" spans="5:7" x14ac:dyDescent="0.3">
      <c r="E2419" s="23"/>
      <c r="G2419" s="23"/>
    </row>
    <row r="2420" spans="5:7" x14ac:dyDescent="0.3">
      <c r="E2420" s="23"/>
      <c r="G2420" s="23"/>
    </row>
    <row r="2421" spans="5:7" x14ac:dyDescent="0.3">
      <c r="E2421" s="23"/>
      <c r="G2421" s="23"/>
    </row>
    <row r="2422" spans="5:7" x14ac:dyDescent="0.3">
      <c r="E2422" s="23"/>
      <c r="G2422" s="23"/>
    </row>
    <row r="2423" spans="5:7" x14ac:dyDescent="0.3">
      <c r="E2423" s="23"/>
      <c r="G2423" s="23"/>
    </row>
    <row r="2424" spans="5:7" x14ac:dyDescent="0.3">
      <c r="E2424" s="23"/>
      <c r="G2424" s="23"/>
    </row>
    <row r="2425" spans="5:7" x14ac:dyDescent="0.3">
      <c r="E2425" s="23"/>
      <c r="G2425" s="23"/>
    </row>
    <row r="2426" spans="5:7" x14ac:dyDescent="0.3">
      <c r="E2426" s="23"/>
      <c r="G2426" s="23"/>
    </row>
    <row r="2427" spans="5:7" x14ac:dyDescent="0.3">
      <c r="E2427" s="23"/>
      <c r="G2427" s="23"/>
    </row>
    <row r="2428" spans="5:7" x14ac:dyDescent="0.3">
      <c r="E2428" s="23"/>
      <c r="G2428" s="23"/>
    </row>
    <row r="2429" spans="5:7" x14ac:dyDescent="0.3">
      <c r="E2429" s="23"/>
      <c r="G2429" s="23"/>
    </row>
    <row r="2430" spans="5:7" x14ac:dyDescent="0.3">
      <c r="E2430" s="23"/>
      <c r="G2430" s="23"/>
    </row>
    <row r="2431" spans="5:7" x14ac:dyDescent="0.3">
      <c r="E2431" s="23"/>
      <c r="G2431" s="23"/>
    </row>
    <row r="2432" spans="5:7" x14ac:dyDescent="0.3">
      <c r="E2432" s="23"/>
      <c r="G2432" s="23"/>
    </row>
    <row r="2433" spans="5:7" x14ac:dyDescent="0.3">
      <c r="E2433" s="23"/>
      <c r="G2433" s="23"/>
    </row>
    <row r="2434" spans="5:7" x14ac:dyDescent="0.3">
      <c r="E2434" s="23"/>
      <c r="G2434" s="23"/>
    </row>
    <row r="2435" spans="5:7" x14ac:dyDescent="0.3">
      <c r="E2435" s="23"/>
      <c r="G2435" s="23"/>
    </row>
    <row r="2436" spans="5:7" x14ac:dyDescent="0.3">
      <c r="E2436" s="23"/>
      <c r="G2436" s="23"/>
    </row>
    <row r="2437" spans="5:7" x14ac:dyDescent="0.3">
      <c r="E2437" s="23"/>
      <c r="G2437" s="23"/>
    </row>
    <row r="2438" spans="5:7" x14ac:dyDescent="0.3">
      <c r="E2438" s="23"/>
      <c r="G2438" s="23"/>
    </row>
    <row r="2439" spans="5:7" x14ac:dyDescent="0.3">
      <c r="E2439" s="23"/>
      <c r="G2439" s="23"/>
    </row>
    <row r="2440" spans="5:7" x14ac:dyDescent="0.3">
      <c r="E2440" s="23"/>
      <c r="G2440" s="23"/>
    </row>
    <row r="2441" spans="5:7" x14ac:dyDescent="0.3">
      <c r="E2441" s="23"/>
      <c r="G2441" s="23"/>
    </row>
    <row r="2442" spans="5:7" x14ac:dyDescent="0.3">
      <c r="E2442" s="23"/>
      <c r="G2442" s="23"/>
    </row>
    <row r="2443" spans="5:7" x14ac:dyDescent="0.3">
      <c r="E2443" s="23"/>
      <c r="G2443" s="23"/>
    </row>
    <row r="2444" spans="5:7" x14ac:dyDescent="0.3">
      <c r="E2444" s="23"/>
      <c r="G2444" s="23"/>
    </row>
    <row r="2445" spans="5:7" x14ac:dyDescent="0.3">
      <c r="E2445" s="23"/>
      <c r="G2445" s="23"/>
    </row>
    <row r="2446" spans="5:7" x14ac:dyDescent="0.3">
      <c r="E2446" s="23"/>
      <c r="G2446" s="23"/>
    </row>
    <row r="2447" spans="5:7" x14ac:dyDescent="0.3">
      <c r="E2447" s="23"/>
      <c r="G2447" s="23"/>
    </row>
    <row r="2448" spans="5:7" x14ac:dyDescent="0.3">
      <c r="E2448" s="23"/>
      <c r="G2448" s="23"/>
    </row>
    <row r="2449" spans="5:7" x14ac:dyDescent="0.3">
      <c r="E2449" s="23"/>
      <c r="G2449" s="23"/>
    </row>
    <row r="2450" spans="5:7" x14ac:dyDescent="0.3">
      <c r="E2450" s="23"/>
      <c r="G2450" s="23"/>
    </row>
    <row r="2451" spans="5:7" x14ac:dyDescent="0.3">
      <c r="E2451" s="23"/>
      <c r="G2451" s="23"/>
    </row>
    <row r="2452" spans="5:7" x14ac:dyDescent="0.3">
      <c r="E2452" s="23"/>
      <c r="G2452" s="23"/>
    </row>
    <row r="2453" spans="5:7" x14ac:dyDescent="0.3">
      <c r="E2453" s="23"/>
      <c r="G2453" s="23"/>
    </row>
    <row r="2454" spans="5:7" x14ac:dyDescent="0.3">
      <c r="E2454" s="23"/>
      <c r="G2454" s="23"/>
    </row>
    <row r="2455" spans="5:7" x14ac:dyDescent="0.3">
      <c r="E2455" s="23"/>
      <c r="G2455" s="23"/>
    </row>
    <row r="2456" spans="5:7" x14ac:dyDescent="0.3">
      <c r="E2456" s="23"/>
      <c r="G2456" s="23"/>
    </row>
    <row r="2457" spans="5:7" x14ac:dyDescent="0.3">
      <c r="E2457" s="23"/>
      <c r="G2457" s="23"/>
    </row>
    <row r="2458" spans="5:7" x14ac:dyDescent="0.3">
      <c r="E2458" s="23"/>
      <c r="G2458" s="23"/>
    </row>
    <row r="2459" spans="5:7" x14ac:dyDescent="0.3">
      <c r="E2459" s="23"/>
      <c r="G2459" s="23"/>
    </row>
    <row r="2460" spans="5:7" x14ac:dyDescent="0.3">
      <c r="E2460" s="23"/>
      <c r="G2460" s="23"/>
    </row>
    <row r="2461" spans="5:7" x14ac:dyDescent="0.3">
      <c r="E2461" s="23"/>
      <c r="G2461" s="23"/>
    </row>
    <row r="2462" spans="5:7" x14ac:dyDescent="0.3">
      <c r="E2462" s="23"/>
      <c r="G2462" s="23"/>
    </row>
    <row r="2463" spans="5:7" x14ac:dyDescent="0.3">
      <c r="E2463" s="23"/>
      <c r="G2463" s="23"/>
    </row>
    <row r="2464" spans="5:7" x14ac:dyDescent="0.3">
      <c r="E2464" s="23"/>
      <c r="G2464" s="23"/>
    </row>
    <row r="2465" spans="5:7" x14ac:dyDescent="0.3">
      <c r="E2465" s="23"/>
      <c r="G2465" s="23"/>
    </row>
    <row r="2466" spans="5:7" x14ac:dyDescent="0.3">
      <c r="E2466" s="23"/>
      <c r="G2466" s="23"/>
    </row>
    <row r="2467" spans="5:7" x14ac:dyDescent="0.3">
      <c r="E2467" s="23"/>
      <c r="G2467" s="23"/>
    </row>
    <row r="2468" spans="5:7" x14ac:dyDescent="0.3">
      <c r="E2468" s="23"/>
      <c r="G2468" s="23"/>
    </row>
    <row r="2469" spans="5:7" x14ac:dyDescent="0.3">
      <c r="E2469" s="23"/>
      <c r="G2469" s="23"/>
    </row>
    <row r="2470" spans="5:7" x14ac:dyDescent="0.3">
      <c r="E2470" s="23"/>
      <c r="G2470" s="23"/>
    </row>
    <row r="2471" spans="5:7" x14ac:dyDescent="0.3">
      <c r="E2471" s="23"/>
      <c r="G2471" s="23"/>
    </row>
    <row r="2472" spans="5:7" x14ac:dyDescent="0.3">
      <c r="E2472" s="23"/>
      <c r="G2472" s="23"/>
    </row>
    <row r="2473" spans="5:7" x14ac:dyDescent="0.3">
      <c r="E2473" s="23"/>
      <c r="G2473" s="23"/>
    </row>
    <row r="2474" spans="5:7" x14ac:dyDescent="0.3">
      <c r="E2474" s="23"/>
      <c r="G2474" s="23"/>
    </row>
    <row r="2475" spans="5:7" x14ac:dyDescent="0.3">
      <c r="E2475" s="23"/>
      <c r="G2475" s="23"/>
    </row>
    <row r="2476" spans="5:7" x14ac:dyDescent="0.3">
      <c r="E2476" s="23"/>
      <c r="G2476" s="23"/>
    </row>
    <row r="2477" spans="5:7" x14ac:dyDescent="0.3">
      <c r="E2477" s="23"/>
      <c r="G2477" s="23"/>
    </row>
    <row r="2478" spans="5:7" x14ac:dyDescent="0.3">
      <c r="E2478" s="23"/>
      <c r="G2478" s="23"/>
    </row>
    <row r="2479" spans="5:7" x14ac:dyDescent="0.3">
      <c r="E2479" s="23"/>
      <c r="G2479" s="23"/>
    </row>
    <row r="2480" spans="5:7" x14ac:dyDescent="0.3">
      <c r="E2480" s="23"/>
      <c r="G2480" s="23"/>
    </row>
    <row r="2481" spans="5:7" x14ac:dyDescent="0.3">
      <c r="E2481" s="23"/>
      <c r="G2481" s="23"/>
    </row>
    <row r="2482" spans="5:7" x14ac:dyDescent="0.3">
      <c r="E2482" s="23"/>
      <c r="G2482" s="23"/>
    </row>
    <row r="2483" spans="5:7" x14ac:dyDescent="0.3">
      <c r="E2483" s="23"/>
      <c r="G2483" s="23"/>
    </row>
    <row r="2484" spans="5:7" x14ac:dyDescent="0.3">
      <c r="E2484" s="23"/>
      <c r="G2484" s="23"/>
    </row>
    <row r="2485" spans="5:7" x14ac:dyDescent="0.3">
      <c r="E2485" s="23"/>
      <c r="G2485" s="23"/>
    </row>
    <row r="2486" spans="5:7" x14ac:dyDescent="0.3">
      <c r="E2486" s="23"/>
      <c r="G2486" s="23"/>
    </row>
    <row r="2487" spans="5:7" x14ac:dyDescent="0.3">
      <c r="E2487" s="23"/>
      <c r="G2487" s="23"/>
    </row>
    <row r="2488" spans="5:7" x14ac:dyDescent="0.3">
      <c r="E2488" s="23"/>
      <c r="G2488" s="23"/>
    </row>
    <row r="2489" spans="5:7" x14ac:dyDescent="0.3">
      <c r="E2489" s="23"/>
      <c r="G2489" s="23"/>
    </row>
    <row r="2490" spans="5:7" x14ac:dyDescent="0.3">
      <c r="E2490" s="23"/>
      <c r="G2490" s="23"/>
    </row>
    <row r="2491" spans="5:7" x14ac:dyDescent="0.3">
      <c r="E2491" s="23"/>
      <c r="G2491" s="23"/>
    </row>
    <row r="2492" spans="5:7" x14ac:dyDescent="0.3">
      <c r="E2492" s="23"/>
      <c r="G2492" s="23"/>
    </row>
    <row r="2493" spans="5:7" x14ac:dyDescent="0.3">
      <c r="E2493" s="23"/>
      <c r="G2493" s="23"/>
    </row>
    <row r="2494" spans="5:7" x14ac:dyDescent="0.3">
      <c r="E2494" s="23"/>
      <c r="G2494" s="23"/>
    </row>
    <row r="2495" spans="5:7" x14ac:dyDescent="0.3">
      <c r="E2495" s="23"/>
      <c r="G2495" s="23"/>
    </row>
    <row r="2496" spans="5:7" x14ac:dyDescent="0.3">
      <c r="E2496" s="23"/>
      <c r="G2496" s="23"/>
    </row>
    <row r="2497" spans="5:7" x14ac:dyDescent="0.3">
      <c r="E2497" s="23"/>
      <c r="G2497" s="23"/>
    </row>
    <row r="2498" spans="5:7" x14ac:dyDescent="0.3">
      <c r="E2498" s="23"/>
      <c r="G2498" s="23"/>
    </row>
    <row r="2499" spans="5:7" x14ac:dyDescent="0.3">
      <c r="E2499" s="23"/>
      <c r="G2499" s="23"/>
    </row>
    <row r="2500" spans="5:7" x14ac:dyDescent="0.3">
      <c r="E2500" s="23"/>
      <c r="G2500" s="23"/>
    </row>
    <row r="2501" spans="5:7" x14ac:dyDescent="0.3">
      <c r="E2501" s="23"/>
      <c r="G2501" s="23"/>
    </row>
    <row r="2502" spans="5:7" x14ac:dyDescent="0.3">
      <c r="E2502" s="23"/>
      <c r="G2502" s="23"/>
    </row>
    <row r="2503" spans="5:7" x14ac:dyDescent="0.3">
      <c r="E2503" s="23"/>
      <c r="G2503" s="23"/>
    </row>
    <row r="2504" spans="5:7" x14ac:dyDescent="0.3">
      <c r="E2504" s="23"/>
      <c r="G2504" s="23"/>
    </row>
    <row r="2505" spans="5:7" x14ac:dyDescent="0.3">
      <c r="E2505" s="23"/>
      <c r="G2505" s="23"/>
    </row>
    <row r="2506" spans="5:7" x14ac:dyDescent="0.3">
      <c r="E2506" s="23"/>
      <c r="G2506" s="23"/>
    </row>
    <row r="2507" spans="5:7" x14ac:dyDescent="0.3">
      <c r="E2507" s="23"/>
      <c r="G2507" s="23"/>
    </row>
    <row r="2508" spans="5:7" x14ac:dyDescent="0.3">
      <c r="E2508" s="23"/>
      <c r="G2508" s="23"/>
    </row>
    <row r="2509" spans="5:7" x14ac:dyDescent="0.3">
      <c r="E2509" s="23"/>
      <c r="G2509" s="23"/>
    </row>
    <row r="2510" spans="5:7" x14ac:dyDescent="0.3">
      <c r="E2510" s="23"/>
      <c r="G2510" s="23"/>
    </row>
    <row r="2511" spans="5:7" x14ac:dyDescent="0.3">
      <c r="E2511" s="23"/>
      <c r="G2511" s="23"/>
    </row>
    <row r="2512" spans="5:7" x14ac:dyDescent="0.3">
      <c r="E2512" s="23"/>
      <c r="G2512" s="23"/>
    </row>
    <row r="2513" spans="5:7" x14ac:dyDescent="0.3">
      <c r="E2513" s="23"/>
      <c r="G2513" s="23"/>
    </row>
    <row r="2514" spans="5:7" x14ac:dyDescent="0.3">
      <c r="E2514" s="23"/>
      <c r="G2514" s="23"/>
    </row>
    <row r="2515" spans="5:7" x14ac:dyDescent="0.3">
      <c r="E2515" s="23"/>
      <c r="G2515" s="23"/>
    </row>
    <row r="2516" spans="5:7" x14ac:dyDescent="0.3">
      <c r="E2516" s="23"/>
      <c r="G2516" s="23"/>
    </row>
    <row r="2517" spans="5:7" x14ac:dyDescent="0.3">
      <c r="E2517" s="23"/>
      <c r="G2517" s="23"/>
    </row>
    <row r="2518" spans="5:7" x14ac:dyDescent="0.3">
      <c r="E2518" s="23"/>
      <c r="G2518" s="23"/>
    </row>
    <row r="2519" spans="5:7" x14ac:dyDescent="0.3">
      <c r="E2519" s="23"/>
      <c r="G2519" s="23"/>
    </row>
    <row r="2520" spans="5:7" x14ac:dyDescent="0.3">
      <c r="E2520" s="23"/>
      <c r="G2520" s="23"/>
    </row>
    <row r="2521" spans="5:7" x14ac:dyDescent="0.3">
      <c r="E2521" s="23"/>
      <c r="G2521" s="23"/>
    </row>
    <row r="2522" spans="5:7" x14ac:dyDescent="0.3">
      <c r="E2522" s="23"/>
      <c r="G2522" s="23"/>
    </row>
    <row r="2523" spans="5:7" x14ac:dyDescent="0.3">
      <c r="E2523" s="23"/>
      <c r="G2523" s="23"/>
    </row>
    <row r="2524" spans="5:7" x14ac:dyDescent="0.3">
      <c r="E2524" s="23"/>
      <c r="G2524" s="23"/>
    </row>
    <row r="2525" spans="5:7" x14ac:dyDescent="0.3">
      <c r="E2525" s="23"/>
      <c r="G2525" s="23"/>
    </row>
    <row r="2526" spans="5:7" x14ac:dyDescent="0.3">
      <c r="E2526" s="23"/>
      <c r="G2526" s="23"/>
    </row>
    <row r="2527" spans="5:7" x14ac:dyDescent="0.3">
      <c r="E2527" s="23"/>
      <c r="G2527" s="23"/>
    </row>
    <row r="2528" spans="5:7" x14ac:dyDescent="0.3">
      <c r="E2528" s="23"/>
      <c r="G2528" s="23"/>
    </row>
    <row r="2529" spans="5:7" x14ac:dyDescent="0.3">
      <c r="E2529" s="23"/>
      <c r="G2529" s="23"/>
    </row>
    <row r="2530" spans="5:7" x14ac:dyDescent="0.3">
      <c r="E2530" s="23"/>
      <c r="G2530" s="23"/>
    </row>
    <row r="2531" spans="5:7" x14ac:dyDescent="0.3">
      <c r="E2531" s="23"/>
      <c r="G2531" s="23"/>
    </row>
    <row r="2532" spans="5:7" x14ac:dyDescent="0.3">
      <c r="E2532" s="23"/>
      <c r="G2532" s="23"/>
    </row>
    <row r="2533" spans="5:7" x14ac:dyDescent="0.3">
      <c r="E2533" s="23"/>
      <c r="G2533" s="23"/>
    </row>
    <row r="2534" spans="5:7" x14ac:dyDescent="0.3">
      <c r="E2534" s="23"/>
      <c r="G2534" s="23"/>
    </row>
    <row r="2535" spans="5:7" x14ac:dyDescent="0.3">
      <c r="E2535" s="23"/>
      <c r="G2535" s="23"/>
    </row>
    <row r="2536" spans="5:7" x14ac:dyDescent="0.3">
      <c r="E2536" s="23"/>
      <c r="G2536" s="23"/>
    </row>
    <row r="2537" spans="5:7" x14ac:dyDescent="0.3">
      <c r="E2537" s="23"/>
      <c r="G2537" s="23"/>
    </row>
    <row r="2538" spans="5:7" x14ac:dyDescent="0.3">
      <c r="E2538" s="23"/>
      <c r="G2538" s="23"/>
    </row>
    <row r="2539" spans="5:7" x14ac:dyDescent="0.3">
      <c r="E2539" s="23"/>
      <c r="G2539" s="23"/>
    </row>
    <row r="2540" spans="5:7" x14ac:dyDescent="0.3">
      <c r="E2540" s="23"/>
      <c r="G2540" s="23"/>
    </row>
    <row r="2541" spans="5:7" x14ac:dyDescent="0.3">
      <c r="E2541" s="23"/>
      <c r="G2541" s="23"/>
    </row>
    <row r="2542" spans="5:7" x14ac:dyDescent="0.3">
      <c r="E2542" s="23"/>
      <c r="G2542" s="23"/>
    </row>
    <row r="2543" spans="5:7" x14ac:dyDescent="0.3">
      <c r="E2543" s="23"/>
      <c r="G2543" s="23"/>
    </row>
    <row r="2544" spans="5:7" x14ac:dyDescent="0.3">
      <c r="E2544" s="23"/>
      <c r="G2544" s="23"/>
    </row>
    <row r="2545" spans="5:7" x14ac:dyDescent="0.3">
      <c r="E2545" s="23"/>
      <c r="G2545" s="23"/>
    </row>
    <row r="2546" spans="5:7" x14ac:dyDescent="0.3">
      <c r="E2546" s="23"/>
      <c r="G2546" s="23"/>
    </row>
    <row r="2547" spans="5:7" x14ac:dyDescent="0.3">
      <c r="E2547" s="23"/>
      <c r="G2547" s="23"/>
    </row>
    <row r="2548" spans="5:7" x14ac:dyDescent="0.3">
      <c r="E2548" s="23"/>
      <c r="G2548" s="23"/>
    </row>
    <row r="2549" spans="5:7" x14ac:dyDescent="0.3">
      <c r="E2549" s="23"/>
      <c r="G2549" s="23"/>
    </row>
    <row r="2550" spans="5:7" x14ac:dyDescent="0.3">
      <c r="E2550" s="23"/>
      <c r="G2550" s="23"/>
    </row>
    <row r="2551" spans="5:7" x14ac:dyDescent="0.3">
      <c r="E2551" s="23"/>
      <c r="G2551" s="23"/>
    </row>
    <row r="2552" spans="5:7" x14ac:dyDescent="0.3">
      <c r="E2552" s="23"/>
      <c r="G2552" s="23"/>
    </row>
    <row r="2553" spans="5:7" x14ac:dyDescent="0.3">
      <c r="E2553" s="23"/>
      <c r="G2553" s="23"/>
    </row>
    <row r="2554" spans="5:7" x14ac:dyDescent="0.3">
      <c r="E2554" s="23"/>
      <c r="G2554" s="23"/>
    </row>
    <row r="2555" spans="5:7" x14ac:dyDescent="0.3">
      <c r="E2555" s="23"/>
      <c r="G2555" s="23"/>
    </row>
    <row r="2556" spans="5:7" x14ac:dyDescent="0.3">
      <c r="E2556" s="23"/>
      <c r="G2556" s="23"/>
    </row>
    <row r="2557" spans="5:7" x14ac:dyDescent="0.3">
      <c r="E2557" s="23"/>
      <c r="G2557" s="23"/>
    </row>
    <row r="2558" spans="5:7" x14ac:dyDescent="0.3">
      <c r="E2558" s="23"/>
      <c r="G2558" s="23"/>
    </row>
    <row r="2559" spans="5:7" x14ac:dyDescent="0.3">
      <c r="E2559" s="23"/>
      <c r="G2559" s="23"/>
    </row>
    <row r="2560" spans="5:7" x14ac:dyDescent="0.3">
      <c r="E2560" s="23"/>
      <c r="G2560" s="23"/>
    </row>
    <row r="2561" spans="5:7" x14ac:dyDescent="0.3">
      <c r="E2561" s="23"/>
      <c r="G2561" s="23"/>
    </row>
    <row r="2562" spans="5:7" x14ac:dyDescent="0.3">
      <c r="E2562" s="23"/>
      <c r="G2562" s="23"/>
    </row>
    <row r="2563" spans="5:7" x14ac:dyDescent="0.3">
      <c r="E2563" s="23"/>
      <c r="G2563" s="23"/>
    </row>
    <row r="2564" spans="5:7" x14ac:dyDescent="0.3">
      <c r="E2564" s="23"/>
      <c r="G2564" s="23"/>
    </row>
    <row r="2565" spans="5:7" x14ac:dyDescent="0.3">
      <c r="E2565" s="23"/>
      <c r="G2565" s="23"/>
    </row>
    <row r="2566" spans="5:7" x14ac:dyDescent="0.3">
      <c r="E2566" s="23"/>
      <c r="G2566" s="23"/>
    </row>
    <row r="2567" spans="5:7" x14ac:dyDescent="0.3">
      <c r="E2567" s="23"/>
      <c r="G2567" s="23"/>
    </row>
    <row r="2568" spans="5:7" x14ac:dyDescent="0.3">
      <c r="E2568" s="23"/>
      <c r="G2568" s="23"/>
    </row>
    <row r="2569" spans="5:7" x14ac:dyDescent="0.3">
      <c r="E2569" s="23"/>
      <c r="G2569" s="23"/>
    </row>
    <row r="2570" spans="5:7" x14ac:dyDescent="0.3">
      <c r="E2570" s="23"/>
      <c r="G2570" s="23"/>
    </row>
    <row r="2571" spans="5:7" x14ac:dyDescent="0.3">
      <c r="E2571" s="23"/>
      <c r="G2571" s="23"/>
    </row>
    <row r="2572" spans="5:7" x14ac:dyDescent="0.3">
      <c r="E2572" s="23"/>
      <c r="G2572" s="23"/>
    </row>
    <row r="2573" spans="5:7" x14ac:dyDescent="0.3">
      <c r="E2573" s="23"/>
      <c r="G2573" s="23"/>
    </row>
    <row r="2574" spans="5:7" x14ac:dyDescent="0.3">
      <c r="E2574" s="23"/>
      <c r="G2574" s="23"/>
    </row>
    <row r="2575" spans="5:7" x14ac:dyDescent="0.3">
      <c r="E2575" s="23"/>
      <c r="G2575" s="23"/>
    </row>
    <row r="2576" spans="5:7" x14ac:dyDescent="0.3">
      <c r="E2576" s="23"/>
      <c r="G2576" s="23"/>
    </row>
    <row r="2577" spans="5:7" x14ac:dyDescent="0.3">
      <c r="E2577" s="23"/>
      <c r="G2577" s="23"/>
    </row>
    <row r="2578" spans="5:7" x14ac:dyDescent="0.3">
      <c r="E2578" s="23"/>
      <c r="G2578" s="23"/>
    </row>
    <row r="2579" spans="5:7" x14ac:dyDescent="0.3">
      <c r="E2579" s="23"/>
      <c r="G2579" s="23"/>
    </row>
    <row r="2580" spans="5:7" x14ac:dyDescent="0.3">
      <c r="E2580" s="23"/>
      <c r="G2580" s="23"/>
    </row>
    <row r="2581" spans="5:7" x14ac:dyDescent="0.3">
      <c r="E2581" s="23"/>
      <c r="G2581" s="23"/>
    </row>
    <row r="2582" spans="5:7" x14ac:dyDescent="0.3">
      <c r="E2582" s="23"/>
      <c r="G2582" s="23"/>
    </row>
    <row r="2583" spans="5:7" x14ac:dyDescent="0.3">
      <c r="E2583" s="23"/>
      <c r="G2583" s="23"/>
    </row>
    <row r="2584" spans="5:7" x14ac:dyDescent="0.3">
      <c r="E2584" s="23"/>
      <c r="G2584" s="23"/>
    </row>
    <row r="2585" spans="5:7" x14ac:dyDescent="0.3">
      <c r="E2585" s="23"/>
      <c r="G2585" s="23"/>
    </row>
    <row r="2586" spans="5:7" x14ac:dyDescent="0.3">
      <c r="E2586" s="23"/>
      <c r="G2586" s="23"/>
    </row>
    <row r="2587" spans="5:7" x14ac:dyDescent="0.3">
      <c r="E2587" s="23"/>
      <c r="G2587" s="23"/>
    </row>
    <row r="2588" spans="5:7" x14ac:dyDescent="0.3">
      <c r="E2588" s="23"/>
      <c r="G2588" s="23"/>
    </row>
    <row r="2589" spans="5:7" x14ac:dyDescent="0.3">
      <c r="E2589" s="23"/>
      <c r="G2589" s="23"/>
    </row>
    <row r="2590" spans="5:7" x14ac:dyDescent="0.3">
      <c r="E2590" s="23"/>
      <c r="G2590" s="23"/>
    </row>
    <row r="2591" spans="5:7" x14ac:dyDescent="0.3">
      <c r="E2591" s="23"/>
      <c r="G2591" s="23"/>
    </row>
    <row r="2592" spans="5:7" x14ac:dyDescent="0.3">
      <c r="E2592" s="23"/>
      <c r="G2592" s="23"/>
    </row>
    <row r="2593" spans="5:7" x14ac:dyDescent="0.3">
      <c r="E2593" s="23"/>
      <c r="G2593" s="23"/>
    </row>
    <row r="2594" spans="5:7" x14ac:dyDescent="0.3">
      <c r="E2594" s="23"/>
      <c r="G2594" s="23"/>
    </row>
    <row r="2595" spans="5:7" x14ac:dyDescent="0.3">
      <c r="E2595" s="23"/>
      <c r="G2595" s="23"/>
    </row>
    <row r="2596" spans="5:7" x14ac:dyDescent="0.3">
      <c r="E2596" s="23"/>
      <c r="G2596" s="23"/>
    </row>
    <row r="2597" spans="5:7" x14ac:dyDescent="0.3">
      <c r="E2597" s="23"/>
      <c r="G2597" s="23"/>
    </row>
    <row r="2598" spans="5:7" x14ac:dyDescent="0.3">
      <c r="E2598" s="23"/>
      <c r="G2598" s="23"/>
    </row>
    <row r="2599" spans="5:7" x14ac:dyDescent="0.3">
      <c r="E2599" s="23"/>
      <c r="G2599" s="23"/>
    </row>
    <row r="2600" spans="5:7" x14ac:dyDescent="0.3">
      <c r="E2600" s="23"/>
      <c r="G2600" s="23"/>
    </row>
    <row r="2601" spans="5:7" x14ac:dyDescent="0.3">
      <c r="E2601" s="23"/>
      <c r="G2601" s="23"/>
    </row>
    <row r="2602" spans="5:7" x14ac:dyDescent="0.3">
      <c r="E2602" s="23"/>
      <c r="G2602" s="23"/>
    </row>
    <row r="2603" spans="5:7" x14ac:dyDescent="0.3">
      <c r="E2603" s="23"/>
      <c r="G2603" s="23"/>
    </row>
    <row r="2604" spans="5:7" x14ac:dyDescent="0.3">
      <c r="E2604" s="23"/>
      <c r="G2604" s="23"/>
    </row>
    <row r="2605" spans="5:7" x14ac:dyDescent="0.3">
      <c r="E2605" s="23"/>
      <c r="G2605" s="23"/>
    </row>
    <row r="2606" spans="5:7" x14ac:dyDescent="0.3">
      <c r="E2606" s="23"/>
      <c r="G2606" s="23"/>
    </row>
    <row r="2607" spans="5:7" x14ac:dyDescent="0.3">
      <c r="E2607" s="23"/>
      <c r="G2607" s="23"/>
    </row>
    <row r="2608" spans="5:7" x14ac:dyDescent="0.3">
      <c r="E2608" s="23"/>
      <c r="G2608" s="23"/>
    </row>
    <row r="2609" spans="5:7" x14ac:dyDescent="0.3">
      <c r="E2609" s="23"/>
      <c r="G2609" s="23"/>
    </row>
    <row r="2610" spans="5:7" x14ac:dyDescent="0.3">
      <c r="E2610" s="23"/>
      <c r="G2610" s="23"/>
    </row>
    <row r="2611" spans="5:7" x14ac:dyDescent="0.3">
      <c r="E2611" s="23"/>
      <c r="G2611" s="23"/>
    </row>
    <row r="2612" spans="5:7" x14ac:dyDescent="0.3">
      <c r="E2612" s="23"/>
      <c r="G2612" s="23"/>
    </row>
    <row r="2613" spans="5:7" x14ac:dyDescent="0.3">
      <c r="E2613" s="23"/>
      <c r="G2613" s="23"/>
    </row>
    <row r="2614" spans="5:7" x14ac:dyDescent="0.3">
      <c r="E2614" s="23"/>
      <c r="G2614" s="23"/>
    </row>
    <row r="2615" spans="5:7" x14ac:dyDescent="0.3">
      <c r="E2615" s="23"/>
      <c r="G2615" s="23"/>
    </row>
    <row r="2616" spans="5:7" x14ac:dyDescent="0.3">
      <c r="E2616" s="23"/>
      <c r="G2616" s="23"/>
    </row>
    <row r="2617" spans="5:7" x14ac:dyDescent="0.3">
      <c r="E2617" s="23"/>
      <c r="G2617" s="23"/>
    </row>
    <row r="2618" spans="5:7" x14ac:dyDescent="0.3">
      <c r="E2618" s="23"/>
      <c r="G2618" s="23"/>
    </row>
    <row r="2619" spans="5:7" x14ac:dyDescent="0.3">
      <c r="E2619" s="23"/>
      <c r="G2619" s="23"/>
    </row>
    <row r="2620" spans="5:7" x14ac:dyDescent="0.3">
      <c r="E2620" s="23"/>
      <c r="G2620" s="23"/>
    </row>
    <row r="2621" spans="5:7" x14ac:dyDescent="0.3">
      <c r="E2621" s="23"/>
      <c r="G2621" s="23"/>
    </row>
    <row r="2622" spans="5:7" x14ac:dyDescent="0.3">
      <c r="E2622" s="23"/>
      <c r="G2622" s="23"/>
    </row>
    <row r="2623" spans="5:7" x14ac:dyDescent="0.3">
      <c r="E2623" s="23"/>
      <c r="G2623" s="23"/>
    </row>
    <row r="2624" spans="5:7" x14ac:dyDescent="0.3">
      <c r="E2624" s="23"/>
      <c r="G2624" s="23"/>
    </row>
    <row r="2625" spans="5:7" x14ac:dyDescent="0.3">
      <c r="E2625" s="23"/>
      <c r="G2625" s="23"/>
    </row>
    <row r="2626" spans="5:7" x14ac:dyDescent="0.3">
      <c r="E2626" s="23"/>
      <c r="G2626" s="23"/>
    </row>
    <row r="2627" spans="5:7" x14ac:dyDescent="0.3">
      <c r="E2627" s="23"/>
      <c r="G2627" s="23"/>
    </row>
    <row r="2628" spans="5:7" x14ac:dyDescent="0.3">
      <c r="E2628" s="23"/>
      <c r="G2628" s="23"/>
    </row>
    <row r="2629" spans="5:7" x14ac:dyDescent="0.3">
      <c r="E2629" s="23"/>
      <c r="G2629" s="23"/>
    </row>
    <row r="2630" spans="5:7" x14ac:dyDescent="0.3">
      <c r="E2630" s="23"/>
      <c r="G2630" s="23"/>
    </row>
    <row r="2631" spans="5:7" x14ac:dyDescent="0.3">
      <c r="E2631" s="23"/>
      <c r="G2631" s="23"/>
    </row>
    <row r="2632" spans="5:7" x14ac:dyDescent="0.3">
      <c r="E2632" s="23"/>
      <c r="G2632" s="23"/>
    </row>
    <row r="2633" spans="5:7" x14ac:dyDescent="0.3">
      <c r="E2633" s="23"/>
      <c r="G2633" s="23"/>
    </row>
    <row r="2634" spans="5:7" x14ac:dyDescent="0.3">
      <c r="E2634" s="23"/>
      <c r="G2634" s="23"/>
    </row>
    <row r="2635" spans="5:7" x14ac:dyDescent="0.3">
      <c r="E2635" s="23"/>
      <c r="G2635" s="23"/>
    </row>
    <row r="2636" spans="5:7" x14ac:dyDescent="0.3">
      <c r="E2636" s="23"/>
      <c r="G2636" s="23"/>
    </row>
    <row r="2637" spans="5:7" x14ac:dyDescent="0.3">
      <c r="E2637" s="23"/>
      <c r="G2637" s="23"/>
    </row>
    <row r="2638" spans="5:7" x14ac:dyDescent="0.3">
      <c r="E2638" s="23"/>
      <c r="G2638" s="23"/>
    </row>
    <row r="2639" spans="5:7" x14ac:dyDescent="0.3">
      <c r="E2639" s="23"/>
      <c r="G2639" s="23"/>
    </row>
    <row r="2640" spans="5:7" x14ac:dyDescent="0.3">
      <c r="E2640" s="23"/>
      <c r="G2640" s="23"/>
    </row>
    <row r="2641" spans="5:7" x14ac:dyDescent="0.3">
      <c r="E2641" s="23"/>
      <c r="G2641" s="23"/>
    </row>
    <row r="2642" spans="5:7" x14ac:dyDescent="0.3">
      <c r="E2642" s="23"/>
      <c r="G2642" s="23"/>
    </row>
    <row r="2643" spans="5:7" x14ac:dyDescent="0.3">
      <c r="E2643" s="23"/>
      <c r="G2643" s="23"/>
    </row>
    <row r="2644" spans="5:7" x14ac:dyDescent="0.3">
      <c r="E2644" s="23"/>
      <c r="G2644" s="23"/>
    </row>
    <row r="2645" spans="5:7" x14ac:dyDescent="0.3">
      <c r="E2645" s="23"/>
      <c r="G2645" s="23"/>
    </row>
    <row r="2646" spans="5:7" x14ac:dyDescent="0.3">
      <c r="E2646" s="23"/>
      <c r="G2646" s="23"/>
    </row>
    <row r="2647" spans="5:7" x14ac:dyDescent="0.3">
      <c r="E2647" s="23"/>
      <c r="G2647" s="23"/>
    </row>
    <row r="2648" spans="5:7" x14ac:dyDescent="0.3">
      <c r="E2648" s="23"/>
      <c r="G2648" s="23"/>
    </row>
    <row r="2649" spans="5:7" x14ac:dyDescent="0.3">
      <c r="E2649" s="23"/>
      <c r="G2649" s="23"/>
    </row>
    <row r="2650" spans="5:7" x14ac:dyDescent="0.3">
      <c r="E2650" s="23"/>
      <c r="G2650" s="23"/>
    </row>
    <row r="2651" spans="5:7" x14ac:dyDescent="0.3">
      <c r="E2651" s="23"/>
      <c r="G2651" s="23"/>
    </row>
    <row r="2652" spans="5:7" x14ac:dyDescent="0.3">
      <c r="E2652" s="23"/>
      <c r="G2652" s="23"/>
    </row>
    <row r="2653" spans="5:7" x14ac:dyDescent="0.3">
      <c r="E2653" s="23"/>
      <c r="G2653" s="23"/>
    </row>
    <row r="2654" spans="5:7" x14ac:dyDescent="0.3">
      <c r="E2654" s="23"/>
      <c r="G2654" s="23"/>
    </row>
    <row r="2655" spans="5:7" x14ac:dyDescent="0.3">
      <c r="E2655" s="23"/>
      <c r="G2655" s="23"/>
    </row>
    <row r="2656" spans="5:7" x14ac:dyDescent="0.3">
      <c r="E2656" s="23"/>
      <c r="G2656" s="23"/>
    </row>
    <row r="2657" spans="5:7" x14ac:dyDescent="0.3">
      <c r="E2657" s="23"/>
      <c r="G2657" s="23"/>
    </row>
    <row r="2658" spans="5:7" x14ac:dyDescent="0.3">
      <c r="E2658" s="23"/>
      <c r="G2658" s="23"/>
    </row>
    <row r="2659" spans="5:7" x14ac:dyDescent="0.3">
      <c r="E2659" s="23"/>
      <c r="G2659" s="23"/>
    </row>
    <row r="2660" spans="5:7" x14ac:dyDescent="0.3">
      <c r="E2660" s="23"/>
      <c r="G2660" s="23"/>
    </row>
    <row r="2661" spans="5:7" x14ac:dyDescent="0.3">
      <c r="E2661" s="23"/>
      <c r="G2661" s="23"/>
    </row>
    <row r="2662" spans="5:7" x14ac:dyDescent="0.3">
      <c r="E2662" s="23"/>
      <c r="G2662" s="23"/>
    </row>
    <row r="2663" spans="5:7" x14ac:dyDescent="0.3">
      <c r="E2663" s="23"/>
      <c r="G2663" s="23"/>
    </row>
    <row r="2664" spans="5:7" x14ac:dyDescent="0.3">
      <c r="E2664" s="23"/>
      <c r="G2664" s="23"/>
    </row>
    <row r="2665" spans="5:7" x14ac:dyDescent="0.3">
      <c r="E2665" s="23"/>
      <c r="G2665" s="23"/>
    </row>
    <row r="2666" spans="5:7" x14ac:dyDescent="0.3">
      <c r="E2666" s="23"/>
      <c r="G2666" s="23"/>
    </row>
    <row r="2667" spans="5:7" x14ac:dyDescent="0.3">
      <c r="E2667" s="23"/>
      <c r="G2667" s="23"/>
    </row>
    <row r="2668" spans="5:7" x14ac:dyDescent="0.3">
      <c r="E2668" s="23"/>
      <c r="G2668" s="23"/>
    </row>
    <row r="2669" spans="5:7" x14ac:dyDescent="0.3">
      <c r="E2669" s="23"/>
      <c r="G2669" s="23"/>
    </row>
    <row r="2670" spans="5:7" x14ac:dyDescent="0.3">
      <c r="E2670" s="23"/>
      <c r="G2670" s="23"/>
    </row>
    <row r="2671" spans="5:7" x14ac:dyDescent="0.3">
      <c r="E2671" s="23"/>
      <c r="G2671" s="23"/>
    </row>
    <row r="2672" spans="5:7" x14ac:dyDescent="0.3">
      <c r="E2672" s="23"/>
      <c r="G2672" s="23"/>
    </row>
    <row r="2673" spans="5:7" x14ac:dyDescent="0.3">
      <c r="E2673" s="23"/>
      <c r="G2673" s="23"/>
    </row>
    <row r="2674" spans="5:7" x14ac:dyDescent="0.3">
      <c r="E2674" s="23"/>
      <c r="G2674" s="23"/>
    </row>
    <row r="2675" spans="5:7" x14ac:dyDescent="0.3">
      <c r="E2675" s="23"/>
      <c r="G2675" s="23"/>
    </row>
    <row r="2676" spans="5:7" x14ac:dyDescent="0.3">
      <c r="E2676" s="23"/>
      <c r="G2676" s="23"/>
    </row>
    <row r="2677" spans="5:7" x14ac:dyDescent="0.3">
      <c r="E2677" s="23"/>
      <c r="G2677" s="23"/>
    </row>
    <row r="2678" spans="5:7" x14ac:dyDescent="0.3">
      <c r="E2678" s="23"/>
      <c r="G2678" s="23"/>
    </row>
    <row r="2679" spans="5:7" x14ac:dyDescent="0.3">
      <c r="E2679" s="23"/>
      <c r="G2679" s="23"/>
    </row>
    <row r="2680" spans="5:7" x14ac:dyDescent="0.3">
      <c r="E2680" s="23"/>
      <c r="G2680" s="23"/>
    </row>
    <row r="2681" spans="5:7" x14ac:dyDescent="0.3">
      <c r="E2681" s="23"/>
      <c r="G2681" s="23"/>
    </row>
    <row r="2682" spans="5:7" x14ac:dyDescent="0.3">
      <c r="E2682" s="23"/>
      <c r="G2682" s="23"/>
    </row>
    <row r="2683" spans="5:7" x14ac:dyDescent="0.3">
      <c r="E2683" s="23"/>
      <c r="G2683" s="23"/>
    </row>
    <row r="2684" spans="5:7" x14ac:dyDescent="0.3">
      <c r="E2684" s="23"/>
      <c r="G2684" s="23"/>
    </row>
    <row r="2685" spans="5:7" x14ac:dyDescent="0.3">
      <c r="E2685" s="23"/>
      <c r="G2685" s="23"/>
    </row>
    <row r="2686" spans="5:7" x14ac:dyDescent="0.3">
      <c r="E2686" s="23"/>
      <c r="G2686" s="23"/>
    </row>
    <row r="2687" spans="5:7" x14ac:dyDescent="0.3">
      <c r="E2687" s="23"/>
      <c r="G2687" s="23"/>
    </row>
    <row r="2688" spans="5:7" x14ac:dyDescent="0.3">
      <c r="E2688" s="23"/>
      <c r="G2688" s="23"/>
    </row>
    <row r="2689" spans="5:7" x14ac:dyDescent="0.3">
      <c r="E2689" s="23"/>
      <c r="G2689" s="23"/>
    </row>
    <row r="2690" spans="5:7" x14ac:dyDescent="0.3">
      <c r="E2690" s="23"/>
      <c r="G2690" s="23"/>
    </row>
    <row r="2691" spans="5:7" x14ac:dyDescent="0.3">
      <c r="E2691" s="23"/>
      <c r="G2691" s="23"/>
    </row>
    <row r="2692" spans="5:7" x14ac:dyDescent="0.3">
      <c r="E2692" s="23"/>
      <c r="G2692" s="23"/>
    </row>
    <row r="2693" spans="5:7" x14ac:dyDescent="0.3">
      <c r="E2693" s="23"/>
      <c r="G2693" s="23"/>
    </row>
    <row r="2694" spans="5:7" x14ac:dyDescent="0.3">
      <c r="E2694" s="23"/>
      <c r="G2694" s="23"/>
    </row>
    <row r="2695" spans="5:7" x14ac:dyDescent="0.3">
      <c r="E2695" s="23"/>
      <c r="G2695" s="23"/>
    </row>
    <row r="2696" spans="5:7" x14ac:dyDescent="0.3">
      <c r="E2696" s="23"/>
      <c r="G2696" s="23"/>
    </row>
    <row r="2697" spans="5:7" x14ac:dyDescent="0.3">
      <c r="E2697" s="23"/>
      <c r="G2697" s="23"/>
    </row>
    <row r="2698" spans="5:7" x14ac:dyDescent="0.3">
      <c r="E2698" s="23"/>
      <c r="G2698" s="23"/>
    </row>
    <row r="2699" spans="5:7" x14ac:dyDescent="0.3">
      <c r="E2699" s="23"/>
      <c r="G2699" s="23"/>
    </row>
    <row r="2700" spans="5:7" x14ac:dyDescent="0.3">
      <c r="E2700" s="23"/>
      <c r="G2700" s="23"/>
    </row>
    <row r="2701" spans="5:7" x14ac:dyDescent="0.3">
      <c r="E2701" s="23"/>
      <c r="G2701" s="23"/>
    </row>
    <row r="2702" spans="5:7" x14ac:dyDescent="0.3">
      <c r="E2702" s="23"/>
      <c r="G2702" s="23"/>
    </row>
    <row r="2703" spans="5:7" x14ac:dyDescent="0.3">
      <c r="E2703" s="23"/>
      <c r="G2703" s="23"/>
    </row>
    <row r="2704" spans="5:7" x14ac:dyDescent="0.3">
      <c r="E2704" s="23"/>
      <c r="G2704" s="23"/>
    </row>
    <row r="2705" spans="5:7" x14ac:dyDescent="0.3">
      <c r="E2705" s="23"/>
      <c r="G2705" s="23"/>
    </row>
    <row r="2706" spans="5:7" x14ac:dyDescent="0.3">
      <c r="E2706" s="23"/>
      <c r="G2706" s="23"/>
    </row>
    <row r="2707" spans="5:7" x14ac:dyDescent="0.3">
      <c r="E2707" s="23"/>
      <c r="G2707" s="23"/>
    </row>
    <row r="2708" spans="5:7" x14ac:dyDescent="0.3">
      <c r="E2708" s="23"/>
      <c r="G2708" s="23"/>
    </row>
    <row r="2709" spans="5:7" x14ac:dyDescent="0.3">
      <c r="E2709" s="23"/>
      <c r="G2709" s="23"/>
    </row>
    <row r="2710" spans="5:7" x14ac:dyDescent="0.3">
      <c r="E2710" s="23"/>
      <c r="G2710" s="23"/>
    </row>
    <row r="2711" spans="5:7" x14ac:dyDescent="0.3">
      <c r="E2711" s="23"/>
      <c r="G2711" s="23"/>
    </row>
    <row r="2712" spans="5:7" x14ac:dyDescent="0.3">
      <c r="E2712" s="23"/>
      <c r="G2712" s="23"/>
    </row>
    <row r="2713" spans="5:7" x14ac:dyDescent="0.3">
      <c r="E2713" s="23"/>
      <c r="G2713" s="23"/>
    </row>
    <row r="2714" spans="5:7" x14ac:dyDescent="0.3">
      <c r="E2714" s="23"/>
      <c r="G2714" s="23"/>
    </row>
    <row r="2715" spans="5:7" x14ac:dyDescent="0.3">
      <c r="E2715" s="23"/>
      <c r="G2715" s="23"/>
    </row>
    <row r="2716" spans="5:7" x14ac:dyDescent="0.3">
      <c r="E2716" s="23"/>
      <c r="G2716" s="23"/>
    </row>
    <row r="2717" spans="5:7" x14ac:dyDescent="0.3">
      <c r="E2717" s="23"/>
      <c r="G2717" s="23"/>
    </row>
    <row r="2718" spans="5:7" x14ac:dyDescent="0.3">
      <c r="E2718" s="23"/>
      <c r="G2718" s="23"/>
    </row>
    <row r="2719" spans="5:7" x14ac:dyDescent="0.3">
      <c r="E2719" s="23"/>
      <c r="G2719" s="23"/>
    </row>
    <row r="2720" spans="5:7" x14ac:dyDescent="0.3">
      <c r="E2720" s="23"/>
      <c r="G2720" s="23"/>
    </row>
    <row r="2721" spans="5:7" x14ac:dyDescent="0.3">
      <c r="E2721" s="23"/>
      <c r="G2721" s="23"/>
    </row>
    <row r="2722" spans="5:7" x14ac:dyDescent="0.3">
      <c r="E2722" s="23"/>
      <c r="G2722" s="23"/>
    </row>
    <row r="2723" spans="5:7" x14ac:dyDescent="0.3">
      <c r="E2723" s="23"/>
      <c r="G2723" s="23"/>
    </row>
    <row r="2724" spans="5:7" x14ac:dyDescent="0.3">
      <c r="E2724" s="23"/>
      <c r="G2724" s="23"/>
    </row>
    <row r="2725" spans="5:7" x14ac:dyDescent="0.3">
      <c r="E2725" s="23"/>
      <c r="G2725" s="23"/>
    </row>
    <row r="2726" spans="5:7" x14ac:dyDescent="0.3">
      <c r="E2726" s="23"/>
      <c r="G2726" s="23"/>
    </row>
    <row r="2727" spans="5:7" x14ac:dyDescent="0.3">
      <c r="E2727" s="23"/>
      <c r="G2727" s="23"/>
    </row>
    <row r="2728" spans="5:7" x14ac:dyDescent="0.3">
      <c r="E2728" s="23"/>
      <c r="G2728" s="23"/>
    </row>
    <row r="2729" spans="5:7" x14ac:dyDescent="0.3">
      <c r="E2729" s="23"/>
      <c r="G2729" s="23"/>
    </row>
    <row r="2730" spans="5:7" x14ac:dyDescent="0.3">
      <c r="E2730" s="23"/>
      <c r="G2730" s="23"/>
    </row>
    <row r="2731" spans="5:7" x14ac:dyDescent="0.3">
      <c r="E2731" s="23"/>
      <c r="G2731" s="23"/>
    </row>
    <row r="2732" spans="5:7" x14ac:dyDescent="0.3">
      <c r="E2732" s="23"/>
      <c r="G2732" s="23"/>
    </row>
    <row r="2733" spans="5:7" x14ac:dyDescent="0.3">
      <c r="E2733" s="23"/>
      <c r="G2733" s="23"/>
    </row>
    <row r="2734" spans="5:7" x14ac:dyDescent="0.3">
      <c r="E2734" s="23"/>
      <c r="G2734" s="23"/>
    </row>
    <row r="2735" spans="5:7" x14ac:dyDescent="0.3">
      <c r="E2735" s="23"/>
      <c r="G2735" s="23"/>
    </row>
    <row r="2736" spans="5:7" x14ac:dyDescent="0.3">
      <c r="E2736" s="23"/>
      <c r="G2736" s="23"/>
    </row>
    <row r="2737" spans="5:7" x14ac:dyDescent="0.3">
      <c r="E2737" s="23"/>
      <c r="G2737" s="23"/>
    </row>
    <row r="2738" spans="5:7" x14ac:dyDescent="0.3">
      <c r="E2738" s="23"/>
      <c r="G2738" s="23"/>
    </row>
    <row r="2739" spans="5:7" x14ac:dyDescent="0.3">
      <c r="E2739" s="23"/>
      <c r="G2739" s="23"/>
    </row>
    <row r="2740" spans="5:7" x14ac:dyDescent="0.3">
      <c r="E2740" s="23"/>
      <c r="G2740" s="23"/>
    </row>
    <row r="2741" spans="5:7" x14ac:dyDescent="0.3">
      <c r="E2741" s="23"/>
      <c r="G2741" s="23"/>
    </row>
    <row r="2742" spans="5:7" x14ac:dyDescent="0.3">
      <c r="E2742" s="23"/>
      <c r="G2742" s="23"/>
    </row>
    <row r="2743" spans="5:7" x14ac:dyDescent="0.3">
      <c r="E2743" s="23"/>
      <c r="G2743" s="23"/>
    </row>
    <row r="2744" spans="5:7" x14ac:dyDescent="0.3">
      <c r="E2744" s="23"/>
      <c r="G2744" s="23"/>
    </row>
    <row r="2745" spans="5:7" x14ac:dyDescent="0.3">
      <c r="E2745" s="23"/>
      <c r="G2745" s="23"/>
    </row>
    <row r="2746" spans="5:7" x14ac:dyDescent="0.3">
      <c r="E2746" s="23"/>
      <c r="G2746" s="23"/>
    </row>
    <row r="2747" spans="5:7" x14ac:dyDescent="0.3">
      <c r="E2747" s="23"/>
      <c r="G2747" s="23"/>
    </row>
    <row r="2748" spans="5:7" x14ac:dyDescent="0.3">
      <c r="E2748" s="23"/>
      <c r="G2748" s="23"/>
    </row>
    <row r="2749" spans="5:7" x14ac:dyDescent="0.3">
      <c r="E2749" s="23"/>
      <c r="G2749" s="23"/>
    </row>
    <row r="2750" spans="5:7" x14ac:dyDescent="0.3">
      <c r="E2750" s="23"/>
      <c r="G2750" s="23"/>
    </row>
    <row r="2751" spans="5:7" x14ac:dyDescent="0.3">
      <c r="E2751" s="23"/>
      <c r="G2751" s="23"/>
    </row>
    <row r="2752" spans="5:7" x14ac:dyDescent="0.3">
      <c r="E2752" s="23"/>
      <c r="G2752" s="23"/>
    </row>
    <row r="2753" spans="5:7" x14ac:dyDescent="0.3">
      <c r="E2753" s="23"/>
      <c r="G2753" s="23"/>
    </row>
    <row r="2754" spans="5:7" x14ac:dyDescent="0.3">
      <c r="E2754" s="23"/>
      <c r="G2754" s="23"/>
    </row>
    <row r="2755" spans="5:7" x14ac:dyDescent="0.3">
      <c r="E2755" s="23"/>
      <c r="G2755" s="23"/>
    </row>
    <row r="2756" spans="5:7" x14ac:dyDescent="0.3">
      <c r="E2756" s="23"/>
      <c r="G2756" s="23"/>
    </row>
    <row r="2757" spans="5:7" x14ac:dyDescent="0.3">
      <c r="E2757" s="23"/>
      <c r="G2757" s="23"/>
    </row>
    <row r="2758" spans="5:7" x14ac:dyDescent="0.3">
      <c r="E2758" s="23"/>
      <c r="G2758" s="23"/>
    </row>
    <row r="2759" spans="5:7" x14ac:dyDescent="0.3">
      <c r="E2759" s="23"/>
      <c r="G2759" s="23"/>
    </row>
    <row r="2760" spans="5:7" x14ac:dyDescent="0.3">
      <c r="E2760" s="23"/>
      <c r="G2760" s="23"/>
    </row>
    <row r="2761" spans="5:7" x14ac:dyDescent="0.3">
      <c r="E2761" s="23"/>
      <c r="G2761" s="23"/>
    </row>
    <row r="2762" spans="5:7" x14ac:dyDescent="0.3">
      <c r="E2762" s="23"/>
      <c r="G2762" s="23"/>
    </row>
    <row r="2763" spans="5:7" x14ac:dyDescent="0.3">
      <c r="E2763" s="23"/>
      <c r="G2763" s="23"/>
    </row>
    <row r="2764" spans="5:7" x14ac:dyDescent="0.3">
      <c r="E2764" s="23"/>
      <c r="G2764" s="23"/>
    </row>
    <row r="2765" spans="5:7" x14ac:dyDescent="0.3">
      <c r="E2765" s="23"/>
      <c r="G2765" s="23"/>
    </row>
    <row r="2766" spans="5:7" x14ac:dyDescent="0.3">
      <c r="E2766" s="23"/>
      <c r="G2766" s="23"/>
    </row>
    <row r="2767" spans="5:7" x14ac:dyDescent="0.3">
      <c r="E2767" s="23"/>
      <c r="G2767" s="23"/>
    </row>
    <row r="2768" spans="5:7" x14ac:dyDescent="0.3">
      <c r="E2768" s="23"/>
      <c r="G2768" s="23"/>
    </row>
    <row r="2769" spans="5:7" x14ac:dyDescent="0.3">
      <c r="E2769" s="23"/>
      <c r="G2769" s="23"/>
    </row>
    <row r="2770" spans="5:7" x14ac:dyDescent="0.3">
      <c r="E2770" s="23"/>
      <c r="G2770" s="23"/>
    </row>
    <row r="2771" spans="5:7" x14ac:dyDescent="0.3">
      <c r="E2771" s="23"/>
      <c r="G2771" s="23"/>
    </row>
    <row r="2772" spans="5:7" x14ac:dyDescent="0.3">
      <c r="E2772" s="23"/>
      <c r="G2772" s="23"/>
    </row>
    <row r="2773" spans="5:7" x14ac:dyDescent="0.3">
      <c r="E2773" s="23"/>
      <c r="G2773" s="23"/>
    </row>
    <row r="2774" spans="5:7" x14ac:dyDescent="0.3">
      <c r="E2774" s="23"/>
      <c r="G2774" s="23"/>
    </row>
    <row r="2775" spans="5:7" x14ac:dyDescent="0.3">
      <c r="E2775" s="23"/>
      <c r="G2775" s="23"/>
    </row>
    <row r="2776" spans="5:7" x14ac:dyDescent="0.3">
      <c r="E2776" s="23"/>
      <c r="G2776" s="23"/>
    </row>
    <row r="2777" spans="5:7" x14ac:dyDescent="0.3">
      <c r="E2777" s="23"/>
      <c r="G2777" s="23"/>
    </row>
    <row r="2778" spans="5:7" x14ac:dyDescent="0.3">
      <c r="E2778" s="23"/>
      <c r="G2778" s="23"/>
    </row>
    <row r="2779" spans="5:7" x14ac:dyDescent="0.3">
      <c r="E2779" s="23"/>
      <c r="G2779" s="23"/>
    </row>
    <row r="2780" spans="5:7" x14ac:dyDescent="0.3">
      <c r="E2780" s="23"/>
      <c r="G2780" s="23"/>
    </row>
    <row r="2781" spans="5:7" x14ac:dyDescent="0.3">
      <c r="E2781" s="23"/>
      <c r="G2781" s="23"/>
    </row>
    <row r="2782" spans="5:7" x14ac:dyDescent="0.3">
      <c r="E2782" s="23"/>
      <c r="G2782" s="23"/>
    </row>
    <row r="2783" spans="5:7" x14ac:dyDescent="0.3">
      <c r="E2783" s="23"/>
      <c r="G2783" s="23"/>
    </row>
    <row r="2784" spans="5:7" x14ac:dyDescent="0.3">
      <c r="E2784" s="23"/>
      <c r="G2784" s="23"/>
    </row>
    <row r="2785" spans="5:7" x14ac:dyDescent="0.3">
      <c r="E2785" s="23"/>
      <c r="G2785" s="23"/>
    </row>
    <row r="2786" spans="5:7" x14ac:dyDescent="0.3">
      <c r="E2786" s="23"/>
      <c r="G2786" s="23"/>
    </row>
    <row r="2787" spans="5:7" x14ac:dyDescent="0.3">
      <c r="E2787" s="23"/>
      <c r="G2787" s="23"/>
    </row>
    <row r="2788" spans="5:7" x14ac:dyDescent="0.3">
      <c r="E2788" s="23"/>
      <c r="G2788" s="23"/>
    </row>
    <row r="2789" spans="5:7" x14ac:dyDescent="0.3">
      <c r="E2789" s="23"/>
      <c r="G2789" s="23"/>
    </row>
    <row r="2790" spans="5:7" x14ac:dyDescent="0.3">
      <c r="E2790" s="23"/>
      <c r="G2790" s="23"/>
    </row>
    <row r="2791" spans="5:7" x14ac:dyDescent="0.3">
      <c r="E2791" s="23"/>
      <c r="G2791" s="23"/>
    </row>
    <row r="2792" spans="5:7" x14ac:dyDescent="0.3">
      <c r="E2792" s="23"/>
      <c r="G2792" s="23"/>
    </row>
    <row r="2793" spans="5:7" x14ac:dyDescent="0.3">
      <c r="E2793" s="23"/>
      <c r="G2793" s="23"/>
    </row>
    <row r="2794" spans="5:7" x14ac:dyDescent="0.3">
      <c r="E2794" s="23"/>
      <c r="G2794" s="23"/>
    </row>
    <row r="2795" spans="5:7" x14ac:dyDescent="0.3">
      <c r="E2795" s="23"/>
      <c r="G2795" s="23"/>
    </row>
    <row r="2796" spans="5:7" x14ac:dyDescent="0.3">
      <c r="E2796" s="23"/>
      <c r="G2796" s="23"/>
    </row>
    <row r="2797" spans="5:7" x14ac:dyDescent="0.3">
      <c r="E2797" s="23"/>
      <c r="G2797" s="23"/>
    </row>
    <row r="2798" spans="5:7" x14ac:dyDescent="0.3">
      <c r="E2798" s="23"/>
      <c r="G2798" s="23"/>
    </row>
    <row r="2799" spans="5:7" x14ac:dyDescent="0.3">
      <c r="E2799" s="23"/>
      <c r="G2799" s="23"/>
    </row>
    <row r="2800" spans="5:7" x14ac:dyDescent="0.3">
      <c r="E2800" s="23"/>
      <c r="G2800" s="23"/>
    </row>
    <row r="2801" spans="5:7" x14ac:dyDescent="0.3">
      <c r="E2801" s="23"/>
      <c r="G2801" s="23"/>
    </row>
    <row r="2802" spans="5:7" x14ac:dyDescent="0.3">
      <c r="E2802" s="23"/>
      <c r="G2802" s="23"/>
    </row>
    <row r="2803" spans="5:7" x14ac:dyDescent="0.3">
      <c r="E2803" s="23"/>
      <c r="G2803" s="23"/>
    </row>
    <row r="2804" spans="5:7" x14ac:dyDescent="0.3">
      <c r="E2804" s="23"/>
      <c r="G2804" s="23"/>
    </row>
    <row r="2805" spans="5:7" x14ac:dyDescent="0.3">
      <c r="E2805" s="23"/>
      <c r="G2805" s="23"/>
    </row>
    <row r="2806" spans="5:7" x14ac:dyDescent="0.3">
      <c r="E2806" s="23"/>
      <c r="G2806" s="23"/>
    </row>
    <row r="2807" spans="5:7" x14ac:dyDescent="0.3">
      <c r="E2807" s="23"/>
      <c r="G2807" s="23"/>
    </row>
    <row r="2808" spans="5:7" x14ac:dyDescent="0.3">
      <c r="E2808" s="23"/>
      <c r="G2808" s="23"/>
    </row>
    <row r="2809" spans="5:7" x14ac:dyDescent="0.3">
      <c r="E2809" s="23"/>
      <c r="G2809" s="23"/>
    </row>
    <row r="2810" spans="5:7" x14ac:dyDescent="0.3">
      <c r="E2810" s="23"/>
      <c r="G2810" s="23"/>
    </row>
    <row r="2811" spans="5:7" x14ac:dyDescent="0.3">
      <c r="E2811" s="23"/>
      <c r="G2811" s="23"/>
    </row>
    <row r="2812" spans="5:7" x14ac:dyDescent="0.3">
      <c r="E2812" s="23"/>
      <c r="G2812" s="23"/>
    </row>
    <row r="2813" spans="5:7" x14ac:dyDescent="0.3">
      <c r="E2813" s="23"/>
      <c r="G2813" s="23"/>
    </row>
    <row r="2814" spans="5:7" x14ac:dyDescent="0.3">
      <c r="E2814" s="23"/>
      <c r="G2814" s="23"/>
    </row>
    <row r="2815" spans="5:7" x14ac:dyDescent="0.3">
      <c r="E2815" s="23"/>
      <c r="G2815" s="23"/>
    </row>
    <row r="2816" spans="5:7" x14ac:dyDescent="0.3">
      <c r="E2816" s="23"/>
      <c r="G2816" s="23"/>
    </row>
    <row r="2817" spans="5:7" x14ac:dyDescent="0.3">
      <c r="E2817" s="23"/>
      <c r="G2817" s="23"/>
    </row>
    <row r="2818" spans="5:7" x14ac:dyDescent="0.3">
      <c r="E2818" s="23"/>
      <c r="G2818" s="23"/>
    </row>
    <row r="2819" spans="5:7" x14ac:dyDescent="0.3">
      <c r="E2819" s="23"/>
      <c r="G2819" s="23"/>
    </row>
    <row r="2820" spans="5:7" x14ac:dyDescent="0.3">
      <c r="E2820" s="23"/>
      <c r="G2820" s="23"/>
    </row>
    <row r="2821" spans="5:7" x14ac:dyDescent="0.3">
      <c r="E2821" s="23"/>
      <c r="G2821" s="23"/>
    </row>
    <row r="2822" spans="5:7" x14ac:dyDescent="0.3">
      <c r="E2822" s="23"/>
      <c r="G2822" s="23"/>
    </row>
    <row r="2823" spans="5:7" x14ac:dyDescent="0.3">
      <c r="E2823" s="23"/>
      <c r="G2823" s="23"/>
    </row>
    <row r="2824" spans="5:7" x14ac:dyDescent="0.3">
      <c r="E2824" s="23"/>
      <c r="G2824" s="23"/>
    </row>
    <row r="2825" spans="5:7" x14ac:dyDescent="0.3">
      <c r="E2825" s="23"/>
      <c r="G2825" s="23"/>
    </row>
    <row r="2826" spans="5:7" x14ac:dyDescent="0.3">
      <c r="E2826" s="23"/>
      <c r="G2826" s="23"/>
    </row>
    <row r="2827" spans="5:7" x14ac:dyDescent="0.3">
      <c r="E2827" s="23"/>
      <c r="G2827" s="23"/>
    </row>
    <row r="2828" spans="5:7" x14ac:dyDescent="0.3">
      <c r="E2828" s="23"/>
      <c r="G2828" s="23"/>
    </row>
    <row r="2829" spans="5:7" x14ac:dyDescent="0.3">
      <c r="E2829" s="23"/>
      <c r="G2829" s="23"/>
    </row>
    <row r="2830" spans="5:7" x14ac:dyDescent="0.3">
      <c r="E2830" s="23"/>
      <c r="G2830" s="23"/>
    </row>
    <row r="2831" spans="5:7" x14ac:dyDescent="0.3">
      <c r="E2831" s="23"/>
      <c r="G2831" s="23"/>
    </row>
    <row r="2832" spans="5:7" x14ac:dyDescent="0.3">
      <c r="E2832" s="23"/>
      <c r="G2832" s="23"/>
    </row>
    <row r="2833" spans="5:7" x14ac:dyDescent="0.3">
      <c r="E2833" s="23"/>
      <c r="G2833" s="23"/>
    </row>
    <row r="2834" spans="5:7" x14ac:dyDescent="0.3">
      <c r="E2834" s="23"/>
      <c r="G2834" s="23"/>
    </row>
    <row r="2835" spans="5:7" x14ac:dyDescent="0.3">
      <c r="E2835" s="23"/>
      <c r="G2835" s="23"/>
    </row>
    <row r="2836" spans="5:7" x14ac:dyDescent="0.3">
      <c r="E2836" s="23"/>
      <c r="G2836" s="23"/>
    </row>
    <row r="2837" spans="5:7" x14ac:dyDescent="0.3">
      <c r="E2837" s="23"/>
      <c r="G2837" s="23"/>
    </row>
    <row r="2838" spans="5:7" x14ac:dyDescent="0.3">
      <c r="E2838" s="23"/>
      <c r="G2838" s="23"/>
    </row>
    <row r="2839" spans="5:7" x14ac:dyDescent="0.3">
      <c r="E2839" s="23"/>
      <c r="G2839" s="23"/>
    </row>
    <row r="2840" spans="5:7" x14ac:dyDescent="0.3">
      <c r="E2840" s="23"/>
      <c r="G2840" s="23"/>
    </row>
    <row r="2841" spans="5:7" x14ac:dyDescent="0.3">
      <c r="E2841" s="23"/>
      <c r="G2841" s="23"/>
    </row>
    <row r="2842" spans="5:7" x14ac:dyDescent="0.3">
      <c r="E2842" s="23"/>
      <c r="G2842" s="23"/>
    </row>
    <row r="2843" spans="5:7" x14ac:dyDescent="0.3">
      <c r="E2843" s="23"/>
      <c r="G2843" s="23"/>
    </row>
    <row r="2844" spans="5:7" x14ac:dyDescent="0.3">
      <c r="E2844" s="23"/>
      <c r="G2844" s="23"/>
    </row>
    <row r="2845" spans="5:7" x14ac:dyDescent="0.3">
      <c r="E2845" s="23"/>
      <c r="G2845" s="23"/>
    </row>
    <row r="2846" spans="5:7" x14ac:dyDescent="0.3">
      <c r="E2846" s="23"/>
      <c r="G2846" s="23"/>
    </row>
    <row r="2847" spans="5:7" x14ac:dyDescent="0.3">
      <c r="E2847" s="23"/>
      <c r="G2847" s="23"/>
    </row>
    <row r="2848" spans="5:7" x14ac:dyDescent="0.3">
      <c r="E2848" s="23"/>
      <c r="G2848" s="23"/>
    </row>
    <row r="2849" spans="5:7" x14ac:dyDescent="0.3">
      <c r="E2849" s="23"/>
      <c r="G2849" s="23"/>
    </row>
    <row r="2850" spans="5:7" x14ac:dyDescent="0.3">
      <c r="E2850" s="23"/>
      <c r="G2850" s="23"/>
    </row>
    <row r="2851" spans="5:7" x14ac:dyDescent="0.3">
      <c r="E2851" s="23"/>
      <c r="G2851" s="23"/>
    </row>
    <row r="2852" spans="5:7" x14ac:dyDescent="0.3">
      <c r="E2852" s="23"/>
      <c r="G2852" s="23"/>
    </row>
    <row r="2853" spans="5:7" x14ac:dyDescent="0.3">
      <c r="E2853" s="23"/>
      <c r="G2853" s="23"/>
    </row>
    <row r="2854" spans="5:7" x14ac:dyDescent="0.3">
      <c r="E2854" s="23"/>
      <c r="G2854" s="23"/>
    </row>
    <row r="2855" spans="5:7" x14ac:dyDescent="0.3">
      <c r="E2855" s="23"/>
      <c r="G2855" s="23"/>
    </row>
    <row r="2856" spans="5:7" x14ac:dyDescent="0.3">
      <c r="E2856" s="23"/>
      <c r="G2856" s="23"/>
    </row>
    <row r="2857" spans="5:7" x14ac:dyDescent="0.3">
      <c r="E2857" s="23"/>
      <c r="G2857" s="23"/>
    </row>
    <row r="2858" spans="5:7" x14ac:dyDescent="0.3">
      <c r="E2858" s="23"/>
      <c r="G2858" s="23"/>
    </row>
    <row r="2859" spans="5:7" x14ac:dyDescent="0.3">
      <c r="E2859" s="23"/>
      <c r="G2859" s="23"/>
    </row>
    <row r="2860" spans="5:7" x14ac:dyDescent="0.3">
      <c r="E2860" s="23"/>
      <c r="G2860" s="23"/>
    </row>
    <row r="2861" spans="5:7" x14ac:dyDescent="0.3">
      <c r="E2861" s="23"/>
      <c r="G2861" s="23"/>
    </row>
    <row r="2862" spans="5:7" x14ac:dyDescent="0.3">
      <c r="E2862" s="23"/>
      <c r="G2862" s="23"/>
    </row>
    <row r="2863" spans="5:7" x14ac:dyDescent="0.3">
      <c r="E2863" s="23"/>
      <c r="G2863" s="23"/>
    </row>
    <row r="2864" spans="5:7" x14ac:dyDescent="0.3">
      <c r="E2864" s="23"/>
      <c r="G2864" s="23"/>
    </row>
    <row r="2865" spans="5:7" x14ac:dyDescent="0.3">
      <c r="E2865" s="23"/>
      <c r="G2865" s="23"/>
    </row>
    <row r="2866" spans="5:7" x14ac:dyDescent="0.3">
      <c r="E2866" s="23"/>
      <c r="G2866" s="23"/>
    </row>
    <row r="2867" spans="5:7" x14ac:dyDescent="0.3">
      <c r="E2867" s="23"/>
      <c r="G2867" s="23"/>
    </row>
    <row r="2868" spans="5:7" x14ac:dyDescent="0.3">
      <c r="E2868" s="23"/>
      <c r="G2868" s="23"/>
    </row>
    <row r="2869" spans="5:7" x14ac:dyDescent="0.3">
      <c r="E2869" s="23"/>
      <c r="G2869" s="23"/>
    </row>
    <row r="2870" spans="5:7" x14ac:dyDescent="0.3">
      <c r="E2870" s="23"/>
      <c r="G2870" s="23"/>
    </row>
    <row r="2871" spans="5:7" x14ac:dyDescent="0.3">
      <c r="E2871" s="23"/>
      <c r="G2871" s="23"/>
    </row>
    <row r="2872" spans="5:7" x14ac:dyDescent="0.3">
      <c r="E2872" s="23"/>
      <c r="G2872" s="23"/>
    </row>
    <row r="2873" spans="5:7" x14ac:dyDescent="0.3">
      <c r="E2873" s="23"/>
      <c r="G2873" s="23"/>
    </row>
    <row r="2874" spans="5:7" x14ac:dyDescent="0.3">
      <c r="E2874" s="23"/>
      <c r="G2874" s="23"/>
    </row>
    <row r="2875" spans="5:7" x14ac:dyDescent="0.3">
      <c r="E2875" s="23"/>
      <c r="G2875" s="23"/>
    </row>
    <row r="2876" spans="5:7" x14ac:dyDescent="0.3">
      <c r="E2876" s="23"/>
      <c r="G2876" s="23"/>
    </row>
    <row r="2877" spans="5:7" x14ac:dyDescent="0.3">
      <c r="E2877" s="23"/>
      <c r="G2877" s="23"/>
    </row>
    <row r="2878" spans="5:7" x14ac:dyDescent="0.3">
      <c r="E2878" s="23"/>
      <c r="G2878" s="23"/>
    </row>
    <row r="2879" spans="5:7" x14ac:dyDescent="0.3">
      <c r="E2879" s="23"/>
      <c r="G2879" s="23"/>
    </row>
    <row r="2880" spans="5:7" x14ac:dyDescent="0.3">
      <c r="E2880" s="23"/>
      <c r="G2880" s="23"/>
    </row>
    <row r="2881" spans="5:7" x14ac:dyDescent="0.3">
      <c r="E2881" s="23"/>
      <c r="G2881" s="23"/>
    </row>
    <row r="2882" spans="5:7" x14ac:dyDescent="0.3">
      <c r="E2882" s="23"/>
      <c r="G2882" s="23"/>
    </row>
    <row r="2883" spans="5:7" x14ac:dyDescent="0.3">
      <c r="E2883" s="23"/>
      <c r="G2883" s="23"/>
    </row>
    <row r="2884" spans="5:7" x14ac:dyDescent="0.3">
      <c r="E2884" s="23"/>
      <c r="G2884" s="23"/>
    </row>
    <row r="2885" spans="5:7" x14ac:dyDescent="0.3">
      <c r="E2885" s="23"/>
      <c r="G2885" s="23"/>
    </row>
    <row r="2886" spans="5:7" x14ac:dyDescent="0.3">
      <c r="E2886" s="23"/>
      <c r="G2886" s="23"/>
    </row>
    <row r="2887" spans="5:7" x14ac:dyDescent="0.3">
      <c r="E2887" s="23"/>
      <c r="G2887" s="23"/>
    </row>
    <row r="2888" spans="5:7" x14ac:dyDescent="0.3">
      <c r="E2888" s="23"/>
      <c r="G2888" s="23"/>
    </row>
    <row r="2889" spans="5:7" x14ac:dyDescent="0.3">
      <c r="E2889" s="23"/>
      <c r="G2889" s="23"/>
    </row>
    <row r="2890" spans="5:7" x14ac:dyDescent="0.3">
      <c r="E2890" s="23"/>
      <c r="G2890" s="23"/>
    </row>
    <row r="2891" spans="5:7" x14ac:dyDescent="0.3">
      <c r="E2891" s="23"/>
      <c r="G2891" s="23"/>
    </row>
    <row r="2892" spans="5:7" x14ac:dyDescent="0.3">
      <c r="E2892" s="23"/>
      <c r="G2892" s="23"/>
    </row>
    <row r="2893" spans="5:7" x14ac:dyDescent="0.3">
      <c r="E2893" s="23"/>
      <c r="G2893" s="23"/>
    </row>
    <row r="2894" spans="5:7" x14ac:dyDescent="0.3">
      <c r="E2894" s="23"/>
      <c r="G2894" s="23"/>
    </row>
    <row r="2895" spans="5:7" x14ac:dyDescent="0.3">
      <c r="E2895" s="23"/>
      <c r="G2895" s="23"/>
    </row>
    <row r="2896" spans="5:7" x14ac:dyDescent="0.3">
      <c r="E2896" s="23"/>
      <c r="G2896" s="23"/>
    </row>
    <row r="2897" spans="5:7" x14ac:dyDescent="0.3">
      <c r="E2897" s="23"/>
      <c r="G2897" s="23"/>
    </row>
    <row r="2898" spans="5:7" x14ac:dyDescent="0.3">
      <c r="E2898" s="23"/>
      <c r="G2898" s="23"/>
    </row>
    <row r="2899" spans="5:7" x14ac:dyDescent="0.3">
      <c r="E2899" s="23"/>
      <c r="G2899" s="23"/>
    </row>
    <row r="2900" spans="5:7" x14ac:dyDescent="0.3">
      <c r="E2900" s="23"/>
      <c r="G2900" s="23"/>
    </row>
    <row r="2901" spans="5:7" x14ac:dyDescent="0.3">
      <c r="E2901" s="23"/>
      <c r="G2901" s="23"/>
    </row>
    <row r="2902" spans="5:7" x14ac:dyDescent="0.3">
      <c r="E2902" s="23"/>
      <c r="G2902" s="23"/>
    </row>
    <row r="2903" spans="5:7" x14ac:dyDescent="0.3">
      <c r="E2903" s="23"/>
      <c r="G2903" s="23"/>
    </row>
    <row r="2904" spans="5:7" x14ac:dyDescent="0.3">
      <c r="E2904" s="23"/>
      <c r="G2904" s="23"/>
    </row>
    <row r="2905" spans="5:7" x14ac:dyDescent="0.3">
      <c r="E2905" s="23"/>
      <c r="G2905" s="23"/>
    </row>
    <row r="2906" spans="5:7" x14ac:dyDescent="0.3">
      <c r="E2906" s="23"/>
      <c r="G2906" s="23"/>
    </row>
    <row r="2907" spans="5:7" x14ac:dyDescent="0.3">
      <c r="E2907" s="23"/>
      <c r="G2907" s="23"/>
    </row>
    <row r="2908" spans="5:7" x14ac:dyDescent="0.3">
      <c r="E2908" s="23"/>
      <c r="G2908" s="23"/>
    </row>
    <row r="2909" spans="5:7" x14ac:dyDescent="0.3">
      <c r="E2909" s="23"/>
      <c r="G2909" s="23"/>
    </row>
    <row r="2910" spans="5:7" x14ac:dyDescent="0.3">
      <c r="E2910" s="23"/>
      <c r="G2910" s="23"/>
    </row>
    <row r="2911" spans="5:7" x14ac:dyDescent="0.3">
      <c r="E2911" s="23"/>
      <c r="G2911" s="23"/>
    </row>
    <row r="2912" spans="5:7" x14ac:dyDescent="0.3">
      <c r="E2912" s="23"/>
      <c r="G2912" s="23"/>
    </row>
    <row r="2913" spans="5:7" x14ac:dyDescent="0.3">
      <c r="E2913" s="23"/>
      <c r="G2913" s="23"/>
    </row>
    <row r="2914" spans="5:7" x14ac:dyDescent="0.3">
      <c r="E2914" s="23"/>
      <c r="G2914" s="23"/>
    </row>
    <row r="2915" spans="5:7" x14ac:dyDescent="0.3">
      <c r="E2915" s="23"/>
      <c r="G2915" s="23"/>
    </row>
    <row r="2916" spans="5:7" x14ac:dyDescent="0.3">
      <c r="E2916" s="23"/>
      <c r="G2916" s="23"/>
    </row>
    <row r="2917" spans="5:7" x14ac:dyDescent="0.3">
      <c r="E2917" s="23"/>
      <c r="G2917" s="23"/>
    </row>
    <row r="2918" spans="5:7" x14ac:dyDescent="0.3">
      <c r="E2918" s="23"/>
      <c r="G2918" s="23"/>
    </row>
    <row r="2919" spans="5:7" x14ac:dyDescent="0.3">
      <c r="E2919" s="23"/>
      <c r="G2919" s="23"/>
    </row>
    <row r="2920" spans="5:7" x14ac:dyDescent="0.3">
      <c r="E2920" s="23"/>
      <c r="G2920" s="23"/>
    </row>
    <row r="2921" spans="5:7" x14ac:dyDescent="0.3">
      <c r="E2921" s="23"/>
      <c r="G2921" s="23"/>
    </row>
    <row r="2922" spans="5:7" x14ac:dyDescent="0.3">
      <c r="E2922" s="23"/>
      <c r="G2922" s="23"/>
    </row>
    <row r="2923" spans="5:7" x14ac:dyDescent="0.3">
      <c r="E2923" s="23"/>
      <c r="G2923" s="23"/>
    </row>
    <row r="2924" spans="5:7" x14ac:dyDescent="0.3">
      <c r="E2924" s="23"/>
      <c r="G2924" s="23"/>
    </row>
    <row r="2925" spans="5:7" x14ac:dyDescent="0.3">
      <c r="E2925" s="23"/>
      <c r="G2925" s="23"/>
    </row>
    <row r="2926" spans="5:7" x14ac:dyDescent="0.3">
      <c r="E2926" s="23"/>
      <c r="G2926" s="23"/>
    </row>
    <row r="2927" spans="5:7" x14ac:dyDescent="0.3">
      <c r="E2927" s="23"/>
      <c r="G2927" s="23"/>
    </row>
    <row r="2928" spans="5:7" x14ac:dyDescent="0.3">
      <c r="E2928" s="23"/>
      <c r="G2928" s="23"/>
    </row>
    <row r="2929" spans="5:7" x14ac:dyDescent="0.3">
      <c r="E2929" s="23"/>
      <c r="G2929" s="23"/>
    </row>
    <row r="2930" spans="5:7" x14ac:dyDescent="0.3">
      <c r="E2930" s="23"/>
      <c r="G2930" s="23"/>
    </row>
    <row r="2931" spans="5:7" x14ac:dyDescent="0.3">
      <c r="E2931" s="23"/>
      <c r="G2931" s="23"/>
    </row>
    <row r="2932" spans="5:7" x14ac:dyDescent="0.3">
      <c r="E2932" s="23"/>
      <c r="G2932" s="23"/>
    </row>
    <row r="2933" spans="5:7" x14ac:dyDescent="0.3">
      <c r="E2933" s="23"/>
      <c r="G2933" s="23"/>
    </row>
    <row r="2934" spans="5:7" x14ac:dyDescent="0.3">
      <c r="E2934" s="23"/>
      <c r="G2934" s="23"/>
    </row>
    <row r="2935" spans="5:7" x14ac:dyDescent="0.3">
      <c r="E2935" s="23"/>
      <c r="G2935" s="23"/>
    </row>
    <row r="2936" spans="5:7" x14ac:dyDescent="0.3">
      <c r="E2936" s="23"/>
      <c r="G2936" s="23"/>
    </row>
    <row r="2937" spans="5:7" x14ac:dyDescent="0.3">
      <c r="E2937" s="23"/>
      <c r="G2937" s="23"/>
    </row>
    <row r="2938" spans="5:7" x14ac:dyDescent="0.3">
      <c r="E2938" s="23"/>
      <c r="G2938" s="23"/>
    </row>
    <row r="2939" spans="5:7" x14ac:dyDescent="0.3">
      <c r="E2939" s="23"/>
      <c r="G2939" s="23"/>
    </row>
    <row r="2940" spans="5:7" x14ac:dyDescent="0.3">
      <c r="E2940" s="23"/>
      <c r="G2940" s="23"/>
    </row>
    <row r="2941" spans="5:7" x14ac:dyDescent="0.3">
      <c r="E2941" s="23"/>
      <c r="G2941" s="23"/>
    </row>
    <row r="2942" spans="5:7" x14ac:dyDescent="0.3">
      <c r="E2942" s="23"/>
      <c r="G2942" s="23"/>
    </row>
    <row r="2943" spans="5:7" x14ac:dyDescent="0.3">
      <c r="E2943" s="23"/>
      <c r="G2943" s="23"/>
    </row>
    <row r="2944" spans="5:7" x14ac:dyDescent="0.3">
      <c r="E2944" s="23"/>
      <c r="G2944" s="23"/>
    </row>
    <row r="2945" spans="5:7" x14ac:dyDescent="0.3">
      <c r="E2945" s="23"/>
      <c r="G2945" s="23"/>
    </row>
    <row r="2946" spans="5:7" x14ac:dyDescent="0.3">
      <c r="E2946" s="23"/>
      <c r="G2946" s="23"/>
    </row>
    <row r="2947" spans="5:7" x14ac:dyDescent="0.3">
      <c r="E2947" s="23"/>
      <c r="G2947" s="23"/>
    </row>
    <row r="2948" spans="5:7" x14ac:dyDescent="0.3">
      <c r="E2948" s="23"/>
      <c r="G2948" s="23"/>
    </row>
    <row r="2949" spans="5:7" x14ac:dyDescent="0.3">
      <c r="E2949" s="23"/>
      <c r="G2949" s="23"/>
    </row>
    <row r="2950" spans="5:7" x14ac:dyDescent="0.3">
      <c r="E2950" s="23"/>
      <c r="G2950" s="23"/>
    </row>
    <row r="2951" spans="5:7" x14ac:dyDescent="0.3">
      <c r="E2951" s="23"/>
      <c r="G2951" s="23"/>
    </row>
    <row r="2952" spans="5:7" x14ac:dyDescent="0.3">
      <c r="E2952" s="23"/>
      <c r="G2952" s="23"/>
    </row>
    <row r="2953" spans="5:7" x14ac:dyDescent="0.3">
      <c r="E2953" s="23"/>
      <c r="G2953" s="23"/>
    </row>
    <row r="2954" spans="5:7" x14ac:dyDescent="0.3">
      <c r="E2954" s="23"/>
      <c r="G2954" s="23"/>
    </row>
    <row r="2955" spans="5:7" x14ac:dyDescent="0.3">
      <c r="E2955" s="23"/>
      <c r="G2955" s="23"/>
    </row>
    <row r="2956" spans="5:7" x14ac:dyDescent="0.3">
      <c r="E2956" s="23"/>
      <c r="G2956" s="23"/>
    </row>
    <row r="2957" spans="5:7" x14ac:dyDescent="0.3">
      <c r="E2957" s="23"/>
      <c r="G2957" s="23"/>
    </row>
    <row r="2958" spans="5:7" x14ac:dyDescent="0.3">
      <c r="E2958" s="23"/>
      <c r="G2958" s="23"/>
    </row>
    <row r="2959" spans="5:7" x14ac:dyDescent="0.3">
      <c r="E2959" s="23"/>
      <c r="G2959" s="23"/>
    </row>
    <row r="2960" spans="5:7" x14ac:dyDescent="0.3">
      <c r="E2960" s="23"/>
      <c r="G2960" s="23"/>
    </row>
    <row r="2961" spans="5:7" x14ac:dyDescent="0.3">
      <c r="E2961" s="23"/>
      <c r="G2961" s="23"/>
    </row>
    <row r="2962" spans="5:7" x14ac:dyDescent="0.3">
      <c r="E2962" s="23"/>
      <c r="G2962" s="23"/>
    </row>
    <row r="2963" spans="5:7" x14ac:dyDescent="0.3">
      <c r="E2963" s="23"/>
      <c r="G2963" s="23"/>
    </row>
    <row r="2964" spans="5:7" x14ac:dyDescent="0.3">
      <c r="E2964" s="23"/>
      <c r="G2964" s="23"/>
    </row>
    <row r="2965" spans="5:7" x14ac:dyDescent="0.3">
      <c r="E2965" s="23"/>
      <c r="G2965" s="23"/>
    </row>
    <row r="2966" spans="5:7" x14ac:dyDescent="0.3">
      <c r="E2966" s="23"/>
      <c r="G2966" s="23"/>
    </row>
    <row r="2967" spans="5:7" x14ac:dyDescent="0.3">
      <c r="E2967" s="23"/>
      <c r="G2967" s="23"/>
    </row>
    <row r="2968" spans="5:7" x14ac:dyDescent="0.3">
      <c r="E2968" s="23"/>
      <c r="G2968" s="23"/>
    </row>
    <row r="2969" spans="5:7" x14ac:dyDescent="0.3">
      <c r="E2969" s="23"/>
      <c r="G2969" s="23"/>
    </row>
    <row r="2970" spans="5:7" x14ac:dyDescent="0.3">
      <c r="E2970" s="23"/>
      <c r="G2970" s="23"/>
    </row>
    <row r="2971" spans="5:7" x14ac:dyDescent="0.3">
      <c r="E2971" s="23"/>
      <c r="G2971" s="23"/>
    </row>
    <row r="2972" spans="5:7" x14ac:dyDescent="0.3">
      <c r="E2972" s="23"/>
      <c r="G2972" s="23"/>
    </row>
    <row r="2973" spans="5:7" x14ac:dyDescent="0.3">
      <c r="E2973" s="23"/>
      <c r="G2973" s="23"/>
    </row>
    <row r="2974" spans="5:7" x14ac:dyDescent="0.3">
      <c r="E2974" s="23"/>
      <c r="G2974" s="23"/>
    </row>
    <row r="2975" spans="5:7" x14ac:dyDescent="0.3">
      <c r="E2975" s="23"/>
      <c r="G2975" s="23"/>
    </row>
    <row r="2976" spans="5:7" x14ac:dyDescent="0.3">
      <c r="E2976" s="23"/>
      <c r="G2976" s="23"/>
    </row>
    <row r="2977" spans="5:7" x14ac:dyDescent="0.3">
      <c r="E2977" s="23"/>
      <c r="G2977" s="23"/>
    </row>
    <row r="2978" spans="5:7" x14ac:dyDescent="0.3">
      <c r="E2978" s="23"/>
      <c r="G2978" s="23"/>
    </row>
    <row r="2979" spans="5:7" x14ac:dyDescent="0.3">
      <c r="E2979" s="23"/>
      <c r="G2979" s="23"/>
    </row>
    <row r="2980" spans="5:7" x14ac:dyDescent="0.3">
      <c r="E2980" s="23"/>
      <c r="G2980" s="23"/>
    </row>
    <row r="2981" spans="5:7" x14ac:dyDescent="0.3">
      <c r="E2981" s="23"/>
      <c r="G2981" s="23"/>
    </row>
    <row r="2982" spans="5:7" x14ac:dyDescent="0.3">
      <c r="E2982" s="23"/>
      <c r="G2982" s="23"/>
    </row>
    <row r="2983" spans="5:7" x14ac:dyDescent="0.3">
      <c r="E2983" s="23"/>
      <c r="G2983" s="23"/>
    </row>
    <row r="2984" spans="5:7" x14ac:dyDescent="0.3">
      <c r="E2984" s="23"/>
      <c r="G2984" s="23"/>
    </row>
    <row r="2985" spans="5:7" x14ac:dyDescent="0.3">
      <c r="E2985" s="23"/>
      <c r="G2985" s="23"/>
    </row>
    <row r="2986" spans="5:7" x14ac:dyDescent="0.3">
      <c r="E2986" s="23"/>
      <c r="G2986" s="23"/>
    </row>
    <row r="2987" spans="5:7" x14ac:dyDescent="0.3">
      <c r="E2987" s="23"/>
      <c r="G2987" s="23"/>
    </row>
    <row r="2988" spans="5:7" x14ac:dyDescent="0.3">
      <c r="E2988" s="23"/>
      <c r="G2988" s="23"/>
    </row>
    <row r="2989" spans="5:7" x14ac:dyDescent="0.3">
      <c r="E2989" s="23"/>
      <c r="G2989" s="23"/>
    </row>
    <row r="2990" spans="5:7" x14ac:dyDescent="0.3">
      <c r="E2990" s="23"/>
      <c r="G2990" s="23"/>
    </row>
    <row r="2991" spans="5:7" x14ac:dyDescent="0.3">
      <c r="E2991" s="23"/>
      <c r="G2991" s="23"/>
    </row>
    <row r="2992" spans="5:7" x14ac:dyDescent="0.3">
      <c r="E2992" s="23"/>
      <c r="G2992" s="23"/>
    </row>
    <row r="2993" spans="5:7" x14ac:dyDescent="0.3">
      <c r="E2993" s="23"/>
      <c r="G2993" s="23"/>
    </row>
    <row r="2994" spans="5:7" x14ac:dyDescent="0.3">
      <c r="E2994" s="23"/>
      <c r="G2994" s="23"/>
    </row>
    <row r="2995" spans="5:7" x14ac:dyDescent="0.3">
      <c r="E2995" s="23"/>
      <c r="G2995" s="23"/>
    </row>
    <row r="2996" spans="5:7" x14ac:dyDescent="0.3">
      <c r="E2996" s="23"/>
      <c r="G2996" s="23"/>
    </row>
    <row r="2997" spans="5:7" x14ac:dyDescent="0.3">
      <c r="E2997" s="23"/>
      <c r="G2997" s="23"/>
    </row>
    <row r="2998" spans="5:7" x14ac:dyDescent="0.3">
      <c r="E2998" s="23"/>
      <c r="G2998" s="23"/>
    </row>
    <row r="2999" spans="5:7" x14ac:dyDescent="0.3">
      <c r="E2999" s="23"/>
      <c r="G2999" s="23"/>
    </row>
    <row r="3000" spans="5:7" x14ac:dyDescent="0.3">
      <c r="E3000" s="23"/>
      <c r="G3000" s="23"/>
    </row>
    <row r="3001" spans="5:7" x14ac:dyDescent="0.3">
      <c r="E3001" s="23"/>
      <c r="G3001" s="23"/>
    </row>
    <row r="3002" spans="5:7" x14ac:dyDescent="0.3">
      <c r="E3002" s="23"/>
      <c r="G3002" s="23"/>
    </row>
    <row r="3003" spans="5:7" x14ac:dyDescent="0.3">
      <c r="E3003" s="23"/>
      <c r="G3003" s="23"/>
    </row>
    <row r="3004" spans="5:7" x14ac:dyDescent="0.3">
      <c r="E3004" s="23"/>
      <c r="G3004" s="23"/>
    </row>
    <row r="3005" spans="5:7" x14ac:dyDescent="0.3">
      <c r="E3005" s="23"/>
      <c r="G3005" s="23"/>
    </row>
    <row r="3006" spans="5:7" x14ac:dyDescent="0.3">
      <c r="E3006" s="23"/>
      <c r="G3006" s="23"/>
    </row>
    <row r="3007" spans="5:7" x14ac:dyDescent="0.3">
      <c r="E3007" s="23"/>
      <c r="G3007" s="23"/>
    </row>
    <row r="3008" spans="5:7" x14ac:dyDescent="0.3">
      <c r="E3008" s="23"/>
      <c r="G3008" s="23"/>
    </row>
    <row r="3009" spans="5:7" x14ac:dyDescent="0.3">
      <c r="E3009" s="23"/>
      <c r="G3009" s="23"/>
    </row>
    <row r="3010" spans="5:7" x14ac:dyDescent="0.3">
      <c r="E3010" s="23"/>
      <c r="G3010" s="23"/>
    </row>
    <row r="3011" spans="5:7" x14ac:dyDescent="0.3">
      <c r="E3011" s="23"/>
      <c r="G3011" s="23"/>
    </row>
    <row r="3012" spans="5:7" x14ac:dyDescent="0.3">
      <c r="E3012" s="23"/>
      <c r="G3012" s="23"/>
    </row>
    <row r="3013" spans="5:7" x14ac:dyDescent="0.3">
      <c r="E3013" s="23"/>
      <c r="G3013" s="23"/>
    </row>
    <row r="3014" spans="5:7" x14ac:dyDescent="0.3">
      <c r="E3014" s="23"/>
      <c r="G3014" s="23"/>
    </row>
    <row r="3015" spans="5:7" x14ac:dyDescent="0.3">
      <c r="E3015" s="23"/>
      <c r="G3015" s="23"/>
    </row>
    <row r="3016" spans="5:7" x14ac:dyDescent="0.3">
      <c r="E3016" s="23"/>
      <c r="G3016" s="23"/>
    </row>
    <row r="3017" spans="5:7" x14ac:dyDescent="0.3">
      <c r="E3017" s="23"/>
      <c r="G3017" s="23"/>
    </row>
    <row r="3018" spans="5:7" x14ac:dyDescent="0.3">
      <c r="E3018" s="23"/>
      <c r="G3018" s="23"/>
    </row>
    <row r="3019" spans="5:7" x14ac:dyDescent="0.3">
      <c r="E3019" s="23"/>
      <c r="G3019" s="23"/>
    </row>
    <row r="3020" spans="5:7" x14ac:dyDescent="0.3">
      <c r="E3020" s="23"/>
      <c r="G3020" s="23"/>
    </row>
    <row r="3021" spans="5:7" x14ac:dyDescent="0.3">
      <c r="E3021" s="23"/>
      <c r="G3021" s="23"/>
    </row>
    <row r="3022" spans="5:7" x14ac:dyDescent="0.3">
      <c r="E3022" s="23"/>
      <c r="G3022" s="23"/>
    </row>
    <row r="3023" spans="5:7" x14ac:dyDescent="0.3">
      <c r="E3023" s="23"/>
      <c r="G3023" s="23"/>
    </row>
    <row r="3024" spans="5:7" x14ac:dyDescent="0.3">
      <c r="E3024" s="23"/>
      <c r="G3024" s="23"/>
    </row>
    <row r="3025" spans="5:7" x14ac:dyDescent="0.3">
      <c r="E3025" s="23"/>
      <c r="G3025" s="23"/>
    </row>
    <row r="3026" spans="5:7" x14ac:dyDescent="0.3">
      <c r="E3026" s="23"/>
      <c r="G3026" s="23"/>
    </row>
    <row r="3027" spans="5:7" x14ac:dyDescent="0.3">
      <c r="E3027" s="23"/>
      <c r="G3027" s="23"/>
    </row>
    <row r="3028" spans="5:7" x14ac:dyDescent="0.3">
      <c r="E3028" s="23"/>
      <c r="G3028" s="23"/>
    </row>
    <row r="3029" spans="5:7" x14ac:dyDescent="0.3">
      <c r="E3029" s="23"/>
      <c r="G3029" s="23"/>
    </row>
    <row r="3030" spans="5:7" x14ac:dyDescent="0.3">
      <c r="E3030" s="23"/>
      <c r="G3030" s="23"/>
    </row>
    <row r="3031" spans="5:7" x14ac:dyDescent="0.3">
      <c r="E3031" s="23"/>
      <c r="G3031" s="23"/>
    </row>
    <row r="3032" spans="5:7" x14ac:dyDescent="0.3">
      <c r="E3032" s="23"/>
      <c r="G3032" s="23"/>
    </row>
    <row r="3033" spans="5:7" x14ac:dyDescent="0.3">
      <c r="E3033" s="23"/>
      <c r="G3033" s="23"/>
    </row>
    <row r="3034" spans="5:7" x14ac:dyDescent="0.3">
      <c r="E3034" s="23"/>
      <c r="G3034" s="23"/>
    </row>
    <row r="3035" spans="5:7" x14ac:dyDescent="0.3">
      <c r="E3035" s="23"/>
      <c r="G3035" s="23"/>
    </row>
    <row r="3036" spans="5:7" x14ac:dyDescent="0.3">
      <c r="E3036" s="23"/>
      <c r="G3036" s="23"/>
    </row>
    <row r="3037" spans="5:7" x14ac:dyDescent="0.3">
      <c r="E3037" s="23"/>
      <c r="G3037" s="23"/>
    </row>
    <row r="3038" spans="5:7" x14ac:dyDescent="0.3">
      <c r="E3038" s="23"/>
      <c r="G3038" s="23"/>
    </row>
    <row r="3039" spans="5:7" x14ac:dyDescent="0.3">
      <c r="E3039" s="23"/>
      <c r="G3039" s="23"/>
    </row>
    <row r="3040" spans="5:7" x14ac:dyDescent="0.3">
      <c r="E3040" s="23"/>
      <c r="G3040" s="23"/>
    </row>
    <row r="3041" spans="5:7" x14ac:dyDescent="0.3">
      <c r="E3041" s="23"/>
      <c r="G3041" s="23"/>
    </row>
    <row r="3042" spans="5:7" x14ac:dyDescent="0.3">
      <c r="E3042" s="23"/>
      <c r="G3042" s="23"/>
    </row>
    <row r="3043" spans="5:7" x14ac:dyDescent="0.3">
      <c r="E3043" s="23"/>
      <c r="G3043" s="23"/>
    </row>
    <row r="3044" spans="5:7" x14ac:dyDescent="0.3">
      <c r="E3044" s="23"/>
      <c r="G3044" s="23"/>
    </row>
    <row r="3045" spans="5:7" x14ac:dyDescent="0.3">
      <c r="E3045" s="23"/>
      <c r="G3045" s="23"/>
    </row>
    <row r="3046" spans="5:7" x14ac:dyDescent="0.3">
      <c r="E3046" s="23"/>
      <c r="G3046" s="23"/>
    </row>
    <row r="3047" spans="5:7" x14ac:dyDescent="0.3">
      <c r="E3047" s="23"/>
      <c r="G3047" s="23"/>
    </row>
    <row r="3048" spans="5:7" x14ac:dyDescent="0.3">
      <c r="E3048" s="23"/>
      <c r="G3048" s="23"/>
    </row>
    <row r="3049" spans="5:7" x14ac:dyDescent="0.3">
      <c r="E3049" s="23"/>
      <c r="G3049" s="23"/>
    </row>
    <row r="3050" spans="5:7" x14ac:dyDescent="0.3">
      <c r="E3050" s="23"/>
      <c r="G3050" s="23"/>
    </row>
    <row r="3051" spans="5:7" x14ac:dyDescent="0.3">
      <c r="E3051" s="23"/>
      <c r="G3051" s="23"/>
    </row>
    <row r="3052" spans="5:7" x14ac:dyDescent="0.3">
      <c r="E3052" s="23"/>
      <c r="G3052" s="23"/>
    </row>
    <row r="3053" spans="5:7" x14ac:dyDescent="0.3">
      <c r="E3053" s="23"/>
      <c r="G3053" s="23"/>
    </row>
    <row r="3054" spans="5:7" x14ac:dyDescent="0.3">
      <c r="E3054" s="23"/>
      <c r="G3054" s="23"/>
    </row>
    <row r="3055" spans="5:7" x14ac:dyDescent="0.3">
      <c r="E3055" s="23"/>
      <c r="G3055" s="23"/>
    </row>
    <row r="3056" spans="5:7" x14ac:dyDescent="0.3">
      <c r="E3056" s="23"/>
      <c r="G3056" s="23"/>
    </row>
    <row r="3057" spans="5:7" x14ac:dyDescent="0.3">
      <c r="E3057" s="23"/>
      <c r="G3057" s="23"/>
    </row>
    <row r="3058" spans="5:7" x14ac:dyDescent="0.3">
      <c r="E3058" s="23"/>
      <c r="G3058" s="23"/>
    </row>
    <row r="3059" spans="5:7" x14ac:dyDescent="0.3">
      <c r="E3059" s="23"/>
      <c r="G3059" s="23"/>
    </row>
    <row r="3060" spans="5:7" x14ac:dyDescent="0.3">
      <c r="E3060" s="23"/>
      <c r="G3060" s="23"/>
    </row>
    <row r="3061" spans="5:7" x14ac:dyDescent="0.3">
      <c r="E3061" s="23"/>
      <c r="G3061" s="23"/>
    </row>
    <row r="3062" spans="5:7" x14ac:dyDescent="0.3">
      <c r="E3062" s="23"/>
      <c r="G3062" s="23"/>
    </row>
    <row r="3063" spans="5:7" x14ac:dyDescent="0.3">
      <c r="E3063" s="23"/>
      <c r="G3063" s="23"/>
    </row>
    <row r="3064" spans="5:7" x14ac:dyDescent="0.3">
      <c r="E3064" s="23"/>
      <c r="G3064" s="23"/>
    </row>
    <row r="3065" spans="5:7" x14ac:dyDescent="0.3">
      <c r="E3065" s="23"/>
      <c r="G3065" s="23"/>
    </row>
    <row r="3066" spans="5:7" x14ac:dyDescent="0.3">
      <c r="E3066" s="23"/>
      <c r="G3066" s="23"/>
    </row>
    <row r="3067" spans="5:7" x14ac:dyDescent="0.3">
      <c r="E3067" s="23"/>
      <c r="G3067" s="23"/>
    </row>
    <row r="3068" spans="5:7" x14ac:dyDescent="0.3">
      <c r="E3068" s="23"/>
      <c r="G3068" s="23"/>
    </row>
    <row r="3069" spans="5:7" x14ac:dyDescent="0.3">
      <c r="E3069" s="23"/>
      <c r="G3069" s="23"/>
    </row>
    <row r="3070" spans="5:7" x14ac:dyDescent="0.3">
      <c r="E3070" s="23"/>
      <c r="G3070" s="23"/>
    </row>
    <row r="3071" spans="5:7" x14ac:dyDescent="0.3">
      <c r="E3071" s="23"/>
      <c r="G3071" s="23"/>
    </row>
    <row r="3072" spans="5:7" x14ac:dyDescent="0.3">
      <c r="E3072" s="23"/>
      <c r="G3072" s="23"/>
    </row>
    <row r="3073" spans="5:7" x14ac:dyDescent="0.3">
      <c r="E3073" s="23"/>
      <c r="G3073" s="23"/>
    </row>
    <row r="3074" spans="5:7" x14ac:dyDescent="0.3">
      <c r="E3074" s="23"/>
      <c r="G3074" s="23"/>
    </row>
    <row r="3075" spans="5:7" x14ac:dyDescent="0.3">
      <c r="E3075" s="23"/>
      <c r="G3075" s="23"/>
    </row>
    <row r="3076" spans="5:7" x14ac:dyDescent="0.3">
      <c r="E3076" s="23"/>
      <c r="G3076" s="23"/>
    </row>
    <row r="3077" spans="5:7" x14ac:dyDescent="0.3">
      <c r="E3077" s="23"/>
      <c r="G3077" s="23"/>
    </row>
    <row r="3078" spans="5:7" x14ac:dyDescent="0.3">
      <c r="E3078" s="23"/>
      <c r="G3078" s="23"/>
    </row>
    <row r="3079" spans="5:7" x14ac:dyDescent="0.3">
      <c r="E3079" s="23"/>
      <c r="G3079" s="23"/>
    </row>
    <row r="3080" spans="5:7" x14ac:dyDescent="0.3">
      <c r="E3080" s="23"/>
      <c r="G3080" s="23"/>
    </row>
    <row r="3081" spans="5:7" x14ac:dyDescent="0.3">
      <c r="E3081" s="23"/>
      <c r="G3081" s="23"/>
    </row>
    <row r="3082" spans="5:7" x14ac:dyDescent="0.3">
      <c r="E3082" s="23"/>
      <c r="G3082" s="23"/>
    </row>
    <row r="3083" spans="5:7" x14ac:dyDescent="0.3">
      <c r="E3083" s="23"/>
      <c r="G3083" s="23"/>
    </row>
    <row r="3084" spans="5:7" x14ac:dyDescent="0.3">
      <c r="E3084" s="23"/>
      <c r="G3084" s="23"/>
    </row>
    <row r="3085" spans="5:7" x14ac:dyDescent="0.3">
      <c r="E3085" s="23"/>
      <c r="G3085" s="23"/>
    </row>
    <row r="3086" spans="5:7" x14ac:dyDescent="0.3">
      <c r="E3086" s="23"/>
      <c r="G3086" s="23"/>
    </row>
    <row r="3087" spans="5:7" x14ac:dyDescent="0.3">
      <c r="E3087" s="23"/>
      <c r="G3087" s="23"/>
    </row>
    <row r="3088" spans="5:7" x14ac:dyDescent="0.3">
      <c r="E3088" s="23"/>
      <c r="G3088" s="23"/>
    </row>
    <row r="3089" spans="5:7" x14ac:dyDescent="0.3">
      <c r="E3089" s="23"/>
      <c r="G3089" s="23"/>
    </row>
    <row r="3090" spans="5:7" x14ac:dyDescent="0.3">
      <c r="E3090" s="23"/>
      <c r="G3090" s="23"/>
    </row>
    <row r="3091" spans="5:7" x14ac:dyDescent="0.3">
      <c r="E3091" s="23"/>
      <c r="G3091" s="23"/>
    </row>
    <row r="3092" spans="5:7" x14ac:dyDescent="0.3">
      <c r="E3092" s="23"/>
      <c r="G3092" s="23"/>
    </row>
    <row r="3093" spans="5:7" x14ac:dyDescent="0.3">
      <c r="E3093" s="23"/>
      <c r="G3093" s="23"/>
    </row>
    <row r="3094" spans="5:7" x14ac:dyDescent="0.3">
      <c r="E3094" s="23"/>
      <c r="G3094" s="23"/>
    </row>
    <row r="3095" spans="5:7" x14ac:dyDescent="0.3">
      <c r="E3095" s="23"/>
      <c r="G3095" s="23"/>
    </row>
    <row r="3096" spans="5:7" x14ac:dyDescent="0.3">
      <c r="E3096" s="23"/>
      <c r="G3096" s="23"/>
    </row>
    <row r="3097" spans="5:7" x14ac:dyDescent="0.3">
      <c r="E3097" s="23"/>
      <c r="G3097" s="23"/>
    </row>
    <row r="3098" spans="5:7" x14ac:dyDescent="0.3">
      <c r="E3098" s="23"/>
      <c r="G3098" s="23"/>
    </row>
    <row r="3099" spans="5:7" x14ac:dyDescent="0.3">
      <c r="E3099" s="23"/>
      <c r="G3099" s="23"/>
    </row>
    <row r="3100" spans="5:7" x14ac:dyDescent="0.3">
      <c r="E3100" s="23"/>
      <c r="G3100" s="23"/>
    </row>
    <row r="3101" spans="5:7" x14ac:dyDescent="0.3">
      <c r="E3101" s="23"/>
      <c r="G3101" s="23"/>
    </row>
    <row r="3102" spans="5:7" x14ac:dyDescent="0.3">
      <c r="E3102" s="23"/>
      <c r="G3102" s="23"/>
    </row>
    <row r="3103" spans="5:7" x14ac:dyDescent="0.3">
      <c r="E3103" s="23"/>
      <c r="G3103" s="23"/>
    </row>
    <row r="3104" spans="5:7" x14ac:dyDescent="0.3">
      <c r="E3104" s="23"/>
      <c r="G3104" s="23"/>
    </row>
    <row r="3105" spans="5:7" x14ac:dyDescent="0.3">
      <c r="E3105" s="23"/>
      <c r="G3105" s="23"/>
    </row>
    <row r="3106" spans="5:7" x14ac:dyDescent="0.3">
      <c r="E3106" s="23"/>
      <c r="G3106" s="23"/>
    </row>
    <row r="3107" spans="5:7" x14ac:dyDescent="0.3">
      <c r="E3107" s="23"/>
      <c r="G3107" s="23"/>
    </row>
    <row r="3108" spans="5:7" x14ac:dyDescent="0.3">
      <c r="E3108" s="23"/>
      <c r="G3108" s="23"/>
    </row>
    <row r="3109" spans="5:7" x14ac:dyDescent="0.3">
      <c r="E3109" s="23"/>
      <c r="G3109" s="23"/>
    </row>
    <row r="3110" spans="5:7" x14ac:dyDescent="0.3">
      <c r="E3110" s="23"/>
      <c r="G3110" s="23"/>
    </row>
    <row r="3111" spans="5:7" x14ac:dyDescent="0.3">
      <c r="E3111" s="23"/>
      <c r="G3111" s="23"/>
    </row>
    <row r="3112" spans="5:7" x14ac:dyDescent="0.3">
      <c r="E3112" s="23"/>
      <c r="G3112" s="23"/>
    </row>
    <row r="3113" spans="5:7" x14ac:dyDescent="0.3">
      <c r="E3113" s="23"/>
      <c r="G3113" s="23"/>
    </row>
    <row r="3114" spans="5:7" x14ac:dyDescent="0.3">
      <c r="E3114" s="23"/>
      <c r="G3114" s="23"/>
    </row>
    <row r="3115" spans="5:7" x14ac:dyDescent="0.3">
      <c r="E3115" s="23"/>
      <c r="G3115" s="23"/>
    </row>
    <row r="3116" spans="5:7" x14ac:dyDescent="0.3">
      <c r="E3116" s="23"/>
      <c r="G3116" s="23"/>
    </row>
    <row r="3117" spans="5:7" x14ac:dyDescent="0.3">
      <c r="E3117" s="23"/>
      <c r="G3117" s="23"/>
    </row>
    <row r="3118" spans="5:7" x14ac:dyDescent="0.3">
      <c r="E3118" s="23"/>
      <c r="G3118" s="23"/>
    </row>
    <row r="3119" spans="5:7" x14ac:dyDescent="0.3">
      <c r="E3119" s="23"/>
      <c r="G3119" s="23"/>
    </row>
    <row r="3120" spans="5:7" x14ac:dyDescent="0.3">
      <c r="E3120" s="23"/>
      <c r="G3120" s="23"/>
    </row>
    <row r="3121" spans="5:7" x14ac:dyDescent="0.3">
      <c r="E3121" s="23"/>
      <c r="G3121" s="23"/>
    </row>
    <row r="3122" spans="5:7" x14ac:dyDescent="0.3">
      <c r="E3122" s="23"/>
      <c r="G3122" s="23"/>
    </row>
    <row r="3123" spans="5:7" x14ac:dyDescent="0.3">
      <c r="E3123" s="23"/>
      <c r="G3123" s="23"/>
    </row>
    <row r="3124" spans="5:7" x14ac:dyDescent="0.3">
      <c r="E3124" s="23"/>
      <c r="G3124" s="23"/>
    </row>
    <row r="3125" spans="5:7" x14ac:dyDescent="0.3">
      <c r="E3125" s="23"/>
      <c r="G3125" s="23"/>
    </row>
    <row r="3126" spans="5:7" x14ac:dyDescent="0.3">
      <c r="E3126" s="23"/>
      <c r="G3126" s="23"/>
    </row>
    <row r="3127" spans="5:7" x14ac:dyDescent="0.3">
      <c r="E3127" s="23"/>
      <c r="G3127" s="23"/>
    </row>
    <row r="3128" spans="5:7" x14ac:dyDescent="0.3">
      <c r="E3128" s="23"/>
      <c r="G3128" s="23"/>
    </row>
    <row r="3129" spans="5:7" x14ac:dyDescent="0.3">
      <c r="E3129" s="23"/>
      <c r="G3129" s="23"/>
    </row>
    <row r="3130" spans="5:7" x14ac:dyDescent="0.3">
      <c r="E3130" s="23"/>
      <c r="G3130" s="23"/>
    </row>
    <row r="3131" spans="5:7" x14ac:dyDescent="0.3">
      <c r="E3131" s="23"/>
      <c r="G3131" s="23"/>
    </row>
    <row r="3132" spans="5:7" x14ac:dyDescent="0.3">
      <c r="E3132" s="23"/>
      <c r="G3132" s="23"/>
    </row>
    <row r="3133" spans="5:7" x14ac:dyDescent="0.3">
      <c r="E3133" s="23"/>
      <c r="G3133" s="23"/>
    </row>
    <row r="3134" spans="5:7" x14ac:dyDescent="0.3">
      <c r="E3134" s="23"/>
      <c r="G3134" s="23"/>
    </row>
    <row r="3135" spans="5:7" x14ac:dyDescent="0.3">
      <c r="E3135" s="23"/>
      <c r="G3135" s="23"/>
    </row>
    <row r="3136" spans="5:7" x14ac:dyDescent="0.3">
      <c r="E3136" s="23"/>
      <c r="G3136" s="23"/>
    </row>
    <row r="3137" spans="5:7" x14ac:dyDescent="0.3">
      <c r="E3137" s="23"/>
      <c r="G3137" s="23"/>
    </row>
    <row r="3138" spans="5:7" x14ac:dyDescent="0.3">
      <c r="E3138" s="23"/>
      <c r="G3138" s="23"/>
    </row>
    <row r="3139" spans="5:7" x14ac:dyDescent="0.3">
      <c r="E3139" s="23"/>
      <c r="G3139" s="23"/>
    </row>
    <row r="3140" spans="5:7" x14ac:dyDescent="0.3">
      <c r="E3140" s="23"/>
      <c r="G3140" s="23"/>
    </row>
    <row r="3141" spans="5:7" x14ac:dyDescent="0.3">
      <c r="E3141" s="23"/>
      <c r="G3141" s="23"/>
    </row>
    <row r="3142" spans="5:7" x14ac:dyDescent="0.3">
      <c r="E3142" s="23"/>
      <c r="G3142" s="23"/>
    </row>
    <row r="3143" spans="5:7" x14ac:dyDescent="0.3">
      <c r="E3143" s="23"/>
      <c r="G3143" s="23"/>
    </row>
    <row r="3144" spans="5:7" x14ac:dyDescent="0.3">
      <c r="E3144" s="23"/>
      <c r="G3144" s="23"/>
    </row>
    <row r="3145" spans="5:7" x14ac:dyDescent="0.3">
      <c r="E3145" s="23"/>
      <c r="G3145" s="23"/>
    </row>
    <row r="3146" spans="5:7" x14ac:dyDescent="0.3">
      <c r="E3146" s="23"/>
      <c r="G3146" s="23"/>
    </row>
    <row r="3147" spans="5:7" x14ac:dyDescent="0.3">
      <c r="E3147" s="23"/>
      <c r="G3147" s="23"/>
    </row>
    <row r="3148" spans="5:7" x14ac:dyDescent="0.3">
      <c r="E3148" s="23"/>
      <c r="G3148" s="23"/>
    </row>
    <row r="3149" spans="5:7" x14ac:dyDescent="0.3">
      <c r="E3149" s="23"/>
      <c r="G3149" s="23"/>
    </row>
    <row r="3150" spans="5:7" x14ac:dyDescent="0.3">
      <c r="E3150" s="23"/>
      <c r="G3150" s="23"/>
    </row>
    <row r="3151" spans="5:7" x14ac:dyDescent="0.3">
      <c r="E3151" s="23"/>
      <c r="G3151" s="23"/>
    </row>
    <row r="3152" spans="5:7" x14ac:dyDescent="0.3">
      <c r="E3152" s="23"/>
      <c r="G3152" s="23"/>
    </row>
    <row r="3153" spans="5:7" x14ac:dyDescent="0.3">
      <c r="E3153" s="23"/>
      <c r="G3153" s="23"/>
    </row>
    <row r="3154" spans="5:7" x14ac:dyDescent="0.3">
      <c r="E3154" s="23"/>
      <c r="G3154" s="23"/>
    </row>
    <row r="3155" spans="5:7" x14ac:dyDescent="0.3">
      <c r="E3155" s="23"/>
      <c r="G3155" s="23"/>
    </row>
    <row r="3156" spans="5:7" x14ac:dyDescent="0.3">
      <c r="E3156" s="23"/>
      <c r="G3156" s="23"/>
    </row>
    <row r="3157" spans="5:7" x14ac:dyDescent="0.3">
      <c r="E3157" s="23"/>
      <c r="G3157" s="23"/>
    </row>
    <row r="3158" spans="5:7" x14ac:dyDescent="0.3">
      <c r="E3158" s="23"/>
      <c r="G3158" s="23"/>
    </row>
    <row r="3159" spans="5:7" x14ac:dyDescent="0.3">
      <c r="E3159" s="23"/>
      <c r="G3159" s="23"/>
    </row>
    <row r="3160" spans="5:7" x14ac:dyDescent="0.3">
      <c r="E3160" s="23"/>
      <c r="G3160" s="23"/>
    </row>
    <row r="3161" spans="5:7" x14ac:dyDescent="0.3">
      <c r="E3161" s="23"/>
      <c r="G3161" s="23"/>
    </row>
    <row r="3162" spans="5:7" x14ac:dyDescent="0.3">
      <c r="E3162" s="23"/>
      <c r="G3162" s="23"/>
    </row>
    <row r="3163" spans="5:7" x14ac:dyDescent="0.3">
      <c r="E3163" s="23"/>
      <c r="G3163" s="23"/>
    </row>
    <row r="3164" spans="5:7" x14ac:dyDescent="0.3">
      <c r="E3164" s="23"/>
      <c r="G3164" s="23"/>
    </row>
    <row r="3165" spans="5:7" x14ac:dyDescent="0.3">
      <c r="E3165" s="23"/>
      <c r="G3165" s="23"/>
    </row>
    <row r="3166" spans="5:7" x14ac:dyDescent="0.3">
      <c r="E3166" s="23"/>
      <c r="G3166" s="23"/>
    </row>
    <row r="3167" spans="5:7" x14ac:dyDescent="0.3">
      <c r="E3167" s="23"/>
      <c r="G3167" s="23"/>
    </row>
    <row r="3168" spans="5:7" x14ac:dyDescent="0.3">
      <c r="E3168" s="23"/>
      <c r="G3168" s="23"/>
    </row>
    <row r="3169" spans="5:7" x14ac:dyDescent="0.3">
      <c r="E3169" s="23"/>
      <c r="G3169" s="23"/>
    </row>
    <row r="3170" spans="5:7" x14ac:dyDescent="0.3">
      <c r="E3170" s="23"/>
      <c r="G3170" s="23"/>
    </row>
    <row r="3171" spans="5:7" x14ac:dyDescent="0.3">
      <c r="E3171" s="23"/>
      <c r="G3171" s="23"/>
    </row>
    <row r="3172" spans="5:7" x14ac:dyDescent="0.3">
      <c r="E3172" s="23"/>
      <c r="G3172" s="23"/>
    </row>
    <row r="3173" spans="5:7" x14ac:dyDescent="0.3">
      <c r="E3173" s="23"/>
      <c r="G3173" s="23"/>
    </row>
    <row r="3174" spans="5:7" x14ac:dyDescent="0.3">
      <c r="E3174" s="23"/>
      <c r="G3174" s="23"/>
    </row>
    <row r="3175" spans="5:7" x14ac:dyDescent="0.3">
      <c r="E3175" s="23"/>
      <c r="G3175" s="23"/>
    </row>
    <row r="3176" spans="5:7" x14ac:dyDescent="0.3">
      <c r="E3176" s="23"/>
      <c r="G3176" s="23"/>
    </row>
    <row r="3177" spans="5:7" x14ac:dyDescent="0.3">
      <c r="E3177" s="23"/>
      <c r="G3177" s="23"/>
    </row>
    <row r="3178" spans="5:7" x14ac:dyDescent="0.3">
      <c r="E3178" s="23"/>
      <c r="G3178" s="23"/>
    </row>
    <row r="3179" spans="5:7" x14ac:dyDescent="0.3">
      <c r="E3179" s="23"/>
      <c r="G3179" s="23"/>
    </row>
    <row r="3180" spans="5:7" x14ac:dyDescent="0.3">
      <c r="E3180" s="23"/>
      <c r="G3180" s="23"/>
    </row>
    <row r="3181" spans="5:7" x14ac:dyDescent="0.3">
      <c r="E3181" s="23"/>
      <c r="G3181" s="23"/>
    </row>
    <row r="3182" spans="5:7" x14ac:dyDescent="0.3">
      <c r="E3182" s="23"/>
      <c r="G3182" s="23"/>
    </row>
    <row r="3183" spans="5:7" x14ac:dyDescent="0.3">
      <c r="E3183" s="23"/>
      <c r="G3183" s="23"/>
    </row>
    <row r="3184" spans="5:7" x14ac:dyDescent="0.3">
      <c r="E3184" s="23"/>
      <c r="G3184" s="23"/>
    </row>
    <row r="3185" spans="5:7" x14ac:dyDescent="0.3">
      <c r="E3185" s="23"/>
      <c r="G3185" s="23"/>
    </row>
    <row r="3186" spans="5:7" x14ac:dyDescent="0.3">
      <c r="E3186" s="23"/>
      <c r="G3186" s="23"/>
    </row>
    <row r="3187" spans="5:7" x14ac:dyDescent="0.3">
      <c r="E3187" s="23"/>
      <c r="G3187" s="23"/>
    </row>
    <row r="3188" spans="5:7" x14ac:dyDescent="0.3">
      <c r="E3188" s="23"/>
      <c r="G3188" s="23"/>
    </row>
    <row r="3189" spans="5:7" x14ac:dyDescent="0.3">
      <c r="E3189" s="23"/>
      <c r="G3189" s="23"/>
    </row>
    <row r="3190" spans="5:7" x14ac:dyDescent="0.3">
      <c r="E3190" s="23"/>
      <c r="G3190" s="23"/>
    </row>
    <row r="3191" spans="5:7" x14ac:dyDescent="0.3">
      <c r="E3191" s="23"/>
      <c r="G3191" s="23"/>
    </row>
    <row r="3192" spans="5:7" x14ac:dyDescent="0.3">
      <c r="E3192" s="23"/>
      <c r="G3192" s="23"/>
    </row>
    <row r="3193" spans="5:7" x14ac:dyDescent="0.3">
      <c r="E3193" s="23"/>
      <c r="G3193" s="23"/>
    </row>
    <row r="3194" spans="5:7" x14ac:dyDescent="0.3">
      <c r="E3194" s="23"/>
      <c r="G3194" s="23"/>
    </row>
    <row r="3195" spans="5:7" x14ac:dyDescent="0.3">
      <c r="E3195" s="23"/>
      <c r="G3195" s="23"/>
    </row>
    <row r="3196" spans="5:7" x14ac:dyDescent="0.3">
      <c r="E3196" s="23"/>
      <c r="G3196" s="23"/>
    </row>
    <row r="3197" spans="5:7" x14ac:dyDescent="0.3">
      <c r="E3197" s="23"/>
      <c r="G3197" s="23"/>
    </row>
    <row r="3198" spans="5:7" x14ac:dyDescent="0.3">
      <c r="E3198" s="23"/>
      <c r="G3198" s="23"/>
    </row>
    <row r="3199" spans="5:7" x14ac:dyDescent="0.3">
      <c r="E3199" s="23"/>
      <c r="G3199" s="23"/>
    </row>
    <row r="3200" spans="5:7" x14ac:dyDescent="0.3">
      <c r="E3200" s="23"/>
      <c r="G3200" s="23"/>
    </row>
    <row r="3201" spans="5:7" x14ac:dyDescent="0.3">
      <c r="E3201" s="23"/>
      <c r="G3201" s="23"/>
    </row>
    <row r="3202" spans="5:7" x14ac:dyDescent="0.3">
      <c r="E3202" s="23"/>
      <c r="G3202" s="23"/>
    </row>
    <row r="3203" spans="5:7" x14ac:dyDescent="0.3">
      <c r="E3203" s="23"/>
      <c r="G3203" s="23"/>
    </row>
    <row r="3204" spans="5:7" x14ac:dyDescent="0.3">
      <c r="E3204" s="23"/>
      <c r="G3204" s="23"/>
    </row>
    <row r="3205" spans="5:7" x14ac:dyDescent="0.3">
      <c r="E3205" s="23"/>
      <c r="G3205" s="23"/>
    </row>
    <row r="3206" spans="5:7" x14ac:dyDescent="0.3">
      <c r="E3206" s="23"/>
      <c r="G3206" s="23"/>
    </row>
    <row r="3207" spans="5:7" x14ac:dyDescent="0.3">
      <c r="E3207" s="23"/>
      <c r="G3207" s="23"/>
    </row>
    <row r="3208" spans="5:7" x14ac:dyDescent="0.3">
      <c r="E3208" s="23"/>
      <c r="G3208" s="23"/>
    </row>
    <row r="3209" spans="5:7" x14ac:dyDescent="0.3">
      <c r="E3209" s="23"/>
      <c r="G3209" s="23"/>
    </row>
    <row r="3210" spans="5:7" x14ac:dyDescent="0.3">
      <c r="E3210" s="23"/>
      <c r="G3210" s="23"/>
    </row>
    <row r="3211" spans="5:7" x14ac:dyDescent="0.3">
      <c r="E3211" s="23"/>
      <c r="G3211" s="23"/>
    </row>
    <row r="3212" spans="5:7" x14ac:dyDescent="0.3">
      <c r="E3212" s="23"/>
      <c r="G3212" s="23"/>
    </row>
    <row r="3213" spans="5:7" x14ac:dyDescent="0.3">
      <c r="E3213" s="23"/>
      <c r="G3213" s="23"/>
    </row>
    <row r="3214" spans="5:7" x14ac:dyDescent="0.3">
      <c r="E3214" s="23"/>
      <c r="G3214" s="23"/>
    </row>
    <row r="3215" spans="5:7" x14ac:dyDescent="0.3">
      <c r="E3215" s="23"/>
      <c r="G3215" s="23"/>
    </row>
    <row r="3216" spans="5:7" x14ac:dyDescent="0.3">
      <c r="E3216" s="23"/>
      <c r="G3216" s="23"/>
    </row>
    <row r="3217" spans="5:7" x14ac:dyDescent="0.3">
      <c r="E3217" s="23"/>
      <c r="G3217" s="23"/>
    </row>
    <row r="3218" spans="5:7" x14ac:dyDescent="0.3">
      <c r="E3218" s="23"/>
      <c r="G3218" s="23"/>
    </row>
    <row r="3219" spans="5:7" x14ac:dyDescent="0.3">
      <c r="E3219" s="23"/>
      <c r="G3219" s="23"/>
    </row>
    <row r="3220" spans="5:7" x14ac:dyDescent="0.3">
      <c r="E3220" s="23"/>
      <c r="G3220" s="23"/>
    </row>
    <row r="3221" spans="5:7" x14ac:dyDescent="0.3">
      <c r="E3221" s="23"/>
      <c r="G3221" s="23"/>
    </row>
    <row r="3222" spans="5:7" x14ac:dyDescent="0.3">
      <c r="E3222" s="23"/>
      <c r="G3222" s="23"/>
    </row>
    <row r="3223" spans="5:7" x14ac:dyDescent="0.3">
      <c r="E3223" s="23"/>
      <c r="G3223" s="23"/>
    </row>
    <row r="3224" spans="5:7" x14ac:dyDescent="0.3">
      <c r="E3224" s="23"/>
      <c r="G3224" s="23"/>
    </row>
    <row r="3225" spans="5:7" x14ac:dyDescent="0.3">
      <c r="E3225" s="23"/>
      <c r="G3225" s="23"/>
    </row>
    <row r="3226" spans="5:7" x14ac:dyDescent="0.3">
      <c r="E3226" s="23"/>
      <c r="G3226" s="23"/>
    </row>
    <row r="3227" spans="5:7" x14ac:dyDescent="0.3">
      <c r="E3227" s="23"/>
      <c r="G3227" s="23"/>
    </row>
    <row r="3228" spans="5:7" x14ac:dyDescent="0.3">
      <c r="E3228" s="23"/>
      <c r="G3228" s="23"/>
    </row>
    <row r="3229" spans="5:7" x14ac:dyDescent="0.3">
      <c r="E3229" s="23"/>
      <c r="G3229" s="23"/>
    </row>
    <row r="3230" spans="5:7" x14ac:dyDescent="0.3">
      <c r="E3230" s="23"/>
      <c r="G3230" s="23"/>
    </row>
    <row r="3231" spans="5:7" x14ac:dyDescent="0.3">
      <c r="E3231" s="23"/>
      <c r="G3231" s="23"/>
    </row>
    <row r="3232" spans="5:7" x14ac:dyDescent="0.3">
      <c r="E3232" s="23"/>
      <c r="G3232" s="23"/>
    </row>
    <row r="3233" spans="5:7" x14ac:dyDescent="0.3">
      <c r="E3233" s="23"/>
      <c r="G3233" s="23"/>
    </row>
    <row r="3234" spans="5:7" x14ac:dyDescent="0.3">
      <c r="E3234" s="23"/>
      <c r="G3234" s="23"/>
    </row>
    <row r="3235" spans="5:7" x14ac:dyDescent="0.3">
      <c r="E3235" s="23"/>
      <c r="G3235" s="23"/>
    </row>
    <row r="3236" spans="5:7" x14ac:dyDescent="0.3">
      <c r="E3236" s="23"/>
      <c r="G3236" s="23"/>
    </row>
    <row r="3237" spans="5:7" x14ac:dyDescent="0.3">
      <c r="E3237" s="23"/>
      <c r="G3237" s="23"/>
    </row>
    <row r="3238" spans="5:7" x14ac:dyDescent="0.3">
      <c r="E3238" s="23"/>
      <c r="G3238" s="23"/>
    </row>
    <row r="3239" spans="5:7" x14ac:dyDescent="0.3">
      <c r="E3239" s="23"/>
      <c r="G3239" s="23"/>
    </row>
    <row r="3240" spans="5:7" x14ac:dyDescent="0.3">
      <c r="E3240" s="23"/>
      <c r="G3240" s="23"/>
    </row>
    <row r="3241" spans="5:7" x14ac:dyDescent="0.3">
      <c r="E3241" s="23"/>
      <c r="G3241" s="23"/>
    </row>
    <row r="3242" spans="5:7" x14ac:dyDescent="0.3">
      <c r="E3242" s="23"/>
      <c r="G3242" s="23"/>
    </row>
    <row r="3243" spans="5:7" x14ac:dyDescent="0.3">
      <c r="E3243" s="23"/>
      <c r="G3243" s="23"/>
    </row>
    <row r="3244" spans="5:7" x14ac:dyDescent="0.3">
      <c r="E3244" s="23"/>
      <c r="G3244" s="23"/>
    </row>
    <row r="3245" spans="5:7" x14ac:dyDescent="0.3">
      <c r="E3245" s="23"/>
      <c r="G3245" s="23"/>
    </row>
    <row r="3246" spans="5:7" x14ac:dyDescent="0.3">
      <c r="E3246" s="23"/>
      <c r="G3246" s="23"/>
    </row>
    <row r="3247" spans="5:7" x14ac:dyDescent="0.3">
      <c r="E3247" s="23"/>
      <c r="G3247" s="23"/>
    </row>
    <row r="3248" spans="5:7" x14ac:dyDescent="0.3">
      <c r="E3248" s="23"/>
      <c r="G3248" s="23"/>
    </row>
    <row r="3249" spans="5:7" x14ac:dyDescent="0.3">
      <c r="E3249" s="23"/>
      <c r="G3249" s="23"/>
    </row>
    <row r="3250" spans="5:7" x14ac:dyDescent="0.3">
      <c r="E3250" s="23"/>
      <c r="G3250" s="23"/>
    </row>
    <row r="3251" spans="5:7" x14ac:dyDescent="0.3">
      <c r="E3251" s="23"/>
      <c r="G3251" s="23"/>
    </row>
    <row r="3252" spans="5:7" x14ac:dyDescent="0.3">
      <c r="E3252" s="23"/>
      <c r="G3252" s="23"/>
    </row>
    <row r="3253" spans="5:7" x14ac:dyDescent="0.3">
      <c r="E3253" s="23"/>
      <c r="G3253" s="23"/>
    </row>
    <row r="3254" spans="5:7" x14ac:dyDescent="0.3">
      <c r="E3254" s="23"/>
      <c r="G3254" s="23"/>
    </row>
    <row r="3255" spans="5:7" x14ac:dyDescent="0.3">
      <c r="E3255" s="23"/>
      <c r="G3255" s="23"/>
    </row>
    <row r="3256" spans="5:7" x14ac:dyDescent="0.3">
      <c r="E3256" s="23"/>
      <c r="G3256" s="23"/>
    </row>
    <row r="3257" spans="5:7" x14ac:dyDescent="0.3">
      <c r="E3257" s="23"/>
      <c r="G3257" s="23"/>
    </row>
    <row r="3258" spans="5:7" x14ac:dyDescent="0.3">
      <c r="E3258" s="23"/>
      <c r="G3258" s="23"/>
    </row>
    <row r="3259" spans="5:7" x14ac:dyDescent="0.3">
      <c r="E3259" s="23"/>
      <c r="G3259" s="23"/>
    </row>
    <row r="3260" spans="5:7" x14ac:dyDescent="0.3">
      <c r="E3260" s="23"/>
      <c r="G3260" s="23"/>
    </row>
    <row r="3261" spans="5:7" x14ac:dyDescent="0.3">
      <c r="E3261" s="23"/>
      <c r="G3261" s="23"/>
    </row>
    <row r="3262" spans="5:7" x14ac:dyDescent="0.3">
      <c r="E3262" s="23"/>
      <c r="G3262" s="23"/>
    </row>
    <row r="3263" spans="5:7" x14ac:dyDescent="0.3">
      <c r="E3263" s="23"/>
      <c r="G3263" s="23"/>
    </row>
    <row r="3264" spans="5:7" x14ac:dyDescent="0.3">
      <c r="E3264" s="23"/>
      <c r="G3264" s="23"/>
    </row>
    <row r="3265" spans="5:7" x14ac:dyDescent="0.3">
      <c r="E3265" s="23"/>
      <c r="G3265" s="23"/>
    </row>
    <row r="3266" spans="5:7" x14ac:dyDescent="0.3">
      <c r="E3266" s="23"/>
      <c r="G3266" s="23"/>
    </row>
    <row r="3267" spans="5:7" x14ac:dyDescent="0.3">
      <c r="E3267" s="23"/>
      <c r="G3267" s="23"/>
    </row>
    <row r="3268" spans="5:7" x14ac:dyDescent="0.3">
      <c r="E3268" s="23"/>
      <c r="G3268" s="23"/>
    </row>
    <row r="3269" spans="5:7" x14ac:dyDescent="0.3">
      <c r="E3269" s="23"/>
      <c r="G3269" s="23"/>
    </row>
    <row r="3270" spans="5:7" x14ac:dyDescent="0.3">
      <c r="E3270" s="23"/>
      <c r="G3270" s="23"/>
    </row>
    <row r="3271" spans="5:7" x14ac:dyDescent="0.3">
      <c r="E3271" s="23"/>
      <c r="G3271" s="23"/>
    </row>
    <row r="3272" spans="5:7" x14ac:dyDescent="0.3">
      <c r="E3272" s="23"/>
      <c r="G3272" s="23"/>
    </row>
    <row r="3273" spans="5:7" x14ac:dyDescent="0.3">
      <c r="E3273" s="23"/>
      <c r="G3273" s="23"/>
    </row>
    <row r="3274" spans="5:7" x14ac:dyDescent="0.3">
      <c r="E3274" s="23"/>
      <c r="G3274" s="23"/>
    </row>
    <row r="3275" spans="5:7" x14ac:dyDescent="0.3">
      <c r="E3275" s="23"/>
      <c r="G3275" s="23"/>
    </row>
    <row r="3276" spans="5:7" x14ac:dyDescent="0.3">
      <c r="E3276" s="23"/>
      <c r="G3276" s="23"/>
    </row>
    <row r="3277" spans="5:7" x14ac:dyDescent="0.3">
      <c r="E3277" s="23"/>
      <c r="G3277" s="23"/>
    </row>
    <row r="3278" spans="5:7" x14ac:dyDescent="0.3">
      <c r="E3278" s="23"/>
      <c r="G3278" s="23"/>
    </row>
    <row r="3279" spans="5:7" x14ac:dyDescent="0.3">
      <c r="E3279" s="23"/>
      <c r="G3279" s="23"/>
    </row>
    <row r="3280" spans="5:7" x14ac:dyDescent="0.3">
      <c r="E3280" s="23"/>
      <c r="G3280" s="23"/>
    </row>
    <row r="3281" spans="5:7" x14ac:dyDescent="0.3">
      <c r="E3281" s="23"/>
      <c r="G3281" s="23"/>
    </row>
    <row r="3282" spans="5:7" x14ac:dyDescent="0.3">
      <c r="E3282" s="23"/>
      <c r="G3282" s="23"/>
    </row>
    <row r="3283" spans="5:7" x14ac:dyDescent="0.3">
      <c r="E3283" s="23"/>
      <c r="G3283" s="23"/>
    </row>
    <row r="3284" spans="5:7" x14ac:dyDescent="0.3">
      <c r="E3284" s="23"/>
      <c r="G3284" s="23"/>
    </row>
    <row r="3285" spans="5:7" x14ac:dyDescent="0.3">
      <c r="E3285" s="23"/>
      <c r="G3285" s="23"/>
    </row>
    <row r="3286" spans="5:7" x14ac:dyDescent="0.3">
      <c r="E3286" s="23"/>
      <c r="G3286" s="23"/>
    </row>
    <row r="3287" spans="5:7" x14ac:dyDescent="0.3">
      <c r="E3287" s="23"/>
      <c r="G3287" s="23"/>
    </row>
    <row r="3288" spans="5:7" x14ac:dyDescent="0.3">
      <c r="E3288" s="23"/>
      <c r="G3288" s="23"/>
    </row>
    <row r="3289" spans="5:7" x14ac:dyDescent="0.3">
      <c r="E3289" s="23"/>
      <c r="G3289" s="23"/>
    </row>
    <row r="3290" spans="5:7" x14ac:dyDescent="0.3">
      <c r="E3290" s="23"/>
      <c r="G3290" s="23"/>
    </row>
    <row r="3291" spans="5:7" x14ac:dyDescent="0.3">
      <c r="E3291" s="23"/>
      <c r="G3291" s="23"/>
    </row>
    <row r="3292" spans="5:7" x14ac:dyDescent="0.3">
      <c r="E3292" s="23"/>
      <c r="G3292" s="23"/>
    </row>
    <row r="3293" spans="5:7" x14ac:dyDescent="0.3">
      <c r="E3293" s="23"/>
      <c r="G3293" s="23"/>
    </row>
    <row r="3294" spans="5:7" x14ac:dyDescent="0.3">
      <c r="E3294" s="23"/>
      <c r="G3294" s="23"/>
    </row>
    <row r="3295" spans="5:7" x14ac:dyDescent="0.3">
      <c r="E3295" s="23"/>
      <c r="G3295" s="23"/>
    </row>
    <row r="3296" spans="5:7" x14ac:dyDescent="0.3">
      <c r="E3296" s="23"/>
      <c r="G3296" s="23"/>
    </row>
    <row r="3297" spans="5:7" x14ac:dyDescent="0.3">
      <c r="E3297" s="23"/>
      <c r="G3297" s="23"/>
    </row>
    <row r="3298" spans="5:7" x14ac:dyDescent="0.3">
      <c r="E3298" s="23"/>
      <c r="G3298" s="23"/>
    </row>
    <row r="3299" spans="5:7" x14ac:dyDescent="0.3">
      <c r="E3299" s="23"/>
      <c r="G3299" s="23"/>
    </row>
    <row r="3300" spans="5:7" x14ac:dyDescent="0.3">
      <c r="E3300" s="23"/>
      <c r="G3300" s="23"/>
    </row>
    <row r="3301" spans="5:7" x14ac:dyDescent="0.3">
      <c r="E3301" s="23"/>
      <c r="G3301" s="23"/>
    </row>
    <row r="3302" spans="5:7" x14ac:dyDescent="0.3">
      <c r="E3302" s="23"/>
      <c r="G3302" s="23"/>
    </row>
    <row r="3303" spans="5:7" x14ac:dyDescent="0.3">
      <c r="E3303" s="23"/>
      <c r="G3303" s="23"/>
    </row>
    <row r="3304" spans="5:7" x14ac:dyDescent="0.3">
      <c r="E3304" s="23"/>
      <c r="G3304" s="23"/>
    </row>
    <row r="3305" spans="5:7" x14ac:dyDescent="0.3">
      <c r="E3305" s="23"/>
      <c r="G3305" s="23"/>
    </row>
    <row r="3306" spans="5:7" x14ac:dyDescent="0.3">
      <c r="E3306" s="23"/>
      <c r="G3306" s="23"/>
    </row>
    <row r="3307" spans="5:7" x14ac:dyDescent="0.3">
      <c r="E3307" s="23"/>
      <c r="G3307" s="23"/>
    </row>
    <row r="3308" spans="5:7" x14ac:dyDescent="0.3">
      <c r="E3308" s="23"/>
      <c r="G3308" s="23"/>
    </row>
    <row r="3309" spans="5:7" x14ac:dyDescent="0.3">
      <c r="E3309" s="23"/>
      <c r="G3309" s="23"/>
    </row>
    <row r="3310" spans="5:7" x14ac:dyDescent="0.3">
      <c r="E3310" s="23"/>
      <c r="G3310" s="23"/>
    </row>
    <row r="3311" spans="5:7" x14ac:dyDescent="0.3">
      <c r="E3311" s="23"/>
      <c r="G3311" s="23"/>
    </row>
    <row r="3312" spans="5:7" x14ac:dyDescent="0.3">
      <c r="E3312" s="23"/>
      <c r="G3312" s="23"/>
    </row>
    <row r="3313" spans="5:7" x14ac:dyDescent="0.3">
      <c r="E3313" s="23"/>
      <c r="G3313" s="23"/>
    </row>
    <row r="3314" spans="5:7" x14ac:dyDescent="0.3">
      <c r="E3314" s="23"/>
      <c r="G3314" s="23"/>
    </row>
    <row r="3315" spans="5:7" x14ac:dyDescent="0.3">
      <c r="E3315" s="23"/>
      <c r="G3315" s="23"/>
    </row>
    <row r="3316" spans="5:7" x14ac:dyDescent="0.3">
      <c r="E3316" s="23"/>
      <c r="G3316" s="23"/>
    </row>
    <row r="3317" spans="5:7" x14ac:dyDescent="0.3">
      <c r="E3317" s="23"/>
      <c r="G3317" s="23"/>
    </row>
    <row r="3318" spans="5:7" x14ac:dyDescent="0.3">
      <c r="E3318" s="23"/>
      <c r="G3318" s="23"/>
    </row>
    <row r="3319" spans="5:7" x14ac:dyDescent="0.3">
      <c r="E3319" s="23"/>
      <c r="G3319" s="23"/>
    </row>
    <row r="3320" spans="5:7" x14ac:dyDescent="0.3">
      <c r="E3320" s="23"/>
      <c r="G3320" s="23"/>
    </row>
    <row r="3321" spans="5:7" x14ac:dyDescent="0.3">
      <c r="E3321" s="23"/>
      <c r="G3321" s="23"/>
    </row>
    <row r="3322" spans="5:7" x14ac:dyDescent="0.3">
      <c r="E3322" s="23"/>
      <c r="G3322" s="23"/>
    </row>
    <row r="3323" spans="5:7" x14ac:dyDescent="0.3">
      <c r="E3323" s="23"/>
      <c r="G3323" s="23"/>
    </row>
    <row r="3324" spans="5:7" x14ac:dyDescent="0.3">
      <c r="E3324" s="23"/>
      <c r="G3324" s="23"/>
    </row>
    <row r="3325" spans="5:7" x14ac:dyDescent="0.3">
      <c r="E3325" s="23"/>
      <c r="G3325" s="23"/>
    </row>
    <row r="3326" spans="5:7" x14ac:dyDescent="0.3">
      <c r="E3326" s="23"/>
      <c r="G3326" s="23"/>
    </row>
    <row r="3327" spans="5:7" x14ac:dyDescent="0.3">
      <c r="E3327" s="23"/>
      <c r="G3327" s="23"/>
    </row>
    <row r="3328" spans="5:7" x14ac:dyDescent="0.3">
      <c r="E3328" s="23"/>
      <c r="G3328" s="23"/>
    </row>
    <row r="3329" spans="5:7" x14ac:dyDescent="0.3">
      <c r="E3329" s="23"/>
      <c r="G3329" s="23"/>
    </row>
    <row r="3330" spans="5:7" x14ac:dyDescent="0.3">
      <c r="E3330" s="23"/>
      <c r="G3330" s="23"/>
    </row>
    <row r="3331" spans="5:7" x14ac:dyDescent="0.3">
      <c r="E3331" s="23"/>
      <c r="G3331" s="23"/>
    </row>
    <row r="3332" spans="5:7" x14ac:dyDescent="0.3">
      <c r="E3332" s="23"/>
      <c r="G3332" s="23"/>
    </row>
    <row r="3333" spans="5:7" x14ac:dyDescent="0.3">
      <c r="E3333" s="23"/>
      <c r="G3333" s="23"/>
    </row>
    <row r="3334" spans="5:7" x14ac:dyDescent="0.3">
      <c r="E3334" s="23"/>
      <c r="G3334" s="23"/>
    </row>
    <row r="3335" spans="5:7" x14ac:dyDescent="0.3">
      <c r="E3335" s="23"/>
      <c r="G3335" s="23"/>
    </row>
    <row r="3336" spans="5:7" x14ac:dyDescent="0.3">
      <c r="E3336" s="23"/>
      <c r="G3336" s="23"/>
    </row>
    <row r="3337" spans="5:7" x14ac:dyDescent="0.3">
      <c r="E3337" s="23"/>
      <c r="G3337" s="23"/>
    </row>
    <row r="3338" spans="5:7" x14ac:dyDescent="0.3">
      <c r="E3338" s="23"/>
      <c r="G3338" s="23"/>
    </row>
    <row r="3339" spans="5:7" x14ac:dyDescent="0.3">
      <c r="E3339" s="23"/>
      <c r="G3339" s="23"/>
    </row>
    <row r="3340" spans="5:7" x14ac:dyDescent="0.3">
      <c r="E3340" s="23"/>
      <c r="G3340" s="23"/>
    </row>
    <row r="3341" spans="5:7" x14ac:dyDescent="0.3">
      <c r="E3341" s="23"/>
      <c r="G3341" s="23"/>
    </row>
    <row r="3342" spans="5:7" x14ac:dyDescent="0.3">
      <c r="E3342" s="23"/>
      <c r="G3342" s="23"/>
    </row>
    <row r="3343" spans="5:7" x14ac:dyDescent="0.3">
      <c r="E3343" s="23"/>
      <c r="G3343" s="23"/>
    </row>
    <row r="3344" spans="5:7" x14ac:dyDescent="0.3">
      <c r="E3344" s="23"/>
      <c r="G3344" s="23"/>
    </row>
    <row r="3345" spans="5:7" x14ac:dyDescent="0.3">
      <c r="E3345" s="23"/>
      <c r="G3345" s="23"/>
    </row>
    <row r="3346" spans="5:7" x14ac:dyDescent="0.3">
      <c r="E3346" s="23"/>
      <c r="G3346" s="23"/>
    </row>
    <row r="3347" spans="5:7" x14ac:dyDescent="0.3">
      <c r="E3347" s="23"/>
      <c r="G3347" s="23"/>
    </row>
    <row r="3348" spans="5:7" x14ac:dyDescent="0.3">
      <c r="E3348" s="23"/>
      <c r="G3348" s="23"/>
    </row>
    <row r="3349" spans="5:7" x14ac:dyDescent="0.3">
      <c r="E3349" s="23"/>
      <c r="G3349" s="23"/>
    </row>
    <row r="3350" spans="5:7" x14ac:dyDescent="0.3">
      <c r="E3350" s="23"/>
      <c r="G3350" s="23"/>
    </row>
    <row r="3351" spans="5:7" x14ac:dyDescent="0.3">
      <c r="E3351" s="23"/>
      <c r="G3351" s="23"/>
    </row>
    <row r="3352" spans="5:7" x14ac:dyDescent="0.3">
      <c r="E3352" s="23"/>
      <c r="G3352" s="23"/>
    </row>
    <row r="3353" spans="5:7" x14ac:dyDescent="0.3">
      <c r="E3353" s="23"/>
      <c r="G3353" s="23"/>
    </row>
    <row r="3354" spans="5:7" x14ac:dyDescent="0.3">
      <c r="E3354" s="23"/>
      <c r="G3354" s="23"/>
    </row>
    <row r="3355" spans="5:7" x14ac:dyDescent="0.3">
      <c r="E3355" s="23"/>
      <c r="G3355" s="23"/>
    </row>
    <row r="3356" spans="5:7" x14ac:dyDescent="0.3">
      <c r="E3356" s="23"/>
      <c r="G3356" s="23"/>
    </row>
    <row r="3357" spans="5:7" x14ac:dyDescent="0.3">
      <c r="E3357" s="23"/>
      <c r="G3357" s="23"/>
    </row>
    <row r="3358" spans="5:7" x14ac:dyDescent="0.3">
      <c r="E3358" s="23"/>
      <c r="G3358" s="23"/>
    </row>
    <row r="3359" spans="5:7" x14ac:dyDescent="0.3">
      <c r="E3359" s="23"/>
      <c r="G3359" s="23"/>
    </row>
    <row r="3360" spans="5:7" x14ac:dyDescent="0.3">
      <c r="E3360" s="23"/>
      <c r="G3360" s="23"/>
    </row>
    <row r="3361" spans="5:7" x14ac:dyDescent="0.3">
      <c r="E3361" s="23"/>
      <c r="G3361" s="23"/>
    </row>
    <row r="3362" spans="5:7" x14ac:dyDescent="0.3">
      <c r="E3362" s="23"/>
      <c r="G3362" s="23"/>
    </row>
    <row r="3363" spans="5:7" x14ac:dyDescent="0.3">
      <c r="E3363" s="23"/>
      <c r="G3363" s="23"/>
    </row>
    <row r="3364" spans="5:7" x14ac:dyDescent="0.3">
      <c r="E3364" s="23"/>
      <c r="G3364" s="23"/>
    </row>
    <row r="3365" spans="5:7" x14ac:dyDescent="0.3">
      <c r="E3365" s="23"/>
      <c r="G3365" s="23"/>
    </row>
    <row r="3366" spans="5:7" x14ac:dyDescent="0.3">
      <c r="E3366" s="23"/>
      <c r="G3366" s="23"/>
    </row>
    <row r="3367" spans="5:7" x14ac:dyDescent="0.3">
      <c r="E3367" s="23"/>
      <c r="G3367" s="23"/>
    </row>
    <row r="3368" spans="5:7" x14ac:dyDescent="0.3">
      <c r="E3368" s="23"/>
      <c r="G3368" s="23"/>
    </row>
    <row r="3369" spans="5:7" x14ac:dyDescent="0.3">
      <c r="E3369" s="23"/>
      <c r="G3369" s="23"/>
    </row>
    <row r="3370" spans="5:7" x14ac:dyDescent="0.3">
      <c r="E3370" s="23"/>
      <c r="G3370" s="23"/>
    </row>
    <row r="3371" spans="5:7" x14ac:dyDescent="0.3">
      <c r="E3371" s="23"/>
      <c r="G3371" s="23"/>
    </row>
    <row r="3372" spans="5:7" x14ac:dyDescent="0.3">
      <c r="E3372" s="23"/>
      <c r="G3372" s="23"/>
    </row>
    <row r="3373" spans="5:7" x14ac:dyDescent="0.3">
      <c r="E3373" s="23"/>
      <c r="G3373" s="23"/>
    </row>
    <row r="3374" spans="5:7" x14ac:dyDescent="0.3">
      <c r="E3374" s="23"/>
      <c r="G3374" s="23"/>
    </row>
    <row r="3375" spans="5:7" x14ac:dyDescent="0.3">
      <c r="E3375" s="23"/>
      <c r="G3375" s="23"/>
    </row>
    <row r="3376" spans="5:7" x14ac:dyDescent="0.3">
      <c r="E3376" s="23"/>
      <c r="G3376" s="23"/>
    </row>
    <row r="3377" spans="5:7" x14ac:dyDescent="0.3">
      <c r="E3377" s="23"/>
      <c r="G3377" s="23"/>
    </row>
    <row r="3378" spans="5:7" x14ac:dyDescent="0.3">
      <c r="E3378" s="23"/>
      <c r="G3378" s="23"/>
    </row>
    <row r="3379" spans="5:7" x14ac:dyDescent="0.3">
      <c r="E3379" s="23"/>
      <c r="G3379" s="23"/>
    </row>
    <row r="3380" spans="5:7" x14ac:dyDescent="0.3">
      <c r="E3380" s="23"/>
      <c r="G3380" s="23"/>
    </row>
    <row r="3381" spans="5:7" x14ac:dyDescent="0.3">
      <c r="E3381" s="23"/>
      <c r="G3381" s="23"/>
    </row>
    <row r="3382" spans="5:7" x14ac:dyDescent="0.3">
      <c r="E3382" s="23"/>
      <c r="G3382" s="23"/>
    </row>
    <row r="3383" spans="5:7" x14ac:dyDescent="0.3">
      <c r="E3383" s="23"/>
      <c r="G3383" s="23"/>
    </row>
    <row r="3384" spans="5:7" x14ac:dyDescent="0.3">
      <c r="E3384" s="23"/>
      <c r="G3384" s="23"/>
    </row>
    <row r="3385" spans="5:7" x14ac:dyDescent="0.3">
      <c r="E3385" s="23"/>
      <c r="G3385" s="23"/>
    </row>
    <row r="3386" spans="5:7" x14ac:dyDescent="0.3">
      <c r="E3386" s="23"/>
      <c r="G3386" s="23"/>
    </row>
    <row r="3387" spans="5:7" x14ac:dyDescent="0.3">
      <c r="E3387" s="23"/>
      <c r="G3387" s="23"/>
    </row>
    <row r="3388" spans="5:7" x14ac:dyDescent="0.3">
      <c r="E3388" s="23"/>
      <c r="G3388" s="23"/>
    </row>
    <row r="3389" spans="5:7" x14ac:dyDescent="0.3">
      <c r="E3389" s="23"/>
      <c r="G3389" s="23"/>
    </row>
    <row r="3390" spans="5:7" x14ac:dyDescent="0.3">
      <c r="E3390" s="23"/>
      <c r="G3390" s="23"/>
    </row>
    <row r="3391" spans="5:7" x14ac:dyDescent="0.3">
      <c r="E3391" s="23"/>
      <c r="G3391" s="23"/>
    </row>
    <row r="3392" spans="5:7" x14ac:dyDescent="0.3">
      <c r="E3392" s="23"/>
      <c r="G3392" s="23"/>
    </row>
    <row r="3393" spans="5:7" x14ac:dyDescent="0.3">
      <c r="E3393" s="23"/>
      <c r="G3393" s="23"/>
    </row>
    <row r="3394" spans="5:7" x14ac:dyDescent="0.3">
      <c r="E3394" s="23"/>
      <c r="G3394" s="23"/>
    </row>
    <row r="3395" spans="5:7" x14ac:dyDescent="0.3">
      <c r="E3395" s="23"/>
      <c r="G3395" s="23"/>
    </row>
    <row r="3396" spans="5:7" x14ac:dyDescent="0.3">
      <c r="E3396" s="23"/>
      <c r="G3396" s="23"/>
    </row>
    <row r="3397" spans="5:7" x14ac:dyDescent="0.3">
      <c r="E3397" s="23"/>
      <c r="G3397" s="23"/>
    </row>
    <row r="3398" spans="5:7" x14ac:dyDescent="0.3">
      <c r="E3398" s="23"/>
      <c r="G3398" s="23"/>
    </row>
    <row r="3399" spans="5:7" x14ac:dyDescent="0.3">
      <c r="E3399" s="23"/>
      <c r="G3399" s="23"/>
    </row>
    <row r="3400" spans="5:7" x14ac:dyDescent="0.3">
      <c r="E3400" s="23"/>
      <c r="G3400" s="23"/>
    </row>
    <row r="3401" spans="5:7" x14ac:dyDescent="0.3">
      <c r="E3401" s="23"/>
      <c r="G3401" s="23"/>
    </row>
    <row r="3402" spans="5:7" x14ac:dyDescent="0.3">
      <c r="E3402" s="23"/>
      <c r="G3402" s="23"/>
    </row>
    <row r="3403" spans="5:7" x14ac:dyDescent="0.3">
      <c r="E3403" s="23"/>
      <c r="G3403" s="23"/>
    </row>
    <row r="3404" spans="5:7" x14ac:dyDescent="0.3">
      <c r="E3404" s="23"/>
      <c r="G3404" s="23"/>
    </row>
    <row r="3405" spans="5:7" x14ac:dyDescent="0.3">
      <c r="E3405" s="23"/>
      <c r="G3405" s="23"/>
    </row>
    <row r="3406" spans="5:7" x14ac:dyDescent="0.3">
      <c r="E3406" s="23"/>
      <c r="G3406" s="23"/>
    </row>
    <row r="3407" spans="5:7" x14ac:dyDescent="0.3">
      <c r="E3407" s="23"/>
      <c r="G3407" s="23"/>
    </row>
    <row r="3408" spans="5:7" x14ac:dyDescent="0.3">
      <c r="E3408" s="23"/>
      <c r="G3408" s="23"/>
    </row>
    <row r="3409" spans="5:7" x14ac:dyDescent="0.3">
      <c r="E3409" s="23"/>
      <c r="G3409" s="23"/>
    </row>
    <row r="3410" spans="5:7" x14ac:dyDescent="0.3">
      <c r="E3410" s="23"/>
      <c r="G3410" s="23"/>
    </row>
    <row r="3411" spans="5:7" x14ac:dyDescent="0.3">
      <c r="E3411" s="23"/>
      <c r="G3411" s="23"/>
    </row>
    <row r="3412" spans="5:7" x14ac:dyDescent="0.3">
      <c r="E3412" s="23"/>
      <c r="G3412" s="23"/>
    </row>
    <row r="3413" spans="5:7" x14ac:dyDescent="0.3">
      <c r="E3413" s="23"/>
      <c r="G3413" s="23"/>
    </row>
    <row r="3414" spans="5:7" x14ac:dyDescent="0.3">
      <c r="E3414" s="23"/>
      <c r="G3414" s="23"/>
    </row>
    <row r="3415" spans="5:7" x14ac:dyDescent="0.3">
      <c r="E3415" s="23"/>
      <c r="G3415" s="23"/>
    </row>
    <row r="3416" spans="5:7" x14ac:dyDescent="0.3">
      <c r="E3416" s="23"/>
      <c r="G3416" s="23"/>
    </row>
    <row r="3417" spans="5:7" x14ac:dyDescent="0.3">
      <c r="E3417" s="23"/>
      <c r="G3417" s="23"/>
    </row>
    <row r="3418" spans="5:7" x14ac:dyDescent="0.3">
      <c r="E3418" s="23"/>
      <c r="G3418" s="23"/>
    </row>
    <row r="3419" spans="5:7" x14ac:dyDescent="0.3">
      <c r="E3419" s="23"/>
      <c r="G3419" s="23"/>
    </row>
    <row r="3420" spans="5:7" x14ac:dyDescent="0.3">
      <c r="E3420" s="23"/>
      <c r="G3420" s="23"/>
    </row>
    <row r="3421" spans="5:7" x14ac:dyDescent="0.3">
      <c r="E3421" s="23"/>
      <c r="G3421" s="23"/>
    </row>
    <row r="3422" spans="5:7" x14ac:dyDescent="0.3">
      <c r="E3422" s="23"/>
      <c r="G3422" s="23"/>
    </row>
    <row r="3423" spans="5:7" x14ac:dyDescent="0.3">
      <c r="E3423" s="23"/>
      <c r="G3423" s="23"/>
    </row>
    <row r="3424" spans="5:7" x14ac:dyDescent="0.3">
      <c r="E3424" s="23"/>
      <c r="G3424" s="23"/>
    </row>
    <row r="3425" spans="5:7" x14ac:dyDescent="0.3">
      <c r="E3425" s="23"/>
      <c r="G3425" s="23"/>
    </row>
    <row r="3426" spans="5:7" x14ac:dyDescent="0.3">
      <c r="E3426" s="23"/>
      <c r="G3426" s="23"/>
    </row>
    <row r="3427" spans="5:7" x14ac:dyDescent="0.3">
      <c r="E3427" s="23"/>
      <c r="G3427" s="23"/>
    </row>
    <row r="3428" spans="5:7" x14ac:dyDescent="0.3">
      <c r="E3428" s="23"/>
      <c r="G3428" s="23"/>
    </row>
    <row r="3429" spans="5:7" x14ac:dyDescent="0.3">
      <c r="E3429" s="23"/>
      <c r="G3429" s="23"/>
    </row>
    <row r="3430" spans="5:7" x14ac:dyDescent="0.3">
      <c r="E3430" s="23"/>
      <c r="G3430" s="23"/>
    </row>
    <row r="3431" spans="5:7" x14ac:dyDescent="0.3">
      <c r="E3431" s="23"/>
      <c r="G3431" s="23"/>
    </row>
    <row r="3432" spans="5:7" x14ac:dyDescent="0.3">
      <c r="E3432" s="23"/>
      <c r="G3432" s="23"/>
    </row>
    <row r="3433" spans="5:7" x14ac:dyDescent="0.3">
      <c r="E3433" s="23"/>
      <c r="G3433" s="23"/>
    </row>
    <row r="3434" spans="5:7" x14ac:dyDescent="0.3">
      <c r="E3434" s="23"/>
      <c r="G3434" s="23"/>
    </row>
    <row r="3435" spans="5:7" x14ac:dyDescent="0.3">
      <c r="E3435" s="23"/>
      <c r="G3435" s="23"/>
    </row>
    <row r="3436" spans="5:7" x14ac:dyDescent="0.3">
      <c r="E3436" s="23"/>
      <c r="G3436" s="23"/>
    </row>
    <row r="3437" spans="5:7" x14ac:dyDescent="0.3">
      <c r="E3437" s="23"/>
      <c r="G3437" s="23"/>
    </row>
    <row r="3438" spans="5:7" x14ac:dyDescent="0.3">
      <c r="E3438" s="23"/>
      <c r="G3438" s="23"/>
    </row>
    <row r="3439" spans="5:7" x14ac:dyDescent="0.3">
      <c r="E3439" s="23"/>
      <c r="G3439" s="23"/>
    </row>
    <row r="3440" spans="5:7" x14ac:dyDescent="0.3">
      <c r="E3440" s="23"/>
      <c r="G3440" s="23"/>
    </row>
    <row r="3441" spans="5:7" x14ac:dyDescent="0.3">
      <c r="E3441" s="23"/>
      <c r="G3441" s="23"/>
    </row>
    <row r="3442" spans="5:7" x14ac:dyDescent="0.3">
      <c r="E3442" s="23"/>
      <c r="G3442" s="23"/>
    </row>
    <row r="3443" spans="5:7" x14ac:dyDescent="0.3">
      <c r="E3443" s="23"/>
      <c r="G3443" s="23"/>
    </row>
    <row r="3444" spans="5:7" x14ac:dyDescent="0.3">
      <c r="E3444" s="23"/>
      <c r="G3444" s="23"/>
    </row>
    <row r="3445" spans="5:7" x14ac:dyDescent="0.3">
      <c r="E3445" s="23"/>
      <c r="G3445" s="23"/>
    </row>
    <row r="3446" spans="5:7" x14ac:dyDescent="0.3">
      <c r="E3446" s="23"/>
      <c r="G3446" s="23"/>
    </row>
    <row r="3447" spans="5:7" x14ac:dyDescent="0.3">
      <c r="E3447" s="23"/>
      <c r="G3447" s="23"/>
    </row>
    <row r="3448" spans="5:7" x14ac:dyDescent="0.3">
      <c r="E3448" s="23"/>
      <c r="G3448" s="23"/>
    </row>
    <row r="3449" spans="5:7" x14ac:dyDescent="0.3">
      <c r="E3449" s="23"/>
      <c r="G3449" s="23"/>
    </row>
    <row r="3450" spans="5:7" x14ac:dyDescent="0.3">
      <c r="E3450" s="23"/>
      <c r="G3450" s="23"/>
    </row>
    <row r="3451" spans="5:7" x14ac:dyDescent="0.3">
      <c r="E3451" s="23"/>
      <c r="G3451" s="23"/>
    </row>
    <row r="3452" spans="5:7" x14ac:dyDescent="0.3">
      <c r="E3452" s="23"/>
      <c r="G3452" s="23"/>
    </row>
    <row r="3453" spans="5:7" x14ac:dyDescent="0.3">
      <c r="E3453" s="23"/>
      <c r="G3453" s="23"/>
    </row>
    <row r="3454" spans="5:7" x14ac:dyDescent="0.3">
      <c r="E3454" s="23"/>
      <c r="G3454" s="23"/>
    </row>
    <row r="3455" spans="5:7" x14ac:dyDescent="0.3">
      <c r="E3455" s="23"/>
      <c r="G3455" s="23"/>
    </row>
    <row r="3456" spans="5:7" x14ac:dyDescent="0.3">
      <c r="E3456" s="23"/>
      <c r="G3456" s="23"/>
    </row>
    <row r="3457" spans="5:7" x14ac:dyDescent="0.3">
      <c r="E3457" s="23"/>
      <c r="G3457" s="23"/>
    </row>
    <row r="3458" spans="5:7" x14ac:dyDescent="0.3">
      <c r="E3458" s="23"/>
      <c r="G3458" s="23"/>
    </row>
    <row r="3459" spans="5:7" x14ac:dyDescent="0.3">
      <c r="E3459" s="23"/>
      <c r="G3459" s="23"/>
    </row>
    <row r="3460" spans="5:7" x14ac:dyDescent="0.3">
      <c r="E3460" s="23"/>
      <c r="G3460" s="23"/>
    </row>
    <row r="3461" spans="5:7" x14ac:dyDescent="0.3">
      <c r="E3461" s="23"/>
      <c r="G3461" s="23"/>
    </row>
    <row r="3462" spans="5:7" x14ac:dyDescent="0.3">
      <c r="E3462" s="23"/>
      <c r="G3462" s="23"/>
    </row>
    <row r="3463" spans="5:7" x14ac:dyDescent="0.3">
      <c r="E3463" s="23"/>
      <c r="G3463" s="23"/>
    </row>
    <row r="3464" spans="5:7" x14ac:dyDescent="0.3">
      <c r="E3464" s="23"/>
      <c r="G3464" s="23"/>
    </row>
    <row r="3465" spans="5:7" x14ac:dyDescent="0.3">
      <c r="E3465" s="23"/>
      <c r="G3465" s="23"/>
    </row>
    <row r="3466" spans="5:7" x14ac:dyDescent="0.3">
      <c r="E3466" s="23"/>
      <c r="G3466" s="23"/>
    </row>
    <row r="3467" spans="5:7" x14ac:dyDescent="0.3">
      <c r="E3467" s="23"/>
      <c r="G3467" s="23"/>
    </row>
    <row r="3468" spans="5:7" x14ac:dyDescent="0.3">
      <c r="E3468" s="23"/>
      <c r="G3468" s="23"/>
    </row>
    <row r="3469" spans="5:7" x14ac:dyDescent="0.3">
      <c r="E3469" s="23"/>
      <c r="G3469" s="23"/>
    </row>
    <row r="3470" spans="5:7" x14ac:dyDescent="0.3">
      <c r="E3470" s="23"/>
      <c r="G3470" s="23"/>
    </row>
    <row r="3471" spans="5:7" x14ac:dyDescent="0.3">
      <c r="E3471" s="23"/>
      <c r="G3471" s="23"/>
    </row>
    <row r="3472" spans="5:7" x14ac:dyDescent="0.3">
      <c r="E3472" s="23"/>
      <c r="G3472" s="23"/>
    </row>
    <row r="3473" spans="5:7" x14ac:dyDescent="0.3">
      <c r="E3473" s="23"/>
      <c r="G3473" s="23"/>
    </row>
    <row r="3474" spans="5:7" x14ac:dyDescent="0.3">
      <c r="E3474" s="23"/>
      <c r="G3474" s="23"/>
    </row>
    <row r="3475" spans="5:7" x14ac:dyDescent="0.3">
      <c r="E3475" s="23"/>
      <c r="G3475" s="23"/>
    </row>
    <row r="3476" spans="5:7" x14ac:dyDescent="0.3">
      <c r="E3476" s="23"/>
      <c r="G3476" s="23"/>
    </row>
    <row r="3477" spans="5:7" x14ac:dyDescent="0.3">
      <c r="E3477" s="23"/>
      <c r="G3477" s="23"/>
    </row>
    <row r="3478" spans="5:7" x14ac:dyDescent="0.3">
      <c r="E3478" s="23"/>
      <c r="G3478" s="23"/>
    </row>
    <row r="3479" spans="5:7" x14ac:dyDescent="0.3">
      <c r="E3479" s="23"/>
      <c r="G3479" s="23"/>
    </row>
    <row r="3480" spans="5:7" x14ac:dyDescent="0.3">
      <c r="E3480" s="23"/>
      <c r="G3480" s="23"/>
    </row>
    <row r="3481" spans="5:7" x14ac:dyDescent="0.3">
      <c r="E3481" s="23"/>
      <c r="G3481" s="23"/>
    </row>
    <row r="3482" spans="5:7" x14ac:dyDescent="0.3">
      <c r="E3482" s="23"/>
      <c r="G3482" s="23"/>
    </row>
    <row r="3483" spans="5:7" x14ac:dyDescent="0.3">
      <c r="E3483" s="23"/>
      <c r="G3483" s="23"/>
    </row>
    <row r="3484" spans="5:7" x14ac:dyDescent="0.3">
      <c r="E3484" s="23"/>
      <c r="G3484" s="23"/>
    </row>
    <row r="3485" spans="5:7" x14ac:dyDescent="0.3">
      <c r="E3485" s="23"/>
      <c r="G3485" s="23"/>
    </row>
    <row r="3486" spans="5:7" x14ac:dyDescent="0.3">
      <c r="E3486" s="23"/>
      <c r="G3486" s="23"/>
    </row>
    <row r="3487" spans="5:7" x14ac:dyDescent="0.3">
      <c r="E3487" s="23"/>
      <c r="G3487" s="23"/>
    </row>
    <row r="3488" spans="5:7" x14ac:dyDescent="0.3">
      <c r="E3488" s="23"/>
      <c r="G3488" s="23"/>
    </row>
    <row r="3489" spans="5:7" x14ac:dyDescent="0.3">
      <c r="E3489" s="23"/>
      <c r="G3489" s="23"/>
    </row>
    <row r="3490" spans="5:7" x14ac:dyDescent="0.3">
      <c r="E3490" s="23"/>
      <c r="G3490" s="23"/>
    </row>
    <row r="3491" spans="5:7" x14ac:dyDescent="0.3">
      <c r="E3491" s="23"/>
      <c r="G3491" s="23"/>
    </row>
    <row r="3492" spans="5:7" x14ac:dyDescent="0.3">
      <c r="E3492" s="23"/>
      <c r="G3492" s="23"/>
    </row>
    <row r="3493" spans="5:7" x14ac:dyDescent="0.3">
      <c r="E3493" s="23"/>
      <c r="G3493" s="23"/>
    </row>
    <row r="3494" spans="5:7" x14ac:dyDescent="0.3">
      <c r="E3494" s="23"/>
      <c r="G3494" s="23"/>
    </row>
    <row r="3495" spans="5:7" x14ac:dyDescent="0.3">
      <c r="E3495" s="23"/>
      <c r="G3495" s="23"/>
    </row>
    <row r="3496" spans="5:7" x14ac:dyDescent="0.3">
      <c r="E3496" s="23"/>
      <c r="G3496" s="23"/>
    </row>
    <row r="3497" spans="5:7" x14ac:dyDescent="0.3">
      <c r="E3497" s="23"/>
      <c r="G3497" s="23"/>
    </row>
    <row r="3498" spans="5:7" x14ac:dyDescent="0.3">
      <c r="E3498" s="23"/>
      <c r="G3498" s="23"/>
    </row>
    <row r="3499" spans="5:7" x14ac:dyDescent="0.3">
      <c r="E3499" s="23"/>
      <c r="G3499" s="23"/>
    </row>
    <row r="3500" spans="5:7" x14ac:dyDescent="0.3">
      <c r="E3500" s="23"/>
      <c r="G3500" s="23"/>
    </row>
    <row r="3501" spans="5:7" x14ac:dyDescent="0.3">
      <c r="E3501" s="23"/>
      <c r="G3501" s="23"/>
    </row>
    <row r="3502" spans="5:7" x14ac:dyDescent="0.3">
      <c r="E3502" s="23"/>
      <c r="G3502" s="23"/>
    </row>
    <row r="3503" spans="5:7" x14ac:dyDescent="0.3">
      <c r="E3503" s="23"/>
      <c r="G3503" s="23"/>
    </row>
    <row r="3504" spans="5:7" x14ac:dyDescent="0.3">
      <c r="E3504" s="23"/>
      <c r="G3504" s="23"/>
    </row>
    <row r="3505" spans="5:7" x14ac:dyDescent="0.3">
      <c r="E3505" s="23"/>
      <c r="G3505" s="23"/>
    </row>
    <row r="3506" spans="5:7" x14ac:dyDescent="0.3">
      <c r="E3506" s="23"/>
      <c r="G3506" s="23"/>
    </row>
    <row r="3507" spans="5:7" x14ac:dyDescent="0.3">
      <c r="E3507" s="23"/>
      <c r="G3507" s="23"/>
    </row>
    <row r="3508" spans="5:7" x14ac:dyDescent="0.3">
      <c r="E3508" s="23"/>
      <c r="G3508" s="23"/>
    </row>
    <row r="3509" spans="5:7" x14ac:dyDescent="0.3">
      <c r="E3509" s="23"/>
      <c r="G3509" s="23"/>
    </row>
    <row r="3510" spans="5:7" x14ac:dyDescent="0.3">
      <c r="E3510" s="23"/>
      <c r="G3510" s="23"/>
    </row>
    <row r="3511" spans="5:7" x14ac:dyDescent="0.3">
      <c r="E3511" s="23"/>
      <c r="G3511" s="23"/>
    </row>
    <row r="3512" spans="5:7" x14ac:dyDescent="0.3">
      <c r="E3512" s="23"/>
      <c r="G3512" s="23"/>
    </row>
    <row r="3513" spans="5:7" x14ac:dyDescent="0.3">
      <c r="E3513" s="23"/>
      <c r="G3513" s="23"/>
    </row>
    <row r="3514" spans="5:7" x14ac:dyDescent="0.3">
      <c r="E3514" s="23"/>
      <c r="G3514" s="23"/>
    </row>
    <row r="3515" spans="5:7" x14ac:dyDescent="0.3">
      <c r="E3515" s="23"/>
      <c r="G3515" s="23"/>
    </row>
    <row r="3516" spans="5:7" x14ac:dyDescent="0.3">
      <c r="E3516" s="23"/>
      <c r="G3516" s="23"/>
    </row>
    <row r="3517" spans="5:7" x14ac:dyDescent="0.3">
      <c r="E3517" s="23"/>
      <c r="G3517" s="23"/>
    </row>
    <row r="3518" spans="5:7" x14ac:dyDescent="0.3">
      <c r="E3518" s="23"/>
      <c r="G3518" s="23"/>
    </row>
    <row r="3519" spans="5:7" x14ac:dyDescent="0.3">
      <c r="E3519" s="23"/>
      <c r="G3519" s="23"/>
    </row>
    <row r="3520" spans="5:7" x14ac:dyDescent="0.3">
      <c r="E3520" s="23"/>
      <c r="G3520" s="23"/>
    </row>
    <row r="3521" spans="5:7" x14ac:dyDescent="0.3">
      <c r="E3521" s="23"/>
      <c r="G3521" s="23"/>
    </row>
    <row r="3522" spans="5:7" x14ac:dyDescent="0.3">
      <c r="E3522" s="23"/>
      <c r="G3522" s="23"/>
    </row>
    <row r="3523" spans="5:7" x14ac:dyDescent="0.3">
      <c r="E3523" s="23"/>
      <c r="G3523" s="23"/>
    </row>
    <row r="3524" spans="5:7" x14ac:dyDescent="0.3">
      <c r="E3524" s="23"/>
      <c r="G3524" s="23"/>
    </row>
    <row r="3525" spans="5:7" x14ac:dyDescent="0.3">
      <c r="E3525" s="23"/>
      <c r="G3525" s="23"/>
    </row>
    <row r="3526" spans="5:7" x14ac:dyDescent="0.3">
      <c r="E3526" s="23"/>
      <c r="G3526" s="23"/>
    </row>
    <row r="3527" spans="5:7" x14ac:dyDescent="0.3">
      <c r="E3527" s="23"/>
      <c r="G3527" s="23"/>
    </row>
    <row r="3528" spans="5:7" x14ac:dyDescent="0.3">
      <c r="E3528" s="23"/>
      <c r="G3528" s="23"/>
    </row>
    <row r="3529" spans="5:7" x14ac:dyDescent="0.3">
      <c r="E3529" s="23"/>
      <c r="G3529" s="23"/>
    </row>
    <row r="3530" spans="5:7" x14ac:dyDescent="0.3">
      <c r="E3530" s="23"/>
      <c r="G3530" s="23"/>
    </row>
    <row r="3531" spans="5:7" x14ac:dyDescent="0.3">
      <c r="E3531" s="23"/>
      <c r="G3531" s="23"/>
    </row>
    <row r="3532" spans="5:7" x14ac:dyDescent="0.3">
      <c r="E3532" s="23"/>
      <c r="G3532" s="23"/>
    </row>
    <row r="3533" spans="5:7" x14ac:dyDescent="0.3">
      <c r="E3533" s="23"/>
      <c r="G3533" s="23"/>
    </row>
    <row r="3534" spans="5:7" x14ac:dyDescent="0.3">
      <c r="E3534" s="23"/>
      <c r="G3534" s="23"/>
    </row>
    <row r="3535" spans="5:7" x14ac:dyDescent="0.3">
      <c r="E3535" s="23"/>
      <c r="G3535" s="23"/>
    </row>
    <row r="3536" spans="5:7" x14ac:dyDescent="0.3">
      <c r="E3536" s="23"/>
      <c r="G3536" s="23"/>
    </row>
    <row r="3537" spans="5:7" x14ac:dyDescent="0.3">
      <c r="E3537" s="23"/>
      <c r="G3537" s="23"/>
    </row>
    <row r="3538" spans="5:7" x14ac:dyDescent="0.3">
      <c r="E3538" s="23"/>
      <c r="G3538" s="23"/>
    </row>
    <row r="3539" spans="5:7" x14ac:dyDescent="0.3">
      <c r="E3539" s="23"/>
      <c r="G3539" s="23"/>
    </row>
    <row r="3540" spans="5:7" x14ac:dyDescent="0.3">
      <c r="E3540" s="23"/>
      <c r="G3540" s="23"/>
    </row>
    <row r="3541" spans="5:7" x14ac:dyDescent="0.3">
      <c r="E3541" s="23"/>
      <c r="G3541" s="23"/>
    </row>
    <row r="3542" spans="5:7" x14ac:dyDescent="0.3">
      <c r="E3542" s="23"/>
      <c r="G3542" s="23"/>
    </row>
    <row r="3543" spans="5:7" x14ac:dyDescent="0.3">
      <c r="E3543" s="23"/>
      <c r="G3543" s="23"/>
    </row>
    <row r="3544" spans="5:7" x14ac:dyDescent="0.3">
      <c r="E3544" s="23"/>
      <c r="G3544" s="23"/>
    </row>
    <row r="3545" spans="5:7" x14ac:dyDescent="0.3">
      <c r="E3545" s="23"/>
      <c r="G3545" s="23"/>
    </row>
    <row r="3546" spans="5:7" x14ac:dyDescent="0.3">
      <c r="E3546" s="23"/>
      <c r="G3546" s="23"/>
    </row>
    <row r="3547" spans="5:7" x14ac:dyDescent="0.3">
      <c r="E3547" s="23"/>
      <c r="G3547" s="23"/>
    </row>
    <row r="3548" spans="5:7" x14ac:dyDescent="0.3">
      <c r="E3548" s="23"/>
      <c r="G3548" s="23"/>
    </row>
    <row r="3549" spans="5:7" x14ac:dyDescent="0.3">
      <c r="E3549" s="23"/>
      <c r="G3549" s="23"/>
    </row>
    <row r="3550" spans="5:7" x14ac:dyDescent="0.3">
      <c r="E3550" s="23"/>
      <c r="G3550" s="23"/>
    </row>
    <row r="3551" spans="5:7" x14ac:dyDescent="0.3">
      <c r="E3551" s="23"/>
      <c r="G3551" s="23"/>
    </row>
    <row r="3552" spans="5:7" x14ac:dyDescent="0.3">
      <c r="E3552" s="23"/>
      <c r="G3552" s="23"/>
    </row>
    <row r="3553" spans="5:7" x14ac:dyDescent="0.3">
      <c r="E3553" s="23"/>
      <c r="G3553" s="23"/>
    </row>
    <row r="3554" spans="5:7" x14ac:dyDescent="0.3">
      <c r="E3554" s="23"/>
      <c r="G3554" s="23"/>
    </row>
    <row r="3555" spans="5:7" x14ac:dyDescent="0.3">
      <c r="E3555" s="23"/>
      <c r="G3555" s="23"/>
    </row>
    <row r="3556" spans="5:7" x14ac:dyDescent="0.3">
      <c r="E3556" s="23"/>
      <c r="G3556" s="23"/>
    </row>
    <row r="3557" spans="5:7" x14ac:dyDescent="0.3">
      <c r="E3557" s="23"/>
      <c r="G3557" s="23"/>
    </row>
    <row r="3558" spans="5:7" x14ac:dyDescent="0.3">
      <c r="E3558" s="23"/>
      <c r="G3558" s="23"/>
    </row>
    <row r="3559" spans="5:7" x14ac:dyDescent="0.3">
      <c r="E3559" s="23"/>
      <c r="G3559" s="23"/>
    </row>
    <row r="3560" spans="5:7" x14ac:dyDescent="0.3">
      <c r="E3560" s="23"/>
      <c r="G3560" s="23"/>
    </row>
    <row r="3561" spans="5:7" x14ac:dyDescent="0.3">
      <c r="E3561" s="23"/>
      <c r="G3561" s="23"/>
    </row>
    <row r="3562" spans="5:7" x14ac:dyDescent="0.3">
      <c r="E3562" s="23"/>
      <c r="G3562" s="23"/>
    </row>
    <row r="3563" spans="5:7" x14ac:dyDescent="0.3">
      <c r="E3563" s="23"/>
      <c r="G3563" s="23"/>
    </row>
    <row r="3564" spans="5:7" x14ac:dyDescent="0.3">
      <c r="E3564" s="23"/>
      <c r="G3564" s="23"/>
    </row>
    <row r="3565" spans="5:7" x14ac:dyDescent="0.3">
      <c r="E3565" s="23"/>
      <c r="G3565" s="23"/>
    </row>
    <row r="3566" spans="5:7" x14ac:dyDescent="0.3">
      <c r="E3566" s="23"/>
      <c r="G3566" s="23"/>
    </row>
    <row r="3567" spans="5:7" x14ac:dyDescent="0.3">
      <c r="E3567" s="23"/>
      <c r="G3567" s="23"/>
    </row>
    <row r="3568" spans="5:7" x14ac:dyDescent="0.3">
      <c r="E3568" s="23"/>
      <c r="G3568" s="23"/>
    </row>
    <row r="3569" spans="5:7" x14ac:dyDescent="0.3">
      <c r="E3569" s="23"/>
      <c r="G3569" s="23"/>
    </row>
    <row r="3570" spans="5:7" x14ac:dyDescent="0.3">
      <c r="E3570" s="23"/>
      <c r="G3570" s="23"/>
    </row>
    <row r="3571" spans="5:7" x14ac:dyDescent="0.3">
      <c r="E3571" s="23"/>
      <c r="G3571" s="23"/>
    </row>
    <row r="3572" spans="5:7" x14ac:dyDescent="0.3">
      <c r="E3572" s="23"/>
      <c r="G3572" s="23"/>
    </row>
    <row r="3573" spans="5:7" x14ac:dyDescent="0.3">
      <c r="E3573" s="23"/>
      <c r="G3573" s="23"/>
    </row>
    <row r="3574" spans="5:7" x14ac:dyDescent="0.3">
      <c r="E3574" s="23"/>
      <c r="G3574" s="23"/>
    </row>
    <row r="3575" spans="5:7" x14ac:dyDescent="0.3">
      <c r="E3575" s="23"/>
      <c r="G3575" s="23"/>
    </row>
    <row r="3576" spans="5:7" x14ac:dyDescent="0.3">
      <c r="E3576" s="23"/>
      <c r="G3576" s="23"/>
    </row>
    <row r="3577" spans="5:7" x14ac:dyDescent="0.3">
      <c r="E3577" s="23"/>
      <c r="G3577" s="23"/>
    </row>
    <row r="3578" spans="5:7" x14ac:dyDescent="0.3">
      <c r="E3578" s="23"/>
      <c r="G3578" s="23"/>
    </row>
    <row r="3579" spans="5:7" x14ac:dyDescent="0.3">
      <c r="E3579" s="23"/>
      <c r="G3579" s="23"/>
    </row>
    <row r="3580" spans="5:7" x14ac:dyDescent="0.3">
      <c r="E3580" s="23"/>
      <c r="G3580" s="23"/>
    </row>
    <row r="3581" spans="5:7" x14ac:dyDescent="0.3">
      <c r="E3581" s="23"/>
      <c r="G3581" s="23"/>
    </row>
    <row r="3582" spans="5:7" x14ac:dyDescent="0.3">
      <c r="E3582" s="23"/>
      <c r="G3582" s="23"/>
    </row>
    <row r="3583" spans="5:7" x14ac:dyDescent="0.3">
      <c r="E3583" s="23"/>
      <c r="G3583" s="23"/>
    </row>
    <row r="3584" spans="5:7" x14ac:dyDescent="0.3">
      <c r="E3584" s="23"/>
      <c r="G3584" s="23"/>
    </row>
    <row r="3585" spans="5:7" x14ac:dyDescent="0.3">
      <c r="E3585" s="23"/>
      <c r="G3585" s="23"/>
    </row>
    <row r="3586" spans="5:7" x14ac:dyDescent="0.3">
      <c r="E3586" s="23"/>
      <c r="G3586" s="23"/>
    </row>
    <row r="3587" spans="5:7" x14ac:dyDescent="0.3">
      <c r="E3587" s="23"/>
      <c r="G3587" s="23"/>
    </row>
    <row r="3588" spans="5:7" x14ac:dyDescent="0.3">
      <c r="E3588" s="23"/>
      <c r="G3588" s="23"/>
    </row>
    <row r="3589" spans="5:7" x14ac:dyDescent="0.3">
      <c r="E3589" s="23"/>
      <c r="G3589" s="23"/>
    </row>
    <row r="3590" spans="5:7" x14ac:dyDescent="0.3">
      <c r="E3590" s="23"/>
      <c r="G3590" s="23"/>
    </row>
    <row r="3591" spans="5:7" x14ac:dyDescent="0.3">
      <c r="E3591" s="23"/>
      <c r="G3591" s="23"/>
    </row>
    <row r="3592" spans="5:7" x14ac:dyDescent="0.3">
      <c r="E3592" s="23"/>
      <c r="G3592" s="23"/>
    </row>
    <row r="3593" spans="5:7" x14ac:dyDescent="0.3">
      <c r="E3593" s="23"/>
      <c r="G3593" s="23"/>
    </row>
    <row r="3594" spans="5:7" x14ac:dyDescent="0.3">
      <c r="E3594" s="23"/>
      <c r="G3594" s="23"/>
    </row>
    <row r="3595" spans="5:7" x14ac:dyDescent="0.3">
      <c r="E3595" s="23"/>
      <c r="G3595" s="23"/>
    </row>
    <row r="3596" spans="5:7" x14ac:dyDescent="0.3">
      <c r="E3596" s="23"/>
      <c r="G3596" s="23"/>
    </row>
    <row r="3597" spans="5:7" x14ac:dyDescent="0.3">
      <c r="E3597" s="23"/>
      <c r="G3597" s="23"/>
    </row>
    <row r="3598" spans="5:7" x14ac:dyDescent="0.3">
      <c r="E3598" s="23"/>
      <c r="G3598" s="23"/>
    </row>
    <row r="3599" spans="5:7" x14ac:dyDescent="0.3">
      <c r="E3599" s="23"/>
      <c r="G3599" s="23"/>
    </row>
    <row r="3600" spans="5:7" x14ac:dyDescent="0.3">
      <c r="E3600" s="23"/>
      <c r="G3600" s="23"/>
    </row>
    <row r="3601" spans="5:7" x14ac:dyDescent="0.3">
      <c r="E3601" s="23"/>
      <c r="G3601" s="23"/>
    </row>
    <row r="3602" spans="5:7" x14ac:dyDescent="0.3">
      <c r="E3602" s="23"/>
      <c r="G3602" s="23"/>
    </row>
    <row r="3603" spans="5:7" x14ac:dyDescent="0.3">
      <c r="E3603" s="23"/>
      <c r="G3603" s="23"/>
    </row>
    <row r="3604" spans="5:7" x14ac:dyDescent="0.3">
      <c r="E3604" s="23"/>
      <c r="G3604" s="23"/>
    </row>
    <row r="3605" spans="5:7" x14ac:dyDescent="0.3">
      <c r="E3605" s="23"/>
      <c r="G3605" s="23"/>
    </row>
    <row r="3606" spans="5:7" x14ac:dyDescent="0.3">
      <c r="E3606" s="23"/>
      <c r="G3606" s="23"/>
    </row>
    <row r="3607" spans="5:7" x14ac:dyDescent="0.3">
      <c r="E3607" s="23"/>
      <c r="G3607" s="23"/>
    </row>
    <row r="3608" spans="5:7" x14ac:dyDescent="0.3">
      <c r="E3608" s="23"/>
      <c r="G3608" s="23"/>
    </row>
    <row r="3609" spans="5:7" x14ac:dyDescent="0.3">
      <c r="E3609" s="23"/>
      <c r="G3609" s="23"/>
    </row>
    <row r="3610" spans="5:7" x14ac:dyDescent="0.3">
      <c r="E3610" s="23"/>
      <c r="G3610" s="23"/>
    </row>
    <row r="3611" spans="5:7" x14ac:dyDescent="0.3">
      <c r="E3611" s="23"/>
      <c r="G3611" s="23"/>
    </row>
    <row r="3612" spans="5:7" x14ac:dyDescent="0.3">
      <c r="E3612" s="23"/>
      <c r="G3612" s="23"/>
    </row>
    <row r="3613" spans="5:7" x14ac:dyDescent="0.3">
      <c r="E3613" s="23"/>
      <c r="G3613" s="23"/>
    </row>
    <row r="3614" spans="5:7" x14ac:dyDescent="0.3">
      <c r="E3614" s="23"/>
      <c r="G3614" s="23"/>
    </row>
    <row r="3615" spans="5:7" x14ac:dyDescent="0.3">
      <c r="E3615" s="23"/>
      <c r="G3615" s="23"/>
    </row>
    <row r="3616" spans="5:7" x14ac:dyDescent="0.3">
      <c r="E3616" s="23"/>
      <c r="G3616" s="23"/>
    </row>
    <row r="3617" spans="5:7" x14ac:dyDescent="0.3">
      <c r="E3617" s="23"/>
      <c r="G3617" s="23"/>
    </row>
    <row r="3618" spans="5:7" x14ac:dyDescent="0.3">
      <c r="E3618" s="23"/>
      <c r="G3618" s="23"/>
    </row>
    <row r="3619" spans="5:7" x14ac:dyDescent="0.3">
      <c r="E3619" s="23"/>
      <c r="G3619" s="23"/>
    </row>
    <row r="3620" spans="5:7" x14ac:dyDescent="0.3">
      <c r="E3620" s="23"/>
      <c r="G3620" s="23"/>
    </row>
    <row r="3621" spans="5:7" x14ac:dyDescent="0.3">
      <c r="E3621" s="23"/>
      <c r="G3621" s="23"/>
    </row>
    <row r="3622" spans="5:7" x14ac:dyDescent="0.3">
      <c r="E3622" s="23"/>
      <c r="G3622" s="23"/>
    </row>
    <row r="3623" spans="5:7" x14ac:dyDescent="0.3">
      <c r="E3623" s="23"/>
      <c r="G3623" s="23"/>
    </row>
    <row r="3624" spans="5:7" x14ac:dyDescent="0.3">
      <c r="E3624" s="23"/>
      <c r="G3624" s="23"/>
    </row>
    <row r="3625" spans="5:7" x14ac:dyDescent="0.3">
      <c r="E3625" s="23"/>
      <c r="G3625" s="23"/>
    </row>
    <row r="3626" spans="5:7" x14ac:dyDescent="0.3">
      <c r="E3626" s="23"/>
      <c r="G3626" s="23"/>
    </row>
    <row r="3627" spans="5:7" x14ac:dyDescent="0.3">
      <c r="E3627" s="23"/>
      <c r="G3627" s="23"/>
    </row>
    <row r="3628" spans="5:7" x14ac:dyDescent="0.3">
      <c r="E3628" s="23"/>
      <c r="G3628" s="23"/>
    </row>
    <row r="3629" spans="5:7" x14ac:dyDescent="0.3">
      <c r="E3629" s="23"/>
      <c r="G3629" s="23"/>
    </row>
    <row r="3630" spans="5:7" x14ac:dyDescent="0.3">
      <c r="E3630" s="23"/>
      <c r="G3630" s="23"/>
    </row>
    <row r="3631" spans="5:7" x14ac:dyDescent="0.3">
      <c r="E3631" s="23"/>
      <c r="G3631" s="23"/>
    </row>
    <row r="3632" spans="5:7" x14ac:dyDescent="0.3">
      <c r="E3632" s="23"/>
      <c r="G3632" s="23"/>
    </row>
    <row r="3633" spans="5:7" x14ac:dyDescent="0.3">
      <c r="E3633" s="23"/>
      <c r="G3633" s="23"/>
    </row>
    <row r="3634" spans="5:7" x14ac:dyDescent="0.3">
      <c r="E3634" s="23"/>
      <c r="G3634" s="23"/>
    </row>
    <row r="3635" spans="5:7" x14ac:dyDescent="0.3">
      <c r="E3635" s="23"/>
      <c r="G3635" s="23"/>
    </row>
    <row r="3636" spans="5:7" x14ac:dyDescent="0.3">
      <c r="E3636" s="23"/>
      <c r="G3636" s="23"/>
    </row>
    <row r="3637" spans="5:7" x14ac:dyDescent="0.3">
      <c r="E3637" s="23"/>
      <c r="G3637" s="23"/>
    </row>
    <row r="3638" spans="5:7" x14ac:dyDescent="0.3">
      <c r="E3638" s="23"/>
      <c r="G3638" s="23"/>
    </row>
    <row r="3639" spans="5:7" x14ac:dyDescent="0.3">
      <c r="E3639" s="23"/>
      <c r="G3639" s="23"/>
    </row>
    <row r="3640" spans="5:7" x14ac:dyDescent="0.3">
      <c r="E3640" s="23"/>
      <c r="G3640" s="23"/>
    </row>
    <row r="3641" spans="5:7" x14ac:dyDescent="0.3">
      <c r="E3641" s="23"/>
      <c r="G3641" s="23"/>
    </row>
    <row r="3642" spans="5:7" x14ac:dyDescent="0.3">
      <c r="E3642" s="23"/>
      <c r="G3642" s="23"/>
    </row>
    <row r="3643" spans="5:7" x14ac:dyDescent="0.3">
      <c r="E3643" s="23"/>
      <c r="G3643" s="23"/>
    </row>
    <row r="3644" spans="5:7" x14ac:dyDescent="0.3">
      <c r="E3644" s="23"/>
      <c r="G3644" s="23"/>
    </row>
    <row r="3645" spans="5:7" x14ac:dyDescent="0.3">
      <c r="E3645" s="23"/>
      <c r="G3645" s="23"/>
    </row>
    <row r="3646" spans="5:7" x14ac:dyDescent="0.3">
      <c r="E3646" s="23"/>
      <c r="G3646" s="23"/>
    </row>
    <row r="3647" spans="5:7" x14ac:dyDescent="0.3">
      <c r="E3647" s="23"/>
      <c r="G3647" s="23"/>
    </row>
    <row r="3648" spans="5:7" x14ac:dyDescent="0.3">
      <c r="E3648" s="23"/>
      <c r="G3648" s="23"/>
    </row>
    <row r="3649" spans="5:7" x14ac:dyDescent="0.3">
      <c r="E3649" s="23"/>
      <c r="G3649" s="23"/>
    </row>
    <row r="3650" spans="5:7" x14ac:dyDescent="0.3">
      <c r="E3650" s="23"/>
      <c r="G3650" s="23"/>
    </row>
    <row r="3651" spans="5:7" x14ac:dyDescent="0.3">
      <c r="E3651" s="23"/>
      <c r="G3651" s="23"/>
    </row>
    <row r="3652" spans="5:7" x14ac:dyDescent="0.3">
      <c r="E3652" s="23"/>
      <c r="G3652" s="23"/>
    </row>
    <row r="3653" spans="5:7" x14ac:dyDescent="0.3">
      <c r="E3653" s="23"/>
      <c r="G3653" s="23"/>
    </row>
    <row r="3654" spans="5:7" x14ac:dyDescent="0.3">
      <c r="E3654" s="23"/>
      <c r="G3654" s="23"/>
    </row>
    <row r="3655" spans="5:7" x14ac:dyDescent="0.3">
      <c r="E3655" s="23"/>
      <c r="G3655" s="23"/>
    </row>
    <row r="3656" spans="5:7" x14ac:dyDescent="0.3">
      <c r="E3656" s="23"/>
      <c r="G3656" s="23"/>
    </row>
    <row r="3657" spans="5:7" x14ac:dyDescent="0.3">
      <c r="E3657" s="23"/>
      <c r="G3657" s="23"/>
    </row>
    <row r="3658" spans="5:7" x14ac:dyDescent="0.3">
      <c r="E3658" s="23"/>
      <c r="G3658" s="23"/>
    </row>
    <row r="3659" spans="5:7" x14ac:dyDescent="0.3">
      <c r="E3659" s="23"/>
      <c r="G3659" s="23"/>
    </row>
    <row r="3660" spans="5:7" x14ac:dyDescent="0.3">
      <c r="E3660" s="23"/>
      <c r="G3660" s="23"/>
    </row>
    <row r="3661" spans="5:7" x14ac:dyDescent="0.3">
      <c r="E3661" s="23"/>
      <c r="G3661" s="23"/>
    </row>
    <row r="3662" spans="5:7" x14ac:dyDescent="0.3">
      <c r="E3662" s="23"/>
      <c r="G3662" s="23"/>
    </row>
    <row r="3663" spans="5:7" x14ac:dyDescent="0.3">
      <c r="E3663" s="23"/>
      <c r="G3663" s="23"/>
    </row>
    <row r="3664" spans="5:7" x14ac:dyDescent="0.3">
      <c r="E3664" s="23"/>
      <c r="G3664" s="23"/>
    </row>
    <row r="3665" spans="5:7" x14ac:dyDescent="0.3">
      <c r="E3665" s="23"/>
      <c r="G3665" s="23"/>
    </row>
    <row r="3666" spans="5:7" x14ac:dyDescent="0.3">
      <c r="E3666" s="23"/>
      <c r="G3666" s="23"/>
    </row>
    <row r="3667" spans="5:7" x14ac:dyDescent="0.3">
      <c r="E3667" s="23"/>
      <c r="G3667" s="23"/>
    </row>
    <row r="3668" spans="5:7" x14ac:dyDescent="0.3">
      <c r="E3668" s="23"/>
      <c r="G3668" s="23"/>
    </row>
    <row r="3669" spans="5:7" x14ac:dyDescent="0.3">
      <c r="E3669" s="23"/>
      <c r="G3669" s="23"/>
    </row>
    <row r="3670" spans="5:7" x14ac:dyDescent="0.3">
      <c r="E3670" s="23"/>
      <c r="G3670" s="23"/>
    </row>
    <row r="3671" spans="5:7" x14ac:dyDescent="0.3">
      <c r="E3671" s="23"/>
      <c r="G3671" s="23"/>
    </row>
    <row r="3672" spans="5:7" x14ac:dyDescent="0.3">
      <c r="E3672" s="23"/>
      <c r="G3672" s="23"/>
    </row>
    <row r="3673" spans="5:7" x14ac:dyDescent="0.3">
      <c r="E3673" s="23"/>
      <c r="G3673" s="23"/>
    </row>
    <row r="3674" spans="5:7" x14ac:dyDescent="0.3">
      <c r="E3674" s="23"/>
      <c r="G3674" s="23"/>
    </row>
    <row r="3675" spans="5:7" x14ac:dyDescent="0.3">
      <c r="E3675" s="23"/>
      <c r="G3675" s="23"/>
    </row>
    <row r="3676" spans="5:7" x14ac:dyDescent="0.3">
      <c r="E3676" s="23"/>
      <c r="G3676" s="23"/>
    </row>
    <row r="3677" spans="5:7" x14ac:dyDescent="0.3">
      <c r="E3677" s="23"/>
      <c r="G3677" s="23"/>
    </row>
    <row r="3678" spans="5:7" x14ac:dyDescent="0.3">
      <c r="E3678" s="23"/>
      <c r="G3678" s="23"/>
    </row>
    <row r="3679" spans="5:7" x14ac:dyDescent="0.3">
      <c r="E3679" s="23"/>
      <c r="G3679" s="23"/>
    </row>
    <row r="3680" spans="5:7" x14ac:dyDescent="0.3">
      <c r="E3680" s="23"/>
      <c r="G3680" s="23"/>
    </row>
    <row r="3681" spans="5:7" x14ac:dyDescent="0.3">
      <c r="E3681" s="23"/>
      <c r="G3681" s="23"/>
    </row>
    <row r="3682" spans="5:7" x14ac:dyDescent="0.3">
      <c r="E3682" s="23"/>
      <c r="G3682" s="23"/>
    </row>
    <row r="3683" spans="5:7" x14ac:dyDescent="0.3">
      <c r="E3683" s="23"/>
      <c r="G3683" s="23"/>
    </row>
    <row r="3684" spans="5:7" x14ac:dyDescent="0.3">
      <c r="E3684" s="23"/>
      <c r="G3684" s="23"/>
    </row>
    <row r="3685" spans="5:7" x14ac:dyDescent="0.3">
      <c r="E3685" s="23"/>
      <c r="G3685" s="23"/>
    </row>
    <row r="3686" spans="5:7" x14ac:dyDescent="0.3">
      <c r="E3686" s="23"/>
      <c r="G3686" s="23"/>
    </row>
    <row r="3687" spans="5:7" x14ac:dyDescent="0.3">
      <c r="E3687" s="23"/>
      <c r="G3687" s="23"/>
    </row>
    <row r="3688" spans="5:7" x14ac:dyDescent="0.3">
      <c r="E3688" s="23"/>
      <c r="G3688" s="23"/>
    </row>
    <row r="3689" spans="5:7" x14ac:dyDescent="0.3">
      <c r="E3689" s="23"/>
      <c r="G3689" s="23"/>
    </row>
    <row r="3690" spans="5:7" x14ac:dyDescent="0.3">
      <c r="E3690" s="23"/>
      <c r="G3690" s="23"/>
    </row>
    <row r="3691" spans="5:7" x14ac:dyDescent="0.3">
      <c r="E3691" s="23"/>
      <c r="G3691" s="23"/>
    </row>
    <row r="3692" spans="5:7" x14ac:dyDescent="0.3">
      <c r="E3692" s="23"/>
      <c r="G3692" s="23"/>
    </row>
    <row r="3693" spans="5:7" x14ac:dyDescent="0.3">
      <c r="E3693" s="23"/>
      <c r="G3693" s="23"/>
    </row>
    <row r="3694" spans="5:7" x14ac:dyDescent="0.3">
      <c r="E3694" s="23"/>
      <c r="G3694" s="23"/>
    </row>
    <row r="3695" spans="5:7" x14ac:dyDescent="0.3">
      <c r="E3695" s="23"/>
      <c r="G3695" s="23"/>
    </row>
    <row r="3696" spans="5:7" x14ac:dyDescent="0.3">
      <c r="E3696" s="23"/>
      <c r="G3696" s="23"/>
    </row>
    <row r="3697" spans="5:7" x14ac:dyDescent="0.3">
      <c r="E3697" s="23"/>
      <c r="G3697" s="23"/>
    </row>
    <row r="3698" spans="5:7" x14ac:dyDescent="0.3">
      <c r="E3698" s="23"/>
      <c r="G3698" s="23"/>
    </row>
    <row r="3699" spans="5:7" x14ac:dyDescent="0.3">
      <c r="E3699" s="23"/>
      <c r="G3699" s="23"/>
    </row>
    <row r="3700" spans="5:7" x14ac:dyDescent="0.3">
      <c r="E3700" s="23"/>
      <c r="G3700" s="23"/>
    </row>
    <row r="3701" spans="5:7" x14ac:dyDescent="0.3">
      <c r="E3701" s="23"/>
      <c r="G3701" s="23"/>
    </row>
    <row r="3702" spans="5:7" x14ac:dyDescent="0.3">
      <c r="E3702" s="23"/>
      <c r="G3702" s="23"/>
    </row>
    <row r="3703" spans="5:7" x14ac:dyDescent="0.3">
      <c r="E3703" s="23"/>
      <c r="G3703" s="23"/>
    </row>
    <row r="3704" spans="5:7" x14ac:dyDescent="0.3">
      <c r="E3704" s="23"/>
      <c r="G3704" s="23"/>
    </row>
    <row r="3705" spans="5:7" x14ac:dyDescent="0.3">
      <c r="E3705" s="23"/>
      <c r="G3705" s="23"/>
    </row>
    <row r="3706" spans="5:7" x14ac:dyDescent="0.3">
      <c r="E3706" s="23"/>
      <c r="G3706" s="23"/>
    </row>
    <row r="3707" spans="5:7" x14ac:dyDescent="0.3">
      <c r="E3707" s="23"/>
      <c r="G3707" s="23"/>
    </row>
    <row r="3708" spans="5:7" x14ac:dyDescent="0.3">
      <c r="E3708" s="23"/>
      <c r="G3708" s="23"/>
    </row>
    <row r="3709" spans="5:7" x14ac:dyDescent="0.3">
      <c r="E3709" s="23"/>
      <c r="G3709" s="23"/>
    </row>
    <row r="3710" spans="5:7" x14ac:dyDescent="0.3">
      <c r="E3710" s="23"/>
      <c r="G3710" s="23"/>
    </row>
    <row r="3711" spans="5:7" x14ac:dyDescent="0.3">
      <c r="E3711" s="23"/>
      <c r="G3711" s="23"/>
    </row>
    <row r="3712" spans="5:7" x14ac:dyDescent="0.3">
      <c r="E3712" s="23"/>
      <c r="G3712" s="23"/>
    </row>
    <row r="3713" spans="5:7" x14ac:dyDescent="0.3">
      <c r="E3713" s="23"/>
      <c r="G3713" s="23"/>
    </row>
    <row r="3714" spans="5:7" x14ac:dyDescent="0.3">
      <c r="E3714" s="23"/>
      <c r="G3714" s="23"/>
    </row>
    <row r="3715" spans="5:7" x14ac:dyDescent="0.3">
      <c r="E3715" s="23"/>
      <c r="G3715" s="23"/>
    </row>
    <row r="3716" spans="5:7" x14ac:dyDescent="0.3">
      <c r="E3716" s="23"/>
      <c r="G3716" s="23"/>
    </row>
    <row r="3717" spans="5:7" x14ac:dyDescent="0.3">
      <c r="E3717" s="23"/>
      <c r="G3717" s="23"/>
    </row>
    <row r="3718" spans="5:7" x14ac:dyDescent="0.3">
      <c r="E3718" s="23"/>
      <c r="G3718" s="23"/>
    </row>
    <row r="3719" spans="5:7" x14ac:dyDescent="0.3">
      <c r="E3719" s="23"/>
      <c r="G3719" s="23"/>
    </row>
    <row r="3720" spans="5:7" x14ac:dyDescent="0.3">
      <c r="E3720" s="23"/>
      <c r="G3720" s="23"/>
    </row>
    <row r="3721" spans="5:7" x14ac:dyDescent="0.3">
      <c r="E3721" s="23"/>
      <c r="G3721" s="23"/>
    </row>
    <row r="3722" spans="5:7" x14ac:dyDescent="0.3">
      <c r="E3722" s="23"/>
      <c r="G3722" s="23"/>
    </row>
    <row r="3723" spans="5:7" x14ac:dyDescent="0.3">
      <c r="E3723" s="23"/>
      <c r="G3723" s="23"/>
    </row>
    <row r="3724" spans="5:7" x14ac:dyDescent="0.3">
      <c r="E3724" s="23"/>
      <c r="G3724" s="23"/>
    </row>
    <row r="3725" spans="5:7" x14ac:dyDescent="0.3">
      <c r="E3725" s="23"/>
      <c r="G3725" s="23"/>
    </row>
    <row r="3726" spans="5:7" x14ac:dyDescent="0.3">
      <c r="E3726" s="23"/>
      <c r="G3726" s="23"/>
    </row>
    <row r="3727" spans="5:7" x14ac:dyDescent="0.3">
      <c r="E3727" s="23"/>
      <c r="G3727" s="23"/>
    </row>
    <row r="3728" spans="5:7" x14ac:dyDescent="0.3">
      <c r="E3728" s="23"/>
      <c r="G3728" s="23"/>
    </row>
    <row r="3729" spans="5:7" x14ac:dyDescent="0.3">
      <c r="E3729" s="23"/>
      <c r="G3729" s="23"/>
    </row>
    <row r="3730" spans="5:7" x14ac:dyDescent="0.3">
      <c r="E3730" s="23"/>
      <c r="G3730" s="23"/>
    </row>
    <row r="3731" spans="5:7" x14ac:dyDescent="0.3">
      <c r="E3731" s="23"/>
      <c r="G3731" s="23"/>
    </row>
    <row r="3732" spans="5:7" x14ac:dyDescent="0.3">
      <c r="E3732" s="23"/>
      <c r="G3732" s="23"/>
    </row>
    <row r="3733" spans="5:7" x14ac:dyDescent="0.3">
      <c r="E3733" s="23"/>
      <c r="G3733" s="23"/>
    </row>
    <row r="3734" spans="5:7" x14ac:dyDescent="0.3">
      <c r="E3734" s="23"/>
      <c r="G3734" s="23"/>
    </row>
    <row r="3735" spans="5:7" x14ac:dyDescent="0.3">
      <c r="E3735" s="23"/>
      <c r="G3735" s="23"/>
    </row>
    <row r="3736" spans="5:7" x14ac:dyDescent="0.3">
      <c r="E3736" s="23"/>
      <c r="G3736" s="23"/>
    </row>
    <row r="3737" spans="5:7" x14ac:dyDescent="0.3">
      <c r="E3737" s="23"/>
      <c r="G3737" s="23"/>
    </row>
    <row r="3738" spans="5:7" x14ac:dyDescent="0.3">
      <c r="E3738" s="23"/>
      <c r="G3738" s="23"/>
    </row>
    <row r="3739" spans="5:7" x14ac:dyDescent="0.3">
      <c r="E3739" s="23"/>
      <c r="G3739" s="23"/>
    </row>
    <row r="3740" spans="5:7" x14ac:dyDescent="0.3">
      <c r="E3740" s="23"/>
      <c r="G3740" s="23"/>
    </row>
    <row r="3741" spans="5:7" x14ac:dyDescent="0.3">
      <c r="E3741" s="23"/>
      <c r="G3741" s="23"/>
    </row>
    <row r="3742" spans="5:7" x14ac:dyDescent="0.3">
      <c r="E3742" s="23"/>
      <c r="G3742" s="23"/>
    </row>
    <row r="3743" spans="5:7" x14ac:dyDescent="0.3">
      <c r="E3743" s="23"/>
      <c r="G3743" s="23"/>
    </row>
    <row r="3744" spans="5:7" x14ac:dyDescent="0.3">
      <c r="E3744" s="23"/>
      <c r="G3744" s="23"/>
    </row>
    <row r="3745" spans="5:7" x14ac:dyDescent="0.3">
      <c r="E3745" s="23"/>
      <c r="G3745" s="23"/>
    </row>
    <row r="3746" spans="5:7" x14ac:dyDescent="0.3">
      <c r="E3746" s="23"/>
      <c r="G3746" s="23"/>
    </row>
    <row r="3747" spans="5:7" x14ac:dyDescent="0.3">
      <c r="E3747" s="23"/>
      <c r="G3747" s="23"/>
    </row>
    <row r="3748" spans="5:7" x14ac:dyDescent="0.3">
      <c r="E3748" s="23"/>
      <c r="G3748" s="23"/>
    </row>
    <row r="3749" spans="5:7" x14ac:dyDescent="0.3">
      <c r="E3749" s="23"/>
      <c r="G3749" s="23"/>
    </row>
    <row r="3750" spans="5:7" x14ac:dyDescent="0.3">
      <c r="E3750" s="23"/>
      <c r="G3750" s="23"/>
    </row>
    <row r="3751" spans="5:7" x14ac:dyDescent="0.3">
      <c r="E3751" s="23"/>
      <c r="G3751" s="23"/>
    </row>
    <row r="3752" spans="5:7" x14ac:dyDescent="0.3">
      <c r="E3752" s="23"/>
      <c r="G3752" s="23"/>
    </row>
    <row r="3753" spans="5:7" x14ac:dyDescent="0.3">
      <c r="E3753" s="23"/>
      <c r="G3753" s="23"/>
    </row>
    <row r="3754" spans="5:7" x14ac:dyDescent="0.3">
      <c r="E3754" s="23"/>
      <c r="G3754" s="23"/>
    </row>
    <row r="3755" spans="5:7" x14ac:dyDescent="0.3">
      <c r="E3755" s="23"/>
      <c r="G3755" s="23"/>
    </row>
    <row r="3756" spans="5:7" x14ac:dyDescent="0.3">
      <c r="E3756" s="23"/>
      <c r="G3756" s="23"/>
    </row>
    <row r="3757" spans="5:7" x14ac:dyDescent="0.3">
      <c r="E3757" s="23"/>
      <c r="G3757" s="23"/>
    </row>
    <row r="3758" spans="5:7" x14ac:dyDescent="0.3">
      <c r="E3758" s="23"/>
      <c r="G3758" s="23"/>
    </row>
    <row r="3759" spans="5:7" x14ac:dyDescent="0.3">
      <c r="E3759" s="23"/>
      <c r="G3759" s="23"/>
    </row>
    <row r="3760" spans="5:7" x14ac:dyDescent="0.3">
      <c r="E3760" s="23"/>
      <c r="G3760" s="23"/>
    </row>
    <row r="3761" spans="5:7" x14ac:dyDescent="0.3">
      <c r="E3761" s="23"/>
      <c r="G3761" s="23"/>
    </row>
    <row r="3762" spans="5:7" x14ac:dyDescent="0.3">
      <c r="E3762" s="23"/>
      <c r="G3762" s="23"/>
    </row>
    <row r="3763" spans="5:7" x14ac:dyDescent="0.3">
      <c r="E3763" s="23"/>
      <c r="G3763" s="23"/>
    </row>
    <row r="3764" spans="5:7" x14ac:dyDescent="0.3">
      <c r="E3764" s="23"/>
      <c r="G3764" s="23"/>
    </row>
    <row r="3765" spans="5:7" x14ac:dyDescent="0.3">
      <c r="E3765" s="23"/>
      <c r="G3765" s="23"/>
    </row>
    <row r="3766" spans="5:7" x14ac:dyDescent="0.3">
      <c r="E3766" s="23"/>
      <c r="G3766" s="23"/>
    </row>
    <row r="3767" spans="5:7" x14ac:dyDescent="0.3">
      <c r="E3767" s="23"/>
      <c r="G3767" s="23"/>
    </row>
    <row r="3768" spans="5:7" x14ac:dyDescent="0.3">
      <c r="E3768" s="23"/>
      <c r="G3768" s="23"/>
    </row>
    <row r="3769" spans="5:7" x14ac:dyDescent="0.3">
      <c r="E3769" s="23"/>
      <c r="G3769" s="23"/>
    </row>
    <row r="3770" spans="5:7" x14ac:dyDescent="0.3">
      <c r="E3770" s="23"/>
      <c r="G3770" s="23"/>
    </row>
    <row r="3771" spans="5:7" x14ac:dyDescent="0.3">
      <c r="E3771" s="23"/>
      <c r="G3771" s="23"/>
    </row>
    <row r="3772" spans="5:7" x14ac:dyDescent="0.3">
      <c r="E3772" s="23"/>
      <c r="G3772" s="23"/>
    </row>
    <row r="3773" spans="5:7" x14ac:dyDescent="0.3">
      <c r="E3773" s="23"/>
      <c r="G3773" s="23"/>
    </row>
    <row r="3774" spans="5:7" x14ac:dyDescent="0.3">
      <c r="E3774" s="23"/>
      <c r="G3774" s="23"/>
    </row>
    <row r="3775" spans="5:7" x14ac:dyDescent="0.3">
      <c r="E3775" s="23"/>
      <c r="G3775" s="23"/>
    </row>
    <row r="3776" spans="5:7" x14ac:dyDescent="0.3">
      <c r="E3776" s="23"/>
      <c r="G3776" s="23"/>
    </row>
    <row r="3777" spans="5:7" x14ac:dyDescent="0.3">
      <c r="E3777" s="23"/>
      <c r="G3777" s="23"/>
    </row>
    <row r="3778" spans="5:7" x14ac:dyDescent="0.3">
      <c r="E3778" s="23"/>
      <c r="G3778" s="23"/>
    </row>
    <row r="3779" spans="5:7" x14ac:dyDescent="0.3">
      <c r="E3779" s="23"/>
      <c r="G3779" s="23"/>
    </row>
    <row r="3780" spans="5:7" x14ac:dyDescent="0.3">
      <c r="E3780" s="23"/>
      <c r="G3780" s="23"/>
    </row>
    <row r="3781" spans="5:7" x14ac:dyDescent="0.3">
      <c r="E3781" s="23"/>
      <c r="G3781" s="23"/>
    </row>
    <row r="3782" spans="5:7" x14ac:dyDescent="0.3">
      <c r="E3782" s="23"/>
      <c r="G3782" s="23"/>
    </row>
    <row r="3783" spans="5:7" x14ac:dyDescent="0.3">
      <c r="E3783" s="23"/>
      <c r="G3783" s="23"/>
    </row>
    <row r="3784" spans="5:7" x14ac:dyDescent="0.3">
      <c r="E3784" s="23"/>
      <c r="G3784" s="23"/>
    </row>
    <row r="3785" spans="5:7" x14ac:dyDescent="0.3">
      <c r="E3785" s="23"/>
      <c r="G3785" s="23"/>
    </row>
    <row r="3786" spans="5:7" x14ac:dyDescent="0.3">
      <c r="E3786" s="23"/>
      <c r="G3786" s="23"/>
    </row>
    <row r="3787" spans="5:7" x14ac:dyDescent="0.3">
      <c r="E3787" s="23"/>
      <c r="G3787" s="23"/>
    </row>
    <row r="3788" spans="5:7" x14ac:dyDescent="0.3">
      <c r="E3788" s="23"/>
      <c r="G3788" s="23"/>
    </row>
    <row r="3789" spans="5:7" x14ac:dyDescent="0.3">
      <c r="E3789" s="23"/>
      <c r="G3789" s="23"/>
    </row>
    <row r="3790" spans="5:7" x14ac:dyDescent="0.3">
      <c r="E3790" s="23"/>
      <c r="G3790" s="23"/>
    </row>
    <row r="3791" spans="5:7" x14ac:dyDescent="0.3">
      <c r="E3791" s="23"/>
      <c r="G3791" s="23"/>
    </row>
    <row r="3792" spans="5:7" x14ac:dyDescent="0.3">
      <c r="E3792" s="23"/>
      <c r="G3792" s="23"/>
    </row>
    <row r="3793" spans="5:7" x14ac:dyDescent="0.3">
      <c r="E3793" s="23"/>
      <c r="G3793" s="23"/>
    </row>
    <row r="3794" spans="5:7" x14ac:dyDescent="0.3">
      <c r="E3794" s="23"/>
      <c r="G3794" s="23"/>
    </row>
    <row r="3795" spans="5:7" x14ac:dyDescent="0.3">
      <c r="E3795" s="23"/>
      <c r="G3795" s="23"/>
    </row>
    <row r="3796" spans="5:7" x14ac:dyDescent="0.3">
      <c r="E3796" s="23"/>
      <c r="G3796" s="23"/>
    </row>
    <row r="3797" spans="5:7" x14ac:dyDescent="0.3">
      <c r="E3797" s="23"/>
      <c r="G3797" s="23"/>
    </row>
    <row r="3798" spans="5:7" x14ac:dyDescent="0.3">
      <c r="E3798" s="23"/>
      <c r="G3798" s="23"/>
    </row>
    <row r="3799" spans="5:7" x14ac:dyDescent="0.3">
      <c r="E3799" s="23"/>
      <c r="G3799" s="23"/>
    </row>
    <row r="3800" spans="5:7" x14ac:dyDescent="0.3">
      <c r="E3800" s="23"/>
      <c r="G3800" s="23"/>
    </row>
    <row r="3801" spans="5:7" x14ac:dyDescent="0.3">
      <c r="E3801" s="23"/>
      <c r="G3801" s="23"/>
    </row>
    <row r="3802" spans="5:7" x14ac:dyDescent="0.3">
      <c r="E3802" s="23"/>
      <c r="G3802" s="23"/>
    </row>
    <row r="3803" spans="5:7" x14ac:dyDescent="0.3">
      <c r="E3803" s="23"/>
      <c r="G3803" s="23"/>
    </row>
    <row r="3804" spans="5:7" x14ac:dyDescent="0.3">
      <c r="E3804" s="23"/>
      <c r="G3804" s="23"/>
    </row>
    <row r="3805" spans="5:7" x14ac:dyDescent="0.3">
      <c r="E3805" s="23"/>
      <c r="G3805" s="23"/>
    </row>
    <row r="3806" spans="5:7" x14ac:dyDescent="0.3">
      <c r="E3806" s="23"/>
      <c r="G3806" s="23"/>
    </row>
    <row r="3807" spans="5:7" x14ac:dyDescent="0.3">
      <c r="E3807" s="23"/>
      <c r="G3807" s="23"/>
    </row>
    <row r="3808" spans="5:7" x14ac:dyDescent="0.3">
      <c r="E3808" s="23"/>
      <c r="G3808" s="23"/>
    </row>
    <row r="3809" spans="5:7" x14ac:dyDescent="0.3">
      <c r="E3809" s="23"/>
      <c r="G3809" s="23"/>
    </row>
    <row r="3810" spans="5:7" x14ac:dyDescent="0.3">
      <c r="E3810" s="23"/>
      <c r="G3810" s="23"/>
    </row>
    <row r="3811" spans="5:7" x14ac:dyDescent="0.3">
      <c r="E3811" s="23"/>
      <c r="G3811" s="23"/>
    </row>
    <row r="3812" spans="5:7" x14ac:dyDescent="0.3">
      <c r="E3812" s="23"/>
      <c r="G3812" s="23"/>
    </row>
    <row r="3813" spans="5:7" x14ac:dyDescent="0.3">
      <c r="E3813" s="23"/>
      <c r="G3813" s="23"/>
    </row>
    <row r="3814" spans="5:7" x14ac:dyDescent="0.3">
      <c r="E3814" s="23"/>
      <c r="G3814" s="23"/>
    </row>
    <row r="3815" spans="5:7" x14ac:dyDescent="0.3">
      <c r="E3815" s="23"/>
      <c r="G3815" s="23"/>
    </row>
    <row r="3816" spans="5:7" x14ac:dyDescent="0.3">
      <c r="E3816" s="23"/>
      <c r="G3816" s="23"/>
    </row>
    <row r="3817" spans="5:7" x14ac:dyDescent="0.3">
      <c r="E3817" s="23"/>
      <c r="G3817" s="23"/>
    </row>
    <row r="3818" spans="5:7" x14ac:dyDescent="0.3">
      <c r="E3818" s="23"/>
      <c r="G3818" s="23"/>
    </row>
    <row r="3819" spans="5:7" x14ac:dyDescent="0.3">
      <c r="E3819" s="23"/>
      <c r="G3819" s="23"/>
    </row>
    <row r="3820" spans="5:7" x14ac:dyDescent="0.3">
      <c r="E3820" s="23"/>
      <c r="G3820" s="23"/>
    </row>
    <row r="3821" spans="5:7" x14ac:dyDescent="0.3">
      <c r="E3821" s="23"/>
      <c r="G3821" s="23"/>
    </row>
    <row r="3822" spans="5:7" x14ac:dyDescent="0.3">
      <c r="E3822" s="23"/>
      <c r="G3822" s="23"/>
    </row>
    <row r="3823" spans="5:7" x14ac:dyDescent="0.3">
      <c r="E3823" s="23"/>
      <c r="G3823" s="23"/>
    </row>
    <row r="3824" spans="5:7" x14ac:dyDescent="0.3">
      <c r="E3824" s="23"/>
      <c r="G3824" s="23"/>
    </row>
    <row r="3825" spans="5:7" x14ac:dyDescent="0.3">
      <c r="E3825" s="23"/>
      <c r="G3825" s="23"/>
    </row>
    <row r="3826" spans="5:7" x14ac:dyDescent="0.3">
      <c r="E3826" s="23"/>
      <c r="G3826" s="23"/>
    </row>
    <row r="3827" spans="5:7" x14ac:dyDescent="0.3">
      <c r="E3827" s="23"/>
      <c r="G3827" s="23"/>
    </row>
    <row r="3828" spans="5:7" x14ac:dyDescent="0.3">
      <c r="E3828" s="23"/>
      <c r="G3828" s="23"/>
    </row>
    <row r="3829" spans="5:7" x14ac:dyDescent="0.3">
      <c r="E3829" s="23"/>
      <c r="G3829" s="23"/>
    </row>
    <row r="3830" spans="5:7" x14ac:dyDescent="0.3">
      <c r="E3830" s="23"/>
      <c r="G3830" s="23"/>
    </row>
    <row r="3831" spans="5:7" x14ac:dyDescent="0.3">
      <c r="E3831" s="23"/>
      <c r="G3831" s="23"/>
    </row>
    <row r="3832" spans="5:7" x14ac:dyDescent="0.3">
      <c r="E3832" s="23"/>
      <c r="G3832" s="23"/>
    </row>
    <row r="3833" spans="5:7" x14ac:dyDescent="0.3">
      <c r="E3833" s="23"/>
      <c r="G3833" s="23"/>
    </row>
    <row r="3834" spans="5:7" x14ac:dyDescent="0.3">
      <c r="E3834" s="23"/>
      <c r="G3834" s="23"/>
    </row>
    <row r="3835" spans="5:7" x14ac:dyDescent="0.3">
      <c r="E3835" s="23"/>
      <c r="G3835" s="23"/>
    </row>
    <row r="3836" spans="5:7" x14ac:dyDescent="0.3">
      <c r="E3836" s="23"/>
      <c r="G3836" s="23"/>
    </row>
    <row r="3837" spans="5:7" x14ac:dyDescent="0.3">
      <c r="E3837" s="23"/>
      <c r="G3837" s="23"/>
    </row>
    <row r="3838" spans="5:7" x14ac:dyDescent="0.3">
      <c r="E3838" s="23"/>
      <c r="G3838" s="23"/>
    </row>
    <row r="3839" spans="5:7" x14ac:dyDescent="0.3">
      <c r="E3839" s="23"/>
      <c r="G3839" s="23"/>
    </row>
    <row r="3840" spans="5:7" x14ac:dyDescent="0.3">
      <c r="E3840" s="23"/>
      <c r="G3840" s="23"/>
    </row>
    <row r="3841" spans="5:7" x14ac:dyDescent="0.3">
      <c r="E3841" s="23"/>
      <c r="G3841" s="23"/>
    </row>
    <row r="3842" spans="5:7" x14ac:dyDescent="0.3">
      <c r="E3842" s="23"/>
      <c r="G3842" s="23"/>
    </row>
    <row r="3843" spans="5:7" x14ac:dyDescent="0.3">
      <c r="E3843" s="23"/>
      <c r="G3843" s="23"/>
    </row>
    <row r="3844" spans="5:7" x14ac:dyDescent="0.3">
      <c r="E3844" s="23"/>
      <c r="G3844" s="23"/>
    </row>
    <row r="3845" spans="5:7" x14ac:dyDescent="0.3">
      <c r="E3845" s="23"/>
      <c r="G3845" s="23"/>
    </row>
    <row r="3846" spans="5:7" x14ac:dyDescent="0.3">
      <c r="E3846" s="23"/>
      <c r="G3846" s="23"/>
    </row>
    <row r="3847" spans="5:7" x14ac:dyDescent="0.3">
      <c r="E3847" s="23"/>
      <c r="G3847" s="23"/>
    </row>
    <row r="3848" spans="5:7" x14ac:dyDescent="0.3">
      <c r="E3848" s="23"/>
      <c r="G3848" s="23"/>
    </row>
    <row r="3849" spans="5:7" x14ac:dyDescent="0.3">
      <c r="E3849" s="23"/>
      <c r="G3849" s="23"/>
    </row>
    <row r="3850" spans="5:7" x14ac:dyDescent="0.3">
      <c r="E3850" s="23"/>
      <c r="G3850" s="23"/>
    </row>
    <row r="3851" spans="5:7" x14ac:dyDescent="0.3">
      <c r="E3851" s="23"/>
      <c r="G3851" s="23"/>
    </row>
    <row r="3852" spans="5:7" x14ac:dyDescent="0.3">
      <c r="E3852" s="23"/>
      <c r="G3852" s="23"/>
    </row>
    <row r="3853" spans="5:7" x14ac:dyDescent="0.3">
      <c r="E3853" s="23"/>
      <c r="G3853" s="23"/>
    </row>
    <row r="3854" spans="5:7" x14ac:dyDescent="0.3">
      <c r="E3854" s="23"/>
      <c r="G3854" s="23"/>
    </row>
    <row r="3855" spans="5:7" x14ac:dyDescent="0.3">
      <c r="E3855" s="23"/>
      <c r="G3855" s="23"/>
    </row>
    <row r="3856" spans="5:7" x14ac:dyDescent="0.3">
      <c r="E3856" s="23"/>
      <c r="G3856" s="23"/>
    </row>
    <row r="3857" spans="5:7" x14ac:dyDescent="0.3">
      <c r="E3857" s="23"/>
      <c r="G3857" s="23"/>
    </row>
    <row r="3858" spans="5:7" x14ac:dyDescent="0.3">
      <c r="E3858" s="23"/>
      <c r="G3858" s="23"/>
    </row>
    <row r="3859" spans="5:7" x14ac:dyDescent="0.3">
      <c r="E3859" s="23"/>
      <c r="G3859" s="23"/>
    </row>
    <row r="3860" spans="5:7" x14ac:dyDescent="0.3">
      <c r="E3860" s="23"/>
      <c r="G3860" s="23"/>
    </row>
    <row r="3861" spans="5:7" x14ac:dyDescent="0.3">
      <c r="E3861" s="23"/>
      <c r="G3861" s="23"/>
    </row>
    <row r="3862" spans="5:7" x14ac:dyDescent="0.3">
      <c r="E3862" s="23"/>
      <c r="G3862" s="23"/>
    </row>
    <row r="3863" spans="5:7" x14ac:dyDescent="0.3">
      <c r="E3863" s="23"/>
      <c r="G3863" s="23"/>
    </row>
    <row r="3864" spans="5:7" x14ac:dyDescent="0.3">
      <c r="E3864" s="23"/>
      <c r="G3864" s="23"/>
    </row>
    <row r="3865" spans="5:7" x14ac:dyDescent="0.3">
      <c r="E3865" s="23"/>
      <c r="G3865" s="23"/>
    </row>
    <row r="3866" spans="5:7" x14ac:dyDescent="0.3">
      <c r="E3866" s="23"/>
      <c r="G3866" s="23"/>
    </row>
    <row r="3867" spans="5:7" x14ac:dyDescent="0.3">
      <c r="E3867" s="23"/>
      <c r="G3867" s="23"/>
    </row>
    <row r="3868" spans="5:7" x14ac:dyDescent="0.3">
      <c r="E3868" s="23"/>
      <c r="G3868" s="23"/>
    </row>
    <row r="3869" spans="5:7" x14ac:dyDescent="0.3">
      <c r="E3869" s="23"/>
      <c r="G3869" s="23"/>
    </row>
    <row r="3870" spans="5:7" x14ac:dyDescent="0.3">
      <c r="E3870" s="23"/>
      <c r="G3870" s="23"/>
    </row>
    <row r="3871" spans="5:7" x14ac:dyDescent="0.3">
      <c r="E3871" s="23"/>
      <c r="G3871" s="23"/>
    </row>
    <row r="3872" spans="5:7" x14ac:dyDescent="0.3">
      <c r="E3872" s="23"/>
      <c r="G3872" s="23"/>
    </row>
    <row r="3873" spans="5:7" x14ac:dyDescent="0.3">
      <c r="E3873" s="23"/>
      <c r="G3873" s="23"/>
    </row>
    <row r="3874" spans="5:7" x14ac:dyDescent="0.3">
      <c r="E3874" s="23"/>
      <c r="G3874" s="23"/>
    </row>
    <row r="3875" spans="5:7" x14ac:dyDescent="0.3">
      <c r="E3875" s="23"/>
      <c r="G3875" s="23"/>
    </row>
    <row r="3876" spans="5:7" x14ac:dyDescent="0.3">
      <c r="E3876" s="23"/>
      <c r="G3876" s="23"/>
    </row>
    <row r="3877" spans="5:7" x14ac:dyDescent="0.3">
      <c r="E3877" s="23"/>
      <c r="G3877" s="23"/>
    </row>
    <row r="3878" spans="5:7" x14ac:dyDescent="0.3">
      <c r="E3878" s="23"/>
      <c r="G3878" s="23"/>
    </row>
    <row r="3879" spans="5:7" x14ac:dyDescent="0.3">
      <c r="E3879" s="23"/>
      <c r="G3879" s="23"/>
    </row>
    <row r="3880" spans="5:7" x14ac:dyDescent="0.3">
      <c r="E3880" s="23"/>
      <c r="G3880" s="23"/>
    </row>
    <row r="3881" spans="5:7" x14ac:dyDescent="0.3">
      <c r="E3881" s="23"/>
      <c r="G3881" s="23"/>
    </row>
    <row r="3882" spans="5:7" x14ac:dyDescent="0.3">
      <c r="E3882" s="23"/>
      <c r="G3882" s="23"/>
    </row>
    <row r="3883" spans="5:7" x14ac:dyDescent="0.3">
      <c r="E3883" s="23"/>
      <c r="G3883" s="23"/>
    </row>
    <row r="3884" spans="5:7" x14ac:dyDescent="0.3">
      <c r="E3884" s="23"/>
      <c r="G3884" s="23"/>
    </row>
    <row r="3885" spans="5:7" x14ac:dyDescent="0.3">
      <c r="E3885" s="23"/>
      <c r="G3885" s="23"/>
    </row>
    <row r="3886" spans="5:7" x14ac:dyDescent="0.3">
      <c r="E3886" s="23"/>
      <c r="G3886" s="23"/>
    </row>
    <row r="3887" spans="5:7" x14ac:dyDescent="0.3">
      <c r="E3887" s="23"/>
      <c r="G3887" s="23"/>
    </row>
    <row r="3888" spans="5:7" x14ac:dyDescent="0.3">
      <c r="E3888" s="23"/>
      <c r="G3888" s="23"/>
    </row>
    <row r="3889" spans="5:7" x14ac:dyDescent="0.3">
      <c r="E3889" s="23"/>
      <c r="G3889" s="23"/>
    </row>
    <row r="3890" spans="5:7" x14ac:dyDescent="0.3">
      <c r="E3890" s="23"/>
      <c r="G3890" s="23"/>
    </row>
    <row r="3891" spans="5:7" x14ac:dyDescent="0.3">
      <c r="E3891" s="23"/>
      <c r="G3891" s="23"/>
    </row>
    <row r="3892" spans="5:7" x14ac:dyDescent="0.3">
      <c r="E3892" s="23"/>
      <c r="G3892" s="23"/>
    </row>
    <row r="3893" spans="5:7" x14ac:dyDescent="0.3">
      <c r="E3893" s="23"/>
      <c r="G3893" s="23"/>
    </row>
    <row r="3894" spans="5:7" x14ac:dyDescent="0.3">
      <c r="E3894" s="23"/>
      <c r="G3894" s="23"/>
    </row>
    <row r="3895" spans="5:7" x14ac:dyDescent="0.3">
      <c r="E3895" s="23"/>
      <c r="G3895" s="23"/>
    </row>
    <row r="3896" spans="5:7" x14ac:dyDescent="0.3">
      <c r="E3896" s="23"/>
      <c r="G3896" s="23"/>
    </row>
    <row r="3897" spans="5:7" x14ac:dyDescent="0.3">
      <c r="E3897" s="23"/>
      <c r="G3897" s="23"/>
    </row>
    <row r="3898" spans="5:7" x14ac:dyDescent="0.3">
      <c r="E3898" s="23"/>
      <c r="G3898" s="23"/>
    </row>
    <row r="3899" spans="5:7" x14ac:dyDescent="0.3">
      <c r="E3899" s="23"/>
      <c r="G3899" s="23"/>
    </row>
    <row r="3900" spans="5:7" x14ac:dyDescent="0.3">
      <c r="E3900" s="23"/>
      <c r="G3900" s="23"/>
    </row>
    <row r="3901" spans="5:7" x14ac:dyDescent="0.3">
      <c r="E3901" s="23"/>
      <c r="G3901" s="23"/>
    </row>
    <row r="3902" spans="5:7" x14ac:dyDescent="0.3">
      <c r="E3902" s="23"/>
      <c r="G3902" s="23"/>
    </row>
    <row r="3903" spans="5:7" x14ac:dyDescent="0.3">
      <c r="E3903" s="23"/>
      <c r="G3903" s="23"/>
    </row>
    <row r="3904" spans="5:7" x14ac:dyDescent="0.3">
      <c r="E3904" s="23"/>
      <c r="G3904" s="23"/>
    </row>
    <row r="3905" spans="5:7" x14ac:dyDescent="0.3">
      <c r="E3905" s="23"/>
      <c r="G3905" s="23"/>
    </row>
    <row r="3906" spans="5:7" x14ac:dyDescent="0.3">
      <c r="E3906" s="23"/>
      <c r="G3906" s="23"/>
    </row>
    <row r="3907" spans="5:7" x14ac:dyDescent="0.3">
      <c r="E3907" s="23"/>
      <c r="G3907" s="23"/>
    </row>
    <row r="3908" spans="5:7" x14ac:dyDescent="0.3">
      <c r="E3908" s="23"/>
      <c r="G3908" s="23"/>
    </row>
    <row r="3909" spans="5:7" x14ac:dyDescent="0.3">
      <c r="E3909" s="23"/>
      <c r="G3909" s="23"/>
    </row>
    <row r="3910" spans="5:7" x14ac:dyDescent="0.3">
      <c r="E3910" s="23"/>
      <c r="G3910" s="23"/>
    </row>
    <row r="3911" spans="5:7" x14ac:dyDescent="0.3">
      <c r="E3911" s="23"/>
      <c r="G3911" s="23"/>
    </row>
    <row r="3912" spans="5:7" x14ac:dyDescent="0.3">
      <c r="E3912" s="23"/>
      <c r="G3912" s="23"/>
    </row>
    <row r="3913" spans="5:7" x14ac:dyDescent="0.3">
      <c r="E3913" s="23"/>
      <c r="G3913" s="23"/>
    </row>
    <row r="3914" spans="5:7" x14ac:dyDescent="0.3">
      <c r="E3914" s="23"/>
      <c r="G3914" s="23"/>
    </row>
    <row r="3915" spans="5:7" x14ac:dyDescent="0.3">
      <c r="E3915" s="23"/>
      <c r="G3915" s="23"/>
    </row>
    <row r="3916" spans="5:7" x14ac:dyDescent="0.3">
      <c r="E3916" s="23"/>
      <c r="G3916" s="23"/>
    </row>
    <row r="3917" spans="5:7" x14ac:dyDescent="0.3">
      <c r="E3917" s="23"/>
      <c r="G3917" s="23"/>
    </row>
    <row r="3918" spans="5:7" x14ac:dyDescent="0.3">
      <c r="E3918" s="23"/>
      <c r="G3918" s="23"/>
    </row>
    <row r="3919" spans="5:7" x14ac:dyDescent="0.3">
      <c r="E3919" s="23"/>
      <c r="G3919" s="23"/>
    </row>
    <row r="3920" spans="5:7" x14ac:dyDescent="0.3">
      <c r="E3920" s="23"/>
      <c r="G3920" s="23"/>
    </row>
    <row r="3921" spans="5:7" x14ac:dyDescent="0.3">
      <c r="E3921" s="23"/>
      <c r="G3921" s="23"/>
    </row>
    <row r="3922" spans="5:7" x14ac:dyDescent="0.3">
      <c r="E3922" s="23"/>
      <c r="G3922" s="23"/>
    </row>
    <row r="3923" spans="5:7" x14ac:dyDescent="0.3">
      <c r="E3923" s="23"/>
      <c r="G3923" s="23"/>
    </row>
    <row r="3924" spans="5:7" x14ac:dyDescent="0.3">
      <c r="E3924" s="23"/>
      <c r="G3924" s="23"/>
    </row>
    <row r="3925" spans="5:7" x14ac:dyDescent="0.3">
      <c r="E3925" s="23"/>
      <c r="G3925" s="23"/>
    </row>
    <row r="3926" spans="5:7" x14ac:dyDescent="0.3">
      <c r="E3926" s="23"/>
      <c r="G3926" s="23"/>
    </row>
    <row r="3927" spans="5:7" x14ac:dyDescent="0.3">
      <c r="E3927" s="23"/>
      <c r="G3927" s="23"/>
    </row>
    <row r="3928" spans="5:7" x14ac:dyDescent="0.3">
      <c r="E3928" s="23"/>
      <c r="G3928" s="23"/>
    </row>
    <row r="3929" spans="5:7" x14ac:dyDescent="0.3">
      <c r="E3929" s="23"/>
      <c r="G3929" s="23"/>
    </row>
    <row r="3930" spans="5:7" x14ac:dyDescent="0.3">
      <c r="E3930" s="23"/>
      <c r="G3930" s="23"/>
    </row>
    <row r="3931" spans="5:7" x14ac:dyDescent="0.3">
      <c r="E3931" s="23"/>
      <c r="G3931" s="23"/>
    </row>
    <row r="3932" spans="5:7" x14ac:dyDescent="0.3">
      <c r="E3932" s="23"/>
      <c r="G3932" s="23"/>
    </row>
    <row r="3933" spans="5:7" x14ac:dyDescent="0.3">
      <c r="E3933" s="23"/>
      <c r="G3933" s="23"/>
    </row>
    <row r="3934" spans="5:7" x14ac:dyDescent="0.3">
      <c r="E3934" s="23"/>
      <c r="G3934" s="23"/>
    </row>
    <row r="3935" spans="5:7" x14ac:dyDescent="0.3">
      <c r="E3935" s="23"/>
      <c r="G3935" s="23"/>
    </row>
    <row r="3936" spans="5:7" x14ac:dyDescent="0.3">
      <c r="E3936" s="23"/>
      <c r="G3936" s="23"/>
    </row>
    <row r="3937" spans="5:7" x14ac:dyDescent="0.3">
      <c r="E3937" s="23"/>
      <c r="G3937" s="23"/>
    </row>
    <row r="3938" spans="5:7" x14ac:dyDescent="0.3">
      <c r="E3938" s="23"/>
      <c r="G3938" s="23"/>
    </row>
    <row r="3939" spans="5:7" x14ac:dyDescent="0.3">
      <c r="E3939" s="23"/>
      <c r="G3939" s="23"/>
    </row>
    <row r="3940" spans="5:7" x14ac:dyDescent="0.3">
      <c r="E3940" s="23"/>
      <c r="G3940" s="23"/>
    </row>
    <row r="3941" spans="5:7" x14ac:dyDescent="0.3">
      <c r="E3941" s="23"/>
      <c r="G3941" s="23"/>
    </row>
    <row r="3942" spans="5:7" x14ac:dyDescent="0.3">
      <c r="E3942" s="23"/>
      <c r="G3942" s="23"/>
    </row>
    <row r="3943" spans="5:7" x14ac:dyDescent="0.3">
      <c r="E3943" s="23"/>
      <c r="G3943" s="23"/>
    </row>
    <row r="3944" spans="5:7" x14ac:dyDescent="0.3">
      <c r="E3944" s="23"/>
      <c r="G3944" s="23"/>
    </row>
    <row r="3945" spans="5:7" x14ac:dyDescent="0.3">
      <c r="E3945" s="23"/>
      <c r="G3945" s="23"/>
    </row>
    <row r="3946" spans="5:7" x14ac:dyDescent="0.3">
      <c r="E3946" s="23"/>
      <c r="G3946" s="23"/>
    </row>
    <row r="3947" spans="5:7" x14ac:dyDescent="0.3">
      <c r="E3947" s="23"/>
      <c r="G3947" s="23"/>
    </row>
    <row r="3948" spans="5:7" x14ac:dyDescent="0.3">
      <c r="E3948" s="23"/>
      <c r="G3948" s="23"/>
    </row>
    <row r="3949" spans="5:7" x14ac:dyDescent="0.3">
      <c r="E3949" s="23"/>
      <c r="G3949" s="23"/>
    </row>
    <row r="3950" spans="5:7" x14ac:dyDescent="0.3">
      <c r="E3950" s="23"/>
      <c r="G3950" s="23"/>
    </row>
    <row r="3951" spans="5:7" x14ac:dyDescent="0.3">
      <c r="E3951" s="23"/>
      <c r="G3951" s="23"/>
    </row>
    <row r="3952" spans="5:7" x14ac:dyDescent="0.3">
      <c r="E3952" s="23"/>
      <c r="G3952" s="23"/>
    </row>
    <row r="3953" spans="5:7" x14ac:dyDescent="0.3">
      <c r="E3953" s="23"/>
      <c r="G3953" s="23"/>
    </row>
    <row r="3954" spans="5:7" x14ac:dyDescent="0.3">
      <c r="E3954" s="23"/>
      <c r="G3954" s="23"/>
    </row>
    <row r="3955" spans="5:7" x14ac:dyDescent="0.3">
      <c r="E3955" s="23"/>
      <c r="G3955" s="23"/>
    </row>
    <row r="3956" spans="5:7" x14ac:dyDescent="0.3">
      <c r="E3956" s="23"/>
      <c r="G3956" s="23"/>
    </row>
    <row r="3957" spans="5:7" x14ac:dyDescent="0.3">
      <c r="E3957" s="23"/>
      <c r="G3957" s="23"/>
    </row>
    <row r="3958" spans="5:7" x14ac:dyDescent="0.3">
      <c r="E3958" s="23"/>
      <c r="G3958" s="23"/>
    </row>
    <row r="3959" spans="5:7" x14ac:dyDescent="0.3">
      <c r="E3959" s="23"/>
      <c r="G3959" s="23"/>
    </row>
    <row r="3960" spans="5:7" x14ac:dyDescent="0.3">
      <c r="E3960" s="23"/>
      <c r="G3960" s="23"/>
    </row>
    <row r="3961" spans="5:7" x14ac:dyDescent="0.3">
      <c r="E3961" s="23"/>
      <c r="G3961" s="23"/>
    </row>
    <row r="3962" spans="5:7" x14ac:dyDescent="0.3">
      <c r="E3962" s="23"/>
      <c r="G3962" s="23"/>
    </row>
    <row r="3963" spans="5:7" x14ac:dyDescent="0.3">
      <c r="E3963" s="23"/>
      <c r="G3963" s="23"/>
    </row>
    <row r="3964" spans="5:7" x14ac:dyDescent="0.3">
      <c r="E3964" s="23"/>
      <c r="G3964" s="23"/>
    </row>
    <row r="3965" spans="5:7" x14ac:dyDescent="0.3">
      <c r="E3965" s="23"/>
      <c r="G3965" s="23"/>
    </row>
    <row r="3966" spans="5:7" x14ac:dyDescent="0.3">
      <c r="E3966" s="23"/>
      <c r="G3966" s="23"/>
    </row>
    <row r="3967" spans="5:7" x14ac:dyDescent="0.3">
      <c r="E3967" s="23"/>
      <c r="G3967" s="23"/>
    </row>
    <row r="3968" spans="5:7" x14ac:dyDescent="0.3">
      <c r="E3968" s="23"/>
      <c r="G3968" s="23"/>
    </row>
    <row r="3969" spans="5:7" x14ac:dyDescent="0.3">
      <c r="E3969" s="23"/>
      <c r="G3969" s="23"/>
    </row>
    <row r="3970" spans="5:7" x14ac:dyDescent="0.3">
      <c r="E3970" s="23"/>
      <c r="G3970" s="23"/>
    </row>
    <row r="3971" spans="5:7" x14ac:dyDescent="0.3">
      <c r="E3971" s="23"/>
      <c r="G3971" s="23"/>
    </row>
    <row r="3972" spans="5:7" x14ac:dyDescent="0.3">
      <c r="E3972" s="23"/>
      <c r="G3972" s="23"/>
    </row>
    <row r="3973" spans="5:7" x14ac:dyDescent="0.3">
      <c r="E3973" s="23"/>
      <c r="G3973" s="23"/>
    </row>
    <row r="3974" spans="5:7" x14ac:dyDescent="0.3">
      <c r="E3974" s="23"/>
      <c r="G3974" s="23"/>
    </row>
    <row r="3975" spans="5:7" x14ac:dyDescent="0.3">
      <c r="E3975" s="23"/>
      <c r="G3975" s="23"/>
    </row>
    <row r="3976" spans="5:7" x14ac:dyDescent="0.3">
      <c r="E3976" s="23"/>
      <c r="G3976" s="23"/>
    </row>
    <row r="3977" spans="5:7" x14ac:dyDescent="0.3">
      <c r="E3977" s="23"/>
      <c r="G3977" s="23"/>
    </row>
    <row r="3978" spans="5:7" x14ac:dyDescent="0.3">
      <c r="E3978" s="23"/>
      <c r="G3978" s="23"/>
    </row>
    <row r="3979" spans="5:7" x14ac:dyDescent="0.3">
      <c r="E3979" s="23"/>
      <c r="G3979" s="23"/>
    </row>
    <row r="3980" spans="5:7" x14ac:dyDescent="0.3">
      <c r="E3980" s="23"/>
      <c r="G3980" s="23"/>
    </row>
    <row r="3981" spans="5:7" x14ac:dyDescent="0.3">
      <c r="E3981" s="23"/>
      <c r="G3981" s="23"/>
    </row>
    <row r="3982" spans="5:7" x14ac:dyDescent="0.3">
      <c r="E3982" s="23"/>
      <c r="G3982" s="23"/>
    </row>
    <row r="3983" spans="5:7" x14ac:dyDescent="0.3">
      <c r="E3983" s="23"/>
      <c r="G3983" s="23"/>
    </row>
    <row r="3984" spans="5:7" x14ac:dyDescent="0.3">
      <c r="E3984" s="23"/>
      <c r="G3984" s="23"/>
    </row>
    <row r="3985" spans="5:7" x14ac:dyDescent="0.3">
      <c r="E3985" s="23"/>
      <c r="G3985" s="23"/>
    </row>
    <row r="3986" spans="5:7" x14ac:dyDescent="0.3">
      <c r="E3986" s="23"/>
      <c r="G3986" s="23"/>
    </row>
    <row r="3987" spans="5:7" x14ac:dyDescent="0.3">
      <c r="E3987" s="23"/>
      <c r="G3987" s="23"/>
    </row>
    <row r="3988" spans="5:7" x14ac:dyDescent="0.3">
      <c r="E3988" s="23"/>
      <c r="G3988" s="23"/>
    </row>
    <row r="3989" spans="5:7" x14ac:dyDescent="0.3">
      <c r="E3989" s="23"/>
      <c r="G3989" s="23"/>
    </row>
    <row r="3990" spans="5:7" x14ac:dyDescent="0.3">
      <c r="E3990" s="23"/>
      <c r="G3990" s="23"/>
    </row>
    <row r="3991" spans="5:7" x14ac:dyDescent="0.3">
      <c r="E3991" s="23"/>
      <c r="G3991" s="23"/>
    </row>
    <row r="3992" spans="5:7" x14ac:dyDescent="0.3">
      <c r="E3992" s="23"/>
      <c r="G3992" s="23"/>
    </row>
    <row r="3993" spans="5:7" x14ac:dyDescent="0.3">
      <c r="E3993" s="23"/>
      <c r="G3993" s="23"/>
    </row>
    <row r="3994" spans="5:7" x14ac:dyDescent="0.3">
      <c r="E3994" s="23"/>
      <c r="G3994" s="23"/>
    </row>
    <row r="3995" spans="5:7" x14ac:dyDescent="0.3">
      <c r="E3995" s="23"/>
      <c r="G3995" s="23"/>
    </row>
    <row r="3996" spans="5:7" x14ac:dyDescent="0.3">
      <c r="E3996" s="23"/>
      <c r="G3996" s="23"/>
    </row>
    <row r="3997" spans="5:7" x14ac:dyDescent="0.3">
      <c r="E3997" s="23"/>
      <c r="G3997" s="23"/>
    </row>
    <row r="3998" spans="5:7" x14ac:dyDescent="0.3">
      <c r="E3998" s="23"/>
      <c r="G3998" s="23"/>
    </row>
    <row r="3999" spans="5:7" x14ac:dyDescent="0.3">
      <c r="E3999" s="23"/>
      <c r="G3999" s="23"/>
    </row>
    <row r="4000" spans="5:7" x14ac:dyDescent="0.3">
      <c r="E4000" s="23"/>
      <c r="G4000" s="23"/>
    </row>
    <row r="4001" spans="5:7" x14ac:dyDescent="0.3">
      <c r="E4001" s="23"/>
      <c r="G4001" s="23"/>
    </row>
    <row r="4002" spans="5:7" x14ac:dyDescent="0.3">
      <c r="E4002" s="23"/>
      <c r="G4002" s="23"/>
    </row>
    <row r="4003" spans="5:7" x14ac:dyDescent="0.3">
      <c r="E4003" s="23"/>
      <c r="G4003" s="23"/>
    </row>
    <row r="4004" spans="5:7" x14ac:dyDescent="0.3">
      <c r="E4004" s="23"/>
      <c r="G4004" s="23"/>
    </row>
    <row r="4005" spans="5:7" x14ac:dyDescent="0.3">
      <c r="E4005" s="23"/>
      <c r="G4005" s="23"/>
    </row>
    <row r="4006" spans="5:7" x14ac:dyDescent="0.3">
      <c r="E4006" s="23"/>
      <c r="G4006" s="23"/>
    </row>
    <row r="4007" spans="5:7" x14ac:dyDescent="0.3">
      <c r="E4007" s="23"/>
      <c r="G4007" s="23"/>
    </row>
    <row r="4008" spans="5:7" x14ac:dyDescent="0.3">
      <c r="E4008" s="23"/>
      <c r="G4008" s="23"/>
    </row>
    <row r="4009" spans="5:7" x14ac:dyDescent="0.3">
      <c r="E4009" s="23"/>
      <c r="G4009" s="23"/>
    </row>
    <row r="4010" spans="5:7" x14ac:dyDescent="0.3">
      <c r="E4010" s="23"/>
      <c r="G4010" s="23"/>
    </row>
    <row r="4011" spans="5:7" x14ac:dyDescent="0.3">
      <c r="E4011" s="23"/>
      <c r="G4011" s="23"/>
    </row>
    <row r="4012" spans="5:7" x14ac:dyDescent="0.3">
      <c r="E4012" s="23"/>
      <c r="G4012" s="23"/>
    </row>
    <row r="4013" spans="5:7" x14ac:dyDescent="0.3">
      <c r="E4013" s="23"/>
      <c r="G4013" s="23"/>
    </row>
    <row r="4014" spans="5:7" x14ac:dyDescent="0.3">
      <c r="E4014" s="23"/>
      <c r="G4014" s="23"/>
    </row>
    <row r="4015" spans="5:7" x14ac:dyDescent="0.3">
      <c r="E4015" s="23"/>
      <c r="G4015" s="23"/>
    </row>
    <row r="4016" spans="5:7" x14ac:dyDescent="0.3">
      <c r="E4016" s="23"/>
      <c r="G4016" s="23"/>
    </row>
    <row r="4017" spans="5:7" x14ac:dyDescent="0.3">
      <c r="E4017" s="23"/>
      <c r="G4017" s="23"/>
    </row>
    <row r="4018" spans="5:7" x14ac:dyDescent="0.3">
      <c r="E4018" s="23"/>
      <c r="G4018" s="23"/>
    </row>
    <row r="4019" spans="5:7" x14ac:dyDescent="0.3">
      <c r="E4019" s="23"/>
      <c r="G4019" s="23"/>
    </row>
    <row r="4020" spans="5:7" x14ac:dyDescent="0.3">
      <c r="E4020" s="23"/>
      <c r="G4020" s="23"/>
    </row>
    <row r="4021" spans="5:7" x14ac:dyDescent="0.3">
      <c r="E4021" s="23"/>
      <c r="G4021" s="23"/>
    </row>
    <row r="4022" spans="5:7" x14ac:dyDescent="0.3">
      <c r="E4022" s="23"/>
      <c r="G4022" s="23"/>
    </row>
    <row r="4023" spans="5:7" x14ac:dyDescent="0.3">
      <c r="E4023" s="23"/>
      <c r="G4023" s="23"/>
    </row>
    <row r="4024" spans="5:7" x14ac:dyDescent="0.3">
      <c r="E4024" s="23"/>
      <c r="G4024" s="23"/>
    </row>
    <row r="4025" spans="5:7" x14ac:dyDescent="0.3">
      <c r="E4025" s="23"/>
      <c r="G4025" s="23"/>
    </row>
    <row r="4026" spans="5:7" x14ac:dyDescent="0.3">
      <c r="E4026" s="23"/>
      <c r="G4026" s="23"/>
    </row>
    <row r="4027" spans="5:7" x14ac:dyDescent="0.3">
      <c r="E4027" s="23"/>
      <c r="G4027" s="23"/>
    </row>
    <row r="4028" spans="5:7" x14ac:dyDescent="0.3">
      <c r="E4028" s="23"/>
      <c r="G4028" s="23"/>
    </row>
    <row r="4029" spans="5:7" x14ac:dyDescent="0.3">
      <c r="E4029" s="23"/>
      <c r="G4029" s="23"/>
    </row>
    <row r="4030" spans="5:7" x14ac:dyDescent="0.3">
      <c r="E4030" s="23"/>
      <c r="G4030" s="23"/>
    </row>
    <row r="4031" spans="5:7" x14ac:dyDescent="0.3">
      <c r="E4031" s="23"/>
      <c r="G4031" s="23"/>
    </row>
    <row r="4032" spans="5:7" x14ac:dyDescent="0.3">
      <c r="E4032" s="23"/>
      <c r="G4032" s="23"/>
    </row>
    <row r="4033" spans="5:7" x14ac:dyDescent="0.3">
      <c r="E4033" s="23"/>
      <c r="G4033" s="23"/>
    </row>
    <row r="4034" spans="5:7" x14ac:dyDescent="0.3">
      <c r="E4034" s="23"/>
      <c r="G4034" s="23"/>
    </row>
    <row r="4035" spans="5:7" x14ac:dyDescent="0.3">
      <c r="E4035" s="23"/>
      <c r="G4035" s="23"/>
    </row>
    <row r="4036" spans="5:7" x14ac:dyDescent="0.3">
      <c r="E4036" s="23"/>
      <c r="G4036" s="23"/>
    </row>
    <row r="4037" spans="5:7" x14ac:dyDescent="0.3">
      <c r="E4037" s="23"/>
      <c r="G4037" s="23"/>
    </row>
    <row r="4038" spans="5:7" x14ac:dyDescent="0.3">
      <c r="E4038" s="23"/>
      <c r="G4038" s="23"/>
    </row>
    <row r="4039" spans="5:7" x14ac:dyDescent="0.3">
      <c r="E4039" s="23"/>
      <c r="G4039" s="23"/>
    </row>
    <row r="4040" spans="5:7" x14ac:dyDescent="0.3">
      <c r="E4040" s="23"/>
      <c r="G4040" s="23"/>
    </row>
    <row r="4041" spans="5:7" x14ac:dyDescent="0.3">
      <c r="E4041" s="23"/>
      <c r="G4041" s="23"/>
    </row>
    <row r="4042" spans="5:7" x14ac:dyDescent="0.3">
      <c r="E4042" s="23"/>
      <c r="G4042" s="23"/>
    </row>
    <row r="4043" spans="5:7" x14ac:dyDescent="0.3">
      <c r="E4043" s="23"/>
      <c r="G4043" s="23"/>
    </row>
    <row r="4044" spans="5:7" x14ac:dyDescent="0.3">
      <c r="E4044" s="23"/>
      <c r="G4044" s="23"/>
    </row>
    <row r="4045" spans="5:7" x14ac:dyDescent="0.3">
      <c r="E4045" s="23"/>
      <c r="G4045" s="23"/>
    </row>
    <row r="4046" spans="5:7" x14ac:dyDescent="0.3">
      <c r="E4046" s="23"/>
      <c r="G4046" s="23"/>
    </row>
    <row r="4047" spans="5:7" x14ac:dyDescent="0.3">
      <c r="E4047" s="23"/>
      <c r="G4047" s="23"/>
    </row>
    <row r="4048" spans="5:7" x14ac:dyDescent="0.3">
      <c r="E4048" s="23"/>
      <c r="G4048" s="23"/>
    </row>
    <row r="4049" spans="5:7" x14ac:dyDescent="0.3">
      <c r="E4049" s="23"/>
      <c r="G4049" s="23"/>
    </row>
    <row r="4050" spans="5:7" x14ac:dyDescent="0.3">
      <c r="E4050" s="23"/>
      <c r="G4050" s="23"/>
    </row>
    <row r="4051" spans="5:7" x14ac:dyDescent="0.3">
      <c r="E4051" s="23"/>
      <c r="G4051" s="23"/>
    </row>
    <row r="4052" spans="5:7" x14ac:dyDescent="0.3">
      <c r="E4052" s="23"/>
      <c r="G4052" s="23"/>
    </row>
    <row r="4053" spans="5:7" x14ac:dyDescent="0.3">
      <c r="E4053" s="23"/>
      <c r="G4053" s="23"/>
    </row>
    <row r="4054" spans="5:7" x14ac:dyDescent="0.3">
      <c r="E4054" s="23"/>
      <c r="G4054" s="23"/>
    </row>
    <row r="4055" spans="5:7" x14ac:dyDescent="0.3">
      <c r="E4055" s="23"/>
      <c r="G4055" s="23"/>
    </row>
    <row r="4056" spans="5:7" x14ac:dyDescent="0.3">
      <c r="E4056" s="23"/>
      <c r="G4056" s="23"/>
    </row>
    <row r="4057" spans="5:7" x14ac:dyDescent="0.3">
      <c r="E4057" s="23"/>
      <c r="G4057" s="23"/>
    </row>
    <row r="4058" spans="5:7" x14ac:dyDescent="0.3">
      <c r="E4058" s="23"/>
      <c r="G4058" s="23"/>
    </row>
    <row r="4059" spans="5:7" x14ac:dyDescent="0.3">
      <c r="E4059" s="23"/>
      <c r="G4059" s="23"/>
    </row>
    <row r="4060" spans="5:7" x14ac:dyDescent="0.3">
      <c r="E4060" s="23"/>
      <c r="G4060" s="23"/>
    </row>
    <row r="4061" spans="5:7" x14ac:dyDescent="0.3">
      <c r="E4061" s="23"/>
      <c r="G4061" s="23"/>
    </row>
    <row r="4062" spans="5:7" x14ac:dyDescent="0.3">
      <c r="E4062" s="23"/>
      <c r="G4062" s="23"/>
    </row>
    <row r="4063" spans="5:7" x14ac:dyDescent="0.3">
      <c r="E4063" s="23"/>
      <c r="G4063" s="23"/>
    </row>
    <row r="4064" spans="5:7" x14ac:dyDescent="0.3">
      <c r="E4064" s="23"/>
      <c r="G4064" s="23"/>
    </row>
    <row r="4065" spans="5:7" x14ac:dyDescent="0.3">
      <c r="E4065" s="23"/>
      <c r="G4065" s="23"/>
    </row>
    <row r="4066" spans="5:7" x14ac:dyDescent="0.3">
      <c r="E4066" s="23"/>
      <c r="G4066" s="23"/>
    </row>
    <row r="4067" spans="5:7" x14ac:dyDescent="0.3">
      <c r="E4067" s="23"/>
      <c r="G4067" s="23"/>
    </row>
    <row r="4068" spans="5:7" x14ac:dyDescent="0.3">
      <c r="E4068" s="23"/>
      <c r="G4068" s="23"/>
    </row>
    <row r="4069" spans="5:7" x14ac:dyDescent="0.3">
      <c r="E4069" s="23"/>
      <c r="G4069" s="23"/>
    </row>
    <row r="4070" spans="5:7" x14ac:dyDescent="0.3">
      <c r="E4070" s="23"/>
      <c r="G4070" s="23"/>
    </row>
    <row r="4071" spans="5:7" x14ac:dyDescent="0.3">
      <c r="E4071" s="23"/>
      <c r="G4071" s="23"/>
    </row>
    <row r="4072" spans="5:7" x14ac:dyDescent="0.3">
      <c r="E4072" s="23"/>
      <c r="G4072" s="23"/>
    </row>
    <row r="4073" spans="5:7" x14ac:dyDescent="0.3">
      <c r="E4073" s="23"/>
      <c r="G4073" s="23"/>
    </row>
    <row r="4074" spans="5:7" x14ac:dyDescent="0.3">
      <c r="E4074" s="23"/>
      <c r="G4074" s="23"/>
    </row>
    <row r="4075" spans="5:7" x14ac:dyDescent="0.3">
      <c r="E4075" s="23"/>
      <c r="G4075" s="23"/>
    </row>
    <row r="4076" spans="5:7" x14ac:dyDescent="0.3">
      <c r="E4076" s="23"/>
      <c r="G4076" s="23"/>
    </row>
    <row r="4077" spans="5:7" x14ac:dyDescent="0.3">
      <c r="E4077" s="23"/>
      <c r="G4077" s="23"/>
    </row>
    <row r="4078" spans="5:7" x14ac:dyDescent="0.3">
      <c r="E4078" s="23"/>
      <c r="G4078" s="23"/>
    </row>
    <row r="4079" spans="5:7" x14ac:dyDescent="0.3">
      <c r="E4079" s="23"/>
      <c r="G4079" s="23"/>
    </row>
    <row r="4080" spans="5:7" x14ac:dyDescent="0.3">
      <c r="E4080" s="23"/>
      <c r="G4080" s="23"/>
    </row>
    <row r="4081" spans="5:7" x14ac:dyDescent="0.3">
      <c r="E4081" s="23"/>
      <c r="G4081" s="23"/>
    </row>
    <row r="4082" spans="5:7" x14ac:dyDescent="0.3">
      <c r="E4082" s="23"/>
      <c r="G4082" s="23"/>
    </row>
    <row r="4083" spans="5:7" x14ac:dyDescent="0.3">
      <c r="E4083" s="23"/>
      <c r="G4083" s="23"/>
    </row>
    <row r="4084" spans="5:7" x14ac:dyDescent="0.3">
      <c r="E4084" s="23"/>
      <c r="G4084" s="23"/>
    </row>
    <row r="4085" spans="5:7" x14ac:dyDescent="0.3">
      <c r="E4085" s="23"/>
      <c r="G4085" s="23"/>
    </row>
    <row r="4086" spans="5:7" x14ac:dyDescent="0.3">
      <c r="E4086" s="23"/>
      <c r="G4086" s="23"/>
    </row>
    <row r="4087" spans="5:7" x14ac:dyDescent="0.3">
      <c r="E4087" s="23"/>
      <c r="G4087" s="23"/>
    </row>
    <row r="4088" spans="5:7" x14ac:dyDescent="0.3">
      <c r="E4088" s="23"/>
      <c r="G4088" s="23"/>
    </row>
    <row r="4089" spans="5:7" x14ac:dyDescent="0.3">
      <c r="E4089" s="23"/>
      <c r="G4089" s="23"/>
    </row>
    <row r="4090" spans="5:7" x14ac:dyDescent="0.3">
      <c r="E4090" s="23"/>
      <c r="G4090" s="23"/>
    </row>
    <row r="4091" spans="5:7" x14ac:dyDescent="0.3">
      <c r="E4091" s="23"/>
      <c r="G4091" s="23"/>
    </row>
    <row r="4092" spans="5:7" x14ac:dyDescent="0.3">
      <c r="E4092" s="23"/>
      <c r="G4092" s="23"/>
    </row>
    <row r="4093" spans="5:7" x14ac:dyDescent="0.3">
      <c r="E4093" s="23"/>
      <c r="G4093" s="23"/>
    </row>
    <row r="4094" spans="5:7" x14ac:dyDescent="0.3">
      <c r="E4094" s="23"/>
      <c r="G4094" s="23"/>
    </row>
    <row r="4095" spans="5:7" x14ac:dyDescent="0.3">
      <c r="E4095" s="23"/>
      <c r="G4095" s="23"/>
    </row>
    <row r="4096" spans="5:7" x14ac:dyDescent="0.3">
      <c r="E4096" s="23"/>
      <c r="G4096" s="23"/>
    </row>
    <row r="4097" spans="5:7" x14ac:dyDescent="0.3">
      <c r="E4097" s="23"/>
      <c r="G4097" s="23"/>
    </row>
    <row r="4098" spans="5:7" x14ac:dyDescent="0.3">
      <c r="E4098" s="23"/>
      <c r="G4098" s="23"/>
    </row>
    <row r="4099" spans="5:7" x14ac:dyDescent="0.3">
      <c r="E4099" s="23"/>
      <c r="G4099" s="23"/>
    </row>
    <row r="4100" spans="5:7" x14ac:dyDescent="0.3">
      <c r="E4100" s="23"/>
      <c r="G4100" s="23"/>
    </row>
    <row r="4101" spans="5:7" x14ac:dyDescent="0.3">
      <c r="E4101" s="23"/>
      <c r="G4101" s="23"/>
    </row>
    <row r="4102" spans="5:7" x14ac:dyDescent="0.3">
      <c r="E4102" s="23"/>
      <c r="G4102" s="23"/>
    </row>
    <row r="4103" spans="5:7" x14ac:dyDescent="0.3">
      <c r="E4103" s="23"/>
      <c r="G4103" s="23"/>
    </row>
    <row r="4104" spans="5:7" x14ac:dyDescent="0.3">
      <c r="E4104" s="23"/>
      <c r="G4104" s="23"/>
    </row>
    <row r="4105" spans="5:7" x14ac:dyDescent="0.3">
      <c r="E4105" s="23"/>
      <c r="G4105" s="23"/>
    </row>
    <row r="4106" spans="5:7" x14ac:dyDescent="0.3">
      <c r="E4106" s="23"/>
      <c r="G4106" s="23"/>
    </row>
    <row r="4107" spans="5:7" x14ac:dyDescent="0.3">
      <c r="E4107" s="23"/>
      <c r="G4107" s="23"/>
    </row>
    <row r="4108" spans="5:7" x14ac:dyDescent="0.3">
      <c r="E4108" s="23"/>
      <c r="G4108" s="23"/>
    </row>
    <row r="4109" spans="5:7" x14ac:dyDescent="0.3">
      <c r="E4109" s="23"/>
      <c r="G4109" s="23"/>
    </row>
    <row r="4110" spans="5:7" x14ac:dyDescent="0.3">
      <c r="E4110" s="23"/>
      <c r="G4110" s="23"/>
    </row>
    <row r="4111" spans="5:7" x14ac:dyDescent="0.3">
      <c r="E4111" s="23"/>
      <c r="G4111" s="23"/>
    </row>
    <row r="4112" spans="5:7" x14ac:dyDescent="0.3">
      <c r="E4112" s="23"/>
      <c r="G4112" s="23"/>
    </row>
    <row r="4113" spans="5:7" x14ac:dyDescent="0.3">
      <c r="E4113" s="23"/>
      <c r="G4113" s="23"/>
    </row>
    <row r="4114" spans="5:7" x14ac:dyDescent="0.3">
      <c r="E4114" s="23"/>
      <c r="G4114" s="23"/>
    </row>
    <row r="4115" spans="5:7" x14ac:dyDescent="0.3">
      <c r="E4115" s="23"/>
      <c r="G4115" s="23"/>
    </row>
    <row r="4116" spans="5:7" x14ac:dyDescent="0.3">
      <c r="E4116" s="23"/>
      <c r="G4116" s="23"/>
    </row>
    <row r="4117" spans="5:7" x14ac:dyDescent="0.3">
      <c r="E4117" s="23"/>
      <c r="G4117" s="23"/>
    </row>
    <row r="4118" spans="5:7" x14ac:dyDescent="0.3">
      <c r="E4118" s="23"/>
      <c r="G4118" s="23"/>
    </row>
    <row r="4119" spans="5:7" x14ac:dyDescent="0.3">
      <c r="E4119" s="23"/>
      <c r="G4119" s="23"/>
    </row>
    <row r="4120" spans="5:7" x14ac:dyDescent="0.3">
      <c r="E4120" s="23"/>
      <c r="G4120" s="23"/>
    </row>
    <row r="4121" spans="5:7" x14ac:dyDescent="0.3">
      <c r="E4121" s="23"/>
      <c r="G4121" s="23"/>
    </row>
    <row r="4122" spans="5:7" x14ac:dyDescent="0.3">
      <c r="E4122" s="23"/>
      <c r="G4122" s="23"/>
    </row>
    <row r="4123" spans="5:7" x14ac:dyDescent="0.3">
      <c r="E4123" s="23"/>
      <c r="G4123" s="23"/>
    </row>
    <row r="4124" spans="5:7" x14ac:dyDescent="0.3">
      <c r="E4124" s="23"/>
      <c r="G4124" s="23"/>
    </row>
    <row r="4125" spans="5:7" x14ac:dyDescent="0.3">
      <c r="E4125" s="23"/>
      <c r="G4125" s="23"/>
    </row>
    <row r="4126" spans="5:7" x14ac:dyDescent="0.3">
      <c r="E4126" s="23"/>
      <c r="G4126" s="23"/>
    </row>
    <row r="4127" spans="5:7" x14ac:dyDescent="0.3">
      <c r="E4127" s="23"/>
      <c r="G4127" s="23"/>
    </row>
    <row r="4128" spans="5:7" x14ac:dyDescent="0.3">
      <c r="E4128" s="23"/>
      <c r="G4128" s="23"/>
    </row>
    <row r="4129" spans="5:7" x14ac:dyDescent="0.3">
      <c r="E4129" s="23"/>
      <c r="G4129" s="23"/>
    </row>
    <row r="4130" spans="5:7" x14ac:dyDescent="0.3">
      <c r="E4130" s="23"/>
      <c r="G4130" s="23"/>
    </row>
    <row r="4131" spans="5:7" x14ac:dyDescent="0.3">
      <c r="E4131" s="23"/>
      <c r="G4131" s="23"/>
    </row>
    <row r="4132" spans="5:7" x14ac:dyDescent="0.3">
      <c r="E4132" s="23"/>
      <c r="G4132" s="23"/>
    </row>
    <row r="4133" spans="5:7" x14ac:dyDescent="0.3">
      <c r="E4133" s="23"/>
      <c r="G4133" s="23"/>
    </row>
    <row r="4134" spans="5:7" x14ac:dyDescent="0.3">
      <c r="E4134" s="23"/>
      <c r="G4134" s="23"/>
    </row>
    <row r="4135" spans="5:7" x14ac:dyDescent="0.3">
      <c r="E4135" s="23"/>
      <c r="G4135" s="23"/>
    </row>
    <row r="4136" spans="5:7" x14ac:dyDescent="0.3">
      <c r="E4136" s="23"/>
      <c r="G4136" s="23"/>
    </row>
    <row r="4137" spans="5:7" x14ac:dyDescent="0.3">
      <c r="E4137" s="23"/>
      <c r="G4137" s="23"/>
    </row>
    <row r="4138" spans="5:7" x14ac:dyDescent="0.3">
      <c r="E4138" s="23"/>
      <c r="G4138" s="23"/>
    </row>
    <row r="4139" spans="5:7" x14ac:dyDescent="0.3">
      <c r="E4139" s="23"/>
      <c r="G4139" s="23"/>
    </row>
    <row r="4140" spans="5:7" x14ac:dyDescent="0.3">
      <c r="E4140" s="23"/>
      <c r="G4140" s="23"/>
    </row>
    <row r="4141" spans="5:7" x14ac:dyDescent="0.3">
      <c r="E4141" s="23"/>
      <c r="G4141" s="23"/>
    </row>
    <row r="4142" spans="5:7" x14ac:dyDescent="0.3">
      <c r="E4142" s="23"/>
      <c r="G4142" s="23"/>
    </row>
    <row r="4143" spans="5:7" x14ac:dyDescent="0.3">
      <c r="E4143" s="23"/>
      <c r="G4143" s="23"/>
    </row>
    <row r="4144" spans="5:7" x14ac:dyDescent="0.3">
      <c r="E4144" s="23"/>
      <c r="G4144" s="23"/>
    </row>
    <row r="4145" spans="5:7" x14ac:dyDescent="0.3">
      <c r="E4145" s="23"/>
      <c r="G4145" s="23"/>
    </row>
    <row r="4146" spans="5:7" x14ac:dyDescent="0.3">
      <c r="E4146" s="23"/>
      <c r="G4146" s="23"/>
    </row>
    <row r="4147" spans="5:7" x14ac:dyDescent="0.3">
      <c r="E4147" s="23"/>
      <c r="G4147" s="23"/>
    </row>
    <row r="4148" spans="5:7" x14ac:dyDescent="0.3">
      <c r="E4148" s="23"/>
      <c r="G4148" s="23"/>
    </row>
    <row r="4149" spans="5:7" x14ac:dyDescent="0.3">
      <c r="E4149" s="23"/>
      <c r="G4149" s="23"/>
    </row>
    <row r="4150" spans="5:7" x14ac:dyDescent="0.3">
      <c r="E4150" s="23"/>
      <c r="G4150" s="23"/>
    </row>
    <row r="4151" spans="5:7" x14ac:dyDescent="0.3">
      <c r="E4151" s="23"/>
      <c r="G4151" s="23"/>
    </row>
    <row r="4152" spans="5:7" x14ac:dyDescent="0.3">
      <c r="E4152" s="23"/>
      <c r="G4152" s="23"/>
    </row>
    <row r="4153" spans="5:7" x14ac:dyDescent="0.3">
      <c r="E4153" s="23"/>
      <c r="G4153" s="23"/>
    </row>
    <row r="4154" spans="5:7" x14ac:dyDescent="0.3">
      <c r="E4154" s="23"/>
      <c r="G4154" s="23"/>
    </row>
    <row r="4155" spans="5:7" x14ac:dyDescent="0.3">
      <c r="E4155" s="23"/>
      <c r="G4155" s="23"/>
    </row>
    <row r="4156" spans="5:7" x14ac:dyDescent="0.3">
      <c r="E4156" s="23"/>
      <c r="G4156" s="23"/>
    </row>
    <row r="4157" spans="5:7" x14ac:dyDescent="0.3">
      <c r="E4157" s="23"/>
      <c r="G4157" s="23"/>
    </row>
    <row r="4158" spans="5:7" x14ac:dyDescent="0.3">
      <c r="E4158" s="23"/>
      <c r="G4158" s="23"/>
    </row>
    <row r="4159" spans="5:7" x14ac:dyDescent="0.3">
      <c r="E4159" s="23"/>
      <c r="G4159" s="23"/>
    </row>
    <row r="4160" spans="5:7" x14ac:dyDescent="0.3">
      <c r="E4160" s="23"/>
      <c r="G4160" s="23"/>
    </row>
    <row r="4161" spans="5:7" x14ac:dyDescent="0.3">
      <c r="E4161" s="23"/>
      <c r="G4161" s="23"/>
    </row>
    <row r="4162" spans="5:7" x14ac:dyDescent="0.3">
      <c r="E4162" s="23"/>
      <c r="G4162" s="23"/>
    </row>
    <row r="4163" spans="5:7" x14ac:dyDescent="0.3">
      <c r="E4163" s="23"/>
      <c r="G4163" s="23"/>
    </row>
    <row r="4164" spans="5:7" x14ac:dyDescent="0.3">
      <c r="E4164" s="23"/>
      <c r="G4164" s="23"/>
    </row>
    <row r="4165" spans="5:7" x14ac:dyDescent="0.3">
      <c r="E4165" s="23"/>
      <c r="G4165" s="23"/>
    </row>
    <row r="4166" spans="5:7" x14ac:dyDescent="0.3">
      <c r="E4166" s="23"/>
      <c r="G4166" s="23"/>
    </row>
    <row r="4167" spans="5:7" x14ac:dyDescent="0.3">
      <c r="E4167" s="23"/>
      <c r="G4167" s="23"/>
    </row>
    <row r="4168" spans="5:7" x14ac:dyDescent="0.3">
      <c r="E4168" s="23"/>
      <c r="G4168" s="23"/>
    </row>
    <row r="4169" spans="5:7" x14ac:dyDescent="0.3">
      <c r="E4169" s="23"/>
      <c r="G4169" s="23"/>
    </row>
    <row r="4170" spans="5:7" x14ac:dyDescent="0.3">
      <c r="E4170" s="23"/>
      <c r="G4170" s="23"/>
    </row>
    <row r="4171" spans="5:7" x14ac:dyDescent="0.3">
      <c r="E4171" s="23"/>
      <c r="G4171" s="23"/>
    </row>
    <row r="4172" spans="5:7" x14ac:dyDescent="0.3">
      <c r="E4172" s="23"/>
      <c r="G4172" s="23"/>
    </row>
    <row r="4173" spans="5:7" x14ac:dyDescent="0.3">
      <c r="E4173" s="23"/>
      <c r="G4173" s="23"/>
    </row>
    <row r="4174" spans="5:7" x14ac:dyDescent="0.3">
      <c r="E4174" s="23"/>
      <c r="G4174" s="23"/>
    </row>
    <row r="4175" spans="5:7" x14ac:dyDescent="0.3">
      <c r="E4175" s="23"/>
      <c r="G4175" s="23"/>
    </row>
    <row r="4176" spans="5:7" x14ac:dyDescent="0.3">
      <c r="E4176" s="23"/>
      <c r="G4176" s="23"/>
    </row>
    <row r="4177" spans="5:7" x14ac:dyDescent="0.3">
      <c r="E4177" s="23"/>
      <c r="G4177" s="23"/>
    </row>
    <row r="4178" spans="5:7" x14ac:dyDescent="0.3">
      <c r="E4178" s="23"/>
      <c r="G4178" s="23"/>
    </row>
    <row r="4179" spans="5:7" x14ac:dyDescent="0.3">
      <c r="E4179" s="23"/>
      <c r="G4179" s="23"/>
    </row>
    <row r="4180" spans="5:7" x14ac:dyDescent="0.3">
      <c r="E4180" s="23"/>
      <c r="G4180" s="23"/>
    </row>
    <row r="4181" spans="5:7" x14ac:dyDescent="0.3">
      <c r="E4181" s="23"/>
      <c r="G4181" s="23"/>
    </row>
    <row r="4182" spans="5:7" x14ac:dyDescent="0.3">
      <c r="E4182" s="23"/>
      <c r="G4182" s="23"/>
    </row>
    <row r="4183" spans="5:7" x14ac:dyDescent="0.3">
      <c r="E4183" s="23"/>
      <c r="G4183" s="23"/>
    </row>
    <row r="4184" spans="5:7" x14ac:dyDescent="0.3">
      <c r="E4184" s="23"/>
      <c r="G4184" s="23"/>
    </row>
    <row r="4185" spans="5:7" x14ac:dyDescent="0.3">
      <c r="E4185" s="23"/>
      <c r="G4185" s="23"/>
    </row>
    <row r="4186" spans="5:7" x14ac:dyDescent="0.3">
      <c r="E4186" s="23"/>
      <c r="G4186" s="23"/>
    </row>
    <row r="4187" spans="5:7" x14ac:dyDescent="0.3">
      <c r="E4187" s="23"/>
      <c r="G4187" s="23"/>
    </row>
    <row r="4188" spans="5:7" x14ac:dyDescent="0.3">
      <c r="E4188" s="23"/>
      <c r="G4188" s="23"/>
    </row>
    <row r="4189" spans="5:7" x14ac:dyDescent="0.3">
      <c r="E4189" s="23"/>
      <c r="G4189" s="23"/>
    </row>
    <row r="4190" spans="5:7" x14ac:dyDescent="0.3">
      <c r="E4190" s="23"/>
      <c r="G4190" s="23"/>
    </row>
    <row r="4191" spans="5:7" x14ac:dyDescent="0.3">
      <c r="E4191" s="23"/>
      <c r="G4191" s="23"/>
    </row>
    <row r="4192" spans="5:7" x14ac:dyDescent="0.3">
      <c r="E4192" s="23"/>
      <c r="G4192" s="23"/>
    </row>
    <row r="4193" spans="5:7" x14ac:dyDescent="0.3">
      <c r="E4193" s="23"/>
      <c r="G4193" s="23"/>
    </row>
    <row r="4194" spans="5:7" x14ac:dyDescent="0.3">
      <c r="E4194" s="23"/>
      <c r="G4194" s="23"/>
    </row>
    <row r="4195" spans="5:7" x14ac:dyDescent="0.3">
      <c r="E4195" s="23"/>
      <c r="G4195" s="23"/>
    </row>
    <row r="4196" spans="5:7" x14ac:dyDescent="0.3">
      <c r="E4196" s="23"/>
      <c r="G4196" s="23"/>
    </row>
    <row r="4197" spans="5:7" x14ac:dyDescent="0.3">
      <c r="E4197" s="23"/>
      <c r="G4197" s="23"/>
    </row>
    <row r="4198" spans="5:7" x14ac:dyDescent="0.3">
      <c r="E4198" s="23"/>
      <c r="G4198" s="23"/>
    </row>
    <row r="4199" spans="5:7" x14ac:dyDescent="0.3">
      <c r="E4199" s="23"/>
      <c r="G4199" s="23"/>
    </row>
    <row r="4200" spans="5:7" x14ac:dyDescent="0.3">
      <c r="E4200" s="23"/>
      <c r="G4200" s="23"/>
    </row>
    <row r="4201" spans="5:7" x14ac:dyDescent="0.3">
      <c r="E4201" s="23"/>
      <c r="G4201" s="23"/>
    </row>
    <row r="4202" spans="5:7" x14ac:dyDescent="0.3">
      <c r="E4202" s="23"/>
      <c r="G4202" s="23"/>
    </row>
    <row r="4203" spans="5:7" x14ac:dyDescent="0.3">
      <c r="E4203" s="23"/>
      <c r="G4203" s="23"/>
    </row>
    <row r="4204" spans="5:7" x14ac:dyDescent="0.3">
      <c r="E4204" s="23"/>
      <c r="G4204" s="23"/>
    </row>
    <row r="4205" spans="5:7" x14ac:dyDescent="0.3">
      <c r="E4205" s="23"/>
      <c r="G4205" s="23"/>
    </row>
    <row r="4206" spans="5:7" x14ac:dyDescent="0.3">
      <c r="E4206" s="23"/>
      <c r="G4206" s="23"/>
    </row>
    <row r="4207" spans="5:7" x14ac:dyDescent="0.3">
      <c r="E4207" s="23"/>
      <c r="G4207" s="23"/>
    </row>
    <row r="4208" spans="5:7" x14ac:dyDescent="0.3">
      <c r="E4208" s="23"/>
      <c r="G4208" s="23"/>
    </row>
    <row r="4209" spans="5:7" x14ac:dyDescent="0.3">
      <c r="E4209" s="23"/>
      <c r="G4209" s="23"/>
    </row>
    <row r="4210" spans="5:7" x14ac:dyDescent="0.3">
      <c r="E4210" s="23"/>
      <c r="G4210" s="23"/>
    </row>
    <row r="4211" spans="5:7" x14ac:dyDescent="0.3">
      <c r="E4211" s="23"/>
      <c r="G4211" s="23"/>
    </row>
    <row r="4212" spans="5:7" x14ac:dyDescent="0.3">
      <c r="E4212" s="23"/>
      <c r="G4212" s="23"/>
    </row>
    <row r="4213" spans="5:7" x14ac:dyDescent="0.3">
      <c r="E4213" s="23"/>
      <c r="G4213" s="23"/>
    </row>
    <row r="4214" spans="5:7" x14ac:dyDescent="0.3">
      <c r="E4214" s="23"/>
      <c r="G4214" s="23"/>
    </row>
    <row r="4215" spans="5:7" x14ac:dyDescent="0.3">
      <c r="E4215" s="23"/>
      <c r="G4215" s="23"/>
    </row>
    <row r="4216" spans="5:7" x14ac:dyDescent="0.3">
      <c r="E4216" s="23"/>
      <c r="G4216" s="23"/>
    </row>
    <row r="4217" spans="5:7" x14ac:dyDescent="0.3">
      <c r="E4217" s="23"/>
      <c r="G4217" s="23"/>
    </row>
    <row r="4218" spans="5:7" x14ac:dyDescent="0.3">
      <c r="E4218" s="23"/>
      <c r="G4218" s="23"/>
    </row>
    <row r="4219" spans="5:7" x14ac:dyDescent="0.3">
      <c r="E4219" s="23"/>
      <c r="G4219" s="23"/>
    </row>
    <row r="4220" spans="5:7" x14ac:dyDescent="0.3">
      <c r="E4220" s="23"/>
      <c r="G4220" s="23"/>
    </row>
    <row r="4221" spans="5:7" x14ac:dyDescent="0.3">
      <c r="E4221" s="23"/>
      <c r="G4221" s="23"/>
    </row>
    <row r="4222" spans="5:7" x14ac:dyDescent="0.3">
      <c r="E4222" s="23"/>
      <c r="G4222" s="23"/>
    </row>
    <row r="4223" spans="5:7" x14ac:dyDescent="0.3">
      <c r="E4223" s="23"/>
      <c r="G4223" s="23"/>
    </row>
    <row r="4224" spans="5:7" x14ac:dyDescent="0.3">
      <c r="E4224" s="23"/>
      <c r="G4224" s="23"/>
    </row>
    <row r="4225" spans="5:7" x14ac:dyDescent="0.3">
      <c r="E4225" s="23"/>
      <c r="G4225" s="23"/>
    </row>
    <row r="4226" spans="5:7" x14ac:dyDescent="0.3">
      <c r="E4226" s="23"/>
      <c r="G4226" s="23"/>
    </row>
    <row r="4227" spans="5:7" x14ac:dyDescent="0.3">
      <c r="E4227" s="23"/>
      <c r="G4227" s="23"/>
    </row>
    <row r="4228" spans="5:7" x14ac:dyDescent="0.3">
      <c r="E4228" s="23"/>
      <c r="G4228" s="23"/>
    </row>
    <row r="4229" spans="5:7" x14ac:dyDescent="0.3">
      <c r="E4229" s="23"/>
      <c r="G4229" s="23"/>
    </row>
    <row r="4230" spans="5:7" x14ac:dyDescent="0.3">
      <c r="E4230" s="23"/>
      <c r="G4230" s="23"/>
    </row>
    <row r="4231" spans="5:7" x14ac:dyDescent="0.3">
      <c r="E4231" s="23"/>
      <c r="G4231" s="23"/>
    </row>
    <row r="4232" spans="5:7" x14ac:dyDescent="0.3">
      <c r="E4232" s="23"/>
      <c r="G4232" s="23"/>
    </row>
    <row r="4233" spans="5:7" x14ac:dyDescent="0.3">
      <c r="E4233" s="23"/>
      <c r="G4233" s="23"/>
    </row>
    <row r="4234" spans="5:7" x14ac:dyDescent="0.3">
      <c r="E4234" s="23"/>
      <c r="G4234" s="23"/>
    </row>
    <row r="4235" spans="5:7" x14ac:dyDescent="0.3">
      <c r="E4235" s="23"/>
      <c r="G4235" s="23"/>
    </row>
    <row r="4236" spans="5:7" x14ac:dyDescent="0.3">
      <c r="E4236" s="23"/>
      <c r="G4236" s="23"/>
    </row>
    <row r="4237" spans="5:7" x14ac:dyDescent="0.3">
      <c r="E4237" s="23"/>
      <c r="G4237" s="23"/>
    </row>
    <row r="4238" spans="5:7" x14ac:dyDescent="0.3">
      <c r="E4238" s="23"/>
      <c r="G4238" s="23"/>
    </row>
    <row r="4239" spans="5:7" x14ac:dyDescent="0.3">
      <c r="E4239" s="23"/>
      <c r="G4239" s="23"/>
    </row>
    <row r="4240" spans="5:7" x14ac:dyDescent="0.3">
      <c r="E4240" s="23"/>
      <c r="G4240" s="23"/>
    </row>
    <row r="4241" spans="5:7" x14ac:dyDescent="0.3">
      <c r="E4241" s="23"/>
      <c r="G4241" s="23"/>
    </row>
    <row r="4242" spans="5:7" x14ac:dyDescent="0.3">
      <c r="E4242" s="23"/>
      <c r="G4242" s="23"/>
    </row>
    <row r="4243" spans="5:7" x14ac:dyDescent="0.3">
      <c r="E4243" s="23"/>
      <c r="G4243" s="23"/>
    </row>
    <row r="4244" spans="5:7" x14ac:dyDescent="0.3">
      <c r="E4244" s="23"/>
      <c r="G4244" s="23"/>
    </row>
    <row r="4245" spans="5:7" x14ac:dyDescent="0.3">
      <c r="E4245" s="23"/>
      <c r="G4245" s="23"/>
    </row>
    <row r="4246" spans="5:7" x14ac:dyDescent="0.3">
      <c r="E4246" s="23"/>
      <c r="G4246" s="23"/>
    </row>
    <row r="4247" spans="5:7" x14ac:dyDescent="0.3">
      <c r="E4247" s="23"/>
      <c r="G4247" s="23"/>
    </row>
    <row r="4248" spans="5:7" x14ac:dyDescent="0.3">
      <c r="E4248" s="23"/>
      <c r="G4248" s="23"/>
    </row>
    <row r="4249" spans="5:7" x14ac:dyDescent="0.3">
      <c r="E4249" s="23"/>
      <c r="G4249" s="23"/>
    </row>
    <row r="4250" spans="5:7" x14ac:dyDescent="0.3">
      <c r="E4250" s="23"/>
      <c r="G4250" s="23"/>
    </row>
    <row r="4251" spans="5:7" x14ac:dyDescent="0.3">
      <c r="E4251" s="23"/>
      <c r="G4251" s="23"/>
    </row>
    <row r="4252" spans="5:7" x14ac:dyDescent="0.3">
      <c r="E4252" s="23"/>
      <c r="G4252" s="23"/>
    </row>
    <row r="4253" spans="5:7" x14ac:dyDescent="0.3">
      <c r="E4253" s="23"/>
      <c r="G4253" s="23"/>
    </row>
    <row r="4254" spans="5:7" x14ac:dyDescent="0.3">
      <c r="E4254" s="23"/>
      <c r="G4254" s="23"/>
    </row>
    <row r="4255" spans="5:7" x14ac:dyDescent="0.3">
      <c r="E4255" s="23"/>
      <c r="G4255" s="23"/>
    </row>
    <row r="4256" spans="5:7" x14ac:dyDescent="0.3">
      <c r="E4256" s="23"/>
      <c r="G4256" s="23"/>
    </row>
    <row r="4257" spans="5:7" x14ac:dyDescent="0.3">
      <c r="E4257" s="23"/>
      <c r="G4257" s="23"/>
    </row>
    <row r="4258" spans="5:7" x14ac:dyDescent="0.3">
      <c r="E4258" s="23"/>
      <c r="G4258" s="23"/>
    </row>
    <row r="4259" spans="5:7" x14ac:dyDescent="0.3">
      <c r="E4259" s="23"/>
      <c r="G4259" s="23"/>
    </row>
    <row r="4260" spans="5:7" x14ac:dyDescent="0.3">
      <c r="E4260" s="23"/>
      <c r="G4260" s="23"/>
    </row>
    <row r="4261" spans="5:7" x14ac:dyDescent="0.3">
      <c r="E4261" s="23"/>
      <c r="G4261" s="23"/>
    </row>
    <row r="4262" spans="5:7" x14ac:dyDescent="0.3">
      <c r="E4262" s="23"/>
      <c r="G4262" s="23"/>
    </row>
    <row r="4263" spans="5:7" x14ac:dyDescent="0.3">
      <c r="E4263" s="23"/>
      <c r="G4263" s="23"/>
    </row>
    <row r="4264" spans="5:7" x14ac:dyDescent="0.3">
      <c r="E4264" s="23"/>
      <c r="G4264" s="23"/>
    </row>
    <row r="4265" spans="5:7" x14ac:dyDescent="0.3">
      <c r="E4265" s="23"/>
      <c r="G4265" s="23"/>
    </row>
    <row r="4266" spans="5:7" x14ac:dyDescent="0.3">
      <c r="E4266" s="23"/>
      <c r="G4266" s="23"/>
    </row>
    <row r="4267" spans="5:7" x14ac:dyDescent="0.3">
      <c r="E4267" s="23"/>
      <c r="G4267" s="23"/>
    </row>
    <row r="4268" spans="5:7" x14ac:dyDescent="0.3">
      <c r="E4268" s="23"/>
      <c r="G4268" s="23"/>
    </row>
    <row r="4269" spans="5:7" x14ac:dyDescent="0.3">
      <c r="E4269" s="23"/>
      <c r="G4269" s="23"/>
    </row>
    <row r="4270" spans="5:7" x14ac:dyDescent="0.3">
      <c r="E4270" s="23"/>
      <c r="G4270" s="23"/>
    </row>
    <row r="4271" spans="5:7" x14ac:dyDescent="0.3">
      <c r="E4271" s="23"/>
      <c r="G4271" s="23"/>
    </row>
    <row r="4272" spans="5:7" x14ac:dyDescent="0.3">
      <c r="E4272" s="23"/>
      <c r="G4272" s="23"/>
    </row>
    <row r="4273" spans="5:7" x14ac:dyDescent="0.3">
      <c r="E4273" s="23"/>
      <c r="G4273" s="23"/>
    </row>
    <row r="4274" spans="5:7" x14ac:dyDescent="0.3">
      <c r="E4274" s="23"/>
      <c r="G4274" s="23"/>
    </row>
    <row r="4275" spans="5:7" x14ac:dyDescent="0.3">
      <c r="E4275" s="23"/>
      <c r="G4275" s="23"/>
    </row>
    <row r="4276" spans="5:7" x14ac:dyDescent="0.3">
      <c r="E4276" s="23"/>
      <c r="G4276" s="23"/>
    </row>
    <row r="4277" spans="5:7" x14ac:dyDescent="0.3">
      <c r="E4277" s="23"/>
      <c r="G4277" s="23"/>
    </row>
    <row r="4278" spans="5:7" x14ac:dyDescent="0.3">
      <c r="E4278" s="23"/>
      <c r="G4278" s="23"/>
    </row>
    <row r="4279" spans="5:7" x14ac:dyDescent="0.3">
      <c r="E4279" s="23"/>
      <c r="G4279" s="23"/>
    </row>
    <row r="4280" spans="5:7" x14ac:dyDescent="0.3">
      <c r="E4280" s="23"/>
      <c r="G4280" s="23"/>
    </row>
    <row r="4281" spans="5:7" x14ac:dyDescent="0.3">
      <c r="E4281" s="23"/>
      <c r="G4281" s="23"/>
    </row>
    <row r="4282" spans="5:7" x14ac:dyDescent="0.3">
      <c r="E4282" s="23"/>
      <c r="G4282" s="23"/>
    </row>
    <row r="4283" spans="5:7" x14ac:dyDescent="0.3">
      <c r="E4283" s="23"/>
      <c r="G4283" s="23"/>
    </row>
    <row r="4284" spans="5:7" x14ac:dyDescent="0.3">
      <c r="E4284" s="23"/>
      <c r="G4284" s="23"/>
    </row>
    <row r="4285" spans="5:7" x14ac:dyDescent="0.3">
      <c r="E4285" s="23"/>
      <c r="G4285" s="23"/>
    </row>
    <row r="4286" spans="5:7" x14ac:dyDescent="0.3">
      <c r="E4286" s="23"/>
      <c r="G4286" s="23"/>
    </row>
    <row r="4287" spans="5:7" x14ac:dyDescent="0.3">
      <c r="E4287" s="23"/>
      <c r="G4287" s="23"/>
    </row>
    <row r="4288" spans="5:7" x14ac:dyDescent="0.3">
      <c r="E4288" s="23"/>
      <c r="G4288" s="23"/>
    </row>
    <row r="4289" spans="5:7" x14ac:dyDescent="0.3">
      <c r="E4289" s="23"/>
      <c r="G4289" s="23"/>
    </row>
    <row r="4290" spans="5:7" x14ac:dyDescent="0.3">
      <c r="E4290" s="23"/>
      <c r="G4290" s="23"/>
    </row>
    <row r="4291" spans="5:7" x14ac:dyDescent="0.3">
      <c r="E4291" s="23"/>
      <c r="G4291" s="23"/>
    </row>
    <row r="4292" spans="5:7" x14ac:dyDescent="0.3">
      <c r="E4292" s="23"/>
      <c r="G4292" s="23"/>
    </row>
    <row r="4293" spans="5:7" x14ac:dyDescent="0.3">
      <c r="E4293" s="23"/>
      <c r="G4293" s="23"/>
    </row>
    <row r="4294" spans="5:7" x14ac:dyDescent="0.3">
      <c r="E4294" s="23"/>
      <c r="G4294" s="23"/>
    </row>
    <row r="4295" spans="5:7" x14ac:dyDescent="0.3">
      <c r="E4295" s="23"/>
      <c r="G4295" s="23"/>
    </row>
    <row r="4296" spans="5:7" x14ac:dyDescent="0.3">
      <c r="E4296" s="23"/>
      <c r="G4296" s="23"/>
    </row>
    <row r="4297" spans="5:7" x14ac:dyDescent="0.3">
      <c r="E4297" s="23"/>
      <c r="G4297" s="23"/>
    </row>
    <row r="4298" spans="5:7" x14ac:dyDescent="0.3">
      <c r="E4298" s="23"/>
      <c r="G4298" s="23"/>
    </row>
    <row r="4299" spans="5:7" x14ac:dyDescent="0.3">
      <c r="E4299" s="23"/>
      <c r="G4299" s="23"/>
    </row>
    <row r="4300" spans="5:7" x14ac:dyDescent="0.3">
      <c r="E4300" s="23"/>
      <c r="G4300" s="23"/>
    </row>
    <row r="4301" spans="5:7" x14ac:dyDescent="0.3">
      <c r="E4301" s="23"/>
      <c r="G4301" s="23"/>
    </row>
    <row r="4302" spans="5:7" x14ac:dyDescent="0.3">
      <c r="E4302" s="23"/>
      <c r="G4302" s="23"/>
    </row>
    <row r="4303" spans="5:7" x14ac:dyDescent="0.3">
      <c r="E4303" s="23"/>
      <c r="G4303" s="23"/>
    </row>
    <row r="4304" spans="5:7" x14ac:dyDescent="0.3">
      <c r="E4304" s="23"/>
      <c r="G4304" s="23"/>
    </row>
    <row r="4305" spans="5:7" x14ac:dyDescent="0.3">
      <c r="E4305" s="23"/>
      <c r="G4305" s="23"/>
    </row>
    <row r="4306" spans="5:7" x14ac:dyDescent="0.3">
      <c r="E4306" s="23"/>
      <c r="G4306" s="23"/>
    </row>
    <row r="4307" spans="5:7" x14ac:dyDescent="0.3">
      <c r="E4307" s="23"/>
      <c r="G4307" s="23"/>
    </row>
    <row r="4308" spans="5:7" x14ac:dyDescent="0.3">
      <c r="E4308" s="23"/>
      <c r="G4308" s="23"/>
    </row>
    <row r="4309" spans="5:7" x14ac:dyDescent="0.3">
      <c r="E4309" s="23"/>
      <c r="G4309" s="23"/>
    </row>
    <row r="4310" spans="5:7" x14ac:dyDescent="0.3">
      <c r="E4310" s="23"/>
      <c r="G4310" s="23"/>
    </row>
    <row r="4311" spans="5:7" x14ac:dyDescent="0.3">
      <c r="E4311" s="23"/>
      <c r="G4311" s="23"/>
    </row>
    <row r="4312" spans="5:7" x14ac:dyDescent="0.3">
      <c r="E4312" s="23"/>
      <c r="G4312" s="23"/>
    </row>
    <row r="4313" spans="5:7" x14ac:dyDescent="0.3">
      <c r="E4313" s="23"/>
      <c r="G4313" s="23"/>
    </row>
    <row r="4314" spans="5:7" x14ac:dyDescent="0.3">
      <c r="E4314" s="23"/>
      <c r="G4314" s="23"/>
    </row>
    <row r="4315" spans="5:7" x14ac:dyDescent="0.3">
      <c r="E4315" s="23"/>
      <c r="G4315" s="23"/>
    </row>
    <row r="4316" spans="5:7" x14ac:dyDescent="0.3">
      <c r="E4316" s="23"/>
      <c r="G4316" s="23"/>
    </row>
    <row r="4317" spans="5:7" x14ac:dyDescent="0.3">
      <c r="E4317" s="23"/>
      <c r="G4317" s="23"/>
    </row>
    <row r="4318" spans="5:7" x14ac:dyDescent="0.3">
      <c r="E4318" s="23"/>
      <c r="G4318" s="23"/>
    </row>
    <row r="4319" spans="5:7" x14ac:dyDescent="0.3">
      <c r="E4319" s="23"/>
      <c r="G4319" s="23"/>
    </row>
    <row r="4320" spans="5:7" x14ac:dyDescent="0.3">
      <c r="E4320" s="23"/>
      <c r="G4320" s="23"/>
    </row>
    <row r="4321" spans="5:7" x14ac:dyDescent="0.3">
      <c r="E4321" s="23"/>
      <c r="G4321" s="23"/>
    </row>
    <row r="4322" spans="5:7" x14ac:dyDescent="0.3">
      <c r="E4322" s="23"/>
      <c r="G4322" s="23"/>
    </row>
    <row r="4323" spans="5:7" x14ac:dyDescent="0.3">
      <c r="E4323" s="23"/>
      <c r="G4323" s="23"/>
    </row>
    <row r="4324" spans="5:7" x14ac:dyDescent="0.3">
      <c r="E4324" s="23"/>
      <c r="G4324" s="23"/>
    </row>
    <row r="4325" spans="5:7" x14ac:dyDescent="0.3">
      <c r="E4325" s="23"/>
      <c r="G4325" s="23"/>
    </row>
    <row r="4326" spans="5:7" x14ac:dyDescent="0.3">
      <c r="E4326" s="23"/>
      <c r="G4326" s="23"/>
    </row>
    <row r="4327" spans="5:7" x14ac:dyDescent="0.3">
      <c r="E4327" s="23"/>
      <c r="G4327" s="23"/>
    </row>
    <row r="4328" spans="5:7" x14ac:dyDescent="0.3">
      <c r="E4328" s="23"/>
      <c r="G4328" s="23"/>
    </row>
    <row r="4329" spans="5:7" x14ac:dyDescent="0.3">
      <c r="E4329" s="23"/>
      <c r="G4329" s="23"/>
    </row>
    <row r="4330" spans="5:7" x14ac:dyDescent="0.3">
      <c r="E4330" s="23"/>
      <c r="G4330" s="23"/>
    </row>
    <row r="4331" spans="5:7" x14ac:dyDescent="0.3">
      <c r="E4331" s="23"/>
      <c r="G4331" s="23"/>
    </row>
    <row r="4332" spans="5:7" x14ac:dyDescent="0.3">
      <c r="E4332" s="23"/>
      <c r="G4332" s="23"/>
    </row>
    <row r="4333" spans="5:7" x14ac:dyDescent="0.3">
      <c r="E4333" s="23"/>
      <c r="G4333" s="23"/>
    </row>
    <row r="4334" spans="5:7" x14ac:dyDescent="0.3">
      <c r="E4334" s="23"/>
      <c r="G4334" s="23"/>
    </row>
    <row r="4335" spans="5:7" x14ac:dyDescent="0.3">
      <c r="E4335" s="23"/>
      <c r="G4335" s="23"/>
    </row>
    <row r="4336" spans="5:7" x14ac:dyDescent="0.3">
      <c r="E4336" s="23"/>
      <c r="G4336" s="23"/>
    </row>
    <row r="4337" spans="5:7" x14ac:dyDescent="0.3">
      <c r="E4337" s="23"/>
      <c r="G4337" s="23"/>
    </row>
    <row r="4338" spans="5:7" x14ac:dyDescent="0.3">
      <c r="E4338" s="23"/>
      <c r="G4338" s="23"/>
    </row>
    <row r="4339" spans="5:7" x14ac:dyDescent="0.3">
      <c r="E4339" s="23"/>
      <c r="G4339" s="23"/>
    </row>
    <row r="4340" spans="5:7" x14ac:dyDescent="0.3">
      <c r="E4340" s="23"/>
      <c r="G4340" s="23"/>
    </row>
    <row r="4341" spans="5:7" x14ac:dyDescent="0.3">
      <c r="E4341" s="23"/>
      <c r="G4341" s="23"/>
    </row>
    <row r="4342" spans="5:7" x14ac:dyDescent="0.3">
      <c r="E4342" s="23"/>
      <c r="G4342" s="23"/>
    </row>
    <row r="4343" spans="5:7" x14ac:dyDescent="0.3">
      <c r="E4343" s="23"/>
      <c r="G4343" s="23"/>
    </row>
    <row r="4344" spans="5:7" x14ac:dyDescent="0.3">
      <c r="E4344" s="23"/>
      <c r="G4344" s="23"/>
    </row>
    <row r="4345" spans="5:7" x14ac:dyDescent="0.3">
      <c r="E4345" s="23"/>
      <c r="G4345" s="23"/>
    </row>
    <row r="4346" spans="5:7" x14ac:dyDescent="0.3">
      <c r="E4346" s="23"/>
      <c r="G4346" s="23"/>
    </row>
    <row r="4347" spans="5:7" x14ac:dyDescent="0.3">
      <c r="E4347" s="23"/>
      <c r="G4347" s="23"/>
    </row>
    <row r="4348" spans="5:7" x14ac:dyDescent="0.3">
      <c r="E4348" s="23"/>
      <c r="G4348" s="23"/>
    </row>
    <row r="4349" spans="5:7" x14ac:dyDescent="0.3">
      <c r="E4349" s="23"/>
      <c r="G4349" s="23"/>
    </row>
    <row r="4350" spans="5:7" x14ac:dyDescent="0.3">
      <c r="E4350" s="23"/>
      <c r="G4350" s="23"/>
    </row>
    <row r="4351" spans="5:7" x14ac:dyDescent="0.3">
      <c r="E4351" s="23"/>
      <c r="G4351" s="23"/>
    </row>
    <row r="4352" spans="5:7" x14ac:dyDescent="0.3">
      <c r="E4352" s="23"/>
      <c r="G4352" s="23"/>
    </row>
    <row r="4353" spans="5:7" x14ac:dyDescent="0.3">
      <c r="E4353" s="23"/>
      <c r="G4353" s="23"/>
    </row>
    <row r="4354" spans="5:7" x14ac:dyDescent="0.3">
      <c r="E4354" s="23"/>
      <c r="G4354" s="23"/>
    </row>
    <row r="4355" spans="5:7" x14ac:dyDescent="0.3">
      <c r="E4355" s="23"/>
      <c r="G4355" s="23"/>
    </row>
    <row r="4356" spans="5:7" x14ac:dyDescent="0.3">
      <c r="E4356" s="23"/>
      <c r="G4356" s="23"/>
    </row>
    <row r="4357" spans="5:7" x14ac:dyDescent="0.3">
      <c r="E4357" s="23"/>
      <c r="G4357" s="23"/>
    </row>
    <row r="4358" spans="5:7" x14ac:dyDescent="0.3">
      <c r="E4358" s="23"/>
      <c r="G4358" s="23"/>
    </row>
    <row r="4359" spans="5:7" x14ac:dyDescent="0.3">
      <c r="E4359" s="23"/>
      <c r="G4359" s="23"/>
    </row>
    <row r="4360" spans="5:7" x14ac:dyDescent="0.3">
      <c r="E4360" s="23"/>
      <c r="G4360" s="23"/>
    </row>
    <row r="4361" spans="5:7" x14ac:dyDescent="0.3">
      <c r="E4361" s="23"/>
      <c r="G4361" s="23"/>
    </row>
    <row r="4362" spans="5:7" x14ac:dyDescent="0.3">
      <c r="E4362" s="23"/>
      <c r="G4362" s="23"/>
    </row>
    <row r="4363" spans="5:7" x14ac:dyDescent="0.3">
      <c r="E4363" s="23"/>
      <c r="G4363" s="23"/>
    </row>
    <row r="4364" spans="5:7" x14ac:dyDescent="0.3">
      <c r="E4364" s="23"/>
      <c r="G4364" s="23"/>
    </row>
    <row r="4365" spans="5:7" x14ac:dyDescent="0.3">
      <c r="E4365" s="23"/>
      <c r="G4365" s="23"/>
    </row>
    <row r="4366" spans="5:7" x14ac:dyDescent="0.3">
      <c r="E4366" s="23"/>
      <c r="G4366" s="23"/>
    </row>
    <row r="4367" spans="5:7" x14ac:dyDescent="0.3">
      <c r="E4367" s="23"/>
      <c r="G4367" s="23"/>
    </row>
    <row r="4368" spans="5:7" x14ac:dyDescent="0.3">
      <c r="E4368" s="23"/>
      <c r="G4368" s="23"/>
    </row>
    <row r="4369" spans="5:7" x14ac:dyDescent="0.3">
      <c r="E4369" s="23"/>
      <c r="G4369" s="23"/>
    </row>
    <row r="4370" spans="5:7" x14ac:dyDescent="0.3">
      <c r="E4370" s="23"/>
      <c r="G4370" s="23"/>
    </row>
    <row r="4371" spans="5:7" x14ac:dyDescent="0.3">
      <c r="E4371" s="23"/>
      <c r="G4371" s="23"/>
    </row>
    <row r="4372" spans="5:7" x14ac:dyDescent="0.3">
      <c r="E4372" s="23"/>
      <c r="G4372" s="23"/>
    </row>
    <row r="4373" spans="5:7" x14ac:dyDescent="0.3">
      <c r="E4373" s="23"/>
      <c r="G4373" s="23"/>
    </row>
    <row r="4374" spans="5:7" x14ac:dyDescent="0.3">
      <c r="E4374" s="23"/>
      <c r="G4374" s="23"/>
    </row>
    <row r="4375" spans="5:7" x14ac:dyDescent="0.3">
      <c r="E4375" s="23"/>
      <c r="G4375" s="23"/>
    </row>
    <row r="4376" spans="5:7" x14ac:dyDescent="0.3">
      <c r="E4376" s="23"/>
      <c r="G4376" s="23"/>
    </row>
    <row r="4377" spans="5:7" x14ac:dyDescent="0.3">
      <c r="E4377" s="23"/>
      <c r="G4377" s="23"/>
    </row>
    <row r="4378" spans="5:7" x14ac:dyDescent="0.3">
      <c r="E4378" s="23"/>
      <c r="G4378" s="23"/>
    </row>
    <row r="4379" spans="5:7" x14ac:dyDescent="0.3">
      <c r="E4379" s="23"/>
      <c r="G4379" s="23"/>
    </row>
    <row r="4380" spans="5:7" x14ac:dyDescent="0.3">
      <c r="E4380" s="23"/>
      <c r="G4380" s="23"/>
    </row>
    <row r="4381" spans="5:7" x14ac:dyDescent="0.3">
      <c r="E4381" s="23"/>
      <c r="G4381" s="23"/>
    </row>
    <row r="4382" spans="5:7" x14ac:dyDescent="0.3">
      <c r="E4382" s="23"/>
      <c r="G4382" s="23"/>
    </row>
    <row r="4383" spans="5:7" x14ac:dyDescent="0.3">
      <c r="E4383" s="23"/>
      <c r="G4383" s="23"/>
    </row>
    <row r="4384" spans="5:7" x14ac:dyDescent="0.3">
      <c r="E4384" s="23"/>
      <c r="G4384" s="23"/>
    </row>
    <row r="4385" spans="5:7" x14ac:dyDescent="0.3">
      <c r="E4385" s="23"/>
      <c r="G4385" s="23"/>
    </row>
    <row r="4386" spans="5:7" x14ac:dyDescent="0.3">
      <c r="E4386" s="23"/>
      <c r="G4386" s="23"/>
    </row>
    <row r="4387" spans="5:7" x14ac:dyDescent="0.3">
      <c r="E4387" s="23"/>
      <c r="G4387" s="23"/>
    </row>
    <row r="4388" spans="5:7" x14ac:dyDescent="0.3">
      <c r="E4388" s="23"/>
      <c r="G4388" s="23"/>
    </row>
    <row r="4389" spans="5:7" x14ac:dyDescent="0.3">
      <c r="E4389" s="23"/>
      <c r="G4389" s="23"/>
    </row>
    <row r="4390" spans="5:7" x14ac:dyDescent="0.3">
      <c r="E4390" s="23"/>
      <c r="G4390" s="23"/>
    </row>
    <row r="4391" spans="5:7" x14ac:dyDescent="0.3">
      <c r="E4391" s="23"/>
      <c r="G4391" s="23"/>
    </row>
    <row r="4392" spans="5:7" x14ac:dyDescent="0.3">
      <c r="E4392" s="23"/>
      <c r="G4392" s="23"/>
    </row>
    <row r="4393" spans="5:7" x14ac:dyDescent="0.3">
      <c r="E4393" s="23"/>
      <c r="G4393" s="23"/>
    </row>
    <row r="4394" spans="5:7" x14ac:dyDescent="0.3">
      <c r="E4394" s="23"/>
      <c r="G4394" s="23"/>
    </row>
    <row r="4395" spans="5:7" x14ac:dyDescent="0.3">
      <c r="E4395" s="23"/>
      <c r="G4395" s="23"/>
    </row>
    <row r="4396" spans="5:7" x14ac:dyDescent="0.3">
      <c r="E4396" s="23"/>
      <c r="G4396" s="23"/>
    </row>
    <row r="4397" spans="5:7" x14ac:dyDescent="0.3">
      <c r="E4397" s="23"/>
      <c r="G4397" s="23"/>
    </row>
    <row r="4398" spans="5:7" x14ac:dyDescent="0.3">
      <c r="E4398" s="23"/>
      <c r="G4398" s="23"/>
    </row>
    <row r="4399" spans="5:7" x14ac:dyDescent="0.3">
      <c r="E4399" s="23"/>
      <c r="G4399" s="23"/>
    </row>
    <row r="4400" spans="5:7" x14ac:dyDescent="0.3">
      <c r="E4400" s="23"/>
      <c r="G4400" s="23"/>
    </row>
    <row r="4401" spans="5:7" x14ac:dyDescent="0.3">
      <c r="E4401" s="23"/>
      <c r="G4401" s="23"/>
    </row>
    <row r="4402" spans="5:7" x14ac:dyDescent="0.3">
      <c r="E4402" s="23"/>
      <c r="G4402" s="23"/>
    </row>
    <row r="4403" spans="5:7" x14ac:dyDescent="0.3">
      <c r="E4403" s="23"/>
      <c r="G4403" s="23"/>
    </row>
    <row r="4404" spans="5:7" x14ac:dyDescent="0.3">
      <c r="E4404" s="23"/>
      <c r="G4404" s="23"/>
    </row>
    <row r="4405" spans="5:7" x14ac:dyDescent="0.3">
      <c r="E4405" s="23"/>
      <c r="G4405" s="23"/>
    </row>
    <row r="4406" spans="5:7" x14ac:dyDescent="0.3">
      <c r="E4406" s="23"/>
      <c r="G4406" s="23"/>
    </row>
    <row r="4407" spans="5:7" x14ac:dyDescent="0.3">
      <c r="E4407" s="23"/>
      <c r="G4407" s="23"/>
    </row>
    <row r="4408" spans="5:7" x14ac:dyDescent="0.3">
      <c r="E4408" s="23"/>
      <c r="G4408" s="23"/>
    </row>
    <row r="4409" spans="5:7" x14ac:dyDescent="0.3">
      <c r="E4409" s="23"/>
      <c r="G4409" s="23"/>
    </row>
    <row r="4410" spans="5:7" x14ac:dyDescent="0.3">
      <c r="E4410" s="23"/>
      <c r="G4410" s="23"/>
    </row>
    <row r="4411" spans="5:7" x14ac:dyDescent="0.3">
      <c r="E4411" s="23"/>
      <c r="G4411" s="23"/>
    </row>
    <row r="4412" spans="5:7" x14ac:dyDescent="0.3">
      <c r="E4412" s="23"/>
      <c r="G4412" s="23"/>
    </row>
    <row r="4413" spans="5:7" x14ac:dyDescent="0.3">
      <c r="E4413" s="23"/>
      <c r="G4413" s="23"/>
    </row>
    <row r="4414" spans="5:7" x14ac:dyDescent="0.3">
      <c r="E4414" s="23"/>
      <c r="G4414" s="23"/>
    </row>
    <row r="4415" spans="5:7" x14ac:dyDescent="0.3">
      <c r="E4415" s="23"/>
      <c r="G4415" s="23"/>
    </row>
    <row r="4416" spans="5:7" x14ac:dyDescent="0.3">
      <c r="E4416" s="23"/>
      <c r="G4416" s="23"/>
    </row>
    <row r="4417" spans="5:7" x14ac:dyDescent="0.3">
      <c r="E4417" s="23"/>
      <c r="G4417" s="23"/>
    </row>
    <row r="4418" spans="5:7" x14ac:dyDescent="0.3">
      <c r="E4418" s="23"/>
      <c r="G4418" s="23"/>
    </row>
    <row r="4419" spans="5:7" x14ac:dyDescent="0.3">
      <c r="E4419" s="23"/>
      <c r="G4419" s="23"/>
    </row>
    <row r="4420" spans="5:7" x14ac:dyDescent="0.3">
      <c r="E4420" s="23"/>
      <c r="G4420" s="23"/>
    </row>
    <row r="4421" spans="5:7" x14ac:dyDescent="0.3">
      <c r="E4421" s="23"/>
      <c r="G4421" s="23"/>
    </row>
    <row r="4422" spans="5:7" x14ac:dyDescent="0.3">
      <c r="E4422" s="23"/>
      <c r="G4422" s="23"/>
    </row>
    <row r="4423" spans="5:7" x14ac:dyDescent="0.3">
      <c r="E4423" s="23"/>
      <c r="G4423" s="23"/>
    </row>
    <row r="4424" spans="5:7" x14ac:dyDescent="0.3">
      <c r="E4424" s="23"/>
      <c r="G4424" s="23"/>
    </row>
    <row r="4425" spans="5:7" x14ac:dyDescent="0.3">
      <c r="E4425" s="23"/>
      <c r="G4425" s="23"/>
    </row>
    <row r="4426" spans="5:7" x14ac:dyDescent="0.3">
      <c r="E4426" s="23"/>
      <c r="G4426" s="23"/>
    </row>
    <row r="4427" spans="5:7" x14ac:dyDescent="0.3">
      <c r="E4427" s="23"/>
      <c r="G4427" s="23"/>
    </row>
    <row r="4428" spans="5:7" x14ac:dyDescent="0.3">
      <c r="E4428" s="23"/>
      <c r="G4428" s="23"/>
    </row>
    <row r="4429" spans="5:7" x14ac:dyDescent="0.3">
      <c r="E4429" s="23"/>
      <c r="G4429" s="23"/>
    </row>
    <row r="4430" spans="5:7" x14ac:dyDescent="0.3">
      <c r="E4430" s="23"/>
      <c r="G4430" s="23"/>
    </row>
    <row r="4431" spans="5:7" x14ac:dyDescent="0.3">
      <c r="E4431" s="23"/>
      <c r="G4431" s="23"/>
    </row>
    <row r="4432" spans="5:7" x14ac:dyDescent="0.3">
      <c r="E4432" s="23"/>
      <c r="G4432" s="23"/>
    </row>
    <row r="4433" spans="5:7" x14ac:dyDescent="0.3">
      <c r="E4433" s="23"/>
      <c r="G4433" s="23"/>
    </row>
    <row r="4434" spans="5:7" x14ac:dyDescent="0.3">
      <c r="E4434" s="23"/>
      <c r="G4434" s="23"/>
    </row>
    <row r="4435" spans="5:7" x14ac:dyDescent="0.3">
      <c r="E4435" s="23"/>
      <c r="G4435" s="23"/>
    </row>
    <row r="4436" spans="5:7" x14ac:dyDescent="0.3">
      <c r="E4436" s="23"/>
      <c r="G4436" s="23"/>
    </row>
    <row r="4437" spans="5:7" x14ac:dyDescent="0.3">
      <c r="E4437" s="23"/>
      <c r="G4437" s="23"/>
    </row>
    <row r="4438" spans="5:7" x14ac:dyDescent="0.3">
      <c r="E4438" s="23"/>
      <c r="G4438" s="23"/>
    </row>
    <row r="4439" spans="5:7" x14ac:dyDescent="0.3">
      <c r="E4439" s="23"/>
      <c r="G4439" s="23"/>
    </row>
    <row r="4440" spans="5:7" x14ac:dyDescent="0.3">
      <c r="E4440" s="23"/>
      <c r="G4440" s="23"/>
    </row>
    <row r="4441" spans="5:7" x14ac:dyDescent="0.3">
      <c r="E4441" s="23"/>
      <c r="G4441" s="23"/>
    </row>
    <row r="4442" spans="5:7" x14ac:dyDescent="0.3">
      <c r="E4442" s="23"/>
      <c r="G4442" s="23"/>
    </row>
    <row r="4443" spans="5:7" x14ac:dyDescent="0.3">
      <c r="E4443" s="23"/>
      <c r="G4443" s="23"/>
    </row>
    <row r="4444" spans="5:7" x14ac:dyDescent="0.3">
      <c r="E4444" s="23"/>
      <c r="G4444" s="23"/>
    </row>
    <row r="4445" spans="5:7" x14ac:dyDescent="0.3">
      <c r="E4445" s="23"/>
      <c r="G4445" s="23"/>
    </row>
    <row r="4446" spans="5:7" x14ac:dyDescent="0.3">
      <c r="E4446" s="23"/>
      <c r="G4446" s="23"/>
    </row>
    <row r="4447" spans="5:7" x14ac:dyDescent="0.3">
      <c r="E4447" s="23"/>
      <c r="G4447" s="23"/>
    </row>
    <row r="4448" spans="5:7" x14ac:dyDescent="0.3">
      <c r="E4448" s="23"/>
      <c r="G4448" s="23"/>
    </row>
    <row r="4449" spans="5:7" x14ac:dyDescent="0.3">
      <c r="E4449" s="23"/>
      <c r="G4449" s="23"/>
    </row>
    <row r="4450" spans="5:7" x14ac:dyDescent="0.3">
      <c r="E4450" s="23"/>
      <c r="G4450" s="23"/>
    </row>
    <row r="4451" spans="5:7" x14ac:dyDescent="0.3">
      <c r="E4451" s="23"/>
      <c r="G4451" s="23"/>
    </row>
    <row r="4452" spans="5:7" x14ac:dyDescent="0.3">
      <c r="E4452" s="23"/>
      <c r="G4452" s="23"/>
    </row>
    <row r="4453" spans="5:7" x14ac:dyDescent="0.3">
      <c r="E4453" s="23"/>
      <c r="G4453" s="23"/>
    </row>
    <row r="4454" spans="5:7" x14ac:dyDescent="0.3">
      <c r="E4454" s="23"/>
      <c r="G4454" s="23"/>
    </row>
    <row r="4455" spans="5:7" x14ac:dyDescent="0.3">
      <c r="E4455" s="23"/>
      <c r="G4455" s="23"/>
    </row>
    <row r="4456" spans="5:7" x14ac:dyDescent="0.3">
      <c r="E4456" s="23"/>
      <c r="G4456" s="23"/>
    </row>
    <row r="4457" spans="5:7" x14ac:dyDescent="0.3">
      <c r="E4457" s="23"/>
      <c r="G4457" s="23"/>
    </row>
    <row r="4458" spans="5:7" x14ac:dyDescent="0.3">
      <c r="E4458" s="23"/>
      <c r="G4458" s="23"/>
    </row>
    <row r="4459" spans="5:7" x14ac:dyDescent="0.3">
      <c r="E4459" s="23"/>
      <c r="G4459" s="23"/>
    </row>
    <row r="4460" spans="5:7" x14ac:dyDescent="0.3">
      <c r="E4460" s="23"/>
      <c r="G4460" s="23"/>
    </row>
    <row r="4461" spans="5:7" x14ac:dyDescent="0.3">
      <c r="E4461" s="23"/>
      <c r="G4461" s="23"/>
    </row>
    <row r="4462" spans="5:7" x14ac:dyDescent="0.3">
      <c r="E4462" s="23"/>
      <c r="G4462" s="23"/>
    </row>
    <row r="4463" spans="5:7" x14ac:dyDescent="0.3">
      <c r="E4463" s="23"/>
      <c r="G4463" s="23"/>
    </row>
    <row r="4464" spans="5:7" x14ac:dyDescent="0.3">
      <c r="E4464" s="23"/>
      <c r="G4464" s="23"/>
    </row>
    <row r="4465" spans="5:7" x14ac:dyDescent="0.3">
      <c r="E4465" s="23"/>
      <c r="G4465" s="23"/>
    </row>
    <row r="4466" spans="5:7" x14ac:dyDescent="0.3">
      <c r="E4466" s="23"/>
      <c r="G4466" s="23"/>
    </row>
    <row r="4467" spans="5:7" x14ac:dyDescent="0.3">
      <c r="E4467" s="23"/>
      <c r="G4467" s="23"/>
    </row>
    <row r="4468" spans="5:7" x14ac:dyDescent="0.3">
      <c r="E4468" s="23"/>
      <c r="G4468" s="23"/>
    </row>
    <row r="4469" spans="5:7" x14ac:dyDescent="0.3">
      <c r="E4469" s="23"/>
      <c r="G4469" s="23"/>
    </row>
    <row r="4470" spans="5:7" x14ac:dyDescent="0.3">
      <c r="E4470" s="23"/>
      <c r="G4470" s="23"/>
    </row>
    <row r="4471" spans="5:7" x14ac:dyDescent="0.3">
      <c r="E4471" s="23"/>
      <c r="G4471" s="23"/>
    </row>
    <row r="4472" spans="5:7" x14ac:dyDescent="0.3">
      <c r="E4472" s="23"/>
      <c r="G4472" s="23"/>
    </row>
    <row r="4473" spans="5:7" x14ac:dyDescent="0.3">
      <c r="E4473" s="23"/>
      <c r="G4473" s="23"/>
    </row>
    <row r="4474" spans="5:7" x14ac:dyDescent="0.3">
      <c r="E4474" s="23"/>
      <c r="G4474" s="23"/>
    </row>
    <row r="4475" spans="5:7" x14ac:dyDescent="0.3">
      <c r="E4475" s="23"/>
      <c r="G4475" s="23"/>
    </row>
    <row r="4476" spans="5:7" x14ac:dyDescent="0.3">
      <c r="E4476" s="23"/>
      <c r="G4476" s="23"/>
    </row>
    <row r="4477" spans="5:7" x14ac:dyDescent="0.3">
      <c r="E4477" s="23"/>
      <c r="G4477" s="23"/>
    </row>
    <row r="4478" spans="5:7" x14ac:dyDescent="0.3">
      <c r="E4478" s="23"/>
      <c r="G4478" s="23"/>
    </row>
    <row r="4479" spans="5:7" x14ac:dyDescent="0.3">
      <c r="E4479" s="23"/>
      <c r="G4479" s="23"/>
    </row>
    <row r="4480" spans="5:7" x14ac:dyDescent="0.3">
      <c r="E4480" s="23"/>
      <c r="G4480" s="23"/>
    </row>
    <row r="4481" spans="5:7" x14ac:dyDescent="0.3">
      <c r="E4481" s="23"/>
      <c r="G4481" s="23"/>
    </row>
    <row r="4482" spans="5:7" x14ac:dyDescent="0.3">
      <c r="E4482" s="23"/>
      <c r="G4482" s="23"/>
    </row>
    <row r="4483" spans="5:7" x14ac:dyDescent="0.3">
      <c r="E4483" s="23"/>
      <c r="G4483" s="23"/>
    </row>
    <row r="4484" spans="5:7" x14ac:dyDescent="0.3">
      <c r="E4484" s="23"/>
      <c r="G4484" s="23"/>
    </row>
    <row r="4485" spans="5:7" x14ac:dyDescent="0.3">
      <c r="E4485" s="23"/>
      <c r="G4485" s="23"/>
    </row>
    <row r="4486" spans="5:7" x14ac:dyDescent="0.3">
      <c r="E4486" s="23"/>
      <c r="G4486" s="23"/>
    </row>
    <row r="4487" spans="5:7" x14ac:dyDescent="0.3">
      <c r="E4487" s="23"/>
      <c r="G4487" s="23"/>
    </row>
    <row r="4488" spans="5:7" x14ac:dyDescent="0.3">
      <c r="E4488" s="23"/>
      <c r="G4488" s="23"/>
    </row>
    <row r="4489" spans="5:7" x14ac:dyDescent="0.3">
      <c r="E4489" s="23"/>
      <c r="G4489" s="23"/>
    </row>
    <row r="4490" spans="5:7" x14ac:dyDescent="0.3">
      <c r="E4490" s="23"/>
      <c r="G4490" s="23"/>
    </row>
    <row r="4491" spans="5:7" x14ac:dyDescent="0.3">
      <c r="E4491" s="23"/>
      <c r="G4491" s="23"/>
    </row>
    <row r="4492" spans="5:7" x14ac:dyDescent="0.3">
      <c r="E4492" s="23"/>
      <c r="G4492" s="23"/>
    </row>
    <row r="4493" spans="5:7" x14ac:dyDescent="0.3">
      <c r="E4493" s="23"/>
      <c r="G4493" s="23"/>
    </row>
    <row r="4494" spans="5:7" x14ac:dyDescent="0.3">
      <c r="E4494" s="23"/>
      <c r="G4494" s="23"/>
    </row>
    <row r="4495" spans="5:7" x14ac:dyDescent="0.3">
      <c r="E4495" s="23"/>
      <c r="G4495" s="23"/>
    </row>
    <row r="4496" spans="5:7" x14ac:dyDescent="0.3">
      <c r="E4496" s="23"/>
      <c r="G4496" s="23"/>
    </row>
    <row r="4497" spans="5:7" x14ac:dyDescent="0.3">
      <c r="E4497" s="23"/>
      <c r="G4497" s="23"/>
    </row>
    <row r="4498" spans="5:7" x14ac:dyDescent="0.3">
      <c r="E4498" s="23"/>
      <c r="G4498" s="23"/>
    </row>
    <row r="4499" spans="5:7" x14ac:dyDescent="0.3">
      <c r="E4499" s="23"/>
      <c r="G4499" s="23"/>
    </row>
    <row r="4500" spans="5:7" x14ac:dyDescent="0.3">
      <c r="E4500" s="23"/>
      <c r="G4500" s="23"/>
    </row>
    <row r="4501" spans="5:7" x14ac:dyDescent="0.3">
      <c r="E4501" s="23"/>
      <c r="G4501" s="23"/>
    </row>
    <row r="4502" spans="5:7" x14ac:dyDescent="0.3">
      <c r="E4502" s="23"/>
      <c r="G4502" s="23"/>
    </row>
    <row r="4503" spans="5:7" x14ac:dyDescent="0.3">
      <c r="E4503" s="23"/>
      <c r="G4503" s="23"/>
    </row>
    <row r="4504" spans="5:7" x14ac:dyDescent="0.3">
      <c r="E4504" s="23"/>
      <c r="G4504" s="23"/>
    </row>
    <row r="4505" spans="5:7" x14ac:dyDescent="0.3">
      <c r="E4505" s="23"/>
      <c r="G4505" s="23"/>
    </row>
    <row r="4506" spans="5:7" x14ac:dyDescent="0.3">
      <c r="E4506" s="23"/>
      <c r="G4506" s="23"/>
    </row>
    <row r="4507" spans="5:7" x14ac:dyDescent="0.3">
      <c r="E4507" s="23"/>
      <c r="G4507" s="23"/>
    </row>
    <row r="4508" spans="5:7" x14ac:dyDescent="0.3">
      <c r="E4508" s="23"/>
      <c r="G4508" s="23"/>
    </row>
    <row r="4509" spans="5:7" x14ac:dyDescent="0.3">
      <c r="E4509" s="23"/>
      <c r="G4509" s="23"/>
    </row>
    <row r="4510" spans="5:7" x14ac:dyDescent="0.3">
      <c r="E4510" s="23"/>
      <c r="G4510" s="23"/>
    </row>
    <row r="4511" spans="5:7" x14ac:dyDescent="0.3">
      <c r="E4511" s="23"/>
      <c r="G4511" s="23"/>
    </row>
    <row r="4512" spans="5:7" x14ac:dyDescent="0.3">
      <c r="E4512" s="23"/>
      <c r="G4512" s="23"/>
    </row>
    <row r="4513" spans="5:7" x14ac:dyDescent="0.3">
      <c r="E4513" s="23"/>
      <c r="G4513" s="23"/>
    </row>
    <row r="4514" spans="5:7" x14ac:dyDescent="0.3">
      <c r="E4514" s="23"/>
      <c r="G4514" s="23"/>
    </row>
    <row r="4515" spans="5:7" x14ac:dyDescent="0.3">
      <c r="E4515" s="23"/>
      <c r="G4515" s="23"/>
    </row>
    <row r="4516" spans="5:7" x14ac:dyDescent="0.3">
      <c r="E4516" s="23"/>
      <c r="G4516" s="23"/>
    </row>
    <row r="4517" spans="5:7" x14ac:dyDescent="0.3">
      <c r="E4517" s="23"/>
      <c r="G4517" s="23"/>
    </row>
    <row r="4518" spans="5:7" x14ac:dyDescent="0.3">
      <c r="E4518" s="23"/>
      <c r="G4518" s="23"/>
    </row>
    <row r="4519" spans="5:7" x14ac:dyDescent="0.3">
      <c r="E4519" s="23"/>
      <c r="G4519" s="23"/>
    </row>
    <row r="4520" spans="5:7" x14ac:dyDescent="0.3">
      <c r="E4520" s="23"/>
      <c r="G4520" s="23"/>
    </row>
    <row r="4521" spans="5:7" x14ac:dyDescent="0.3">
      <c r="E4521" s="23"/>
      <c r="G4521" s="23"/>
    </row>
    <row r="4522" spans="5:7" x14ac:dyDescent="0.3">
      <c r="E4522" s="23"/>
      <c r="G4522" s="23"/>
    </row>
    <row r="4523" spans="5:7" x14ac:dyDescent="0.3">
      <c r="E4523" s="23"/>
      <c r="G4523" s="23"/>
    </row>
    <row r="4524" spans="5:7" x14ac:dyDescent="0.3">
      <c r="E4524" s="23"/>
      <c r="G4524" s="23"/>
    </row>
    <row r="4525" spans="5:7" x14ac:dyDescent="0.3">
      <c r="E4525" s="23"/>
      <c r="G4525" s="23"/>
    </row>
    <row r="4526" spans="5:7" x14ac:dyDescent="0.3">
      <c r="E4526" s="23"/>
      <c r="G4526" s="23"/>
    </row>
    <row r="4527" spans="5:7" x14ac:dyDescent="0.3">
      <c r="E4527" s="23"/>
      <c r="G4527" s="23"/>
    </row>
    <row r="4528" spans="5:7" x14ac:dyDescent="0.3">
      <c r="E4528" s="23"/>
      <c r="G4528" s="23"/>
    </row>
    <row r="4529" spans="5:7" x14ac:dyDescent="0.3">
      <c r="E4529" s="23"/>
      <c r="G4529" s="23"/>
    </row>
    <row r="4530" spans="5:7" x14ac:dyDescent="0.3">
      <c r="E4530" s="23"/>
      <c r="G4530" s="23"/>
    </row>
    <row r="4531" spans="5:7" x14ac:dyDescent="0.3">
      <c r="E4531" s="23"/>
      <c r="G4531" s="23"/>
    </row>
    <row r="4532" spans="5:7" x14ac:dyDescent="0.3">
      <c r="E4532" s="23"/>
      <c r="G4532" s="23"/>
    </row>
    <row r="4533" spans="5:7" x14ac:dyDescent="0.3">
      <c r="E4533" s="23"/>
      <c r="G4533" s="23"/>
    </row>
    <row r="4534" spans="5:7" x14ac:dyDescent="0.3">
      <c r="E4534" s="23"/>
      <c r="G4534" s="23"/>
    </row>
    <row r="4535" spans="5:7" x14ac:dyDescent="0.3">
      <c r="E4535" s="23"/>
      <c r="G4535" s="23"/>
    </row>
    <row r="4536" spans="5:7" x14ac:dyDescent="0.3">
      <c r="E4536" s="23"/>
      <c r="G4536" s="23"/>
    </row>
    <row r="4537" spans="5:7" x14ac:dyDescent="0.3">
      <c r="E4537" s="23"/>
      <c r="G4537" s="23"/>
    </row>
    <row r="4538" spans="5:7" x14ac:dyDescent="0.3">
      <c r="E4538" s="23"/>
      <c r="G4538" s="23"/>
    </row>
    <row r="4539" spans="5:7" x14ac:dyDescent="0.3">
      <c r="E4539" s="23"/>
      <c r="G4539" s="23"/>
    </row>
    <row r="4540" spans="5:7" x14ac:dyDescent="0.3">
      <c r="E4540" s="23"/>
      <c r="G4540" s="23"/>
    </row>
    <row r="4541" spans="5:7" x14ac:dyDescent="0.3">
      <c r="E4541" s="23"/>
      <c r="G4541" s="23"/>
    </row>
    <row r="4542" spans="5:7" x14ac:dyDescent="0.3">
      <c r="E4542" s="23"/>
      <c r="G4542" s="23"/>
    </row>
    <row r="4543" spans="5:7" x14ac:dyDescent="0.3">
      <c r="E4543" s="23"/>
      <c r="G4543" s="23"/>
    </row>
    <row r="4544" spans="5:7" x14ac:dyDescent="0.3">
      <c r="E4544" s="23"/>
      <c r="G4544" s="23"/>
    </row>
    <row r="4545" spans="5:7" x14ac:dyDescent="0.3">
      <c r="E4545" s="23"/>
      <c r="G4545" s="23"/>
    </row>
    <row r="4546" spans="5:7" x14ac:dyDescent="0.3">
      <c r="E4546" s="23"/>
      <c r="G4546" s="23"/>
    </row>
    <row r="4547" spans="5:7" x14ac:dyDescent="0.3">
      <c r="E4547" s="23"/>
      <c r="G4547" s="23"/>
    </row>
    <row r="4548" spans="5:7" x14ac:dyDescent="0.3">
      <c r="E4548" s="23"/>
      <c r="G4548" s="23"/>
    </row>
    <row r="4549" spans="5:7" x14ac:dyDescent="0.3">
      <c r="E4549" s="23"/>
      <c r="G4549" s="23"/>
    </row>
    <row r="4550" spans="5:7" x14ac:dyDescent="0.3">
      <c r="E4550" s="23"/>
      <c r="G4550" s="23"/>
    </row>
    <row r="4551" spans="5:7" x14ac:dyDescent="0.3">
      <c r="E4551" s="23"/>
      <c r="G4551" s="23"/>
    </row>
    <row r="4552" spans="5:7" x14ac:dyDescent="0.3">
      <c r="E4552" s="23"/>
      <c r="G4552" s="23"/>
    </row>
    <row r="4553" spans="5:7" x14ac:dyDescent="0.3">
      <c r="E4553" s="23"/>
      <c r="G4553" s="23"/>
    </row>
    <row r="4554" spans="5:7" x14ac:dyDescent="0.3">
      <c r="E4554" s="23"/>
      <c r="G4554" s="23"/>
    </row>
    <row r="4555" spans="5:7" x14ac:dyDescent="0.3">
      <c r="E4555" s="23"/>
      <c r="G4555" s="23"/>
    </row>
    <row r="4556" spans="5:7" x14ac:dyDescent="0.3">
      <c r="E4556" s="23"/>
      <c r="G4556" s="23"/>
    </row>
    <row r="4557" spans="5:7" x14ac:dyDescent="0.3">
      <c r="E4557" s="23"/>
      <c r="G4557" s="23"/>
    </row>
    <row r="4558" spans="5:7" x14ac:dyDescent="0.3">
      <c r="E4558" s="23"/>
      <c r="G4558" s="23"/>
    </row>
    <row r="4559" spans="5:7" x14ac:dyDescent="0.3">
      <c r="E4559" s="23"/>
      <c r="G4559" s="23"/>
    </row>
    <row r="4560" spans="5:7" x14ac:dyDescent="0.3">
      <c r="E4560" s="23"/>
      <c r="G4560" s="23"/>
    </row>
    <row r="4561" spans="5:7" x14ac:dyDescent="0.3">
      <c r="E4561" s="23"/>
      <c r="G4561" s="23"/>
    </row>
    <row r="4562" spans="5:7" x14ac:dyDescent="0.3">
      <c r="E4562" s="23"/>
      <c r="G4562" s="23"/>
    </row>
    <row r="4563" spans="5:7" x14ac:dyDescent="0.3">
      <c r="E4563" s="23"/>
      <c r="G4563" s="23"/>
    </row>
    <row r="4564" spans="5:7" x14ac:dyDescent="0.3">
      <c r="E4564" s="23"/>
      <c r="G4564" s="23"/>
    </row>
    <row r="4565" spans="5:7" x14ac:dyDescent="0.3">
      <c r="E4565" s="23"/>
      <c r="G4565" s="23"/>
    </row>
    <row r="4566" spans="5:7" x14ac:dyDescent="0.3">
      <c r="E4566" s="23"/>
      <c r="G4566" s="23"/>
    </row>
    <row r="4567" spans="5:7" x14ac:dyDescent="0.3">
      <c r="E4567" s="23"/>
      <c r="G4567" s="23"/>
    </row>
    <row r="4568" spans="5:7" x14ac:dyDescent="0.3">
      <c r="E4568" s="23"/>
      <c r="G4568" s="23"/>
    </row>
    <row r="4569" spans="5:7" x14ac:dyDescent="0.3">
      <c r="E4569" s="23"/>
      <c r="G4569" s="23"/>
    </row>
    <row r="4570" spans="5:7" x14ac:dyDescent="0.3">
      <c r="E4570" s="23"/>
      <c r="G4570" s="23"/>
    </row>
    <row r="4571" spans="5:7" x14ac:dyDescent="0.3">
      <c r="E4571" s="23"/>
      <c r="G4571" s="23"/>
    </row>
    <row r="4572" spans="5:7" x14ac:dyDescent="0.3">
      <c r="E4572" s="23"/>
      <c r="G4572" s="23"/>
    </row>
    <row r="4573" spans="5:7" x14ac:dyDescent="0.3">
      <c r="E4573" s="23"/>
      <c r="G4573" s="23"/>
    </row>
    <row r="4574" spans="5:7" x14ac:dyDescent="0.3">
      <c r="E4574" s="23"/>
      <c r="G4574" s="23"/>
    </row>
    <row r="4575" spans="5:7" x14ac:dyDescent="0.3">
      <c r="E4575" s="23"/>
      <c r="G4575" s="23"/>
    </row>
    <row r="4576" spans="5:7" x14ac:dyDescent="0.3">
      <c r="E4576" s="23"/>
      <c r="G4576" s="23"/>
    </row>
    <row r="4577" spans="5:7" x14ac:dyDescent="0.3">
      <c r="E4577" s="23"/>
      <c r="G4577" s="23"/>
    </row>
    <row r="4578" spans="5:7" x14ac:dyDescent="0.3">
      <c r="E4578" s="23"/>
      <c r="G4578" s="23"/>
    </row>
    <row r="4579" spans="5:7" x14ac:dyDescent="0.3">
      <c r="E4579" s="23"/>
      <c r="G4579" s="23"/>
    </row>
    <row r="4580" spans="5:7" x14ac:dyDescent="0.3">
      <c r="E4580" s="23"/>
      <c r="G4580" s="23"/>
    </row>
    <row r="4581" spans="5:7" x14ac:dyDescent="0.3">
      <c r="E4581" s="23"/>
      <c r="G4581" s="23"/>
    </row>
    <row r="4582" spans="5:7" x14ac:dyDescent="0.3">
      <c r="E4582" s="23"/>
      <c r="G4582" s="23"/>
    </row>
    <row r="4583" spans="5:7" x14ac:dyDescent="0.3">
      <c r="E4583" s="23"/>
      <c r="G4583" s="23"/>
    </row>
    <row r="4584" spans="5:7" x14ac:dyDescent="0.3">
      <c r="E4584" s="23"/>
      <c r="G4584" s="23"/>
    </row>
    <row r="4585" spans="5:7" x14ac:dyDescent="0.3">
      <c r="E4585" s="23"/>
      <c r="G4585" s="23"/>
    </row>
    <row r="4586" spans="5:7" x14ac:dyDescent="0.3">
      <c r="E4586" s="23"/>
      <c r="G4586" s="23"/>
    </row>
    <row r="4587" spans="5:7" x14ac:dyDescent="0.3">
      <c r="E4587" s="23"/>
      <c r="G4587" s="23"/>
    </row>
    <row r="4588" spans="5:7" x14ac:dyDescent="0.3">
      <c r="E4588" s="23"/>
      <c r="G4588" s="23"/>
    </row>
    <row r="4589" spans="5:7" x14ac:dyDescent="0.3">
      <c r="E4589" s="23"/>
      <c r="G4589" s="23"/>
    </row>
    <row r="4590" spans="5:7" x14ac:dyDescent="0.3">
      <c r="E4590" s="23"/>
      <c r="G4590" s="23"/>
    </row>
    <row r="4591" spans="5:7" x14ac:dyDescent="0.3">
      <c r="E4591" s="23"/>
      <c r="G4591" s="23"/>
    </row>
    <row r="4592" spans="5:7" x14ac:dyDescent="0.3">
      <c r="E4592" s="23"/>
      <c r="G4592" s="23"/>
    </row>
    <row r="4593" spans="5:7" x14ac:dyDescent="0.3">
      <c r="E4593" s="23"/>
      <c r="G4593" s="23"/>
    </row>
    <row r="4594" spans="5:7" x14ac:dyDescent="0.3">
      <c r="E4594" s="23"/>
      <c r="G4594" s="23"/>
    </row>
    <row r="4595" spans="5:7" x14ac:dyDescent="0.3">
      <c r="E4595" s="23"/>
      <c r="G4595" s="23"/>
    </row>
    <row r="4596" spans="5:7" x14ac:dyDescent="0.3">
      <c r="E4596" s="23"/>
      <c r="G4596" s="23"/>
    </row>
    <row r="4597" spans="5:7" x14ac:dyDescent="0.3">
      <c r="E4597" s="23"/>
      <c r="G4597" s="23"/>
    </row>
    <row r="4598" spans="5:7" x14ac:dyDescent="0.3">
      <c r="E4598" s="23"/>
      <c r="G4598" s="23"/>
    </row>
    <row r="4599" spans="5:7" x14ac:dyDescent="0.3">
      <c r="E4599" s="23"/>
      <c r="G4599" s="23"/>
    </row>
    <row r="4600" spans="5:7" x14ac:dyDescent="0.3">
      <c r="E4600" s="23"/>
      <c r="G4600" s="23"/>
    </row>
    <row r="4601" spans="5:7" x14ac:dyDescent="0.3">
      <c r="E4601" s="23"/>
      <c r="G4601" s="23"/>
    </row>
    <row r="4602" spans="5:7" x14ac:dyDescent="0.3">
      <c r="E4602" s="23"/>
      <c r="G4602" s="23"/>
    </row>
    <row r="4603" spans="5:7" x14ac:dyDescent="0.3">
      <c r="E4603" s="23"/>
      <c r="G4603" s="23"/>
    </row>
    <row r="4604" spans="5:7" x14ac:dyDescent="0.3">
      <c r="E4604" s="23"/>
      <c r="G4604" s="23"/>
    </row>
    <row r="4605" spans="5:7" x14ac:dyDescent="0.3">
      <c r="E4605" s="23"/>
      <c r="G4605" s="23"/>
    </row>
    <row r="4606" spans="5:7" x14ac:dyDescent="0.3">
      <c r="E4606" s="23"/>
      <c r="G4606" s="23"/>
    </row>
    <row r="4607" spans="5:7" x14ac:dyDescent="0.3">
      <c r="E4607" s="23"/>
      <c r="G4607" s="23"/>
    </row>
    <row r="4608" spans="5:7" x14ac:dyDescent="0.3">
      <c r="E4608" s="23"/>
      <c r="G4608" s="23"/>
    </row>
    <row r="4609" spans="5:7" x14ac:dyDescent="0.3">
      <c r="E4609" s="23"/>
      <c r="G4609" s="23"/>
    </row>
    <row r="4610" spans="5:7" x14ac:dyDescent="0.3">
      <c r="E4610" s="23"/>
      <c r="G4610" s="23"/>
    </row>
    <row r="4611" spans="5:7" x14ac:dyDescent="0.3">
      <c r="E4611" s="23"/>
      <c r="G4611" s="23"/>
    </row>
    <row r="4612" spans="5:7" x14ac:dyDescent="0.3">
      <c r="E4612" s="23"/>
      <c r="G4612" s="23"/>
    </row>
    <row r="4613" spans="5:7" x14ac:dyDescent="0.3">
      <c r="E4613" s="23"/>
      <c r="G4613" s="23"/>
    </row>
    <row r="4614" spans="5:7" x14ac:dyDescent="0.3">
      <c r="E4614" s="23"/>
      <c r="G4614" s="23"/>
    </row>
    <row r="4615" spans="5:7" x14ac:dyDescent="0.3">
      <c r="E4615" s="23"/>
      <c r="G4615" s="23"/>
    </row>
    <row r="4616" spans="5:7" x14ac:dyDescent="0.3">
      <c r="E4616" s="23"/>
      <c r="G4616" s="23"/>
    </row>
    <row r="4617" spans="5:7" x14ac:dyDescent="0.3">
      <c r="E4617" s="23"/>
      <c r="G4617" s="23"/>
    </row>
    <row r="4618" spans="5:7" x14ac:dyDescent="0.3">
      <c r="E4618" s="23"/>
      <c r="G4618" s="23"/>
    </row>
    <row r="4619" spans="5:7" x14ac:dyDescent="0.3">
      <c r="E4619" s="23"/>
      <c r="G4619" s="23"/>
    </row>
    <row r="4620" spans="5:7" x14ac:dyDescent="0.3">
      <c r="E4620" s="23"/>
      <c r="G4620" s="23"/>
    </row>
    <row r="4621" spans="5:7" x14ac:dyDescent="0.3">
      <c r="E4621" s="23"/>
      <c r="G4621" s="23"/>
    </row>
    <row r="4622" spans="5:7" x14ac:dyDescent="0.3">
      <c r="E4622" s="23"/>
      <c r="G4622" s="23"/>
    </row>
    <row r="4623" spans="5:7" x14ac:dyDescent="0.3">
      <c r="E4623" s="23"/>
      <c r="G4623" s="23"/>
    </row>
    <row r="4624" spans="5:7" x14ac:dyDescent="0.3">
      <c r="E4624" s="23"/>
      <c r="G4624" s="23"/>
    </row>
    <row r="4625" spans="5:7" x14ac:dyDescent="0.3">
      <c r="E4625" s="23"/>
      <c r="G4625" s="23"/>
    </row>
    <row r="4626" spans="5:7" x14ac:dyDescent="0.3">
      <c r="E4626" s="23"/>
      <c r="G4626" s="23"/>
    </row>
    <row r="4627" spans="5:7" x14ac:dyDescent="0.3">
      <c r="E4627" s="23"/>
      <c r="G4627" s="23"/>
    </row>
    <row r="4628" spans="5:7" x14ac:dyDescent="0.3">
      <c r="E4628" s="23"/>
      <c r="G4628" s="23"/>
    </row>
    <row r="4629" spans="5:7" x14ac:dyDescent="0.3">
      <c r="E4629" s="23"/>
      <c r="G4629" s="23"/>
    </row>
    <row r="4630" spans="5:7" x14ac:dyDescent="0.3">
      <c r="E4630" s="23"/>
      <c r="G4630" s="23"/>
    </row>
    <row r="4631" spans="5:7" x14ac:dyDescent="0.3">
      <c r="E4631" s="23"/>
      <c r="G4631" s="23"/>
    </row>
    <row r="4632" spans="5:7" x14ac:dyDescent="0.3">
      <c r="E4632" s="23"/>
      <c r="G4632" s="23"/>
    </row>
    <row r="4633" spans="5:7" x14ac:dyDescent="0.3">
      <c r="E4633" s="23"/>
      <c r="G4633" s="23"/>
    </row>
    <row r="4634" spans="5:7" x14ac:dyDescent="0.3">
      <c r="E4634" s="23"/>
      <c r="G4634" s="23"/>
    </row>
    <row r="4635" spans="5:7" x14ac:dyDescent="0.3">
      <c r="E4635" s="23"/>
      <c r="G4635" s="23"/>
    </row>
    <row r="4636" spans="5:7" x14ac:dyDescent="0.3">
      <c r="E4636" s="23"/>
      <c r="G4636" s="23"/>
    </row>
    <row r="4637" spans="5:7" x14ac:dyDescent="0.3">
      <c r="E4637" s="23"/>
      <c r="G4637" s="23"/>
    </row>
    <row r="4638" spans="5:7" x14ac:dyDescent="0.3">
      <c r="E4638" s="23"/>
      <c r="G4638" s="23"/>
    </row>
    <row r="4639" spans="5:7" x14ac:dyDescent="0.3">
      <c r="E4639" s="23"/>
      <c r="G4639" s="23"/>
    </row>
    <row r="4640" spans="5:7" x14ac:dyDescent="0.3">
      <c r="E4640" s="23"/>
      <c r="G4640" s="23"/>
    </row>
    <row r="4641" spans="5:7" x14ac:dyDescent="0.3">
      <c r="E4641" s="23"/>
      <c r="G4641" s="23"/>
    </row>
    <row r="4642" spans="5:7" x14ac:dyDescent="0.3">
      <c r="E4642" s="23"/>
      <c r="G4642" s="23"/>
    </row>
    <row r="4643" spans="5:7" x14ac:dyDescent="0.3">
      <c r="E4643" s="23"/>
      <c r="G4643" s="23"/>
    </row>
    <row r="4644" spans="5:7" x14ac:dyDescent="0.3">
      <c r="E4644" s="23"/>
      <c r="G4644" s="23"/>
    </row>
    <row r="4645" spans="5:7" x14ac:dyDescent="0.3">
      <c r="E4645" s="23"/>
      <c r="G4645" s="23"/>
    </row>
    <row r="4646" spans="5:7" x14ac:dyDescent="0.3">
      <c r="E4646" s="23"/>
      <c r="G4646" s="23"/>
    </row>
    <row r="4647" spans="5:7" x14ac:dyDescent="0.3">
      <c r="E4647" s="23"/>
      <c r="G4647" s="23"/>
    </row>
    <row r="4648" spans="5:7" x14ac:dyDescent="0.3">
      <c r="E4648" s="23"/>
      <c r="G4648" s="23"/>
    </row>
    <row r="4649" spans="5:7" x14ac:dyDescent="0.3">
      <c r="E4649" s="23"/>
      <c r="G4649" s="23"/>
    </row>
    <row r="4650" spans="5:7" x14ac:dyDescent="0.3">
      <c r="E4650" s="23"/>
      <c r="G4650" s="23"/>
    </row>
    <row r="4651" spans="5:7" x14ac:dyDescent="0.3">
      <c r="E4651" s="23"/>
      <c r="G4651" s="23"/>
    </row>
    <row r="4652" spans="5:7" x14ac:dyDescent="0.3">
      <c r="E4652" s="23"/>
      <c r="G4652" s="23"/>
    </row>
    <row r="4653" spans="5:7" x14ac:dyDescent="0.3">
      <c r="E4653" s="23"/>
      <c r="G4653" s="23"/>
    </row>
    <row r="4654" spans="5:7" x14ac:dyDescent="0.3">
      <c r="E4654" s="23"/>
      <c r="G4654" s="23"/>
    </row>
    <row r="4655" spans="5:7" x14ac:dyDescent="0.3">
      <c r="E4655" s="23"/>
      <c r="G4655" s="23"/>
    </row>
    <row r="4656" spans="5:7" x14ac:dyDescent="0.3">
      <c r="E4656" s="23"/>
      <c r="G4656" s="23"/>
    </row>
    <row r="4657" spans="2:7" x14ac:dyDescent="0.3">
      <c r="G4657" s="23"/>
    </row>
    <row r="4658" spans="2:7" x14ac:dyDescent="0.3"/>
    <row r="4659" spans="2:7" x14ac:dyDescent="0.3"/>
    <row r="4660" spans="2:7" x14ac:dyDescent="0.3"/>
    <row r="4661" spans="2:7" x14ac:dyDescent="0.3"/>
    <row r="4662" spans="2:7" x14ac:dyDescent="0.3"/>
    <row r="4663" spans="2:7" x14ac:dyDescent="0.3"/>
    <row r="4664" spans="2:7" x14ac:dyDescent="0.3"/>
    <row r="4665" spans="2:7" x14ac:dyDescent="0.3"/>
    <row r="4666" spans="2:7" x14ac:dyDescent="0.3"/>
    <row r="4667" spans="2:7" hidden="1" x14ac:dyDescent="0.3">
      <c r="B4667" t="s">
        <v>409</v>
      </c>
      <c r="C4667" t="str">
        <f>INDEX(nse!D:D,MATCH(B4667,nse!B:B,0))</f>
        <v>EQ</v>
      </c>
      <c r="D4667" t="str">
        <f>INDEX(nse!C:C,MATCH(B4667,nse!B:B,0))</f>
        <v>Esab India Limited</v>
      </c>
    </row>
    <row r="4668" spans="2:7" hidden="1" x14ac:dyDescent="0.3">
      <c r="B4668" t="s">
        <v>410</v>
      </c>
      <c r="C4668" t="str">
        <f>INDEX(nse!D:D,MATCH(B4668,nse!B:B,0))</f>
        <v>EQ</v>
      </c>
      <c r="D4668" t="str">
        <f>INDEX(nse!C:C,MATCH(B4668,nse!B:B,0))</f>
        <v>Escorts Limited</v>
      </c>
    </row>
    <row r="4669" spans="2:7" hidden="1" x14ac:dyDescent="0.3">
      <c r="B4669" t="s">
        <v>411</v>
      </c>
      <c r="C4669" t="str">
        <f>INDEX(nse!D:D,MATCH(B4669,nse!B:B,0))</f>
        <v>EQ</v>
      </c>
      <c r="D4669" t="str">
        <f>INDEX(nse!C:C,MATCH(B4669,nse!B:B,0))</f>
        <v>Electrosteel Steels Limited</v>
      </c>
    </row>
    <row r="4670" spans="2:7" hidden="1" x14ac:dyDescent="0.3">
      <c r="B4670" t="s">
        <v>412</v>
      </c>
      <c r="C4670" t="str">
        <f>INDEX(nse!D:D,MATCH(B4670,nse!B:B,0))</f>
        <v>EQ</v>
      </c>
      <c r="D4670" t="str">
        <f>INDEX(nse!C:C,MATCH(B4670,nse!B:B,0))</f>
        <v>Essar Shipping Limited</v>
      </c>
    </row>
    <row r="4671" spans="2:7" hidden="1" x14ac:dyDescent="0.3">
      <c r="B4671" t="s">
        <v>413</v>
      </c>
      <c r="C4671" t="str">
        <f>INDEX(nse!D:D,MATCH(B4671,nse!B:B,0))</f>
        <v>BE</v>
      </c>
      <c r="D4671" t="str">
        <f>INDEX(nse!C:C,MATCH(B4671,nse!B:B,0))</f>
        <v>Ess Dee Aluminium Limited</v>
      </c>
    </row>
    <row r="4672" spans="2:7" hidden="1" x14ac:dyDescent="0.3">
      <c r="B4672" t="s">
        <v>414</v>
      </c>
      <c r="C4672" t="str">
        <f>INDEX(nse!D:D,MATCH(B4672,nse!B:B,0))</f>
        <v>EQ</v>
      </c>
      <c r="D4672" t="str">
        <f>INDEX(nse!C:C,MATCH(B4672,nse!B:B,0))</f>
        <v>Essel Propack Limited</v>
      </c>
    </row>
    <row r="4673" spans="2:4" hidden="1" x14ac:dyDescent="0.3">
      <c r="B4673" t="s">
        <v>415</v>
      </c>
      <c r="C4673" t="str">
        <f>INDEX(nse!D:D,MATCH(B4673,nse!B:B,0))</f>
        <v>EQ</v>
      </c>
      <c r="D4673" t="str">
        <f>INDEX(nse!C:C,MATCH(B4673,nse!B:B,0))</f>
        <v>Ester Industries Limited</v>
      </c>
    </row>
    <row r="4674" spans="2:4" hidden="1" x14ac:dyDescent="0.3">
      <c r="B4674" t="s">
        <v>416</v>
      </c>
      <c r="C4674" t="str">
        <f>INDEX(nse!D:D,MATCH(B4674,nse!B:B,0))</f>
        <v>BE</v>
      </c>
      <c r="D4674" t="str">
        <f>INDEX(nse!C:C,MATCH(B4674,nse!B:B,0))</f>
        <v>Euro Ceramics Limited</v>
      </c>
    </row>
    <row r="4675" spans="2:4" hidden="1" x14ac:dyDescent="0.3">
      <c r="B4675" t="s">
        <v>1303</v>
      </c>
      <c r="C4675" t="str">
        <f>INDEX(nse!D:D,MATCH(B4675,nse!B:B,0))</f>
        <v>BE</v>
      </c>
      <c r="D4675" t="str">
        <f>INDEX(nse!C:C,MATCH(B4675,nse!B:B,0))</f>
        <v>Euro Multivision Limited</v>
      </c>
    </row>
    <row r="4676" spans="2:4" hidden="1" x14ac:dyDescent="0.3">
      <c r="B4676" t="s">
        <v>417</v>
      </c>
      <c r="C4676" t="str">
        <f>INDEX(nse!D:D,MATCH(B4676,nse!B:B,0))</f>
        <v>EQ</v>
      </c>
      <c r="D4676" t="str">
        <f>INDEX(nse!C:C,MATCH(B4676,nse!B:B,0))</f>
        <v>Eurotex Industries and Exports Limited</v>
      </c>
    </row>
    <row r="4677" spans="2:4" hidden="1" x14ac:dyDescent="0.3">
      <c r="B4677" t="s">
        <v>418</v>
      </c>
      <c r="C4677" t="str">
        <f>INDEX(nse!D:D,MATCH(B4677,nse!B:B,0))</f>
        <v>EQ</v>
      </c>
      <c r="D4677" t="str">
        <f>INDEX(nse!C:C,MATCH(B4677,nse!B:B,0))</f>
        <v>Eveready Industries India Limited</v>
      </c>
    </row>
    <row r="4678" spans="2:4" hidden="1" x14ac:dyDescent="0.3">
      <c r="B4678" t="s">
        <v>419</v>
      </c>
      <c r="C4678" t="str">
        <f>INDEX(nse!D:D,MATCH(B4678,nse!B:B,0))</f>
        <v>EQ</v>
      </c>
      <c r="D4678" t="str">
        <f>INDEX(nse!C:C,MATCH(B4678,nse!B:B,0))</f>
        <v>Everest Industries Limited</v>
      </c>
    </row>
    <row r="4679" spans="2:4" hidden="1" x14ac:dyDescent="0.3">
      <c r="B4679" t="s">
        <v>3187</v>
      </c>
      <c r="C4679" t="str">
        <f>INDEX(nse!D:D,MATCH(B4679,nse!B:B,0))</f>
        <v>EQ</v>
      </c>
      <c r="D4679" t="str">
        <f>INDEX(nse!C:C,MATCH(B4679,nse!B:B,0))</f>
        <v>Excel Realty N Infra Limited</v>
      </c>
    </row>
    <row r="4680" spans="2:4" hidden="1" x14ac:dyDescent="0.3">
      <c r="B4680" t="s">
        <v>420</v>
      </c>
      <c r="C4680" t="str">
        <f>INDEX(nse!D:D,MATCH(B4680,nse!B:B,0))</f>
        <v>EQ</v>
      </c>
      <c r="D4680" t="str">
        <f>INDEX(nse!C:C,MATCH(B4680,nse!B:B,0))</f>
        <v>Excel Crop Care Limited</v>
      </c>
    </row>
    <row r="4681" spans="2:4" hidden="1" x14ac:dyDescent="0.3">
      <c r="B4681" t="s">
        <v>421</v>
      </c>
      <c r="C4681" t="str">
        <f>INDEX(nse!D:D,MATCH(B4681,nse!B:B,0))</f>
        <v>EQ</v>
      </c>
      <c r="D4681" t="str">
        <f>INDEX(nse!C:C,MATCH(B4681,nse!B:B,0))</f>
        <v>Excel Industries Limited</v>
      </c>
    </row>
    <row r="4682" spans="2:4" hidden="1" x14ac:dyDescent="0.3">
      <c r="B4682" t="s">
        <v>52</v>
      </c>
      <c r="C4682" t="str">
        <f>INDEX(nse!D:D,MATCH(B4682,nse!B:B,0))</f>
        <v>EQ</v>
      </c>
      <c r="D4682" t="str">
        <f>INDEX(nse!C:C,MATCH(B4682,nse!B:B,0))</f>
        <v>Exide Industries Limited</v>
      </c>
    </row>
    <row r="4683" spans="2:4" hidden="1" x14ac:dyDescent="0.3">
      <c r="B4683" t="s">
        <v>422</v>
      </c>
      <c r="C4683" t="str">
        <f>INDEX(nse!D:D,MATCH(B4683,nse!B:B,0))</f>
        <v>EQ</v>
      </c>
      <c r="D4683" t="str">
        <f>INDEX(nse!C:C,MATCH(B4683,nse!B:B,0))</f>
        <v>Fertilizers and Chemicals Travancore Limited</v>
      </c>
    </row>
    <row r="4684" spans="2:4" hidden="1" x14ac:dyDescent="0.3">
      <c r="B4684" t="s">
        <v>423</v>
      </c>
      <c r="C4684" t="str">
        <f>INDEX(nse!D:D,MATCH(B4684,nse!B:B,0))</f>
        <v>EQ</v>
      </c>
      <c r="D4684" t="str">
        <f>INDEX(nse!C:C,MATCH(B4684,nse!B:B,0))</f>
        <v>FAG Bearings India Limited</v>
      </c>
    </row>
    <row r="4685" spans="2:4" hidden="1" x14ac:dyDescent="0.3">
      <c r="B4685" t="s">
        <v>3195</v>
      </c>
      <c r="C4685" t="str">
        <f>INDEX(nse!D:D,MATCH(B4685,nse!B:B,0))</f>
        <v>EQ</v>
      </c>
      <c r="D4685" t="str">
        <f>INDEX(nse!C:C,MATCH(B4685,nse!B:B,0))</f>
        <v>Fairchem Speciality Limited</v>
      </c>
    </row>
    <row r="4686" spans="2:4" hidden="1" x14ac:dyDescent="0.3">
      <c r="B4686" t="s">
        <v>3198</v>
      </c>
      <c r="C4686" t="str">
        <f>INDEX(nse!D:D,MATCH(B4686,nse!B:B,0))</f>
        <v>EQ</v>
      </c>
      <c r="D4686" t="str">
        <f>INDEX(nse!C:C,MATCH(B4686,nse!B:B,0))</f>
        <v>Fineotex Chemical Limited</v>
      </c>
    </row>
    <row r="4687" spans="2:4" hidden="1" x14ac:dyDescent="0.3">
      <c r="B4687" t="s">
        <v>3201</v>
      </c>
      <c r="C4687" t="str">
        <f>INDEX(nse!D:D,MATCH(B4687,nse!B:B,0))</f>
        <v>EQ</v>
      </c>
      <c r="D4687" t="str">
        <f>INDEX(nse!C:C,MATCH(B4687,nse!B:B,0))</f>
        <v>Future Consumer Limited</v>
      </c>
    </row>
    <row r="4688" spans="2:4" hidden="1" x14ac:dyDescent="0.3">
      <c r="B4688" t="s">
        <v>424</v>
      </c>
      <c r="C4688" t="str">
        <f>INDEX(nse!D:D,MATCH(B4688,nse!B:B,0))</f>
        <v>BE</v>
      </c>
      <c r="D4688" t="str">
        <f>INDEX(nse!C:C,MATCH(B4688,nse!B:B,0))</f>
        <v>FCS Software Solutions Limited</v>
      </c>
    </row>
    <row r="4689" spans="2:4" hidden="1" x14ac:dyDescent="0.3">
      <c r="B4689" t="s">
        <v>425</v>
      </c>
      <c r="C4689" t="str">
        <f>INDEX(nse!D:D,MATCH(B4689,nse!B:B,0))</f>
        <v>EQ</v>
      </c>
      <c r="D4689" t="str">
        <f>INDEX(nse!C:C,MATCH(B4689,nse!B:B,0))</f>
        <v>FDC Limited</v>
      </c>
    </row>
    <row r="4690" spans="2:4" hidden="1" x14ac:dyDescent="0.3">
      <c r="B4690" t="s">
        <v>426</v>
      </c>
      <c r="C4690" t="str">
        <f>INDEX(nse!D:D,MATCH(B4690,nse!B:B,0))</f>
        <v>EQ</v>
      </c>
      <c r="D4690" t="str">
        <f>INDEX(nse!C:C,MATCH(B4690,nse!B:B,0))</f>
        <v>Fedders Lloyd Corporation Limited</v>
      </c>
    </row>
    <row r="4691" spans="2:4" hidden="1" x14ac:dyDescent="0.3">
      <c r="B4691" t="s">
        <v>427</v>
      </c>
      <c r="C4691" t="str">
        <f>INDEX(nse!D:D,MATCH(B4691,nse!B:B,0))</f>
        <v>EQ</v>
      </c>
      <c r="D4691" t="str">
        <f>INDEX(nse!C:C,MATCH(B4691,nse!B:B,0))</f>
        <v>The Federal Bank  Limited</v>
      </c>
    </row>
    <row r="4692" spans="2:4" hidden="1" x14ac:dyDescent="0.3">
      <c r="B4692" t="s">
        <v>3208</v>
      </c>
      <c r="C4692" t="str">
        <f>INDEX(nse!D:D,MATCH(B4692,nse!B:B,0))</f>
        <v>EQ</v>
      </c>
      <c r="D4692" t="str">
        <f>INDEX(nse!C:C,MATCH(B4692,nse!B:B,0))</f>
        <v>Future Enterprises Limited</v>
      </c>
    </row>
    <row r="4693" spans="2:4" hidden="1" x14ac:dyDescent="0.3">
      <c r="B4693" t="s">
        <v>3211</v>
      </c>
      <c r="C4693" t="str">
        <f>INDEX(nse!D:D,MATCH(B4693,nse!B:B,0))</f>
        <v>EQ</v>
      </c>
      <c r="D4693" t="str">
        <f>INDEX(nse!C:C,MATCH(B4693,nse!B:B,0))</f>
        <v>Future Enterprises Limited</v>
      </c>
    </row>
    <row r="4694" spans="2:4" hidden="1" x14ac:dyDescent="0.3">
      <c r="B4694" t="s">
        <v>428</v>
      </c>
      <c r="C4694" t="str">
        <f>INDEX(nse!D:D,MATCH(B4694,nse!B:B,0))</f>
        <v>EQ</v>
      </c>
      <c r="D4694" t="str">
        <f>INDEX(nse!C:C,MATCH(B4694,nse!B:B,0))</f>
        <v>Fiem Industries Limited</v>
      </c>
    </row>
    <row r="4695" spans="2:4" hidden="1" x14ac:dyDescent="0.3">
      <c r="B4695" t="s">
        <v>429</v>
      </c>
      <c r="C4695" t="str">
        <f>INDEX(nse!D:D,MATCH(B4695,nse!B:B,0))</f>
        <v>EQ</v>
      </c>
      <c r="D4695" t="str">
        <f>INDEX(nse!C:C,MATCH(B4695,nse!B:B,0))</f>
        <v>Filatex India Limited</v>
      </c>
    </row>
    <row r="4696" spans="2:4" hidden="1" x14ac:dyDescent="0.3">
      <c r="B4696" t="s">
        <v>430</v>
      </c>
      <c r="C4696" t="str">
        <f>INDEX(nse!D:D,MATCH(B4696,nse!B:B,0))</f>
        <v>EQ</v>
      </c>
      <c r="D4696" t="str">
        <f>INDEX(nse!C:C,MATCH(B4696,nse!B:B,0))</f>
        <v>Finolex Cables Limited</v>
      </c>
    </row>
    <row r="4697" spans="2:4" hidden="1" x14ac:dyDescent="0.3">
      <c r="B4697" t="s">
        <v>431</v>
      </c>
      <c r="C4697" t="str">
        <f>INDEX(nse!D:D,MATCH(B4697,nse!B:B,0))</f>
        <v>EQ</v>
      </c>
      <c r="D4697" t="str">
        <f>INDEX(nse!C:C,MATCH(B4697,nse!B:B,0))</f>
        <v>Finolex Industries Limited</v>
      </c>
    </row>
    <row r="4698" spans="2:4" hidden="1" x14ac:dyDescent="0.3">
      <c r="B4698" t="s">
        <v>1304</v>
      </c>
      <c r="C4698" t="str">
        <f>INDEX(nse!D:D,MATCH(B4698,nse!B:B,0))</f>
        <v>BE</v>
      </c>
      <c r="D4698" t="str">
        <f>INDEX(nse!C:C,MATCH(B4698,nse!B:B,0))</f>
        <v>First Winner Industries Limited</v>
      </c>
    </row>
    <row r="4699" spans="2:4" hidden="1" x14ac:dyDescent="0.3">
      <c r="B4699" t="s">
        <v>432</v>
      </c>
      <c r="C4699" t="str">
        <f>INDEX(nse!D:D,MATCH(B4699,nse!B:B,0))</f>
        <v>EQ</v>
      </c>
      <c r="D4699" t="str">
        <f>INDEX(nse!C:C,MATCH(B4699,nse!B:B,0))</f>
        <v>Flexituff International Limited</v>
      </c>
    </row>
    <row r="4700" spans="2:4" hidden="1" x14ac:dyDescent="0.3">
      <c r="B4700" t="s">
        <v>433</v>
      </c>
      <c r="C4700" t="str">
        <f>INDEX(nse!D:D,MATCH(B4700,nse!B:B,0))</f>
        <v>EQ</v>
      </c>
      <c r="D4700" t="str">
        <f>INDEX(nse!C:C,MATCH(B4700,nse!B:B,0))</f>
        <v>Future Lifestyle Fashions Limited</v>
      </c>
    </row>
    <row r="4701" spans="2:4" hidden="1" x14ac:dyDescent="0.3">
      <c r="B4701" t="s">
        <v>434</v>
      </c>
      <c r="C4701" t="str">
        <f>INDEX(nse!D:D,MATCH(B4701,nse!B:B,0))</f>
        <v>EQ</v>
      </c>
      <c r="D4701" t="str">
        <f>INDEX(nse!C:C,MATCH(B4701,nse!B:B,0))</f>
        <v>Federal-Mogul Goetze (India) Limited.</v>
      </c>
    </row>
    <row r="4702" spans="2:4" hidden="1" x14ac:dyDescent="0.3">
      <c r="B4702" t="s">
        <v>435</v>
      </c>
      <c r="C4702" t="str">
        <f>INDEX(nse!D:D,MATCH(B4702,nse!B:B,0))</f>
        <v>EQ</v>
      </c>
      <c r="D4702" t="str">
        <f>INDEX(nse!C:C,MATCH(B4702,nse!B:B,0))</f>
        <v>Future Market Networks Limited</v>
      </c>
    </row>
    <row r="4703" spans="2:4" hidden="1" x14ac:dyDescent="0.3">
      <c r="B4703" t="s">
        <v>436</v>
      </c>
      <c r="C4703" t="str">
        <f>INDEX(nse!D:D,MATCH(B4703,nse!B:B,0))</f>
        <v>EQ</v>
      </c>
      <c r="D4703" t="str">
        <f>INDEX(nse!C:C,MATCH(B4703,nse!B:B,0))</f>
        <v>Fortis Healthcare Limited</v>
      </c>
    </row>
    <row r="4704" spans="2:4" hidden="1" x14ac:dyDescent="0.3">
      <c r="B4704" t="s">
        <v>436</v>
      </c>
      <c r="C4704" t="str">
        <f>INDEX(nse!D:D,MATCH(B4704,nse!B:B,0))</f>
        <v>EQ</v>
      </c>
      <c r="D4704" t="str">
        <f>INDEX(nse!C:C,MATCH(B4704,nse!B:B,0))</f>
        <v>Fortis Healthcare Limited</v>
      </c>
    </row>
    <row r="4705" spans="2:4" hidden="1" x14ac:dyDescent="0.3">
      <c r="B4705" t="s">
        <v>437</v>
      </c>
      <c r="C4705" t="str">
        <f>INDEX(nse!D:D,MATCH(B4705,nse!B:B,0))</f>
        <v>EQ</v>
      </c>
      <c r="D4705" t="str">
        <f>INDEX(nse!C:C,MATCH(B4705,nse!B:B,0))</f>
        <v>Foseco India Limited</v>
      </c>
    </row>
    <row r="4706" spans="2:4" hidden="1" x14ac:dyDescent="0.3">
      <c r="B4706" t="s">
        <v>3224</v>
      </c>
      <c r="C4706" t="str">
        <f>INDEX(nse!D:D,MATCH(B4706,nse!B:B,0))</f>
        <v>EQ</v>
      </c>
      <c r="D4706" t="str">
        <f>INDEX(nse!C:C,MATCH(B4706,nse!B:B,0))</f>
        <v>Future Retail Limited</v>
      </c>
    </row>
    <row r="4707" spans="2:4" hidden="1" x14ac:dyDescent="0.3">
      <c r="B4707" t="s">
        <v>438</v>
      </c>
      <c r="C4707" t="str">
        <f>INDEX(nse!D:D,MATCH(B4707,nse!B:B,0))</f>
        <v>EQ</v>
      </c>
      <c r="D4707" t="str">
        <f>INDEX(nse!C:C,MATCH(B4707,nse!B:B,0))</f>
        <v>Firstsource Solutions Limited</v>
      </c>
    </row>
    <row r="4708" spans="2:4" hidden="1" x14ac:dyDescent="0.3">
      <c r="B4708" t="s">
        <v>439</v>
      </c>
      <c r="C4708" t="str">
        <f>INDEX(nse!D:D,MATCH(B4708,nse!B:B,0))</f>
        <v>EQ</v>
      </c>
      <c r="D4708" t="str">
        <f>INDEX(nse!C:C,MATCH(B4708,nse!B:B,0))</f>
        <v>Gabriel India Limited</v>
      </c>
    </row>
    <row r="4709" spans="2:4" hidden="1" x14ac:dyDescent="0.3">
      <c r="B4709" t="s">
        <v>440</v>
      </c>
      <c r="C4709" t="str">
        <f>INDEX(nse!D:D,MATCH(B4709,nse!B:B,0))</f>
        <v>EQ</v>
      </c>
      <c r="D4709" t="str">
        <f>INDEX(nse!C:C,MATCH(B4709,nse!B:B,0))</f>
        <v>Gujarat Ambuja Exports Limited</v>
      </c>
    </row>
    <row r="4710" spans="2:4" hidden="1" x14ac:dyDescent="0.3">
      <c r="B4710" t="s">
        <v>441</v>
      </c>
      <c r="C4710" t="str">
        <f>INDEX(nse!D:D,MATCH(B4710,nse!B:B,0))</f>
        <v>EQ</v>
      </c>
      <c r="D4710" t="str">
        <f>INDEX(nse!C:C,MATCH(B4710,nse!B:B,0))</f>
        <v>GAIL (India) Limited</v>
      </c>
    </row>
    <row r="4711" spans="2:4" hidden="1" x14ac:dyDescent="0.3">
      <c r="B4711" t="s">
        <v>442</v>
      </c>
      <c r="C4711" t="str">
        <f>INDEX(nse!D:D,MATCH(B4711,nse!B:B,0))</f>
        <v>EQ</v>
      </c>
      <c r="D4711" t="str">
        <f>INDEX(nse!C:C,MATCH(B4711,nse!B:B,0))</f>
        <v>Gyscoal Alloys Limited</v>
      </c>
    </row>
    <row r="4712" spans="2:4" hidden="1" x14ac:dyDescent="0.3">
      <c r="B4712" t="s">
        <v>443</v>
      </c>
      <c r="C4712" t="str">
        <f>INDEX(nse!D:D,MATCH(B4712,nse!B:B,0))</f>
        <v>EQ</v>
      </c>
      <c r="D4712" t="str">
        <f>INDEX(nse!C:C,MATCH(B4712,nse!B:B,0))</f>
        <v>Gallantt Metal Limited</v>
      </c>
    </row>
    <row r="4713" spans="2:4" hidden="1" x14ac:dyDescent="0.3">
      <c r="B4713" t="s">
        <v>444</v>
      </c>
      <c r="C4713" t="str">
        <f>INDEX(nse!D:D,MATCH(B4713,nse!B:B,0))</f>
        <v>EQ</v>
      </c>
      <c r="D4713" t="str">
        <f>INDEX(nse!C:C,MATCH(B4713,nse!B:B,0))</f>
        <v>Gallantt Ispat Limited</v>
      </c>
    </row>
    <row r="4714" spans="2:4" hidden="1" x14ac:dyDescent="0.3">
      <c r="B4714" t="s">
        <v>445</v>
      </c>
      <c r="C4714" t="str">
        <f>INDEX(nse!D:D,MATCH(B4714,nse!B:B,0))</f>
        <v>EQ</v>
      </c>
      <c r="D4714" t="str">
        <f>INDEX(nse!C:C,MATCH(B4714,nse!B:B,0))</f>
        <v>Gammon Infrastructure Projects Limited</v>
      </c>
    </row>
    <row r="4715" spans="2:4" hidden="1" x14ac:dyDescent="0.3">
      <c r="B4715" t="s">
        <v>446</v>
      </c>
      <c r="C4715" t="str">
        <f>INDEX(nse!D:D,MATCH(B4715,nse!B:B,0))</f>
        <v>EQ</v>
      </c>
      <c r="D4715" t="str">
        <f>INDEX(nse!C:C,MATCH(B4715,nse!B:B,0))</f>
        <v>Gammon India Limited</v>
      </c>
    </row>
    <row r="4716" spans="2:4" hidden="1" x14ac:dyDescent="0.3">
      <c r="B4716" t="s">
        <v>447</v>
      </c>
      <c r="C4716" t="str">
        <f>INDEX(nse!D:D,MATCH(B4716,nse!B:B,0))</f>
        <v>EQ</v>
      </c>
      <c r="D4716" t="str">
        <f>INDEX(nse!C:C,MATCH(B4716,nse!B:B,0))</f>
        <v>Gandhi Special Tubes Limited</v>
      </c>
    </row>
    <row r="4717" spans="2:4" hidden="1" x14ac:dyDescent="0.3">
      <c r="B4717" t="s">
        <v>3236</v>
      </c>
      <c r="C4717" t="str">
        <f>INDEX(nse!D:D,MATCH(B4717,nse!B:B,0))</f>
        <v>EQ</v>
      </c>
      <c r="D4717" t="str">
        <f>INDEX(nse!C:C,MATCH(B4717,nse!B:B,0))</f>
        <v>Ganesha Ecosphere Limited</v>
      </c>
    </row>
    <row r="4718" spans="2:4" hidden="1" x14ac:dyDescent="0.3">
      <c r="B4718" t="s">
        <v>448</v>
      </c>
      <c r="C4718" t="str">
        <f>INDEX(nse!D:D,MATCH(B4718,nse!B:B,0))</f>
        <v>EQ</v>
      </c>
      <c r="D4718" t="str">
        <f>INDEX(nse!C:C,MATCH(B4718,nse!B:B,0))</f>
        <v>Ganesh Housing Corporation Limited</v>
      </c>
    </row>
    <row r="4719" spans="2:4" hidden="1" x14ac:dyDescent="0.3">
      <c r="B4719" t="s">
        <v>449</v>
      </c>
      <c r="C4719" t="str">
        <f>INDEX(nse!D:D,MATCH(B4719,nse!B:B,0))</f>
        <v>BZ</v>
      </c>
      <c r="D4719" t="str">
        <f>INDEX(nse!C:C,MATCH(B4719,nse!B:B,0))</f>
        <v>Gangotri Textiles Limited</v>
      </c>
    </row>
    <row r="4720" spans="2:4" hidden="1" x14ac:dyDescent="0.3">
      <c r="B4720" t="s">
        <v>449</v>
      </c>
      <c r="C4720" t="str">
        <f>INDEX(nse!D:D,MATCH(B4720,nse!B:B,0))</f>
        <v>BZ</v>
      </c>
      <c r="D4720" t="str">
        <f>INDEX(nse!C:C,MATCH(B4720,nse!B:B,0))</f>
        <v>Gangotri Textiles Limited</v>
      </c>
    </row>
    <row r="4721" spans="2:4" hidden="1" x14ac:dyDescent="0.3">
      <c r="B4721" t="s">
        <v>450</v>
      </c>
      <c r="C4721" t="str">
        <f>INDEX(nse!D:D,MATCH(B4721,nse!B:B,0))</f>
        <v>EQ</v>
      </c>
      <c r="D4721" t="str">
        <f>INDEX(nse!C:C,MATCH(B4721,nse!B:B,0))</f>
        <v>Garden Silk Mills Limited</v>
      </c>
    </row>
    <row r="4722" spans="2:4" hidden="1" x14ac:dyDescent="0.3">
      <c r="B4722" t="s">
        <v>451</v>
      </c>
      <c r="C4722" t="str">
        <f>INDEX(nse!D:D,MATCH(B4722,nse!B:B,0))</f>
        <v>EQ</v>
      </c>
      <c r="D4722" t="str">
        <f>INDEX(nse!C:C,MATCH(B4722,nse!B:B,0))</f>
        <v>Garware  Wall Ropes Limited</v>
      </c>
    </row>
    <row r="4723" spans="2:4" hidden="1" x14ac:dyDescent="0.3">
      <c r="B4723" t="s">
        <v>452</v>
      </c>
      <c r="C4723" t="str">
        <f>INDEX(nse!D:D,MATCH(B4723,nse!B:B,0))</f>
        <v>EQ</v>
      </c>
      <c r="D4723" t="str">
        <f>INDEX(nse!C:C,MATCH(B4723,nse!B:B,0))</f>
        <v>GATI Limited</v>
      </c>
    </row>
    <row r="4724" spans="2:4" hidden="1" x14ac:dyDescent="0.3">
      <c r="B4724" t="s">
        <v>453</v>
      </c>
      <c r="C4724" t="str">
        <f>INDEX(nse!D:D,MATCH(B4724,nse!B:B,0))</f>
        <v>EQ</v>
      </c>
      <c r="D4724" t="str">
        <f>INDEX(nse!C:C,MATCH(B4724,nse!B:B,0))</f>
        <v>Gayatri Projects Limited</v>
      </c>
    </row>
    <row r="4725" spans="2:4" hidden="1" x14ac:dyDescent="0.3">
      <c r="B4725" t="s">
        <v>454</v>
      </c>
      <c r="C4725" t="str">
        <f>INDEX(nse!D:D,MATCH(B4725,nse!B:B,0))</f>
        <v>EQ</v>
      </c>
      <c r="D4725" t="str">
        <f>INDEX(nse!C:C,MATCH(B4725,nse!B:B,0))</f>
        <v>Gateway Distriparks Limited</v>
      </c>
    </row>
    <row r="4726" spans="2:4" hidden="1" x14ac:dyDescent="0.3">
      <c r="B4726" t="s">
        <v>455</v>
      </c>
      <c r="C4726" t="str">
        <f>INDEX(nse!D:D,MATCH(B4726,nse!B:B,0))</f>
        <v>EQ</v>
      </c>
      <c r="D4726" t="str">
        <f>INDEX(nse!C:C,MATCH(B4726,nse!B:B,0))</f>
        <v>GeeCee Ventures Limited</v>
      </c>
    </row>
    <row r="4727" spans="2:4" hidden="1" x14ac:dyDescent="0.3">
      <c r="B4727" t="s">
        <v>456</v>
      </c>
      <c r="C4727" t="str">
        <f>INDEX(nse!D:D,MATCH(B4727,nse!B:B,0))</f>
        <v>BE</v>
      </c>
      <c r="D4727" t="str">
        <f>INDEX(nse!C:C,MATCH(B4727,nse!B:B,0))</f>
        <v>Gemini Communication Limited</v>
      </c>
    </row>
    <row r="4728" spans="2:4" hidden="1" x14ac:dyDescent="0.3">
      <c r="B4728" t="s">
        <v>457</v>
      </c>
      <c r="C4728" t="str">
        <f>INDEX(nse!D:D,MATCH(B4728,nse!B:B,0))</f>
        <v>EQ</v>
      </c>
      <c r="D4728" t="str">
        <f>INDEX(nse!C:C,MATCH(B4728,nse!B:B,0))</f>
        <v>Genesys International Corporation Limited</v>
      </c>
    </row>
    <row r="4729" spans="2:4" hidden="1" x14ac:dyDescent="0.3">
      <c r="B4729" t="s">
        <v>3249</v>
      </c>
      <c r="C4729" t="str">
        <f>INDEX(nse!D:D,MATCH(B4729,nse!B:B,0))</f>
        <v>EQ</v>
      </c>
      <c r="D4729" t="str">
        <f>INDEX(nse!C:C,MATCH(B4729,nse!B:B,0))</f>
        <v>Genus Paper &amp; Boards Limited</v>
      </c>
    </row>
    <row r="4730" spans="2:4" hidden="1" x14ac:dyDescent="0.3">
      <c r="B4730" t="s">
        <v>458</v>
      </c>
      <c r="C4730" t="str">
        <f>INDEX(nse!D:D,MATCH(B4730,nse!B:B,0))</f>
        <v>EQ</v>
      </c>
      <c r="D4730" t="str">
        <f>INDEX(nse!C:C,MATCH(B4730,nse!B:B,0))</f>
        <v>Genus Power Infrastructures Limited</v>
      </c>
    </row>
    <row r="4731" spans="2:4" hidden="1" x14ac:dyDescent="0.3">
      <c r="B4731" t="s">
        <v>3253</v>
      </c>
      <c r="C4731" t="str">
        <f>INDEX(nse!D:D,MATCH(B4731,nse!B:B,0))</f>
        <v>EQ</v>
      </c>
      <c r="D4731" t="str">
        <f>INDEX(nse!C:C,MATCH(B4731,nse!B:B,0))</f>
        <v>Geojit Financial Services Limited</v>
      </c>
    </row>
    <row r="4732" spans="2:4" hidden="1" x14ac:dyDescent="0.3">
      <c r="B4732" t="s">
        <v>3256</v>
      </c>
      <c r="C4732" t="str">
        <f>INDEX(nse!D:D,MATCH(B4732,nse!B:B,0))</f>
        <v>EQ</v>
      </c>
      <c r="D4732" t="str">
        <f>INDEX(nse!C:C,MATCH(B4732,nse!B:B,0))</f>
        <v>GE Power India Limited</v>
      </c>
    </row>
    <row r="4733" spans="2:4" hidden="1" x14ac:dyDescent="0.3">
      <c r="B4733" t="s">
        <v>57</v>
      </c>
      <c r="C4733" t="str">
        <f>INDEX(nse!D:D,MATCH(B4733,nse!B:B,0))</f>
        <v>EQ</v>
      </c>
      <c r="D4733" t="str">
        <f>INDEX(nse!C:C,MATCH(B4733,nse!B:B,0))</f>
        <v>The Great Eastern Shipping Company Limited</v>
      </c>
    </row>
    <row r="4734" spans="2:4" hidden="1" x14ac:dyDescent="0.3">
      <c r="B4734" t="s">
        <v>3260</v>
      </c>
      <c r="C4734" t="str">
        <f>INDEX(nse!D:D,MATCH(B4734,nse!B:B,0))</f>
        <v>EQ</v>
      </c>
      <c r="D4734" t="str">
        <f>INDEX(nse!C:C,MATCH(B4734,nse!B:B,0))</f>
        <v>GE T&amp;D India Limited</v>
      </c>
    </row>
    <row r="4735" spans="2:4" hidden="1" x14ac:dyDescent="0.3">
      <c r="B4735" t="s">
        <v>459</v>
      </c>
      <c r="C4735" t="str">
        <f>INDEX(nse!D:D,MATCH(B4735,nse!B:B,0))</f>
        <v>EQ</v>
      </c>
      <c r="D4735" t="str">
        <f>INDEX(nse!C:C,MATCH(B4735,nse!B:B,0))</f>
        <v>GHCL Limited</v>
      </c>
    </row>
    <row r="4736" spans="2:4" hidden="1" x14ac:dyDescent="0.3">
      <c r="B4736" t="s">
        <v>460</v>
      </c>
      <c r="C4736" t="str">
        <f>INDEX(nse!D:D,MATCH(B4736,nse!B:B,0))</f>
        <v>EQ</v>
      </c>
      <c r="D4736" t="str">
        <f>INDEX(nse!C:C,MATCH(B4736,nse!B:B,0))</f>
        <v>GIC Housing Finance Limited</v>
      </c>
    </row>
    <row r="4737" spans="2:4" hidden="1" x14ac:dyDescent="0.3">
      <c r="B4737" t="s">
        <v>461</v>
      </c>
      <c r="C4737" t="str">
        <f>INDEX(nse!D:D,MATCH(B4737,nse!B:B,0))</f>
        <v>EQ</v>
      </c>
      <c r="D4737" t="str">
        <f>INDEX(nse!C:C,MATCH(B4737,nse!B:B,0))</f>
        <v>Gillanders Arbuthnot &amp; Company Limited</v>
      </c>
    </row>
    <row r="4738" spans="2:4" hidden="1" x14ac:dyDescent="0.3">
      <c r="B4738" t="s">
        <v>462</v>
      </c>
      <c r="C4738" t="str">
        <f>INDEX(nse!D:D,MATCH(B4738,nse!B:B,0))</f>
        <v>EQ</v>
      </c>
      <c r="D4738" t="str">
        <f>INDEX(nse!C:C,MATCH(B4738,nse!B:B,0))</f>
        <v>Gillette India Limited</v>
      </c>
    </row>
    <row r="4739" spans="2:4" hidden="1" x14ac:dyDescent="0.3">
      <c r="B4739" t="s">
        <v>463</v>
      </c>
      <c r="C4739" t="str">
        <f>INDEX(nse!D:D,MATCH(B4739,nse!B:B,0))</f>
        <v>EQ</v>
      </c>
      <c r="D4739" t="str">
        <f>INDEX(nse!C:C,MATCH(B4739,nse!B:B,0))</f>
        <v>Ginni Filaments Limited</v>
      </c>
    </row>
    <row r="4740" spans="2:4" hidden="1" x14ac:dyDescent="0.3">
      <c r="B4740" t="s">
        <v>464</v>
      </c>
      <c r="C4740" t="str">
        <f>INDEX(nse!D:D,MATCH(B4740,nse!B:B,0))</f>
        <v>EQ</v>
      </c>
      <c r="D4740" t="str">
        <f>INDEX(nse!C:C,MATCH(B4740,nse!B:B,0))</f>
        <v>Gujarat Industries Power Company Limited</v>
      </c>
    </row>
    <row r="4741" spans="2:4" hidden="1" x14ac:dyDescent="0.3">
      <c r="B4741" t="s">
        <v>1305</v>
      </c>
      <c r="C4741" t="str">
        <f>INDEX(nse!D:D,MATCH(B4741,nse!B:B,0))</f>
        <v>BE</v>
      </c>
      <c r="D4741" t="str">
        <f>INDEX(nse!C:C,MATCH(B4741,nse!B:B,0))</f>
        <v>GI Engineering Solutions Limited</v>
      </c>
    </row>
    <row r="4742" spans="2:4" hidden="1" x14ac:dyDescent="0.3">
      <c r="B4742" t="s">
        <v>465</v>
      </c>
      <c r="C4742" t="str">
        <f>INDEX(nse!D:D,MATCH(B4742,nse!B:B,0))</f>
        <v>EQ</v>
      </c>
      <c r="D4742" t="str">
        <f>INDEX(nse!C:C,MATCH(B4742,nse!B:B,0))</f>
        <v>Gitanjali Gems Limited</v>
      </c>
    </row>
    <row r="4743" spans="2:4" hidden="1" x14ac:dyDescent="0.3">
      <c r="B4743" t="s">
        <v>466</v>
      </c>
      <c r="C4743" t="str">
        <f>INDEX(nse!D:D,MATCH(B4743,nse!B:B,0))</f>
        <v>EQ</v>
      </c>
      <c r="D4743" t="str">
        <f>INDEX(nse!C:C,MATCH(B4743,nse!B:B,0))</f>
        <v>GKW Limited</v>
      </c>
    </row>
    <row r="4744" spans="2:4" hidden="1" x14ac:dyDescent="0.3">
      <c r="B4744" t="s">
        <v>467</v>
      </c>
      <c r="C4744" t="str">
        <f>INDEX(nse!D:D,MATCH(B4744,nse!B:B,0))</f>
        <v>EQ</v>
      </c>
      <c r="D4744" t="str">
        <f>INDEX(nse!C:C,MATCH(B4744,nse!B:B,0))</f>
        <v>GlaxoSmithKline Pharmaceuticals Limited</v>
      </c>
    </row>
    <row r="4745" spans="2:4" hidden="1" x14ac:dyDescent="0.3">
      <c r="B4745" t="s">
        <v>55</v>
      </c>
      <c r="C4745" t="str">
        <f>INDEX(nse!D:D,MATCH(B4745,nse!B:B,0))</f>
        <v>EQ</v>
      </c>
      <c r="D4745" t="str">
        <f>INDEX(nse!C:C,MATCH(B4745,nse!B:B,0))</f>
        <v>Glenmark Pharmaceuticals Limited</v>
      </c>
    </row>
    <row r="4746" spans="2:4" hidden="1" x14ac:dyDescent="0.3">
      <c r="B4746" t="s">
        <v>1306</v>
      </c>
      <c r="C4746" t="str">
        <f>INDEX(nse!D:D,MATCH(B4746,nse!B:B,0))</f>
        <v>BE</v>
      </c>
      <c r="D4746" t="str">
        <f>INDEX(nse!C:C,MATCH(B4746,nse!B:B,0))</f>
        <v>Gujarat Lease Financing Limited</v>
      </c>
    </row>
    <row r="4747" spans="2:4" hidden="1" x14ac:dyDescent="0.3">
      <c r="B4747" t="s">
        <v>468</v>
      </c>
      <c r="C4747" t="str">
        <f>INDEX(nse!D:D,MATCH(B4747,nse!B:B,0))</f>
        <v>EQ</v>
      </c>
      <c r="D4747" t="str">
        <f>INDEX(nse!C:C,MATCH(B4747,nse!B:B,0))</f>
        <v>Global Vectra Helicorp Limited</v>
      </c>
    </row>
    <row r="4748" spans="2:4" hidden="1" x14ac:dyDescent="0.3">
      <c r="B4748" t="s">
        <v>469</v>
      </c>
      <c r="C4748" t="str">
        <f>INDEX(nse!D:D,MATCH(B4748,nse!B:B,0))</f>
        <v>EQ</v>
      </c>
      <c r="D4748" t="str">
        <f>INDEX(nse!C:C,MATCH(B4748,nse!B:B,0))</f>
        <v>Global Offshore Services Limited</v>
      </c>
    </row>
    <row r="4749" spans="2:4" hidden="1" x14ac:dyDescent="0.3">
      <c r="B4749" t="s">
        <v>470</v>
      </c>
      <c r="C4749" t="str">
        <f>INDEX(nse!D:D,MATCH(B4749,nse!B:B,0))</f>
        <v>EQ</v>
      </c>
      <c r="D4749" t="str">
        <f>INDEX(nse!C:C,MATCH(B4749,nse!B:B,0))</f>
        <v>Globus Spirits Limited</v>
      </c>
    </row>
    <row r="4750" spans="2:4" hidden="1" x14ac:dyDescent="0.3">
      <c r="B4750" t="s">
        <v>471</v>
      </c>
      <c r="C4750" t="str">
        <f>INDEX(nse!D:D,MATCH(B4750,nse!B:B,0))</f>
        <v>EQ</v>
      </c>
      <c r="D4750" t="str">
        <f>INDEX(nse!C:C,MATCH(B4750,nse!B:B,0))</f>
        <v>GM Breweries Limited</v>
      </c>
    </row>
    <row r="4751" spans="2:4" hidden="1" x14ac:dyDescent="0.3">
      <c r="B4751" t="s">
        <v>472</v>
      </c>
      <c r="C4751" t="str">
        <f>INDEX(nse!D:D,MATCH(B4751,nse!B:B,0))</f>
        <v>EQ</v>
      </c>
      <c r="D4751" t="str">
        <f>INDEX(nse!C:C,MATCH(B4751,nse!B:B,0))</f>
        <v>Gujarat Mineral Development Corporation Limited</v>
      </c>
    </row>
    <row r="4752" spans="2:4" hidden="1" x14ac:dyDescent="0.3">
      <c r="B4752" t="s">
        <v>53</v>
      </c>
      <c r="C4752" t="str">
        <f>INDEX(nse!D:D,MATCH(B4752,nse!B:B,0))</f>
        <v>EQ</v>
      </c>
      <c r="D4752" t="str">
        <f>INDEX(nse!C:C,MATCH(B4752,nse!B:B,0))</f>
        <v>GMR Infrastructure Limited</v>
      </c>
    </row>
    <row r="4753" spans="2:4" hidden="1" x14ac:dyDescent="0.3">
      <c r="B4753" t="s">
        <v>3281</v>
      </c>
      <c r="C4753" t="str">
        <f>INDEX(nse!D:D,MATCH(B4753,nse!B:B,0))</f>
        <v>EQ</v>
      </c>
      <c r="D4753" t="str">
        <f>INDEX(nse!C:C,MATCH(B4753,nse!B:B,0))</f>
        <v>GNA Axles Limited</v>
      </c>
    </row>
    <row r="4754" spans="2:4" hidden="1" x14ac:dyDescent="0.3">
      <c r="B4754" t="s">
        <v>473</v>
      </c>
      <c r="C4754" t="str">
        <f>INDEX(nse!D:D,MATCH(B4754,nse!B:B,0))</f>
        <v>EQ</v>
      </c>
      <c r="D4754" t="str">
        <f>INDEX(nse!C:C,MATCH(B4754,nse!B:B,0))</f>
        <v>Gujarat Narmada Valley Fertilizers and Chemicals Limited</v>
      </c>
    </row>
    <row r="4755" spans="2:4" hidden="1" x14ac:dyDescent="0.3">
      <c r="B4755" t="s">
        <v>474</v>
      </c>
      <c r="C4755" t="str">
        <f>INDEX(nse!D:D,MATCH(B4755,nse!B:B,0))</f>
        <v>EQ</v>
      </c>
      <c r="D4755" t="str">
        <f>INDEX(nse!C:C,MATCH(B4755,nse!B:B,0))</f>
        <v>Goa Carbon Limited</v>
      </c>
    </row>
    <row r="4756" spans="2:4" hidden="1" x14ac:dyDescent="0.3">
      <c r="B4756" t="s">
        <v>3286</v>
      </c>
      <c r="C4756" t="str">
        <f>INDEX(nse!D:D,MATCH(B4756,nse!B:B,0))</f>
        <v>EQ</v>
      </c>
      <c r="D4756" t="str">
        <f>INDEX(nse!C:C,MATCH(B4756,nse!B:B,0))</f>
        <v>GOCL Corporation Limited</v>
      </c>
    </row>
    <row r="4757" spans="2:4" hidden="1" x14ac:dyDescent="0.3">
      <c r="B4757" t="s">
        <v>475</v>
      </c>
      <c r="C4757" t="str">
        <f>INDEX(nse!D:D,MATCH(B4757,nse!B:B,0))</f>
        <v>EQ</v>
      </c>
      <c r="D4757" t="str">
        <f>INDEX(nse!C:C,MATCH(B4757,nse!B:B,0))</f>
        <v>Godfrey Phillips India Limited</v>
      </c>
    </row>
    <row r="4758" spans="2:4" hidden="1" x14ac:dyDescent="0.3">
      <c r="B4758" t="s">
        <v>476</v>
      </c>
      <c r="C4758" t="str">
        <f>INDEX(nse!D:D,MATCH(B4758,nse!B:B,0))</f>
        <v>EQ</v>
      </c>
      <c r="D4758" t="str">
        <f>INDEX(nse!C:C,MATCH(B4758,nse!B:B,0))</f>
        <v>Godrej Consumer Products Limited</v>
      </c>
    </row>
    <row r="4759" spans="2:4" hidden="1" x14ac:dyDescent="0.3">
      <c r="B4759" t="s">
        <v>56</v>
      </c>
      <c r="C4759" t="str">
        <f>INDEX(nse!D:D,MATCH(B4759,nse!B:B,0))</f>
        <v>EQ</v>
      </c>
      <c r="D4759" t="str">
        <f>INDEX(nse!C:C,MATCH(B4759,nse!B:B,0))</f>
        <v>Godrej Industries Limited</v>
      </c>
    </row>
    <row r="4760" spans="2:4" hidden="1" x14ac:dyDescent="0.3">
      <c r="B4760" t="s">
        <v>477</v>
      </c>
      <c r="C4760" t="str">
        <f>INDEX(nse!D:D,MATCH(B4760,nse!B:B,0))</f>
        <v>EQ</v>
      </c>
      <c r="D4760" t="str">
        <f>INDEX(nse!C:C,MATCH(B4760,nse!B:B,0))</f>
        <v>Godrej Properties Limited</v>
      </c>
    </row>
    <row r="4761" spans="2:4" hidden="1" x14ac:dyDescent="0.3">
      <c r="B4761" t="s">
        <v>478</v>
      </c>
      <c r="C4761" t="str">
        <f>INDEX(nse!D:D,MATCH(B4761,nse!B:B,0))</f>
        <v>BZ</v>
      </c>
      <c r="D4761" t="str">
        <f>INDEX(nse!C:C,MATCH(B4761,nse!B:B,0))</f>
        <v>Goenka Diamond and Jewels Limited</v>
      </c>
    </row>
    <row r="4762" spans="2:4" hidden="1" x14ac:dyDescent="0.3">
      <c r="B4762" t="s">
        <v>479</v>
      </c>
      <c r="C4762" t="str">
        <f>INDEX(nse!D:D,MATCH(B4762,nse!B:B,0))</f>
        <v>BE</v>
      </c>
      <c r="D4762" t="str">
        <f>INDEX(nse!C:C,MATCH(B4762,nse!B:B,0))</f>
        <v>Gokaldas Exports Limited</v>
      </c>
    </row>
    <row r="4763" spans="2:4" hidden="1" x14ac:dyDescent="0.3">
      <c r="B4763" t="s">
        <v>480</v>
      </c>
      <c r="C4763" t="str">
        <f>INDEX(nse!D:D,MATCH(B4763,nse!B:B,0))</f>
        <v>EQ</v>
      </c>
      <c r="D4763" t="str">
        <f>INDEX(nse!C:C,MATCH(B4763,nse!B:B,0))</f>
        <v>Gokul Refoils and Solvent Limited</v>
      </c>
    </row>
    <row r="4764" spans="2:4" hidden="1" x14ac:dyDescent="0.3">
      <c r="B4764" t="s">
        <v>3296</v>
      </c>
      <c r="C4764" t="str">
        <f>INDEX(nse!D:D,MATCH(B4764,nse!B:B,0))</f>
        <v>EQ</v>
      </c>
      <c r="D4764" t="str">
        <f>INDEX(nse!C:C,MATCH(B4764,nse!B:B,0))</f>
        <v>Gokul Agro Resources Limited</v>
      </c>
    </row>
    <row r="4765" spans="2:4" hidden="1" x14ac:dyDescent="0.3">
      <c r="B4765" t="s">
        <v>481</v>
      </c>
      <c r="C4765" t="str">
        <f>INDEX(nse!D:D,MATCH(B4765,nse!B:B,0))</f>
        <v>BE</v>
      </c>
      <c r="D4765" t="str">
        <f>INDEX(nse!C:C,MATCH(B4765,nse!B:B,0))</f>
        <v>Golden Tobacco Limited</v>
      </c>
    </row>
    <row r="4766" spans="2:4" hidden="1" x14ac:dyDescent="0.3">
      <c r="B4766" t="s">
        <v>482</v>
      </c>
      <c r="C4766" t="str">
        <f>INDEX(nse!D:D,MATCH(B4766,nse!B:B,0))</f>
        <v>EQ</v>
      </c>
      <c r="D4766" t="str">
        <f>INDEX(nse!C:C,MATCH(B4766,nse!B:B,0))</f>
        <v>Goldiam International Limited</v>
      </c>
    </row>
    <row r="4767" spans="2:4" hidden="1" x14ac:dyDescent="0.3">
      <c r="B4767" t="s">
        <v>483</v>
      </c>
      <c r="C4767" t="str">
        <f>INDEX(nse!D:D,MATCH(B4767,nse!B:B,0))</f>
        <v>BE</v>
      </c>
      <c r="D4767" t="str">
        <f>INDEX(nse!C:C,MATCH(B4767,nse!B:B,0))</f>
        <v>Goldstone Infratech Limited</v>
      </c>
    </row>
    <row r="4768" spans="2:4" hidden="1" x14ac:dyDescent="0.3">
      <c r="B4768" t="s">
        <v>484</v>
      </c>
      <c r="C4768" t="str">
        <f>INDEX(nse!D:D,MATCH(B4768,nse!B:B,0))</f>
        <v>BE</v>
      </c>
      <c r="D4768" t="str">
        <f>INDEX(nse!C:C,MATCH(B4768,nse!B:B,0))</f>
        <v>Goldstone Technologies Limited</v>
      </c>
    </row>
    <row r="4769" spans="2:4" hidden="1" x14ac:dyDescent="0.3">
      <c r="B4769" t="s">
        <v>3303</v>
      </c>
      <c r="C4769" t="str">
        <f>INDEX(nse!D:D,MATCH(B4769,nse!B:B,0))</f>
        <v>EQ</v>
      </c>
      <c r="D4769" t="str">
        <f>INDEX(nse!C:C,MATCH(B4769,nse!B:B,0))</f>
        <v>Goodluck India Limited</v>
      </c>
    </row>
    <row r="4770" spans="2:4" hidden="1" x14ac:dyDescent="0.3">
      <c r="B4770" t="s">
        <v>485</v>
      </c>
      <c r="C4770" t="str">
        <f>INDEX(nse!D:D,MATCH(B4770,nse!B:B,0))</f>
        <v>EQ</v>
      </c>
      <c r="D4770" t="str">
        <f>INDEX(nse!C:C,MATCH(B4770,nse!B:B,0))</f>
        <v>Godawari Power And Ispat limited</v>
      </c>
    </row>
    <row r="4771" spans="2:4" hidden="1" x14ac:dyDescent="0.3">
      <c r="B4771" t="s">
        <v>486</v>
      </c>
      <c r="C4771" t="str">
        <f>INDEX(nse!D:D,MATCH(B4771,nse!B:B,0))</f>
        <v>EQ</v>
      </c>
      <c r="D4771" t="str">
        <f>INDEX(nse!C:C,MATCH(B4771,nse!B:B,0))</f>
        <v>Gujarat Pipavav Port Limited</v>
      </c>
    </row>
    <row r="4772" spans="2:4" hidden="1" x14ac:dyDescent="0.3">
      <c r="B4772" t="s">
        <v>3308</v>
      </c>
      <c r="C4772" t="str">
        <f>INDEX(nse!D:D,MATCH(B4772,nse!B:B,0))</f>
        <v>EQ</v>
      </c>
      <c r="D4772" t="str">
        <f>INDEX(nse!C:C,MATCH(B4772,nse!B:B,0))</f>
        <v>GPT Infraprojects Limited</v>
      </c>
    </row>
    <row r="4773" spans="2:4" hidden="1" x14ac:dyDescent="0.3">
      <c r="B4773" t="s">
        <v>487</v>
      </c>
      <c r="C4773" t="str">
        <f>INDEX(nse!D:D,MATCH(B4773,nse!B:B,0))</f>
        <v>EQ</v>
      </c>
      <c r="D4773" t="str">
        <f>INDEX(nse!C:C,MATCH(B4773,nse!B:B,0))</f>
        <v>Granules India Limited</v>
      </c>
    </row>
    <row r="4774" spans="2:4" hidden="1" x14ac:dyDescent="0.3">
      <c r="B4774" t="s">
        <v>488</v>
      </c>
      <c r="C4774" t="str">
        <f>INDEX(nse!D:D,MATCH(B4774,nse!B:B,0))</f>
        <v>EQ</v>
      </c>
      <c r="D4774" t="str">
        <f>INDEX(nse!C:C,MATCH(B4774,nse!B:B,0))</f>
        <v>Graphite India Limited</v>
      </c>
    </row>
    <row r="4775" spans="2:4" hidden="1" x14ac:dyDescent="0.3">
      <c r="B4775" t="s">
        <v>489</v>
      </c>
      <c r="C4775" t="str">
        <f>INDEX(nse!D:D,MATCH(B4775,nse!B:B,0))</f>
        <v>EQ</v>
      </c>
      <c r="D4775" t="str">
        <f>INDEX(nse!C:C,MATCH(B4775,nse!B:B,0))</f>
        <v>Grasim Industries Limited</v>
      </c>
    </row>
    <row r="4776" spans="2:4" hidden="1" x14ac:dyDescent="0.3">
      <c r="B4776" t="s">
        <v>490</v>
      </c>
      <c r="C4776" t="str">
        <f>INDEX(nse!D:D,MATCH(B4776,nse!B:B,0))</f>
        <v>EQ</v>
      </c>
      <c r="D4776" t="str">
        <f>INDEX(nse!C:C,MATCH(B4776,nse!B:B,0))</f>
        <v>Gravita India Limited</v>
      </c>
    </row>
    <row r="4777" spans="2:4" hidden="1" x14ac:dyDescent="0.3">
      <c r="B4777" t="s">
        <v>491</v>
      </c>
      <c r="C4777" t="str">
        <f>INDEX(nse!D:D,MATCH(B4777,nse!B:B,0))</f>
        <v>EQ</v>
      </c>
      <c r="D4777" t="str">
        <f>INDEX(nse!C:C,MATCH(B4777,nse!B:B,0))</f>
        <v>Greaves Cotton Limited</v>
      </c>
    </row>
    <row r="4778" spans="2:4" hidden="1" x14ac:dyDescent="0.3">
      <c r="B4778" t="s">
        <v>1307</v>
      </c>
      <c r="C4778" t="str">
        <f>INDEX(nse!D:D,MATCH(B4778,nse!B:B,0))</f>
        <v>BE</v>
      </c>
      <c r="D4778" t="str">
        <f>INDEX(nse!C:C,MATCH(B4778,nse!B:B,0))</f>
        <v>Green Fire Agri Commodities Limited</v>
      </c>
    </row>
    <row r="4779" spans="2:4" hidden="1" x14ac:dyDescent="0.3">
      <c r="B4779" t="s">
        <v>3317</v>
      </c>
      <c r="C4779" t="str">
        <f>INDEX(nse!D:D,MATCH(B4779,nse!B:B,0))</f>
        <v>EQ</v>
      </c>
      <c r="D4779" t="str">
        <f>INDEX(nse!C:C,MATCH(B4779,nse!B:B,0))</f>
        <v>Greenlam Industries Limited</v>
      </c>
    </row>
    <row r="4780" spans="2:4" hidden="1" x14ac:dyDescent="0.3">
      <c r="B4780" t="s">
        <v>492</v>
      </c>
      <c r="C4780" t="str">
        <f>INDEX(nse!D:D,MATCH(B4780,nse!B:B,0))</f>
        <v>EQ</v>
      </c>
      <c r="D4780" t="str">
        <f>INDEX(nse!C:C,MATCH(B4780,nse!B:B,0))</f>
        <v>Greenply Industries Limited</v>
      </c>
    </row>
    <row r="4781" spans="2:4" hidden="1" x14ac:dyDescent="0.3">
      <c r="B4781" t="s">
        <v>493</v>
      </c>
      <c r="C4781" t="str">
        <f>INDEX(nse!D:D,MATCH(B4781,nse!B:B,0))</f>
        <v>EQ</v>
      </c>
      <c r="D4781" t="str">
        <f>INDEX(nse!C:C,MATCH(B4781,nse!B:B,0))</f>
        <v>Orient Green Power Company Limited</v>
      </c>
    </row>
    <row r="4782" spans="2:4" hidden="1" x14ac:dyDescent="0.3">
      <c r="B4782" t="s">
        <v>494</v>
      </c>
      <c r="C4782" t="str">
        <f>INDEX(nse!D:D,MATCH(B4782,nse!B:B,0))</f>
        <v>EQ</v>
      </c>
      <c r="D4782" t="str">
        <f>INDEX(nse!C:C,MATCH(B4782,nse!B:B,0))</f>
        <v>Grindwell Norton Limited</v>
      </c>
    </row>
    <row r="4783" spans="2:4" hidden="1" x14ac:dyDescent="0.3">
      <c r="B4783" t="s">
        <v>3323</v>
      </c>
      <c r="C4783" t="str">
        <f>INDEX(nse!D:D,MATCH(B4783,nse!B:B,0))</f>
        <v>EQ</v>
      </c>
      <c r="D4783" t="str">
        <f>INDEX(nse!C:C,MATCH(B4783,nse!B:B,0))</f>
        <v>The Grob Tea Company Limited</v>
      </c>
    </row>
    <row r="4784" spans="2:4" hidden="1" x14ac:dyDescent="0.3">
      <c r="B4784" t="s">
        <v>3326</v>
      </c>
      <c r="C4784" t="str">
        <f>INDEX(nse!D:D,MATCH(B4784,nse!B:B,0))</f>
        <v>EQ</v>
      </c>
      <c r="D4784" t="str">
        <f>INDEX(nse!C:C,MATCH(B4784,nse!B:B,0))</f>
        <v>GRP Limited</v>
      </c>
    </row>
    <row r="4785" spans="2:4" hidden="1" x14ac:dyDescent="0.3">
      <c r="B4785" t="s">
        <v>495</v>
      </c>
      <c r="C4785" t="str">
        <f>INDEX(nse!D:D,MATCH(B4785,nse!B:B,0))</f>
        <v>EQ</v>
      </c>
      <c r="D4785" t="str">
        <f>INDEX(nse!C:C,MATCH(B4785,nse!B:B,0))</f>
        <v>Gruh Finance Limited</v>
      </c>
    </row>
    <row r="4786" spans="2:4" hidden="1" x14ac:dyDescent="0.3">
      <c r="B4786" t="s">
        <v>496</v>
      </c>
      <c r="C4786" t="str">
        <f>INDEX(nse!D:D,MATCH(B4786,nse!B:B,0))</f>
        <v>EQ</v>
      </c>
      <c r="D4786" t="str">
        <f>INDEX(nse!C:C,MATCH(B4786,nse!B:B,0))</f>
        <v>Gujarat Sidhee Cement Limited</v>
      </c>
    </row>
    <row r="4787" spans="2:4" hidden="1" x14ac:dyDescent="0.3">
      <c r="B4787" t="s">
        <v>497</v>
      </c>
      <c r="C4787" t="str">
        <f>INDEX(nse!D:D,MATCH(B4787,nse!B:B,0))</f>
        <v>EQ</v>
      </c>
      <c r="D4787" t="str">
        <f>INDEX(nse!C:C,MATCH(B4787,nse!B:B,0))</f>
        <v>Gujarat State Fertilizers &amp; Chemicals Limited</v>
      </c>
    </row>
    <row r="4788" spans="2:4" hidden="1" x14ac:dyDescent="0.3">
      <c r="B4788" t="s">
        <v>497</v>
      </c>
      <c r="C4788" t="str">
        <f>INDEX(nse!D:D,MATCH(B4788,nse!B:B,0))</f>
        <v>EQ</v>
      </c>
      <c r="D4788" t="str">
        <f>INDEX(nse!C:C,MATCH(B4788,nse!B:B,0))</f>
        <v>Gujarat State Fertilizers &amp; Chemicals Limited</v>
      </c>
    </row>
    <row r="4789" spans="2:4" hidden="1" x14ac:dyDescent="0.3">
      <c r="B4789" t="s">
        <v>54</v>
      </c>
      <c r="C4789" t="str">
        <f>INDEX(nse!D:D,MATCH(B4789,nse!B:B,0))</f>
        <v>EQ</v>
      </c>
      <c r="D4789" t="str">
        <f>INDEX(nse!C:C,MATCH(B4789,nse!B:B,0))</f>
        <v>GlaxoSmithKline Consumer Healthcare Limited</v>
      </c>
    </row>
    <row r="4790" spans="2:4" hidden="1" x14ac:dyDescent="0.3">
      <c r="B4790" t="s">
        <v>58</v>
      </c>
      <c r="C4790" t="str">
        <f>INDEX(nse!D:D,MATCH(B4790,nse!B:B,0))</f>
        <v>EQ</v>
      </c>
      <c r="D4790" t="str">
        <f>INDEX(nse!C:C,MATCH(B4790,nse!B:B,0))</f>
        <v>Gujarat State Petronet Limited</v>
      </c>
    </row>
    <row r="4791" spans="2:4" hidden="1" x14ac:dyDescent="0.3">
      <c r="B4791" t="s">
        <v>498</v>
      </c>
      <c r="C4791" t="str">
        <f>INDEX(nse!D:D,MATCH(B4791,nse!B:B,0))</f>
        <v>EQ</v>
      </c>
      <c r="D4791" t="str">
        <f>INDEX(nse!C:C,MATCH(B4791,nse!B:B,0))</f>
        <v>GSS Infotech Limited</v>
      </c>
    </row>
    <row r="4792" spans="2:4" hidden="1" x14ac:dyDescent="0.3">
      <c r="B4792" t="s">
        <v>499</v>
      </c>
      <c r="C4792" t="str">
        <f>INDEX(nse!D:D,MATCH(B4792,nse!B:B,0))</f>
        <v>EQ</v>
      </c>
      <c r="D4792" t="str">
        <f>INDEX(nse!C:C,MATCH(B4792,nse!B:B,0))</f>
        <v>GTL Limited</v>
      </c>
    </row>
    <row r="4793" spans="2:4" hidden="1" x14ac:dyDescent="0.3">
      <c r="B4793" t="s">
        <v>500</v>
      </c>
      <c r="C4793" t="str">
        <f>INDEX(nse!D:D,MATCH(B4793,nse!B:B,0))</f>
        <v>EQ</v>
      </c>
      <c r="D4793" t="str">
        <f>INDEX(nse!C:C,MATCH(B4793,nse!B:B,0))</f>
        <v>GTL Infrastructure Limited</v>
      </c>
    </row>
    <row r="4794" spans="2:4" hidden="1" x14ac:dyDescent="0.3">
      <c r="B4794" t="s">
        <v>501</v>
      </c>
      <c r="C4794" t="str">
        <f>INDEX(nse!D:D,MATCH(B4794,nse!B:B,0))</f>
        <v>EQ</v>
      </c>
      <c r="D4794" t="str">
        <f>INDEX(nse!C:C,MATCH(B4794,nse!B:B,0))</f>
        <v>GTN Industries Limited</v>
      </c>
    </row>
    <row r="4795" spans="2:4" hidden="1" x14ac:dyDescent="0.3">
      <c r="B4795" t="s">
        <v>502</v>
      </c>
      <c r="C4795" t="str">
        <f>INDEX(nse!D:D,MATCH(B4795,nse!B:B,0))</f>
        <v>BE</v>
      </c>
      <c r="D4795" t="str">
        <f>INDEX(nse!C:C,MATCH(B4795,nse!B:B,0))</f>
        <v>GTN Textiles Limited</v>
      </c>
    </row>
    <row r="4796" spans="2:4" hidden="1" x14ac:dyDescent="0.3">
      <c r="B4796" t="s">
        <v>503</v>
      </c>
      <c r="C4796" t="str">
        <f>INDEX(nse!D:D,MATCH(B4796,nse!B:B,0))</f>
        <v>EQ</v>
      </c>
      <c r="D4796" t="str">
        <f>INDEX(nse!C:C,MATCH(B4796,nse!B:B,0))</f>
        <v>GOL Offshore Limited</v>
      </c>
    </row>
    <row r="4797" spans="2:4" hidden="1" x14ac:dyDescent="0.3">
      <c r="B4797" t="s">
        <v>504</v>
      </c>
      <c r="C4797" t="str">
        <f>INDEX(nse!D:D,MATCH(B4797,nse!B:B,0))</f>
        <v>EQ</v>
      </c>
      <c r="D4797" t="str">
        <f>INDEX(nse!C:C,MATCH(B4797,nse!B:B,0))</f>
        <v>Gufic Biosciences Limited</v>
      </c>
    </row>
    <row r="4798" spans="2:4" hidden="1" x14ac:dyDescent="0.3">
      <c r="B4798" t="s">
        <v>505</v>
      </c>
      <c r="C4798" t="str">
        <f>INDEX(nse!D:D,MATCH(B4798,nse!B:B,0))</f>
        <v>EQ</v>
      </c>
      <c r="D4798" t="str">
        <f>INDEX(nse!C:C,MATCH(B4798,nse!B:B,0))</f>
        <v>Gujarat Alkalies and Chemicals Limited</v>
      </c>
    </row>
    <row r="4799" spans="2:4" hidden="1" x14ac:dyDescent="0.3">
      <c r="B4799" t="s">
        <v>506</v>
      </c>
      <c r="C4799" t="str">
        <f>INDEX(nse!D:D,MATCH(B4799,nse!B:B,0))</f>
        <v>EQ</v>
      </c>
      <c r="D4799" t="str">
        <f>INDEX(nse!C:C,MATCH(B4799,nse!B:B,0))</f>
        <v>Gujarat Apollo Industries Limited</v>
      </c>
    </row>
    <row r="4800" spans="2:4" hidden="1" x14ac:dyDescent="0.3">
      <c r="B4800" t="s">
        <v>507</v>
      </c>
      <c r="C4800" t="str">
        <f>INDEX(nse!D:D,MATCH(B4800,nse!B:B,0))</f>
        <v>EQ</v>
      </c>
      <c r="D4800" t="str">
        <f>INDEX(nse!C:C,MATCH(B4800,nse!B:B,0))</f>
        <v>Gujarat Fluorochemicals Limited</v>
      </c>
    </row>
    <row r="4801" spans="2:4" hidden="1" x14ac:dyDescent="0.3">
      <c r="B4801" t="s">
        <v>3345</v>
      </c>
      <c r="C4801" t="str">
        <f>INDEX(nse!D:D,MATCH(B4801,nse!B:B,0))</f>
        <v>EQ</v>
      </c>
      <c r="D4801" t="str">
        <f>INDEX(nse!C:C,MATCH(B4801,nse!B:B,0))</f>
        <v>Gujarat Gas Limited</v>
      </c>
    </row>
    <row r="4802" spans="2:4" hidden="1" x14ac:dyDescent="0.3">
      <c r="B4802" t="s">
        <v>508</v>
      </c>
      <c r="C4802" t="str">
        <f>INDEX(nse!D:D,MATCH(B4802,nse!B:B,0))</f>
        <v>EQ</v>
      </c>
      <c r="D4802" t="str">
        <f>INDEX(nse!C:C,MATCH(B4802,nse!B:B,0))</f>
        <v>Gujarat NRE Coke Limited</v>
      </c>
    </row>
    <row r="4803" spans="2:4" hidden="1" x14ac:dyDescent="0.3">
      <c r="B4803" t="s">
        <v>3349</v>
      </c>
      <c r="C4803" t="str">
        <f>INDEX(nse!D:D,MATCH(B4803,nse!B:B,0))</f>
        <v>EQ</v>
      </c>
      <c r="D4803" t="str">
        <f>INDEX(nse!C:C,MATCH(B4803,nse!B:B,0))</f>
        <v>Gujarat NRE Coke Limited</v>
      </c>
    </row>
    <row r="4804" spans="2:4" hidden="1" x14ac:dyDescent="0.3">
      <c r="B4804" t="s">
        <v>509</v>
      </c>
      <c r="C4804" t="str">
        <f>INDEX(nse!D:D,MATCH(B4804,nse!B:B,0))</f>
        <v>EQ</v>
      </c>
      <c r="D4804" t="str">
        <f>INDEX(nse!C:C,MATCH(B4804,nse!B:B,0))</f>
        <v>Gulf Oil Lubricants India Limited</v>
      </c>
    </row>
    <row r="4805" spans="2:4" hidden="1" x14ac:dyDescent="0.3">
      <c r="B4805" t="s">
        <v>3352</v>
      </c>
      <c r="C4805" t="str">
        <f>INDEX(nse!D:D,MATCH(B4805,nse!B:B,0))</f>
        <v>EQ</v>
      </c>
      <c r="D4805" t="str">
        <f>INDEX(nse!C:C,MATCH(B4805,nse!B:B,0))</f>
        <v>GP Petroleums Limited</v>
      </c>
    </row>
    <row r="4806" spans="2:4" hidden="1" x14ac:dyDescent="0.3">
      <c r="B4806" t="s">
        <v>3355</v>
      </c>
      <c r="C4806" t="str">
        <f>INDEX(nse!D:D,MATCH(B4806,nse!B:B,0))</f>
        <v>EQ</v>
      </c>
      <c r="D4806" t="str">
        <f>INDEX(nse!C:C,MATCH(B4806,nse!B:B,0))</f>
        <v>Gulshan Polyols Limited</v>
      </c>
    </row>
    <row r="4807" spans="2:4" hidden="1" x14ac:dyDescent="0.3">
      <c r="B4807" t="s">
        <v>510</v>
      </c>
      <c r="C4807" t="str">
        <f>INDEX(nse!D:D,MATCH(B4807,nse!B:B,0))</f>
        <v>EQ</v>
      </c>
      <c r="D4807" t="str">
        <f>INDEX(nse!C:C,MATCH(B4807,nse!B:B,0))</f>
        <v>GVK Power &amp; Infrastructure Limited</v>
      </c>
    </row>
    <row r="4808" spans="2:4" hidden="1" x14ac:dyDescent="0.3">
      <c r="B4808" t="s">
        <v>511</v>
      </c>
      <c r="C4808" t="str">
        <f>INDEX(nse!D:D,MATCH(B4808,nse!B:B,0))</f>
        <v>EQ</v>
      </c>
      <c r="D4808" t="str">
        <f>INDEX(nse!C:C,MATCH(B4808,nse!B:B,0))</f>
        <v>Hanung Toys and Textiles Limited</v>
      </c>
    </row>
    <row r="4809" spans="2:4" hidden="1" x14ac:dyDescent="0.3">
      <c r="B4809" t="s">
        <v>512</v>
      </c>
      <c r="C4809" t="str">
        <f>INDEX(nse!D:D,MATCH(B4809,nse!B:B,0))</f>
        <v>EQ</v>
      </c>
      <c r="D4809" t="str">
        <f>INDEX(nse!C:C,MATCH(B4809,nse!B:B,0))</f>
        <v>Harita Seating Systems Limited</v>
      </c>
    </row>
    <row r="4810" spans="2:4" hidden="1" x14ac:dyDescent="0.3">
      <c r="B4810" t="s">
        <v>513</v>
      </c>
      <c r="C4810" t="str">
        <f>INDEX(nse!D:D,MATCH(B4810,nse!B:B,0))</f>
        <v>EQ</v>
      </c>
      <c r="D4810" t="str">
        <f>INDEX(nse!C:C,MATCH(B4810,nse!B:B,0))</f>
        <v>Harrisons  Malayalam Limited</v>
      </c>
    </row>
    <row r="4811" spans="2:4" hidden="1" x14ac:dyDescent="0.3">
      <c r="B4811" t="s">
        <v>514</v>
      </c>
      <c r="C4811" t="str">
        <f>INDEX(nse!D:D,MATCH(B4811,nse!B:B,0))</f>
        <v>EQ</v>
      </c>
      <c r="D4811" t="str">
        <f>INDEX(nse!C:C,MATCH(B4811,nse!B:B,0))</f>
        <v>Hathway Cable &amp; Datacom Limited</v>
      </c>
    </row>
    <row r="4812" spans="2:4" hidden="1" x14ac:dyDescent="0.3">
      <c r="B4812" t="s">
        <v>515</v>
      </c>
      <c r="C4812" t="str">
        <f>INDEX(nse!D:D,MATCH(B4812,nse!B:B,0))</f>
        <v>EQ</v>
      </c>
      <c r="D4812" t="str">
        <f>INDEX(nse!C:C,MATCH(B4812,nse!B:B,0))</f>
        <v>Hatsun Agro Product Limited</v>
      </c>
    </row>
    <row r="4813" spans="2:4" hidden="1" x14ac:dyDescent="0.3">
      <c r="B4813" t="s">
        <v>59</v>
      </c>
      <c r="C4813" t="str">
        <f>INDEX(nse!D:D,MATCH(B4813,nse!B:B,0))</f>
        <v>EQ</v>
      </c>
      <c r="D4813" t="str">
        <f>INDEX(nse!C:C,MATCH(B4813,nse!B:B,0))</f>
        <v>Havells India Limited</v>
      </c>
    </row>
    <row r="4814" spans="2:4" hidden="1" x14ac:dyDescent="0.3">
      <c r="B4814" t="s">
        <v>516</v>
      </c>
      <c r="C4814" t="str">
        <f>INDEX(nse!D:D,MATCH(B4814,nse!B:B,0))</f>
        <v>EQ</v>
      </c>
      <c r="D4814" t="str">
        <f>INDEX(nse!C:C,MATCH(B4814,nse!B:B,0))</f>
        <v>HBL Power Systems Limited</v>
      </c>
    </row>
    <row r="4815" spans="2:4" hidden="1" x14ac:dyDescent="0.3">
      <c r="B4815" t="s">
        <v>517</v>
      </c>
      <c r="C4815" t="str">
        <f>INDEX(nse!D:D,MATCH(B4815,nse!B:B,0))</f>
        <v>EQ</v>
      </c>
      <c r="D4815" t="str">
        <f>INDEX(nse!C:C,MATCH(B4815,nse!B:B,0))</f>
        <v>HB Stockholdings Limited</v>
      </c>
    </row>
    <row r="4816" spans="2:4" hidden="1" x14ac:dyDescent="0.3">
      <c r="B4816" t="s">
        <v>518</v>
      </c>
      <c r="C4816" t="str">
        <f>INDEX(nse!D:D,MATCH(B4816,nse!B:B,0))</f>
        <v>EQ</v>
      </c>
      <c r="D4816" t="str">
        <f>INDEX(nse!C:C,MATCH(B4816,nse!B:B,0))</f>
        <v>Hindustan Construction Company Limited</v>
      </c>
    </row>
    <row r="4817" spans="2:4" hidden="1" x14ac:dyDescent="0.3">
      <c r="B4817" t="s">
        <v>3368</v>
      </c>
      <c r="C4817" t="str">
        <f>INDEX(nse!D:D,MATCH(B4817,nse!B:B,0))</f>
        <v>EQ</v>
      </c>
      <c r="D4817" t="str">
        <f>INDEX(nse!C:C,MATCH(B4817,nse!B:B,0))</f>
        <v>Healthcare Global Enterprises Limited</v>
      </c>
    </row>
    <row r="4818" spans="2:4" hidden="1" x14ac:dyDescent="0.3">
      <c r="B4818" t="s">
        <v>519</v>
      </c>
      <c r="C4818" t="str">
        <f>INDEX(nse!D:D,MATCH(B4818,nse!B:B,0))</f>
        <v>EQ</v>
      </c>
      <c r="D4818" t="str">
        <f>INDEX(nse!C:C,MATCH(B4818,nse!B:B,0))</f>
        <v>HCL Infosystems Limited</v>
      </c>
    </row>
    <row r="4819" spans="2:4" hidden="1" x14ac:dyDescent="0.3">
      <c r="B4819" t="s">
        <v>520</v>
      </c>
      <c r="C4819" t="str">
        <f>INDEX(nse!D:D,MATCH(B4819,nse!B:B,0))</f>
        <v>EQ</v>
      </c>
      <c r="D4819" t="str">
        <f>INDEX(nse!C:C,MATCH(B4819,nse!B:B,0))</f>
        <v>HCL Technologies Limited</v>
      </c>
    </row>
    <row r="4820" spans="2:4" hidden="1" x14ac:dyDescent="0.3">
      <c r="B4820" t="s">
        <v>521</v>
      </c>
      <c r="C4820" t="str">
        <f>INDEX(nse!D:D,MATCH(B4820,nse!B:B,0))</f>
        <v>EQ</v>
      </c>
      <c r="D4820" t="str">
        <f>INDEX(nse!C:C,MATCH(B4820,nse!B:B,0))</f>
        <v>Housing Development Finance Corporation Limited</v>
      </c>
    </row>
    <row r="4821" spans="2:4" hidden="1" x14ac:dyDescent="0.3">
      <c r="B4821" t="s">
        <v>522</v>
      </c>
      <c r="C4821" t="str">
        <f>INDEX(nse!D:D,MATCH(B4821,nse!B:B,0))</f>
        <v>EQ</v>
      </c>
      <c r="D4821" t="str">
        <f>INDEX(nse!C:C,MATCH(B4821,nse!B:B,0))</f>
        <v>HDFC Bank Limited</v>
      </c>
    </row>
    <row r="4822" spans="2:4" hidden="1" x14ac:dyDescent="0.3">
      <c r="B4822" t="s">
        <v>522</v>
      </c>
      <c r="C4822" t="str">
        <f>INDEX(nse!D:D,MATCH(B4822,nse!B:B,0))</f>
        <v>EQ</v>
      </c>
      <c r="D4822" t="str">
        <f>INDEX(nse!C:C,MATCH(B4822,nse!B:B,0))</f>
        <v>HDFC Bank Limited</v>
      </c>
    </row>
    <row r="4823" spans="2:4" hidden="1" x14ac:dyDescent="0.3">
      <c r="B4823" t="s">
        <v>17</v>
      </c>
      <c r="C4823" t="str">
        <f>INDEX(nse!D:D,MATCH(B4823,nse!B:B,0))</f>
        <v>EQ</v>
      </c>
      <c r="D4823" t="str">
        <f>INDEX(nse!C:C,MATCH(B4823,nse!B:B,0))</f>
        <v>Housing Development and Infrastructure Limited</v>
      </c>
    </row>
    <row r="4824" spans="2:4" hidden="1" x14ac:dyDescent="0.3">
      <c r="B4824" t="s">
        <v>523</v>
      </c>
      <c r="C4824" t="str">
        <f>INDEX(nse!D:D,MATCH(B4824,nse!B:B,0))</f>
        <v>EQ</v>
      </c>
      <c r="D4824" t="str">
        <f>INDEX(nse!C:C,MATCH(B4824,nse!B:B,0))</f>
        <v>HEG Limited</v>
      </c>
    </row>
    <row r="4825" spans="2:4" hidden="1" x14ac:dyDescent="0.3">
      <c r="B4825" t="s">
        <v>524</v>
      </c>
      <c r="C4825" t="str">
        <f>INDEX(nse!D:D,MATCH(B4825,nse!B:B,0))</f>
        <v>EQ</v>
      </c>
      <c r="D4825" t="str">
        <f>INDEX(nse!C:C,MATCH(B4825,nse!B:B,0))</f>
        <v>HeidelbergCement India Limited</v>
      </c>
    </row>
    <row r="4826" spans="2:4" hidden="1" x14ac:dyDescent="0.3">
      <c r="B4826" t="s">
        <v>525</v>
      </c>
      <c r="C4826" t="str">
        <f>INDEX(nse!D:D,MATCH(B4826,nse!B:B,0))</f>
        <v>EQ</v>
      </c>
      <c r="D4826" t="str">
        <f>INDEX(nse!C:C,MATCH(B4826,nse!B:B,0))</f>
        <v>Hercules Hoists Limited</v>
      </c>
    </row>
    <row r="4827" spans="2:4" hidden="1" x14ac:dyDescent="0.3">
      <c r="B4827" t="s">
        <v>526</v>
      </c>
      <c r="C4827" t="str">
        <f>INDEX(nse!D:D,MATCH(B4827,nse!B:B,0))</f>
        <v>EQ</v>
      </c>
      <c r="D4827" t="str">
        <f>INDEX(nse!C:C,MATCH(B4827,nse!B:B,0))</f>
        <v>Heritage Foods Limited</v>
      </c>
    </row>
    <row r="4828" spans="2:4" hidden="1" x14ac:dyDescent="0.3">
      <c r="B4828" t="s">
        <v>527</v>
      </c>
      <c r="C4828" t="str">
        <f>INDEX(nse!D:D,MATCH(B4828,nse!B:B,0))</f>
        <v>EQ</v>
      </c>
      <c r="D4828" t="str">
        <f>INDEX(nse!C:C,MATCH(B4828,nse!B:B,0))</f>
        <v>Hero MotoCorp Limited</v>
      </c>
    </row>
    <row r="4829" spans="2:4" hidden="1" x14ac:dyDescent="0.3">
      <c r="B4829" t="s">
        <v>3382</v>
      </c>
      <c r="C4829" t="str">
        <f>INDEX(nse!D:D,MATCH(B4829,nse!B:B,0))</f>
        <v>EQ</v>
      </c>
      <c r="D4829" t="str">
        <f>INDEX(nse!C:C,MATCH(B4829,nse!B:B,0))</f>
        <v>Hester Biosciences Limited</v>
      </c>
    </row>
    <row r="4830" spans="2:4" hidden="1" x14ac:dyDescent="0.3">
      <c r="B4830" t="s">
        <v>528</v>
      </c>
      <c r="C4830" t="str">
        <f>INDEX(nse!D:D,MATCH(B4830,nse!B:B,0))</f>
        <v>EQ</v>
      </c>
      <c r="D4830" t="str">
        <f>INDEX(nse!C:C,MATCH(B4830,nse!B:B,0))</f>
        <v>Hexa Tradex Limited</v>
      </c>
    </row>
    <row r="4831" spans="2:4" hidden="1" x14ac:dyDescent="0.3">
      <c r="B4831" t="s">
        <v>529</v>
      </c>
      <c r="C4831" t="str">
        <f>INDEX(nse!D:D,MATCH(B4831,nse!B:B,0))</f>
        <v>EQ</v>
      </c>
      <c r="D4831" t="str">
        <f>INDEX(nse!C:C,MATCH(B4831,nse!B:B,0))</f>
        <v>Hexaware Technologies Limited</v>
      </c>
    </row>
    <row r="4832" spans="2:4" hidden="1" x14ac:dyDescent="0.3">
      <c r="B4832" t="s">
        <v>530</v>
      </c>
      <c r="C4832" t="str">
        <f>INDEX(nse!D:D,MATCH(B4832,nse!B:B,0))</f>
        <v>EQ</v>
      </c>
      <c r="D4832" t="str">
        <f>INDEX(nse!C:C,MATCH(B4832,nse!B:B,0))</f>
        <v>Himachal Futuristic Communications Limited</v>
      </c>
    </row>
    <row r="4833" spans="2:4" hidden="1" x14ac:dyDescent="0.3">
      <c r="B4833" t="s">
        <v>531</v>
      </c>
      <c r="C4833" t="str">
        <f>INDEX(nse!D:D,MATCH(B4833,nse!B:B,0))</f>
        <v>EQ</v>
      </c>
      <c r="D4833" t="str">
        <f>INDEX(nse!C:C,MATCH(B4833,nse!B:B,0))</f>
        <v>Hinduja Global Solutions Limited</v>
      </c>
    </row>
    <row r="4834" spans="2:4" hidden="1" x14ac:dyDescent="0.3">
      <c r="B4834" t="s">
        <v>3389</v>
      </c>
      <c r="C4834" t="str">
        <f>INDEX(nse!D:D,MATCH(B4834,nse!B:B,0))</f>
        <v>EQ</v>
      </c>
      <c r="D4834" t="str">
        <f>INDEX(nse!C:C,MATCH(B4834,nse!B:B,0))</f>
        <v>High Ground Enterprise Limited</v>
      </c>
    </row>
    <row r="4835" spans="2:4" hidden="1" x14ac:dyDescent="0.3">
      <c r="B4835" t="s">
        <v>532</v>
      </c>
      <c r="C4835" t="str">
        <f>INDEX(nse!D:D,MATCH(B4835,nse!B:B,0))</f>
        <v>EQ</v>
      </c>
      <c r="D4835" t="str">
        <f>INDEX(nse!C:C,MATCH(B4835,nse!B:B,0))</f>
        <v>Hikal Limited</v>
      </c>
    </row>
    <row r="4836" spans="2:4" hidden="1" x14ac:dyDescent="0.3">
      <c r="B4836" t="s">
        <v>533</v>
      </c>
      <c r="C4836" t="str">
        <f>INDEX(nse!D:D,MATCH(B4836,nse!B:B,0))</f>
        <v>EQ</v>
      </c>
      <c r="D4836" t="str">
        <f>INDEX(nse!C:C,MATCH(B4836,nse!B:B,0))</f>
        <v>HIL Limited</v>
      </c>
    </row>
    <row r="4837" spans="2:4" hidden="1" x14ac:dyDescent="0.3">
      <c r="B4837" t="s">
        <v>534</v>
      </c>
      <c r="C4837" t="str">
        <f>INDEX(nse!D:D,MATCH(B4837,nse!B:B,0))</f>
        <v>EQ</v>
      </c>
      <c r="D4837" t="str">
        <f>INDEX(nse!C:C,MATCH(B4837,nse!B:B,0))</f>
        <v>Hilton Metal Forging Limited</v>
      </c>
    </row>
    <row r="4838" spans="2:4" hidden="1" x14ac:dyDescent="0.3">
      <c r="B4838" t="s">
        <v>535</v>
      </c>
      <c r="C4838" t="str">
        <f>INDEX(nse!D:D,MATCH(B4838,nse!B:B,0))</f>
        <v>EQ</v>
      </c>
      <c r="D4838" t="str">
        <f>INDEX(nse!C:C,MATCH(B4838,nse!B:B,0))</f>
        <v>Himatsingka Seide Limited</v>
      </c>
    </row>
    <row r="4839" spans="2:4" hidden="1" x14ac:dyDescent="0.3">
      <c r="B4839" t="s">
        <v>536</v>
      </c>
      <c r="C4839" t="str">
        <f>INDEX(nse!D:D,MATCH(B4839,nse!B:B,0))</f>
        <v>EQ</v>
      </c>
      <c r="D4839" t="str">
        <f>INDEX(nse!C:C,MATCH(B4839,nse!B:B,0))</f>
        <v>Hindalco Industries Limited</v>
      </c>
    </row>
    <row r="4840" spans="2:4" hidden="1" x14ac:dyDescent="0.3">
      <c r="B4840" t="s">
        <v>537</v>
      </c>
      <c r="C4840" t="str">
        <f>INDEX(nse!D:D,MATCH(B4840,nse!B:B,0))</f>
        <v>EQ</v>
      </c>
      <c r="D4840" t="str">
        <f>INDEX(nse!C:C,MATCH(B4840,nse!B:B,0))</f>
        <v>Hindustan Composites Limited</v>
      </c>
    </row>
    <row r="4841" spans="2:4" hidden="1" x14ac:dyDescent="0.3">
      <c r="B4841" t="s">
        <v>538</v>
      </c>
      <c r="C4841" t="str">
        <f>INDEX(nse!D:D,MATCH(B4841,nse!B:B,0))</f>
        <v>EQ</v>
      </c>
      <c r="D4841" t="str">
        <f>INDEX(nse!C:C,MATCH(B4841,nse!B:B,0))</f>
        <v>Hindustan Copper Limited</v>
      </c>
    </row>
    <row r="4842" spans="2:4" hidden="1" x14ac:dyDescent="0.3">
      <c r="B4842" t="s">
        <v>539</v>
      </c>
      <c r="C4842" t="str">
        <f>INDEX(nse!D:D,MATCH(B4842,nse!B:B,0))</f>
        <v>BE</v>
      </c>
      <c r="D4842" t="str">
        <f>INDEX(nse!C:C,MATCH(B4842,nse!B:B,0))</f>
        <v>Hindustan Dorr-Oliver Limited</v>
      </c>
    </row>
    <row r="4843" spans="2:4" hidden="1" x14ac:dyDescent="0.3">
      <c r="B4843" t="s">
        <v>540</v>
      </c>
      <c r="C4843" t="str">
        <f>INDEX(nse!D:D,MATCH(B4843,nse!B:B,0))</f>
        <v>EQ</v>
      </c>
      <c r="D4843" t="str">
        <f>INDEX(nse!C:C,MATCH(B4843,nse!B:B,0))</f>
        <v>Hindustan Motors Limited</v>
      </c>
    </row>
    <row r="4844" spans="2:4" hidden="1" x14ac:dyDescent="0.3">
      <c r="B4844" t="s">
        <v>541</v>
      </c>
      <c r="C4844" t="str">
        <f>INDEX(nse!D:D,MATCH(B4844,nse!B:B,0))</f>
        <v>EQ</v>
      </c>
      <c r="D4844" t="str">
        <f>INDEX(nse!C:C,MATCH(B4844,nse!B:B,0))</f>
        <v>Hindusthan National Glass &amp; Industries Limited</v>
      </c>
    </row>
    <row r="4845" spans="2:4" hidden="1" x14ac:dyDescent="0.3">
      <c r="B4845" t="s">
        <v>542</v>
      </c>
      <c r="C4845" t="str">
        <f>INDEX(nse!D:D,MATCH(B4845,nse!B:B,0))</f>
        <v>EQ</v>
      </c>
      <c r="D4845" t="str">
        <f>INDEX(nse!C:C,MATCH(B4845,nse!B:B,0))</f>
        <v>Hindustan Oil Exploration Company Limited</v>
      </c>
    </row>
    <row r="4846" spans="2:4" hidden="1" x14ac:dyDescent="0.3">
      <c r="B4846" t="s">
        <v>60</v>
      </c>
      <c r="C4846" t="str">
        <f>INDEX(nse!D:D,MATCH(B4846,nse!B:B,0))</f>
        <v>EQ</v>
      </c>
      <c r="D4846" t="str">
        <f>INDEX(nse!C:C,MATCH(B4846,nse!B:B,0))</f>
        <v>Hindustan Petroleum Corporation Limited</v>
      </c>
    </row>
    <row r="4847" spans="2:4" hidden="1" x14ac:dyDescent="0.3">
      <c r="B4847" t="s">
        <v>543</v>
      </c>
      <c r="C4847" t="str">
        <f>INDEX(nse!D:D,MATCH(B4847,nse!B:B,0))</f>
        <v>BE</v>
      </c>
      <c r="D4847" t="str">
        <f>INDEX(nse!C:C,MATCH(B4847,nse!B:B,0))</f>
        <v>Hind Syntex Limited</v>
      </c>
    </row>
    <row r="4848" spans="2:4" hidden="1" x14ac:dyDescent="0.3">
      <c r="B4848" t="s">
        <v>544</v>
      </c>
      <c r="C4848" t="str">
        <f>INDEX(nse!D:D,MATCH(B4848,nse!B:B,0))</f>
        <v>EQ</v>
      </c>
      <c r="D4848" t="str">
        <f>INDEX(nse!C:C,MATCH(B4848,nse!B:B,0))</f>
        <v>Hinduja Foundries Limited</v>
      </c>
    </row>
    <row r="4849" spans="2:4" hidden="1" x14ac:dyDescent="0.3">
      <c r="B4849" t="s">
        <v>545</v>
      </c>
      <c r="C4849" t="str">
        <f>INDEX(nse!D:D,MATCH(B4849,nse!B:B,0))</f>
        <v>EQ</v>
      </c>
      <c r="D4849" t="str">
        <f>INDEX(nse!C:C,MATCH(B4849,nse!B:B,0))</f>
        <v>Hinduja Ventures Limited</v>
      </c>
    </row>
    <row r="4850" spans="2:4" hidden="1" x14ac:dyDescent="0.3">
      <c r="B4850" t="s">
        <v>546</v>
      </c>
      <c r="C4850" t="str">
        <f>INDEX(nse!D:D,MATCH(B4850,nse!B:B,0))</f>
        <v>EQ</v>
      </c>
      <c r="D4850" t="str">
        <f>INDEX(nse!C:C,MATCH(B4850,nse!B:B,0))</f>
        <v>Hindustan Unilever Limited</v>
      </c>
    </row>
    <row r="4851" spans="2:4" hidden="1" x14ac:dyDescent="0.3">
      <c r="B4851" t="s">
        <v>61</v>
      </c>
      <c r="C4851" t="str">
        <f>INDEX(nse!D:D,MATCH(B4851,nse!B:B,0))</f>
        <v>EQ</v>
      </c>
      <c r="D4851" t="str">
        <f>INDEX(nse!C:C,MATCH(B4851,nse!B:B,0))</f>
        <v>Hindustan Zinc Limited</v>
      </c>
    </row>
    <row r="4852" spans="2:4" hidden="1" x14ac:dyDescent="0.3">
      <c r="B4852" t="s">
        <v>547</v>
      </c>
      <c r="C4852" t="str">
        <f>INDEX(nse!D:D,MATCH(B4852,nse!B:B,0))</f>
        <v>EQ</v>
      </c>
      <c r="D4852" t="str">
        <f>INDEX(nse!C:C,MATCH(B4852,nse!B:B,0))</f>
        <v>Hind Rectifiers Limited</v>
      </c>
    </row>
    <row r="4853" spans="2:4" hidden="1" x14ac:dyDescent="0.3">
      <c r="B4853" t="s">
        <v>3410</v>
      </c>
      <c r="C4853" t="str">
        <f>INDEX(nse!D:D,MATCH(B4853,nse!B:B,0))</f>
        <v>EQ</v>
      </c>
      <c r="D4853" t="str">
        <f>INDEX(nse!C:C,MATCH(B4853,nse!B:B,0))</f>
        <v>Hisar Metal Industries Limited</v>
      </c>
    </row>
    <row r="4854" spans="2:4" hidden="1" x14ac:dyDescent="0.3">
      <c r="B4854" t="s">
        <v>3413</v>
      </c>
      <c r="C4854" t="str">
        <f>INDEX(nse!D:D,MATCH(B4854,nse!B:B,0))</f>
        <v>EQ</v>
      </c>
      <c r="D4854" t="str">
        <f>INDEX(nse!C:C,MATCH(B4854,nse!B:B,0))</f>
        <v>Hitech Corporation Limited</v>
      </c>
    </row>
    <row r="4855" spans="2:4" hidden="1" x14ac:dyDescent="0.3">
      <c r="B4855" t="s">
        <v>548</v>
      </c>
      <c r="C4855" t="str">
        <f>INDEX(nse!D:D,MATCH(B4855,nse!B:B,0))</f>
        <v>EQ</v>
      </c>
      <c r="D4855" t="str">
        <f>INDEX(nse!C:C,MATCH(B4855,nse!B:B,0))</f>
        <v>The Hi-Tech Gears Limited</v>
      </c>
    </row>
    <row r="4856" spans="2:4" hidden="1" x14ac:dyDescent="0.3">
      <c r="B4856" t="s">
        <v>549</v>
      </c>
      <c r="C4856" t="str">
        <f>INDEX(nse!D:D,MATCH(B4856,nse!B:B,0))</f>
        <v>BZ</v>
      </c>
      <c r="D4856" t="str">
        <f>INDEX(nse!C:C,MATCH(B4856,nse!B:B,0))</f>
        <v>HMT Limited</v>
      </c>
    </row>
    <row r="4857" spans="2:4" hidden="1" x14ac:dyDescent="0.3">
      <c r="B4857" t="s">
        <v>550</v>
      </c>
      <c r="C4857" t="str">
        <f>INDEX(nse!D:D,MATCH(B4857,nse!B:B,0))</f>
        <v>EQ</v>
      </c>
      <c r="D4857" t="str">
        <f>INDEX(nse!C:C,MATCH(B4857,nse!B:B,0))</f>
        <v>Hindustan Media Ventures Limited</v>
      </c>
    </row>
    <row r="4858" spans="2:4" hidden="1" x14ac:dyDescent="0.3">
      <c r="B4858" t="s">
        <v>551</v>
      </c>
      <c r="C4858" t="str">
        <f>INDEX(nse!D:D,MATCH(B4858,nse!B:B,0))</f>
        <v>BE</v>
      </c>
      <c r="D4858" t="str">
        <f>INDEX(nse!C:C,MATCH(B4858,nse!B:B,0))</f>
        <v>Hindustan Organic Chemicals Limited</v>
      </c>
    </row>
    <row r="4859" spans="2:4" hidden="1" x14ac:dyDescent="0.3">
      <c r="B4859" t="s">
        <v>552</v>
      </c>
      <c r="C4859" t="str">
        <f>INDEX(nse!D:D,MATCH(B4859,nse!B:B,0))</f>
        <v>EQ</v>
      </c>
      <c r="D4859" t="str">
        <f>INDEX(nse!C:C,MATCH(B4859,nse!B:B,0))</f>
        <v>Honeywell Automation India Limited</v>
      </c>
    </row>
    <row r="4860" spans="2:4" hidden="1" x14ac:dyDescent="0.3">
      <c r="B4860" t="s">
        <v>553</v>
      </c>
      <c r="C4860" t="str">
        <f>INDEX(nse!D:D,MATCH(B4860,nse!B:B,0))</f>
        <v>EQ</v>
      </c>
      <c r="D4860" t="str">
        <f>INDEX(nse!C:C,MATCH(B4860,nse!B:B,0))</f>
        <v>Honda Siel Power Products Limited</v>
      </c>
    </row>
    <row r="4861" spans="2:4" hidden="1" x14ac:dyDescent="0.3">
      <c r="B4861" t="s">
        <v>554</v>
      </c>
      <c r="C4861" t="str">
        <f>INDEX(nse!D:D,MATCH(B4861,nse!B:B,0))</f>
        <v>EQ</v>
      </c>
      <c r="D4861" t="str">
        <f>INDEX(nse!C:C,MATCH(B4861,nse!B:B,0))</f>
        <v>Hotel Leela Venture Limited</v>
      </c>
    </row>
    <row r="4862" spans="2:4" hidden="1" x14ac:dyDescent="0.3">
      <c r="B4862" t="s">
        <v>1308</v>
      </c>
      <c r="C4862" t="str">
        <f>INDEX(nse!D:D,MATCH(B4862,nse!B:B,0))</f>
        <v>BE</v>
      </c>
      <c r="D4862" t="str">
        <f>INDEX(nse!C:C,MATCH(B4862,nse!B:B,0))</f>
        <v>Hotel Rugby Limited</v>
      </c>
    </row>
    <row r="4863" spans="2:4" hidden="1" x14ac:dyDescent="0.3">
      <c r="B4863" t="s">
        <v>555</v>
      </c>
      <c r="C4863" t="str">
        <f>INDEX(nse!D:D,MATCH(B4863,nse!B:B,0))</f>
        <v>EQ</v>
      </c>
      <c r="D4863" t="str">
        <f>INDEX(nse!C:C,MATCH(B4863,nse!B:B,0))</f>
        <v>HOV Services Limited</v>
      </c>
    </row>
    <row r="4864" spans="2:4" hidden="1" x14ac:dyDescent="0.3">
      <c r="B4864" t="s">
        <v>3426</v>
      </c>
      <c r="C4864" t="str">
        <f>INDEX(nse!D:D,MATCH(B4864,nse!B:B,0))</f>
        <v>EQ</v>
      </c>
      <c r="D4864" t="str">
        <f>INDEX(nse!C:C,MATCH(B4864,nse!B:B,0))</f>
        <v>HPL Electric &amp; Power Limited</v>
      </c>
    </row>
    <row r="4865" spans="2:4" hidden="1" x14ac:dyDescent="0.3">
      <c r="B4865" t="s">
        <v>3429</v>
      </c>
      <c r="C4865" t="str">
        <f>INDEX(nse!D:D,MATCH(B4865,nse!B:B,0))</f>
        <v>EQ</v>
      </c>
      <c r="D4865" t="str">
        <f>INDEX(nse!C:C,MATCH(B4865,nse!B:B,0))</f>
        <v>Himadri Speciality Chemical Limited</v>
      </c>
    </row>
    <row r="4866" spans="2:4" hidden="1" x14ac:dyDescent="0.3">
      <c r="B4866" t="s">
        <v>556</v>
      </c>
      <c r="C4866" t="str">
        <f>INDEX(nse!D:D,MATCH(B4866,nse!B:B,0))</f>
        <v>EQ</v>
      </c>
      <c r="D4866" t="str">
        <f>INDEX(nse!C:C,MATCH(B4866,nse!B:B,0))</f>
        <v>HSIL Limited</v>
      </c>
    </row>
    <row r="4867" spans="2:4" hidden="1" x14ac:dyDescent="0.3">
      <c r="B4867" t="s">
        <v>557</v>
      </c>
      <c r="C4867" t="str">
        <f>INDEX(nse!D:D,MATCH(B4867,nse!B:B,0))</f>
        <v>EQ</v>
      </c>
      <c r="D4867" t="str">
        <f>INDEX(nse!C:C,MATCH(B4867,nse!B:B,0))</f>
        <v>HT Media Limited</v>
      </c>
    </row>
    <row r="4868" spans="2:4" hidden="1" x14ac:dyDescent="0.3">
      <c r="B4868" t="s">
        <v>558</v>
      </c>
      <c r="C4868" t="str">
        <f>INDEX(nse!D:D,MATCH(B4868,nse!B:B,0))</f>
        <v>EQ</v>
      </c>
      <c r="D4868" t="str">
        <f>INDEX(nse!C:C,MATCH(B4868,nse!B:B,0))</f>
        <v>Hubtown Limited</v>
      </c>
    </row>
    <row r="4869" spans="2:4" hidden="1" x14ac:dyDescent="0.3">
      <c r="B4869" t="s">
        <v>1309</v>
      </c>
      <c r="C4869" t="str">
        <f>INDEX(nse!D:D,MATCH(B4869,nse!B:B,0))</f>
        <v>EQ</v>
      </c>
      <c r="D4869" t="str">
        <f>INDEX(nse!C:C,MATCH(B4869,nse!B:B,0))</f>
        <v>Housing &amp; Urban Development Corporation Limited</v>
      </c>
    </row>
    <row r="4870" spans="2:4" hidden="1" x14ac:dyDescent="0.3">
      <c r="B4870" t="s">
        <v>559</v>
      </c>
      <c r="C4870" t="str">
        <f>INDEX(nse!D:D,MATCH(B4870,nse!B:B,0))</f>
        <v>EQ</v>
      </c>
      <c r="D4870" t="str">
        <f>INDEX(nse!C:C,MATCH(B4870,nse!B:B,0))</f>
        <v>Indiabulls Real Estate Limited</v>
      </c>
    </row>
    <row r="4871" spans="2:4" hidden="1" x14ac:dyDescent="0.3">
      <c r="B4871" t="s">
        <v>62</v>
      </c>
      <c r="C4871" t="str">
        <f>INDEX(nse!D:D,MATCH(B4871,nse!B:B,0))</f>
        <v>EQ</v>
      </c>
      <c r="D4871" t="str">
        <f>INDEX(nse!C:C,MATCH(B4871,nse!B:B,0))</f>
        <v>Indiabulls Housing Finance Limited</v>
      </c>
    </row>
    <row r="4872" spans="2:4" hidden="1" x14ac:dyDescent="0.3">
      <c r="B4872" t="s">
        <v>3438</v>
      </c>
      <c r="C4872" t="str">
        <f>INDEX(nse!D:D,MATCH(B4872,nse!B:B,0))</f>
        <v>EQ</v>
      </c>
      <c r="D4872" t="str">
        <f>INDEX(nse!C:C,MATCH(B4872,nse!B:B,0))</f>
        <v>Indiabulls Ventures Limited</v>
      </c>
    </row>
    <row r="4873" spans="2:4" hidden="1" x14ac:dyDescent="0.3">
      <c r="B4873" t="s">
        <v>112</v>
      </c>
      <c r="C4873" t="str">
        <f>INDEX(nse!D:D,MATCH(B4873,nse!B:B,0))</f>
        <v>EQ</v>
      </c>
      <c r="D4873" t="str">
        <f>INDEX(nse!C:C,MATCH(B4873,nse!B:B,0))</f>
        <v>ICICI Bank Limited</v>
      </c>
    </row>
    <row r="4874" spans="2:4" hidden="1" x14ac:dyDescent="0.3">
      <c r="B4874" t="s">
        <v>3442</v>
      </c>
      <c r="C4874" t="str">
        <f>INDEX(nse!D:D,MATCH(B4874,nse!B:B,0))</f>
        <v>EQ</v>
      </c>
      <c r="D4874" t="str">
        <f>INDEX(nse!C:C,MATCH(B4874,nse!B:B,0))</f>
        <v>ICICI Prudential Life Insurance Company Limited</v>
      </c>
    </row>
    <row r="4875" spans="2:4" hidden="1" x14ac:dyDescent="0.3">
      <c r="B4875" t="s">
        <v>560</v>
      </c>
      <c r="C4875" t="str">
        <f>INDEX(nse!D:D,MATCH(B4875,nse!B:B,0))</f>
        <v>EQ</v>
      </c>
      <c r="D4875" t="str">
        <f>INDEX(nse!C:C,MATCH(B4875,nse!B:B,0))</f>
        <v>Indo Count Industries Limited</v>
      </c>
    </row>
    <row r="4876" spans="2:4" hidden="1" x14ac:dyDescent="0.3">
      <c r="B4876" t="s">
        <v>561</v>
      </c>
      <c r="C4876" t="str">
        <f>INDEX(nse!D:D,MATCH(B4876,nse!B:B,0))</f>
        <v>EQ</v>
      </c>
      <c r="D4876" t="str">
        <f>INDEX(nse!C:C,MATCH(B4876,nse!B:B,0))</f>
        <v>ICRA Limited</v>
      </c>
    </row>
    <row r="4877" spans="2:4" hidden="1" x14ac:dyDescent="0.3">
      <c r="B4877" t="s">
        <v>562</v>
      </c>
      <c r="C4877" t="str">
        <f>INDEX(nse!D:D,MATCH(B4877,nse!B:B,0))</f>
        <v>EQ</v>
      </c>
      <c r="D4877" t="str">
        <f>INDEX(nse!C:C,MATCH(B4877,nse!B:B,0))</f>
        <v>ICSA (India) Limited</v>
      </c>
    </row>
    <row r="4878" spans="2:4" hidden="1" x14ac:dyDescent="0.3">
      <c r="B4878" t="s">
        <v>18</v>
      </c>
      <c r="C4878" t="str">
        <f>INDEX(nse!D:D,MATCH(B4878,nse!B:B,0))</f>
        <v>EQ</v>
      </c>
      <c r="D4878" t="str">
        <f>INDEX(nse!C:C,MATCH(B4878,nse!B:B,0))</f>
        <v>IDBI Bank Limited</v>
      </c>
    </row>
    <row r="4879" spans="2:4" hidden="1" x14ac:dyDescent="0.3">
      <c r="B4879" t="s">
        <v>563</v>
      </c>
      <c r="C4879" t="str">
        <f>INDEX(nse!D:D,MATCH(B4879,nse!B:B,0))</f>
        <v>EQ</v>
      </c>
      <c r="D4879" t="str">
        <f>INDEX(nse!C:C,MATCH(B4879,nse!B:B,0))</f>
        <v>Idea Cellular Limited</v>
      </c>
    </row>
    <row r="4880" spans="2:4" hidden="1" x14ac:dyDescent="0.3">
      <c r="B4880" t="s">
        <v>564</v>
      </c>
      <c r="C4880" t="str">
        <f>INDEX(nse!D:D,MATCH(B4880,nse!B:B,0))</f>
        <v>EQ</v>
      </c>
      <c r="D4880" t="str">
        <f>INDEX(nse!C:C,MATCH(B4880,nse!B:B,0))</f>
        <v>IDFC Limited</v>
      </c>
    </row>
    <row r="4881" spans="2:4" hidden="1" x14ac:dyDescent="0.3">
      <c r="B4881" t="s">
        <v>564</v>
      </c>
      <c r="C4881" t="str">
        <f>INDEX(nse!D:D,MATCH(B4881,nse!B:B,0))</f>
        <v>EQ</v>
      </c>
      <c r="D4881" t="str">
        <f>INDEX(nse!C:C,MATCH(B4881,nse!B:B,0))</f>
        <v>IDFC Limited</v>
      </c>
    </row>
    <row r="4882" spans="2:4" hidden="1" x14ac:dyDescent="0.3">
      <c r="B4882" t="s">
        <v>3451</v>
      </c>
      <c r="C4882" t="str">
        <f>INDEX(nse!D:D,MATCH(B4882,nse!B:B,0))</f>
        <v>EQ</v>
      </c>
      <c r="D4882" t="str">
        <f>INDEX(nse!C:C,MATCH(B4882,nse!B:B,0))</f>
        <v>IDFC Bank Limited</v>
      </c>
    </row>
    <row r="4883" spans="2:4" hidden="1" x14ac:dyDescent="0.3">
      <c r="B4883" t="s">
        <v>565</v>
      </c>
      <c r="C4883" t="str">
        <f>INDEX(nse!D:D,MATCH(B4883,nse!B:B,0))</f>
        <v>EQ</v>
      </c>
      <c r="D4883" t="str">
        <f>INDEX(nse!C:C,MATCH(B4883,nse!B:B,0))</f>
        <v>IFB Agro Industries Limited</v>
      </c>
    </row>
    <row r="4884" spans="2:4" hidden="1" x14ac:dyDescent="0.3">
      <c r="B4884" t="s">
        <v>566</v>
      </c>
      <c r="C4884" t="str">
        <f>INDEX(nse!D:D,MATCH(B4884,nse!B:B,0))</f>
        <v>EQ</v>
      </c>
      <c r="D4884" t="str">
        <f>INDEX(nse!C:C,MATCH(B4884,nse!B:B,0))</f>
        <v>IFB Industries Limited</v>
      </c>
    </row>
    <row r="4885" spans="2:4" hidden="1" x14ac:dyDescent="0.3">
      <c r="B4885" t="s">
        <v>19</v>
      </c>
      <c r="C4885" t="str">
        <f>INDEX(nse!D:D,MATCH(B4885,nse!B:B,0))</f>
        <v>EQ</v>
      </c>
      <c r="D4885" t="str">
        <f>INDEX(nse!C:C,MATCH(B4885,nse!B:B,0))</f>
        <v>IFCI Limited</v>
      </c>
    </row>
    <row r="4886" spans="2:4" hidden="1" x14ac:dyDescent="0.3">
      <c r="B4886" t="s">
        <v>567</v>
      </c>
      <c r="C4886" t="str">
        <f>INDEX(nse!D:D,MATCH(B4886,nse!B:B,0))</f>
        <v>EQ</v>
      </c>
      <c r="D4886" t="str">
        <f>INDEX(nse!C:C,MATCH(B4886,nse!B:B,0))</f>
        <v>IFGL Refractories Limited</v>
      </c>
    </row>
    <row r="4887" spans="2:4" hidden="1" x14ac:dyDescent="0.3">
      <c r="B4887" t="s">
        <v>568</v>
      </c>
      <c r="C4887" t="str">
        <f>INDEX(nse!D:D,MATCH(B4887,nse!B:B,0))</f>
        <v>EQ</v>
      </c>
      <c r="D4887" t="str">
        <f>INDEX(nse!C:C,MATCH(B4887,nse!B:B,0))</f>
        <v>Igarashi Motors India Limited</v>
      </c>
    </row>
    <row r="4888" spans="2:4" hidden="1" x14ac:dyDescent="0.3">
      <c r="B4888" t="s">
        <v>20</v>
      </c>
      <c r="C4888" t="str">
        <f>INDEX(nse!D:D,MATCH(B4888,nse!B:B,0))</f>
        <v>EQ</v>
      </c>
      <c r="D4888" t="str">
        <f>INDEX(nse!C:C,MATCH(B4888,nse!B:B,0))</f>
        <v>Indraprastha Gas Limited</v>
      </c>
    </row>
    <row r="4889" spans="2:4" hidden="1" x14ac:dyDescent="0.3">
      <c r="B4889" t="s">
        <v>20</v>
      </c>
      <c r="C4889" t="str">
        <f>INDEX(nse!D:D,MATCH(B4889,nse!B:B,0))</f>
        <v>EQ</v>
      </c>
      <c r="D4889" t="str">
        <f>INDEX(nse!C:C,MATCH(B4889,nse!B:B,0))</f>
        <v>Indraprastha Gas Limited</v>
      </c>
    </row>
    <row r="4890" spans="2:4" hidden="1" x14ac:dyDescent="0.3">
      <c r="B4890" t="s">
        <v>569</v>
      </c>
      <c r="C4890" t="str">
        <f>INDEX(nse!D:D,MATCH(B4890,nse!B:B,0))</f>
        <v>EQ</v>
      </c>
      <c r="D4890" t="str">
        <f>INDEX(nse!C:C,MATCH(B4890,nse!B:B,0))</f>
        <v>IG Petrochemicals Limited</v>
      </c>
    </row>
    <row r="4891" spans="2:4" hidden="1" x14ac:dyDescent="0.3">
      <c r="B4891" t="s">
        <v>570</v>
      </c>
      <c r="C4891" t="str">
        <f>INDEX(nse!D:D,MATCH(B4891,nse!B:B,0))</f>
        <v>EQ</v>
      </c>
      <c r="D4891" t="str">
        <f>INDEX(nse!C:C,MATCH(B4891,nse!B:B,0))</f>
        <v>IIFL Holdings Limited</v>
      </c>
    </row>
    <row r="4892" spans="2:4" hidden="1" x14ac:dyDescent="0.3">
      <c r="B4892" t="s">
        <v>571</v>
      </c>
      <c r="C4892" t="str">
        <f>INDEX(nse!D:D,MATCH(B4892,nse!B:B,0))</f>
        <v>EQ</v>
      </c>
      <c r="D4892" t="str">
        <f>INDEX(nse!C:C,MATCH(B4892,nse!B:B,0))</f>
        <v>Industrial Investment Trust Limited</v>
      </c>
    </row>
    <row r="4893" spans="2:4" hidden="1" x14ac:dyDescent="0.3">
      <c r="B4893" t="s">
        <v>572</v>
      </c>
      <c r="C4893" t="str">
        <f>INDEX(nse!D:D,MATCH(B4893,nse!B:B,0))</f>
        <v>EQ</v>
      </c>
      <c r="D4893" t="str">
        <f>INDEX(nse!C:C,MATCH(B4893,nse!B:B,0))</f>
        <v>IL&amp;FS Engineering and Construction Company Limited</v>
      </c>
    </row>
    <row r="4894" spans="2:4" hidden="1" x14ac:dyDescent="0.3">
      <c r="B4894" t="s">
        <v>573</v>
      </c>
      <c r="C4894" t="str">
        <f>INDEX(nse!D:D,MATCH(B4894,nse!B:B,0))</f>
        <v>EQ</v>
      </c>
      <c r="D4894" t="str">
        <f>INDEX(nse!C:C,MATCH(B4894,nse!B:B,0))</f>
        <v>IL&amp;FS Transportation Networks Limited</v>
      </c>
    </row>
    <row r="4895" spans="2:4" hidden="1" x14ac:dyDescent="0.3">
      <c r="B4895" t="s">
        <v>574</v>
      </c>
      <c r="C4895" t="str">
        <f>INDEX(nse!D:D,MATCH(B4895,nse!B:B,0))</f>
        <v>EQ</v>
      </c>
      <c r="D4895" t="str">
        <f>INDEX(nse!C:C,MATCH(B4895,nse!B:B,0))</f>
        <v>Indian Metals &amp; Ferro Alloys Limited</v>
      </c>
    </row>
    <row r="4896" spans="2:4" hidden="1" x14ac:dyDescent="0.3">
      <c r="B4896" t="s">
        <v>575</v>
      </c>
      <c r="C4896" t="str">
        <f>INDEX(nse!D:D,MATCH(B4896,nse!B:B,0))</f>
        <v>EQ</v>
      </c>
      <c r="D4896" t="str">
        <f>INDEX(nse!C:C,MATCH(B4896,nse!B:B,0))</f>
        <v>India Motor Parts and Accessories Limited</v>
      </c>
    </row>
    <row r="4897" spans="2:4" hidden="1" x14ac:dyDescent="0.3">
      <c r="B4897" t="s">
        <v>576</v>
      </c>
      <c r="C4897" t="str">
        <f>INDEX(nse!D:D,MATCH(B4897,nse!B:B,0))</f>
        <v>EQ</v>
      </c>
      <c r="D4897" t="str">
        <f>INDEX(nse!C:C,MATCH(B4897,nse!B:B,0))</f>
        <v>Impex Ferro Tech Limited</v>
      </c>
    </row>
    <row r="4898" spans="2:4" hidden="1" x14ac:dyDescent="0.3">
      <c r="B4898" t="s">
        <v>577</v>
      </c>
      <c r="C4898" t="str">
        <f>INDEX(nse!D:D,MATCH(B4898,nse!B:B,0))</f>
        <v>EQ</v>
      </c>
      <c r="D4898" t="str">
        <f>INDEX(nse!C:C,MATCH(B4898,nse!B:B,0))</f>
        <v>Indbank Merchant Banking Services Limited</v>
      </c>
    </row>
    <row r="4899" spans="2:4" hidden="1" x14ac:dyDescent="0.3">
      <c r="B4899" t="s">
        <v>63</v>
      </c>
      <c r="C4899" t="str">
        <f>INDEX(nse!D:D,MATCH(B4899,nse!B:B,0))</f>
        <v>EQ</v>
      </c>
      <c r="D4899" t="str">
        <f>INDEX(nse!C:C,MATCH(B4899,nse!B:B,0))</f>
        <v>The Indian Hotels Company Limited</v>
      </c>
    </row>
    <row r="4900" spans="2:4" hidden="1" x14ac:dyDescent="0.3">
      <c r="B4900" t="s">
        <v>578</v>
      </c>
      <c r="C4900" t="str">
        <f>INDEX(nse!D:D,MATCH(B4900,nse!B:B,0))</f>
        <v>EQ</v>
      </c>
      <c r="D4900" t="str">
        <f>INDEX(nse!C:C,MATCH(B4900,nse!B:B,0))</f>
        <v>The India Cements Limited</v>
      </c>
    </row>
    <row r="4901" spans="2:4" hidden="1" x14ac:dyDescent="0.3">
      <c r="B4901" t="s">
        <v>579</v>
      </c>
      <c r="C4901" t="str">
        <f>INDEX(nse!D:D,MATCH(B4901,nse!B:B,0))</f>
        <v>EQ</v>
      </c>
      <c r="D4901" t="str">
        <f>INDEX(nse!C:C,MATCH(B4901,nse!B:B,0))</f>
        <v>India Glycols Limited</v>
      </c>
    </row>
    <row r="4902" spans="2:4" hidden="1" x14ac:dyDescent="0.3">
      <c r="B4902" t="s">
        <v>580</v>
      </c>
      <c r="C4902" t="str">
        <f>INDEX(nse!D:D,MATCH(B4902,nse!B:B,0))</f>
        <v>EQ</v>
      </c>
      <c r="D4902" t="str">
        <f>INDEX(nse!C:C,MATCH(B4902,nse!B:B,0))</f>
        <v>Indian Bank</v>
      </c>
    </row>
    <row r="4903" spans="2:4" hidden="1" x14ac:dyDescent="0.3">
      <c r="B4903" t="s">
        <v>581</v>
      </c>
      <c r="C4903" t="str">
        <f>INDEX(nse!D:D,MATCH(B4903,nse!B:B,0))</f>
        <v>EQ</v>
      </c>
      <c r="D4903" t="str">
        <f>INDEX(nse!C:C,MATCH(B4903,nse!B:B,0))</f>
        <v>Indian Card Clothing Company Limited</v>
      </c>
    </row>
    <row r="4904" spans="2:4" hidden="1" x14ac:dyDescent="0.3">
      <c r="B4904" t="s">
        <v>582</v>
      </c>
      <c r="C4904" t="str">
        <f>INDEX(nse!D:D,MATCH(B4904,nse!B:B,0))</f>
        <v>EQ</v>
      </c>
      <c r="D4904" t="str">
        <f>INDEX(nse!C:C,MATCH(B4904,nse!B:B,0))</f>
        <v>Indian Hume Pipe Company Limited</v>
      </c>
    </row>
    <row r="4905" spans="2:4" hidden="1" x14ac:dyDescent="0.3">
      <c r="B4905" t="s">
        <v>3475</v>
      </c>
      <c r="C4905" t="str">
        <f>INDEX(nse!D:D,MATCH(B4905,nse!B:B,0))</f>
        <v>EQ</v>
      </c>
      <c r="D4905" t="str">
        <f>INDEX(nse!C:C,MATCH(B4905,nse!B:B,0))</f>
        <v>InterGlobe Aviation Limited</v>
      </c>
    </row>
    <row r="4906" spans="2:4" hidden="1" x14ac:dyDescent="0.3">
      <c r="B4906" t="s">
        <v>583</v>
      </c>
      <c r="C4906" t="str">
        <f>INDEX(nse!D:D,MATCH(B4906,nse!B:B,0))</f>
        <v>EQ</v>
      </c>
      <c r="D4906" t="str">
        <f>INDEX(nse!C:C,MATCH(B4906,nse!B:B,0))</f>
        <v>IMP Powers Limited</v>
      </c>
    </row>
    <row r="4907" spans="2:4" hidden="1" x14ac:dyDescent="0.3">
      <c r="B4907" t="s">
        <v>584</v>
      </c>
      <c r="C4907" t="str">
        <f>INDEX(nse!D:D,MATCH(B4907,nse!B:B,0))</f>
        <v>EQ</v>
      </c>
      <c r="D4907" t="str">
        <f>INDEX(nse!C:C,MATCH(B4907,nse!B:B,0))</f>
        <v>India Nippon Electricals Limited</v>
      </c>
    </row>
    <row r="4908" spans="2:4" hidden="1" x14ac:dyDescent="0.3">
      <c r="B4908" t="s">
        <v>585</v>
      </c>
      <c r="C4908" t="str">
        <f>INDEX(nse!D:D,MATCH(B4908,nse!B:B,0))</f>
        <v>EQ</v>
      </c>
      <c r="D4908" t="str">
        <f>INDEX(nse!C:C,MATCH(B4908,nse!B:B,0))</f>
        <v>Indoco Remedies Limited</v>
      </c>
    </row>
    <row r="4909" spans="2:4" hidden="1" x14ac:dyDescent="0.3">
      <c r="B4909" t="s">
        <v>586</v>
      </c>
      <c r="C4909" t="str">
        <f>INDEX(nse!D:D,MATCH(B4909,nse!B:B,0))</f>
        <v>EQ</v>
      </c>
      <c r="D4909" t="str">
        <f>INDEX(nse!C:C,MATCH(B4909,nse!B:B,0))</f>
        <v>Indo Rama Synthetics (India) Limited</v>
      </c>
    </row>
    <row r="4910" spans="2:4" hidden="1" x14ac:dyDescent="0.3">
      <c r="B4910" t="s">
        <v>587</v>
      </c>
      <c r="C4910" t="str">
        <f>INDEX(nse!D:D,MATCH(B4910,nse!B:B,0))</f>
        <v>EQ</v>
      </c>
      <c r="D4910" t="str">
        <f>INDEX(nse!C:C,MATCH(B4910,nse!B:B,0))</f>
        <v>Indosolar Limited</v>
      </c>
    </row>
    <row r="4911" spans="2:4" hidden="1" x14ac:dyDescent="0.3">
      <c r="B4911" t="s">
        <v>588</v>
      </c>
      <c r="C4911" t="str">
        <f>INDEX(nse!D:D,MATCH(B4911,nse!B:B,0))</f>
        <v>EQ</v>
      </c>
      <c r="D4911" t="str">
        <f>INDEX(nse!C:C,MATCH(B4911,nse!B:B,0))</f>
        <v>Indo Tech Transformers Limited</v>
      </c>
    </row>
    <row r="4912" spans="2:4" hidden="1" x14ac:dyDescent="0.3">
      <c r="B4912" t="s">
        <v>589</v>
      </c>
      <c r="C4912" t="str">
        <f>INDEX(nse!D:D,MATCH(B4912,nse!B:B,0))</f>
        <v>EQ</v>
      </c>
      <c r="D4912" t="str">
        <f>INDEX(nse!C:C,MATCH(B4912,nse!B:B,0))</f>
        <v>Indo Thai Securities Limited</v>
      </c>
    </row>
    <row r="4913" spans="2:4" hidden="1" x14ac:dyDescent="0.3">
      <c r="B4913" t="s">
        <v>590</v>
      </c>
      <c r="C4913" t="str">
        <f>INDEX(nse!D:D,MATCH(B4913,nse!B:B,0))</f>
        <v>EQ</v>
      </c>
      <c r="D4913" t="str">
        <f>INDEX(nse!C:C,MATCH(B4913,nse!B:B,0))</f>
        <v>Indowind Energy Limited</v>
      </c>
    </row>
    <row r="4914" spans="2:4" hidden="1" x14ac:dyDescent="0.3">
      <c r="B4914" t="s">
        <v>591</v>
      </c>
      <c r="C4914" t="str">
        <f>INDEX(nse!D:D,MATCH(B4914,nse!B:B,0))</f>
        <v>EQ</v>
      </c>
      <c r="D4914" t="str">
        <f>INDEX(nse!C:C,MATCH(B4914,nse!B:B,0))</f>
        <v>Indraprastha Medical Corporation Limited</v>
      </c>
    </row>
    <row r="4915" spans="2:4" hidden="1" x14ac:dyDescent="0.3">
      <c r="B4915" t="s">
        <v>592</v>
      </c>
      <c r="C4915" t="str">
        <f>INDEX(nse!D:D,MATCH(B4915,nse!B:B,0))</f>
        <v>EQ</v>
      </c>
      <c r="D4915" t="str">
        <f>INDEX(nse!C:C,MATCH(B4915,nse!B:B,0))</f>
        <v>Ind-Swift Laboratories Limited</v>
      </c>
    </row>
    <row r="4916" spans="2:4" hidden="1" x14ac:dyDescent="0.3">
      <c r="B4916" t="s">
        <v>593</v>
      </c>
      <c r="C4916" t="str">
        <f>INDEX(nse!D:D,MATCH(B4916,nse!B:B,0))</f>
        <v>BE</v>
      </c>
      <c r="D4916" t="str">
        <f>INDEX(nse!C:C,MATCH(B4916,nse!B:B,0))</f>
        <v>Ind-Swift Limited</v>
      </c>
    </row>
    <row r="4917" spans="2:4" hidden="1" x14ac:dyDescent="0.3">
      <c r="B4917" t="s">
        <v>594</v>
      </c>
      <c r="C4917" t="str">
        <f>INDEX(nse!D:D,MATCH(B4917,nse!B:B,0))</f>
        <v>EQ</v>
      </c>
      <c r="D4917" t="str">
        <f>INDEX(nse!C:C,MATCH(B4917,nse!B:B,0))</f>
        <v>Indian Terrain Fashions Limited</v>
      </c>
    </row>
    <row r="4918" spans="2:4" hidden="1" x14ac:dyDescent="0.3">
      <c r="B4918" t="s">
        <v>595</v>
      </c>
      <c r="C4918" t="str">
        <f>INDEX(nse!D:D,MATCH(B4918,nse!B:B,0))</f>
        <v>EQ</v>
      </c>
      <c r="D4918" t="str">
        <f>INDEX(nse!C:C,MATCH(B4918,nse!B:B,0))</f>
        <v>IndusInd Bank Limited</v>
      </c>
    </row>
    <row r="4919" spans="2:4" hidden="1" x14ac:dyDescent="0.3">
      <c r="B4919" t="s">
        <v>3491</v>
      </c>
      <c r="C4919" t="str">
        <f>INDEX(nse!D:D,MATCH(B4919,nse!B:B,0))</f>
        <v>EQ</v>
      </c>
      <c r="D4919" t="str">
        <f>INDEX(nse!C:C,MATCH(B4919,nse!B:B,0))</f>
        <v>INEOS Styrolution India Limited</v>
      </c>
    </row>
    <row r="4920" spans="2:4" hidden="1" x14ac:dyDescent="0.3">
      <c r="B4920" t="s">
        <v>3494</v>
      </c>
      <c r="C4920" t="str">
        <f>INDEX(nse!D:D,MATCH(B4920,nse!B:B,0))</f>
        <v>EQ</v>
      </c>
      <c r="D4920" t="str">
        <f>INDEX(nse!C:C,MATCH(B4920,nse!B:B,0))</f>
        <v>Infibeam Incorporation Limited</v>
      </c>
    </row>
    <row r="4921" spans="2:4" hidden="1" x14ac:dyDescent="0.3">
      <c r="B4921" t="s">
        <v>596</v>
      </c>
      <c r="C4921" t="str">
        <f>INDEX(nse!D:D,MATCH(B4921,nse!B:B,0))</f>
        <v>EQ</v>
      </c>
      <c r="D4921" t="str">
        <f>INDEX(nse!C:C,MATCH(B4921,nse!B:B,0))</f>
        <v>Infinite Computer Solutions (India) Limited</v>
      </c>
    </row>
    <row r="4922" spans="2:4" hidden="1" x14ac:dyDescent="0.3">
      <c r="B4922" t="s">
        <v>597</v>
      </c>
      <c r="C4922" t="str">
        <f>INDEX(nse!D:D,MATCH(B4922,nse!B:B,0))</f>
        <v>BE</v>
      </c>
      <c r="D4922" t="str">
        <f>INDEX(nse!C:C,MATCH(B4922,nse!B:B,0))</f>
        <v>Infomedia Press Limited</v>
      </c>
    </row>
    <row r="4923" spans="2:4" hidden="1" x14ac:dyDescent="0.3">
      <c r="B4923" t="s">
        <v>41</v>
      </c>
      <c r="C4923" t="str">
        <f>INDEX(nse!D:D,MATCH(B4923,nse!B:B,0))</f>
        <v>EQ</v>
      </c>
      <c r="D4923" t="str">
        <f>INDEX(nse!C:C,MATCH(B4923,nse!B:B,0))</f>
        <v>Bharti Infratel Limited</v>
      </c>
    </row>
    <row r="4924" spans="2:4" hidden="1" x14ac:dyDescent="0.3">
      <c r="B4924" t="s">
        <v>9</v>
      </c>
      <c r="C4924" t="str">
        <f>INDEX(nse!D:D,MATCH(B4924,nse!B:B,0))</f>
        <v>EQ</v>
      </c>
      <c r="D4924" t="str">
        <f>INDEX(nse!C:C,MATCH(B4924,nse!B:B,0))</f>
        <v>Infosys Limited</v>
      </c>
    </row>
    <row r="4925" spans="2:4" hidden="1" x14ac:dyDescent="0.3">
      <c r="B4925" t="s">
        <v>598</v>
      </c>
      <c r="C4925" t="str">
        <f>INDEX(nse!D:D,MATCH(B4925,nse!B:B,0))</f>
        <v>EQ</v>
      </c>
      <c r="D4925" t="str">
        <f>INDEX(nse!C:C,MATCH(B4925,nse!B:B,0))</f>
        <v>Ingersoll Rand (India) Limited</v>
      </c>
    </row>
    <row r="4926" spans="2:4" hidden="1" x14ac:dyDescent="0.3">
      <c r="B4926" t="s">
        <v>599</v>
      </c>
      <c r="C4926" t="str">
        <f>INDEX(nse!D:D,MATCH(B4926,nse!B:B,0))</f>
        <v>EQ</v>
      </c>
      <c r="D4926" t="str">
        <f>INDEX(nse!C:C,MATCH(B4926,nse!B:B,0))</f>
        <v>INOX Leisure Limited</v>
      </c>
    </row>
    <row r="4927" spans="2:4" hidden="1" x14ac:dyDescent="0.3">
      <c r="B4927" t="s">
        <v>3504</v>
      </c>
      <c r="C4927" t="str">
        <f>INDEX(nse!D:D,MATCH(B4927,nse!B:B,0))</f>
        <v>EQ</v>
      </c>
      <c r="D4927" t="str">
        <f>INDEX(nse!C:C,MATCH(B4927,nse!B:B,0))</f>
        <v>Inox Wind Limited</v>
      </c>
    </row>
    <row r="4928" spans="2:4" hidden="1" x14ac:dyDescent="0.3">
      <c r="B4928" t="s">
        <v>600</v>
      </c>
      <c r="C4928" t="str">
        <f>INDEX(nse!D:D,MATCH(B4928,nse!B:B,0))</f>
        <v>EQ</v>
      </c>
      <c r="D4928" t="str">
        <f>INDEX(nse!C:C,MATCH(B4928,nse!B:B,0))</f>
        <v>Insecticides (India) Limited</v>
      </c>
    </row>
    <row r="4929" spans="2:4" hidden="1" x14ac:dyDescent="0.3">
      <c r="B4929" t="s">
        <v>1310</v>
      </c>
      <c r="C4929" t="str">
        <f>INDEX(nse!D:D,MATCH(B4929,nse!B:B,0))</f>
        <v>BE</v>
      </c>
      <c r="D4929" t="str">
        <f>INDEX(nse!C:C,MATCH(B4929,nse!B:B,0))</f>
        <v>Integra Garments and Textiles Limited</v>
      </c>
    </row>
    <row r="4930" spans="2:4" hidden="1" x14ac:dyDescent="0.3">
      <c r="B4930" t="s">
        <v>3509</v>
      </c>
      <c r="C4930" t="str">
        <f>INDEX(nse!D:D,MATCH(B4930,nse!B:B,0))</f>
        <v>EQ</v>
      </c>
      <c r="D4930" t="str">
        <f>INDEX(nse!C:C,MATCH(B4930,nse!B:B,0))</f>
        <v>Intellect Design Arena Limited</v>
      </c>
    </row>
    <row r="4931" spans="2:4" hidden="1" x14ac:dyDescent="0.3">
      <c r="B4931" t="s">
        <v>3512</v>
      </c>
      <c r="C4931" t="str">
        <f>INDEX(nse!D:D,MATCH(B4931,nse!B:B,0))</f>
        <v>EQ</v>
      </c>
      <c r="D4931" t="str">
        <f>INDEX(nse!C:C,MATCH(B4931,nse!B:B,0))</f>
        <v>Intense Technologies Limited</v>
      </c>
    </row>
    <row r="4932" spans="2:4" hidden="1" x14ac:dyDescent="0.3">
      <c r="B4932" t="s">
        <v>601</v>
      </c>
      <c r="C4932" t="str">
        <f>INDEX(nse!D:D,MATCH(B4932,nse!B:B,0))</f>
        <v>EQ</v>
      </c>
      <c r="D4932" t="str">
        <f>INDEX(nse!C:C,MATCH(B4932,nse!B:B,0))</f>
        <v>Inventure Growth &amp; Securities Limited</v>
      </c>
    </row>
    <row r="4933" spans="2:4" hidden="1" x14ac:dyDescent="0.3">
      <c r="B4933" t="s">
        <v>602</v>
      </c>
      <c r="C4933" t="str">
        <f>INDEX(nse!D:D,MATCH(B4933,nse!B:B,0))</f>
        <v>EQ</v>
      </c>
      <c r="D4933" t="str">
        <f>INDEX(nse!C:C,MATCH(B4933,nse!B:B,0))</f>
        <v>Indian Overseas Bank</v>
      </c>
    </row>
    <row r="4934" spans="2:4" hidden="1" x14ac:dyDescent="0.3">
      <c r="B4934" t="s">
        <v>64</v>
      </c>
      <c r="C4934" t="str">
        <f>INDEX(nse!D:D,MATCH(B4934,nse!B:B,0))</f>
        <v>EQ</v>
      </c>
      <c r="D4934" t="str">
        <f>INDEX(nse!C:C,MATCH(B4934,nse!B:B,0))</f>
        <v>Indian Oil Corporation Limited</v>
      </c>
    </row>
    <row r="4935" spans="2:4" hidden="1" x14ac:dyDescent="0.3">
      <c r="B4935" t="s">
        <v>603</v>
      </c>
      <c r="C4935" t="str">
        <f>INDEX(nse!D:D,MATCH(B4935,nse!B:B,0))</f>
        <v>EQ</v>
      </c>
      <c r="D4935" t="str">
        <f>INDEX(nse!C:C,MATCH(B4935,nse!B:B,0))</f>
        <v>IOL Chemicals and Pharmaceuticals Limited</v>
      </c>
    </row>
    <row r="4936" spans="2:4" hidden="1" x14ac:dyDescent="0.3">
      <c r="B4936" t="s">
        <v>604</v>
      </c>
      <c r="C4936" t="str">
        <f>INDEX(nse!D:D,MATCH(B4936,nse!B:B,0))</f>
        <v>EQ</v>
      </c>
      <c r="D4936" t="str">
        <f>INDEX(nse!C:C,MATCH(B4936,nse!B:B,0))</f>
        <v>International Paper APPM Limited</v>
      </c>
    </row>
    <row r="4937" spans="2:4" hidden="1" x14ac:dyDescent="0.3">
      <c r="B4937" t="s">
        <v>65</v>
      </c>
      <c r="C4937" t="str">
        <f>INDEX(nse!D:D,MATCH(B4937,nse!B:B,0))</f>
        <v>EQ</v>
      </c>
      <c r="D4937" t="str">
        <f>INDEX(nse!C:C,MATCH(B4937,nse!B:B,0))</f>
        <v>IPCA Laboratories Limited</v>
      </c>
    </row>
    <row r="4938" spans="2:4" hidden="1" x14ac:dyDescent="0.3">
      <c r="B4938" t="s">
        <v>21</v>
      </c>
      <c r="C4938" t="str">
        <f>INDEX(nse!D:D,MATCH(B4938,nse!B:B,0))</f>
        <v>EQ</v>
      </c>
      <c r="D4938" t="str">
        <f>INDEX(nse!C:C,MATCH(B4938,nse!B:B,0))</f>
        <v>IRB Infrastructure Developers Limited</v>
      </c>
    </row>
    <row r="4939" spans="2:4" hidden="1" x14ac:dyDescent="0.3">
      <c r="B4939" t="s">
        <v>605</v>
      </c>
      <c r="C4939" t="str">
        <f>INDEX(nse!D:D,MATCH(B4939,nse!B:B,0))</f>
        <v>EQ</v>
      </c>
      <c r="D4939" t="str">
        <f>INDEX(nse!C:C,MATCH(B4939,nse!B:B,0))</f>
        <v>Intrasoft Technologies Limited</v>
      </c>
    </row>
    <row r="4940" spans="2:4" hidden="1" x14ac:dyDescent="0.3">
      <c r="B4940" t="s">
        <v>606</v>
      </c>
      <c r="C4940" t="str">
        <f>INDEX(nse!D:D,MATCH(B4940,nse!B:B,0))</f>
        <v>EQ</v>
      </c>
      <c r="D4940" t="str">
        <f>INDEX(nse!C:C,MATCH(B4940,nse!B:B,0))</f>
        <v>ISMT Limited</v>
      </c>
    </row>
    <row r="4941" spans="2:4" hidden="1" x14ac:dyDescent="0.3">
      <c r="B4941" t="s">
        <v>607</v>
      </c>
      <c r="C4941" t="str">
        <f>INDEX(nse!D:D,MATCH(B4941,nse!B:B,0))</f>
        <v>EQ</v>
      </c>
      <c r="D4941" t="str">
        <f>INDEX(nse!C:C,MATCH(B4941,nse!B:B,0))</f>
        <v>ITC Limited</v>
      </c>
    </row>
    <row r="4942" spans="2:4" hidden="1" x14ac:dyDescent="0.3">
      <c r="B4942" t="s">
        <v>3525</v>
      </c>
      <c r="C4942" t="str">
        <f>INDEX(nse!D:D,MATCH(B4942,nse!B:B,0))</f>
        <v>EQ</v>
      </c>
      <c r="D4942" t="str">
        <f>INDEX(nse!C:C,MATCH(B4942,nse!B:B,0))</f>
        <v>India Tourism Development Corporation Limited</v>
      </c>
    </row>
    <row r="4943" spans="2:4" hidden="1" x14ac:dyDescent="0.3">
      <c r="B4943" t="s">
        <v>608</v>
      </c>
      <c r="C4943" t="str">
        <f>INDEX(nse!D:D,MATCH(B4943,nse!B:B,0))</f>
        <v>EQ</v>
      </c>
      <c r="D4943" t="str">
        <f>INDEX(nse!C:C,MATCH(B4943,nse!B:B,0))</f>
        <v>ITD Cementation India Limited</v>
      </c>
    </row>
    <row r="4944" spans="2:4" hidden="1" x14ac:dyDescent="0.3">
      <c r="B4944" t="s">
        <v>609</v>
      </c>
      <c r="C4944" t="str">
        <f>INDEX(nse!D:D,MATCH(B4944,nse!B:B,0))</f>
        <v>EQ</v>
      </c>
      <c r="D4944" t="str">
        <f>INDEX(nse!C:C,MATCH(B4944,nse!B:B,0))</f>
        <v>ITI Limited</v>
      </c>
    </row>
    <row r="4945" spans="2:4" hidden="1" x14ac:dyDescent="0.3">
      <c r="B4945" t="s">
        <v>610</v>
      </c>
      <c r="C4945" t="str">
        <f>INDEX(nse!D:D,MATCH(B4945,nse!B:B,0))</f>
        <v>EQ</v>
      </c>
      <c r="D4945" t="str">
        <f>INDEX(nse!C:C,MATCH(B4945,nse!B:B,0))</f>
        <v>IL&amp;FS Investment Managers Limited</v>
      </c>
    </row>
    <row r="4946" spans="2:4" hidden="1" x14ac:dyDescent="0.3">
      <c r="B4946" t="s">
        <v>611</v>
      </c>
      <c r="C4946" t="str">
        <f>INDEX(nse!D:D,MATCH(B4946,nse!B:B,0))</f>
        <v>EQ</v>
      </c>
      <c r="D4946" t="str">
        <f>INDEX(nse!C:C,MATCH(B4946,nse!B:B,0))</f>
        <v>IVP Limited</v>
      </c>
    </row>
    <row r="4947" spans="2:4" hidden="1" x14ac:dyDescent="0.3">
      <c r="B4947" t="s">
        <v>612</v>
      </c>
      <c r="C4947" t="str">
        <f>INDEX(nse!D:D,MATCH(B4947,nse!B:B,0))</f>
        <v>EQ</v>
      </c>
      <c r="D4947" t="str">
        <f>INDEX(nse!C:C,MATCH(B4947,nse!B:B,0))</f>
        <v>IVRCL Limited</v>
      </c>
    </row>
    <row r="4948" spans="2:4" hidden="1" x14ac:dyDescent="0.3">
      <c r="B4948" t="s">
        <v>3533</v>
      </c>
      <c r="C4948" t="str">
        <f>INDEX(nse!D:D,MATCH(B4948,nse!B:B,0))</f>
        <v>EQ</v>
      </c>
      <c r="D4948" t="str">
        <f>INDEX(nse!C:C,MATCH(B4948,nse!B:B,0))</f>
        <v>IZMO Limited</v>
      </c>
    </row>
    <row r="4949" spans="2:4" hidden="1" x14ac:dyDescent="0.3">
      <c r="B4949" t="s">
        <v>69</v>
      </c>
      <c r="C4949" t="str">
        <f>INDEX(nse!D:D,MATCH(B4949,nse!B:B,0))</f>
        <v>EQ</v>
      </c>
      <c r="D4949" t="str">
        <f>INDEX(nse!C:C,MATCH(B4949,nse!B:B,0))</f>
        <v>The Jammu &amp; Kashmir Bank Limited</v>
      </c>
    </row>
    <row r="4950" spans="2:4" hidden="1" x14ac:dyDescent="0.3">
      <c r="B4950" t="s">
        <v>613</v>
      </c>
      <c r="C4950" t="str">
        <f>INDEX(nse!D:D,MATCH(B4950,nse!B:B,0))</f>
        <v>EQ</v>
      </c>
      <c r="D4950" t="str">
        <f>INDEX(nse!C:C,MATCH(B4950,nse!B:B,0))</f>
        <v>Jagran Prakashan Limited</v>
      </c>
    </row>
    <row r="4951" spans="2:4" hidden="1" x14ac:dyDescent="0.3">
      <c r="B4951" t="s">
        <v>614</v>
      </c>
      <c r="C4951" t="str">
        <f>INDEX(nse!D:D,MATCH(B4951,nse!B:B,0))</f>
        <v>EQ</v>
      </c>
      <c r="D4951" t="str">
        <f>INDEX(nse!C:C,MATCH(B4951,nse!B:B,0))</f>
        <v>Jagsonpal Pharmaceuticals Limited</v>
      </c>
    </row>
    <row r="4952" spans="2:4" hidden="1" x14ac:dyDescent="0.3">
      <c r="B4952" t="s">
        <v>615</v>
      </c>
      <c r="C4952" t="str">
        <f>INDEX(nse!D:D,MATCH(B4952,nse!B:B,0))</f>
        <v>EQ</v>
      </c>
      <c r="D4952" t="str">
        <f>INDEX(nse!C:C,MATCH(B4952,nse!B:B,0))</f>
        <v>Jai Balaji Industries Limited</v>
      </c>
    </row>
    <row r="4953" spans="2:4" hidden="1" x14ac:dyDescent="0.3">
      <c r="B4953" t="s">
        <v>616</v>
      </c>
      <c r="C4953" t="str">
        <f>INDEX(nse!D:D,MATCH(B4953,nse!B:B,0))</f>
        <v>EQ</v>
      </c>
      <c r="D4953" t="str">
        <f>INDEX(nse!C:C,MATCH(B4953,nse!B:B,0))</f>
        <v>Jai Corp Limited</v>
      </c>
    </row>
    <row r="4954" spans="2:4" hidden="1" x14ac:dyDescent="0.3">
      <c r="B4954" t="s">
        <v>617</v>
      </c>
      <c r="C4954" t="str">
        <f>INDEX(nse!D:D,MATCH(B4954,nse!B:B,0))</f>
        <v>EQ</v>
      </c>
      <c r="D4954" t="str">
        <f>INDEX(nse!C:C,MATCH(B4954,nse!B:B,0))</f>
        <v>Jaihind Projects Limited</v>
      </c>
    </row>
    <row r="4955" spans="2:4" hidden="1" x14ac:dyDescent="0.3">
      <c r="B4955" t="s">
        <v>1311</v>
      </c>
      <c r="C4955" t="str">
        <f>INDEX(nse!D:D,MATCH(B4955,nse!B:B,0))</f>
        <v>BE</v>
      </c>
      <c r="D4955" t="str">
        <f>INDEX(nse!C:C,MATCH(B4955,nse!B:B,0))</f>
        <v>Jain Studios Limited</v>
      </c>
    </row>
    <row r="4956" spans="2:4" hidden="1" x14ac:dyDescent="0.3">
      <c r="B4956" t="s">
        <v>618</v>
      </c>
      <c r="C4956" t="str">
        <f>INDEX(nse!D:D,MATCH(B4956,nse!B:B,0))</f>
        <v>EQ</v>
      </c>
      <c r="D4956" t="str">
        <f>INDEX(nse!C:C,MATCH(B4956,nse!B:B,0))</f>
        <v>Jamna Auto Industries Limited</v>
      </c>
    </row>
    <row r="4957" spans="2:4" hidden="1" x14ac:dyDescent="0.3">
      <c r="B4957" t="s">
        <v>619</v>
      </c>
      <c r="C4957" t="str">
        <f>INDEX(nse!D:D,MATCH(B4957,nse!B:B,0))</f>
        <v>EQ</v>
      </c>
      <c r="D4957" t="str">
        <f>INDEX(nse!C:C,MATCH(B4957,nse!B:B,0))</f>
        <v>Jayant Agro Organics Limited</v>
      </c>
    </row>
    <row r="4958" spans="2:4" hidden="1" x14ac:dyDescent="0.3">
      <c r="B4958" t="s">
        <v>620</v>
      </c>
      <c r="C4958" t="str">
        <f>INDEX(nse!D:D,MATCH(B4958,nse!B:B,0))</f>
        <v>EQ</v>
      </c>
      <c r="D4958" t="str">
        <f>INDEX(nse!C:C,MATCH(B4958,nse!B:B,0))</f>
        <v>Jay Bharat Maruti Limited</v>
      </c>
    </row>
    <row r="4959" spans="2:4" hidden="1" x14ac:dyDescent="0.3">
      <c r="B4959" t="s">
        <v>621</v>
      </c>
      <c r="C4959" t="str">
        <f>INDEX(nse!D:D,MATCH(B4959,nse!B:B,0))</f>
        <v>EQ</v>
      </c>
      <c r="D4959" t="str">
        <f>INDEX(nse!C:C,MATCH(B4959,nse!B:B,0))</f>
        <v>Jayaswal Neco Industries Limited</v>
      </c>
    </row>
    <row r="4960" spans="2:4" hidden="1" x14ac:dyDescent="0.3">
      <c r="B4960" t="s">
        <v>622</v>
      </c>
      <c r="C4960" t="str">
        <f>INDEX(nse!D:D,MATCH(B4960,nse!B:B,0))</f>
        <v>EQ</v>
      </c>
      <c r="D4960" t="str">
        <f>INDEX(nse!C:C,MATCH(B4960,nse!B:B,0))</f>
        <v>Jayshree Tea &amp; Industries Limited</v>
      </c>
    </row>
    <row r="4961" spans="2:4" hidden="1" x14ac:dyDescent="0.3">
      <c r="B4961" t="s">
        <v>623</v>
      </c>
      <c r="C4961" t="str">
        <f>INDEX(nse!D:D,MATCH(B4961,nse!B:B,0))</f>
        <v>EQ</v>
      </c>
      <c r="D4961" t="str">
        <f>INDEX(nse!C:C,MATCH(B4961,nse!B:B,0))</f>
        <v>JB Chemicals &amp; Pharmaceuticals Limited</v>
      </c>
    </row>
    <row r="4962" spans="2:4" hidden="1" x14ac:dyDescent="0.3">
      <c r="B4962" t="s">
        <v>624</v>
      </c>
      <c r="C4962" t="str">
        <f>INDEX(nse!D:D,MATCH(B4962,nse!B:B,0))</f>
        <v>EQ</v>
      </c>
      <c r="D4962" t="str">
        <f>INDEX(nse!C:C,MATCH(B4962,nse!B:B,0))</f>
        <v>JBF Industries Limited</v>
      </c>
    </row>
    <row r="4963" spans="2:4" hidden="1" x14ac:dyDescent="0.3">
      <c r="B4963" t="s">
        <v>625</v>
      </c>
      <c r="C4963" t="str">
        <f>INDEX(nse!D:D,MATCH(B4963,nse!B:B,0))</f>
        <v>EQ</v>
      </c>
      <c r="D4963" t="str">
        <f>INDEX(nse!C:C,MATCH(B4963,nse!B:B,0))</f>
        <v>JBM Auto Limited</v>
      </c>
    </row>
    <row r="4964" spans="2:4" hidden="1" x14ac:dyDescent="0.3">
      <c r="B4964" t="s">
        <v>3551</v>
      </c>
      <c r="C4964" t="str">
        <f>INDEX(nse!D:D,MATCH(B4964,nse!B:B,0))</f>
        <v>EQ</v>
      </c>
      <c r="D4964" t="str">
        <f>INDEX(nse!C:C,MATCH(B4964,nse!B:B,0))</f>
        <v>Johnson Controls – Hitachi Air Conditioning India Limited</v>
      </c>
    </row>
    <row r="4965" spans="2:4" hidden="1" x14ac:dyDescent="0.3">
      <c r="B4965" t="s">
        <v>626</v>
      </c>
      <c r="C4965" t="str">
        <f>INDEX(nse!D:D,MATCH(B4965,nse!B:B,0))</f>
        <v>BE</v>
      </c>
      <c r="D4965" t="str">
        <f>INDEX(nse!C:C,MATCH(B4965,nse!B:B,0))</f>
        <v>Jenson &amp; Nicholson (India) Limited</v>
      </c>
    </row>
    <row r="4966" spans="2:4" hidden="1" x14ac:dyDescent="0.3">
      <c r="B4966" t="s">
        <v>627</v>
      </c>
      <c r="C4966" t="str">
        <f>INDEX(nse!D:D,MATCH(B4966,nse!B:B,0))</f>
        <v>EQ</v>
      </c>
      <c r="D4966" t="str">
        <f>INDEX(nse!C:C,MATCH(B4966,nse!B:B,0))</f>
        <v>Jet Airways (India) Limited</v>
      </c>
    </row>
    <row r="4967" spans="2:4" hidden="1" x14ac:dyDescent="0.3">
      <c r="B4967" t="s">
        <v>628</v>
      </c>
      <c r="C4967" t="str">
        <f>INDEX(nse!D:D,MATCH(B4967,nse!B:B,0))</f>
        <v>BE</v>
      </c>
      <c r="D4967" t="str">
        <f>INDEX(nse!C:C,MATCH(B4967,nse!B:B,0))</f>
        <v>JHS Svendgaard Laboratories Limited</v>
      </c>
    </row>
    <row r="4968" spans="2:4" hidden="1" x14ac:dyDescent="0.3">
      <c r="B4968" t="s">
        <v>1312</v>
      </c>
      <c r="C4968" t="str">
        <f>INDEX(nse!D:D,MATCH(B4968,nse!B:B,0))</f>
        <v>BE</v>
      </c>
      <c r="D4968" t="str">
        <f>INDEX(nse!C:C,MATCH(B4968,nse!B:B,0))</f>
        <v>JIK Industries Limited</v>
      </c>
    </row>
    <row r="4969" spans="2:4" hidden="1" x14ac:dyDescent="0.3">
      <c r="B4969" t="s">
        <v>629</v>
      </c>
      <c r="C4969" t="str">
        <f>INDEX(nse!D:D,MATCH(B4969,nse!B:B,0))</f>
        <v>BE</v>
      </c>
      <c r="D4969" t="str">
        <f>INDEX(nse!C:C,MATCH(B4969,nse!B:B,0))</f>
        <v>Jindal Photo Limited</v>
      </c>
    </row>
    <row r="4970" spans="2:4" hidden="1" x14ac:dyDescent="0.3">
      <c r="B4970" t="s">
        <v>630</v>
      </c>
      <c r="C4970" t="str">
        <f>INDEX(nse!D:D,MATCH(B4970,nse!B:B,0))</f>
        <v>EQ</v>
      </c>
      <c r="D4970" t="str">
        <f>INDEX(nse!C:C,MATCH(B4970,nse!B:B,0))</f>
        <v>Jindal Poly Films Limited</v>
      </c>
    </row>
    <row r="4971" spans="2:4" hidden="1" x14ac:dyDescent="0.3">
      <c r="B4971" t="s">
        <v>631</v>
      </c>
      <c r="C4971" t="str">
        <f>INDEX(nse!D:D,MATCH(B4971,nse!B:B,0))</f>
        <v>EQ</v>
      </c>
      <c r="D4971" t="str">
        <f>INDEX(nse!C:C,MATCH(B4971,nse!B:B,0))</f>
        <v>Jindal Saw Limited</v>
      </c>
    </row>
    <row r="4972" spans="2:4" hidden="1" x14ac:dyDescent="0.3">
      <c r="B4972" t="s">
        <v>632</v>
      </c>
      <c r="C4972" t="str">
        <f>INDEX(nse!D:D,MATCH(B4972,nse!B:B,0))</f>
        <v>EQ</v>
      </c>
      <c r="D4972" t="str">
        <f>INDEX(nse!C:C,MATCH(B4972,nse!B:B,0))</f>
        <v>Jindal Steel &amp; Power Limited</v>
      </c>
    </row>
    <row r="4973" spans="2:4" hidden="1" x14ac:dyDescent="0.3">
      <c r="B4973" t="s">
        <v>633</v>
      </c>
      <c r="C4973" t="str">
        <f>INDEX(nse!D:D,MATCH(B4973,nse!B:B,0))</f>
        <v>EQ</v>
      </c>
      <c r="D4973" t="str">
        <f>INDEX(nse!C:C,MATCH(B4973,nse!B:B,0))</f>
        <v>Jindal Cotex Limited</v>
      </c>
    </row>
    <row r="4974" spans="2:4" hidden="1" x14ac:dyDescent="0.3">
      <c r="B4974" t="s">
        <v>634</v>
      </c>
      <c r="C4974" t="str">
        <f>INDEX(nse!D:D,MATCH(B4974,nse!B:B,0))</f>
        <v>EQ</v>
      </c>
      <c r="D4974" t="str">
        <f>INDEX(nse!C:C,MATCH(B4974,nse!B:B,0))</f>
        <v>Jindal Drilling And Industries Limited</v>
      </c>
    </row>
    <row r="4975" spans="2:4" hidden="1" x14ac:dyDescent="0.3">
      <c r="B4975" t="s">
        <v>635</v>
      </c>
      <c r="C4975" t="str">
        <f>INDEX(nse!D:D,MATCH(B4975,nse!B:B,0))</f>
        <v>EQ</v>
      </c>
      <c r="D4975" t="str">
        <f>INDEX(nse!C:C,MATCH(B4975,nse!B:B,0))</f>
        <v>Jindal Worldwide Limited</v>
      </c>
    </row>
    <row r="4976" spans="2:4" hidden="1" x14ac:dyDescent="0.3">
      <c r="B4976" t="s">
        <v>3565</v>
      </c>
      <c r="C4976" t="str">
        <f>INDEX(nse!D:D,MATCH(B4976,nse!B:B,0))</f>
        <v>EQ</v>
      </c>
      <c r="D4976" t="str">
        <f>INDEX(nse!C:C,MATCH(B4976,nse!B:B,0))</f>
        <v>Jain Irrigation Systems Limited</v>
      </c>
    </row>
    <row r="4977" spans="2:4" hidden="1" x14ac:dyDescent="0.3">
      <c r="B4977" t="s">
        <v>67</v>
      </c>
      <c r="C4977" t="str">
        <f>INDEX(nse!D:D,MATCH(B4977,nse!B:B,0))</f>
        <v>EQ</v>
      </c>
      <c r="D4977" t="str">
        <f>INDEX(nse!C:C,MATCH(B4977,nse!B:B,0))</f>
        <v>Jain Irrigation Systems Limited</v>
      </c>
    </row>
    <row r="4978" spans="2:4" hidden="1" x14ac:dyDescent="0.3">
      <c r="B4978" t="s">
        <v>3568</v>
      </c>
      <c r="C4978" t="str">
        <f>INDEX(nse!D:D,MATCH(B4978,nse!B:B,0))</f>
        <v>BE</v>
      </c>
      <c r="D4978" t="str">
        <f>INDEX(nse!C:C,MATCH(B4978,nse!B:B,0))</f>
        <v>JITF Infralogistics Limited</v>
      </c>
    </row>
    <row r="4979" spans="2:4" hidden="1" x14ac:dyDescent="0.3">
      <c r="B4979" t="s">
        <v>636</v>
      </c>
      <c r="C4979" t="str">
        <f>INDEX(nse!D:D,MATCH(B4979,nse!B:B,0))</f>
        <v>EQ</v>
      </c>
      <c r="D4979" t="str">
        <f>INDEX(nse!C:C,MATCH(B4979,nse!B:B,0))</f>
        <v>JK Cement Limited</v>
      </c>
    </row>
    <row r="4980" spans="2:4" hidden="1" x14ac:dyDescent="0.3">
      <c r="B4980" t="s">
        <v>637</v>
      </c>
      <c r="C4980" t="str">
        <f>INDEX(nse!D:D,MATCH(B4980,nse!B:B,0))</f>
        <v>EQ</v>
      </c>
      <c r="D4980" t="str">
        <f>INDEX(nse!C:C,MATCH(B4980,nse!B:B,0))</f>
        <v>J.Kumar Infraprojects Limited</v>
      </c>
    </row>
    <row r="4981" spans="2:4" hidden="1" x14ac:dyDescent="0.3">
      <c r="B4981" t="s">
        <v>638</v>
      </c>
      <c r="C4981" t="str">
        <f>INDEX(nse!D:D,MATCH(B4981,nse!B:B,0))</f>
        <v>EQ</v>
      </c>
      <c r="D4981" t="str">
        <f>INDEX(nse!C:C,MATCH(B4981,nse!B:B,0))</f>
        <v>JK Lakshmi Cement Limited</v>
      </c>
    </row>
    <row r="4982" spans="2:4" hidden="1" x14ac:dyDescent="0.3">
      <c r="B4982" t="s">
        <v>639</v>
      </c>
      <c r="C4982" t="str">
        <f>INDEX(nse!D:D,MATCH(B4982,nse!B:B,0))</f>
        <v>EQ</v>
      </c>
      <c r="D4982" t="str">
        <f>INDEX(nse!C:C,MATCH(B4982,nse!B:B,0))</f>
        <v>JK Paper Limited</v>
      </c>
    </row>
    <row r="4983" spans="2:4" hidden="1" x14ac:dyDescent="0.3">
      <c r="B4983" t="s">
        <v>640</v>
      </c>
      <c r="C4983" t="str">
        <f>INDEX(nse!D:D,MATCH(B4983,nse!B:B,0))</f>
        <v>EQ</v>
      </c>
      <c r="D4983" t="str">
        <f>INDEX(nse!C:C,MATCH(B4983,nse!B:B,0))</f>
        <v>JK Tyre &amp; Industries Limited</v>
      </c>
    </row>
    <row r="4984" spans="2:4" hidden="1" x14ac:dyDescent="0.3">
      <c r="B4984" t="s">
        <v>3576</v>
      </c>
      <c r="C4984" t="str">
        <f>INDEX(nse!D:D,MATCH(B4984,nse!B:B,0))</f>
        <v>EQ</v>
      </c>
      <c r="D4984" t="str">
        <f>INDEX(nse!C:C,MATCH(B4984,nse!B:B,0))</f>
        <v>Jullundur Motor Agency (Delhi) Limited</v>
      </c>
    </row>
    <row r="4985" spans="2:4" hidden="1" x14ac:dyDescent="0.3">
      <c r="B4985" t="s">
        <v>641</v>
      </c>
      <c r="C4985" t="str">
        <f>INDEX(nse!D:D,MATCH(B4985,nse!B:B,0))</f>
        <v>EQ</v>
      </c>
      <c r="D4985" t="str">
        <f>INDEX(nse!C:C,MATCH(B4985,nse!B:B,0))</f>
        <v>JMC Projects (India)  Limited</v>
      </c>
    </row>
    <row r="4986" spans="2:4" hidden="1" x14ac:dyDescent="0.3">
      <c r="B4986" t="s">
        <v>642</v>
      </c>
      <c r="C4986" t="str">
        <f>INDEX(nse!D:D,MATCH(B4986,nse!B:B,0))</f>
        <v>EQ</v>
      </c>
      <c r="D4986" t="str">
        <f>INDEX(nse!C:C,MATCH(B4986,nse!B:B,0))</f>
        <v>JM Financial Limited</v>
      </c>
    </row>
    <row r="4987" spans="2:4" hidden="1" x14ac:dyDescent="0.3">
      <c r="B4987" t="s">
        <v>643</v>
      </c>
      <c r="C4987" t="str">
        <f>INDEX(nse!D:D,MATCH(B4987,nse!B:B,0))</f>
        <v>EQ</v>
      </c>
      <c r="D4987" t="str">
        <f>INDEX(nse!C:C,MATCH(B4987,nse!B:B,0))</f>
        <v>JMT Auto Limited</v>
      </c>
    </row>
    <row r="4988" spans="2:4" hidden="1" x14ac:dyDescent="0.3">
      <c r="B4988" t="s">
        <v>644</v>
      </c>
      <c r="C4988" t="str">
        <f>INDEX(nse!D:D,MATCH(B4988,nse!B:B,0))</f>
        <v>EQ</v>
      </c>
      <c r="D4988" t="str">
        <f>INDEX(nse!C:C,MATCH(B4988,nse!B:B,0))</f>
        <v>Jocil Limited</v>
      </c>
    </row>
    <row r="4989" spans="2:4" hidden="1" x14ac:dyDescent="0.3">
      <c r="B4989" t="s">
        <v>68</v>
      </c>
      <c r="C4989" t="str">
        <f>INDEX(nse!D:D,MATCH(B4989,nse!B:B,0))</f>
        <v>EQ</v>
      </c>
      <c r="D4989" t="str">
        <f>INDEX(nse!C:C,MATCH(B4989,nse!B:B,0))</f>
        <v>Jaiprakash Associates Limited</v>
      </c>
    </row>
    <row r="4990" spans="2:4" hidden="1" x14ac:dyDescent="0.3">
      <c r="B4990" t="s">
        <v>645</v>
      </c>
      <c r="C4990" t="str">
        <f>INDEX(nse!D:D,MATCH(B4990,nse!B:B,0))</f>
        <v>EQ</v>
      </c>
      <c r="D4990" t="str">
        <f>INDEX(nse!C:C,MATCH(B4990,nse!B:B,0))</f>
        <v>Jaypee Infratech Limited</v>
      </c>
    </row>
    <row r="4991" spans="2:4" hidden="1" x14ac:dyDescent="0.3">
      <c r="B4991" t="s">
        <v>646</v>
      </c>
      <c r="C4991" t="str">
        <f>INDEX(nse!D:D,MATCH(B4991,nse!B:B,0))</f>
        <v>EQ</v>
      </c>
      <c r="D4991" t="str">
        <f>INDEX(nse!C:C,MATCH(B4991,nse!B:B,0))</f>
        <v>Jindal Poly Investment and Finance Company Limited</v>
      </c>
    </row>
    <row r="4992" spans="2:4" hidden="1" x14ac:dyDescent="0.3">
      <c r="B4992" t="s">
        <v>647</v>
      </c>
      <c r="C4992" t="str">
        <f>INDEX(nse!D:D,MATCH(B4992,nse!B:B,0))</f>
        <v>EQ</v>
      </c>
      <c r="D4992" t="str">
        <f>INDEX(nse!C:C,MATCH(B4992,nse!B:B,0))</f>
        <v>Jaiprakash Power Ventures Limited</v>
      </c>
    </row>
    <row r="4993" spans="2:4" hidden="1" x14ac:dyDescent="0.3">
      <c r="B4993" t="s">
        <v>648</v>
      </c>
      <c r="C4993" t="str">
        <f>INDEX(nse!D:D,MATCH(B4993,nse!B:B,0))</f>
        <v>EQ</v>
      </c>
      <c r="D4993" t="str">
        <f>INDEX(nse!C:C,MATCH(B4993,nse!B:B,0))</f>
        <v>Jindal Stainless Limited</v>
      </c>
    </row>
    <row r="4994" spans="2:4" hidden="1" x14ac:dyDescent="0.3">
      <c r="B4994" t="s">
        <v>3588</v>
      </c>
      <c r="C4994" t="str">
        <f>INDEX(nse!D:D,MATCH(B4994,nse!B:B,0))</f>
        <v>EQ</v>
      </c>
      <c r="D4994" t="str">
        <f>INDEX(nse!C:C,MATCH(B4994,nse!B:B,0))</f>
        <v>Jindal Stainless (Hisar) Limited</v>
      </c>
    </row>
    <row r="4995" spans="2:4" hidden="1" x14ac:dyDescent="0.3">
      <c r="B4995" t="s">
        <v>66</v>
      </c>
      <c r="C4995" t="str">
        <f>INDEX(nse!D:D,MATCH(B4995,nse!B:B,0))</f>
        <v>EQ</v>
      </c>
      <c r="D4995" t="str">
        <f>INDEX(nse!C:C,MATCH(B4995,nse!B:B,0))</f>
        <v>JSW Energy Limited</v>
      </c>
    </row>
    <row r="4996" spans="2:4" hidden="1" x14ac:dyDescent="0.3">
      <c r="B4996" t="s">
        <v>649</v>
      </c>
      <c r="C4996" t="str">
        <f>INDEX(nse!D:D,MATCH(B4996,nse!B:B,0))</f>
        <v>EQ</v>
      </c>
      <c r="D4996" t="str">
        <f>INDEX(nse!C:C,MATCH(B4996,nse!B:B,0))</f>
        <v>JSW Holdings Limited</v>
      </c>
    </row>
    <row r="4997" spans="2:4" hidden="1" x14ac:dyDescent="0.3">
      <c r="B4997" t="s">
        <v>650</v>
      </c>
      <c r="C4997" t="str">
        <f>INDEX(nse!D:D,MATCH(B4997,nse!B:B,0))</f>
        <v>EQ</v>
      </c>
      <c r="D4997" t="str">
        <f>INDEX(nse!C:C,MATCH(B4997,nse!B:B,0))</f>
        <v>JSW Steel Limited</v>
      </c>
    </row>
    <row r="4998" spans="2:4" hidden="1" x14ac:dyDescent="0.3">
      <c r="B4998" t="s">
        <v>651</v>
      </c>
      <c r="C4998" t="str">
        <f>INDEX(nse!D:D,MATCH(B4998,nse!B:B,0))</f>
        <v>EQ</v>
      </c>
      <c r="D4998" t="str">
        <f>INDEX(nse!C:C,MATCH(B4998,nse!B:B,0))</f>
        <v>Jubilant Life Sciences Limited</v>
      </c>
    </row>
    <row r="4999" spans="2:4" hidden="1" x14ac:dyDescent="0.3">
      <c r="B4999" t="s">
        <v>70</v>
      </c>
      <c r="C4999" t="str">
        <f>INDEX(nse!D:D,MATCH(B4999,nse!B:B,0))</f>
        <v>EQ</v>
      </c>
      <c r="D4999" t="str">
        <f>INDEX(nse!C:C,MATCH(B4999,nse!B:B,0))</f>
        <v>Jubilant Foodworks Limited</v>
      </c>
    </row>
    <row r="5000" spans="2:4" hidden="1" x14ac:dyDescent="0.3">
      <c r="B5000" t="s">
        <v>652</v>
      </c>
      <c r="C5000" t="str">
        <f>INDEX(nse!D:D,MATCH(B5000,nse!B:B,0))</f>
        <v>EQ</v>
      </c>
      <c r="D5000" t="str">
        <f>INDEX(nse!C:C,MATCH(B5000,nse!B:B,0))</f>
        <v>Jubilant Industries Limited</v>
      </c>
    </row>
    <row r="5001" spans="2:4" hidden="1" x14ac:dyDescent="0.3">
      <c r="B5001" t="s">
        <v>71</v>
      </c>
      <c r="C5001" t="str">
        <f>INDEX(nse!D:D,MATCH(B5001,nse!B:B,0))</f>
        <v>EQ</v>
      </c>
      <c r="D5001" t="str">
        <f>INDEX(nse!C:C,MATCH(B5001,nse!B:B,0))</f>
        <v>Just Dial Limited</v>
      </c>
    </row>
    <row r="5002" spans="2:4" hidden="1" x14ac:dyDescent="0.3">
      <c r="B5002" t="s">
        <v>653</v>
      </c>
      <c r="C5002" t="str">
        <f>INDEX(nse!D:D,MATCH(B5002,nse!B:B,0))</f>
        <v>EQ</v>
      </c>
      <c r="D5002" t="str">
        <f>INDEX(nse!C:C,MATCH(B5002,nse!B:B,0))</f>
        <v>JVL Agro Industries Limited</v>
      </c>
    </row>
    <row r="5003" spans="2:4" hidden="1" x14ac:dyDescent="0.3">
      <c r="B5003" t="s">
        <v>654</v>
      </c>
      <c r="C5003" t="str">
        <f>INDEX(nse!D:D,MATCH(B5003,nse!B:B,0))</f>
        <v>EQ</v>
      </c>
      <c r="D5003" t="str">
        <f>INDEX(nse!C:C,MATCH(B5003,nse!B:B,0))</f>
        <v>Jyothy Laboratories Limited</v>
      </c>
    </row>
    <row r="5004" spans="2:4" hidden="1" x14ac:dyDescent="0.3">
      <c r="B5004" t="s">
        <v>655</v>
      </c>
      <c r="C5004" t="str">
        <f>INDEX(nse!D:D,MATCH(B5004,nse!B:B,0))</f>
        <v>EQ</v>
      </c>
      <c r="D5004" t="str">
        <f>INDEX(nse!C:C,MATCH(B5004,nse!B:B,0))</f>
        <v>Jyoti Structures Limited</v>
      </c>
    </row>
    <row r="5005" spans="2:4" hidden="1" x14ac:dyDescent="0.3">
      <c r="B5005" t="s">
        <v>656</v>
      </c>
      <c r="C5005" t="str">
        <f>INDEX(nse!D:D,MATCH(B5005,nse!B:B,0))</f>
        <v>EQ</v>
      </c>
      <c r="D5005" t="str">
        <f>INDEX(nse!C:C,MATCH(B5005,nse!B:B,0))</f>
        <v>Kabra Extrusion Technik Limited</v>
      </c>
    </row>
    <row r="5006" spans="2:4" hidden="1" x14ac:dyDescent="0.3">
      <c r="B5006" t="s">
        <v>657</v>
      </c>
      <c r="C5006" t="str">
        <f>INDEX(nse!D:D,MATCH(B5006,nse!B:B,0))</f>
        <v>EQ</v>
      </c>
      <c r="D5006" t="str">
        <f>INDEX(nse!C:C,MATCH(B5006,nse!B:B,0))</f>
        <v>Kajaria Ceramics Limited</v>
      </c>
    </row>
    <row r="5007" spans="2:4" hidden="1" x14ac:dyDescent="0.3">
      <c r="B5007" t="s">
        <v>658</v>
      </c>
      <c r="C5007" t="str">
        <f>INDEX(nse!D:D,MATCH(B5007,nse!B:B,0))</f>
        <v>EQ</v>
      </c>
      <c r="D5007" t="str">
        <f>INDEX(nse!C:C,MATCH(B5007,nse!B:B,0))</f>
        <v>Kakatiya Cement Sugar &amp; Industries Limited</v>
      </c>
    </row>
    <row r="5008" spans="2:4" hidden="1" x14ac:dyDescent="0.3">
      <c r="B5008" t="s">
        <v>659</v>
      </c>
      <c r="C5008" t="str">
        <f>INDEX(nse!D:D,MATCH(B5008,nse!B:B,0))</f>
        <v>EQ</v>
      </c>
      <c r="D5008" t="str">
        <f>INDEX(nse!C:C,MATCH(B5008,nse!B:B,0))</f>
        <v>Kalpataru Power Transmission Limited</v>
      </c>
    </row>
    <row r="5009" spans="2:4" hidden="1" x14ac:dyDescent="0.3">
      <c r="B5009" t="s">
        <v>3605</v>
      </c>
      <c r="C5009" t="str">
        <f>INDEX(nse!D:D,MATCH(B5009,nse!B:B,0))</f>
        <v>BE</v>
      </c>
      <c r="D5009" t="str">
        <f>INDEX(nse!C:C,MATCH(B5009,nse!B:B,0))</f>
        <v>Kalyani Commercials Limited</v>
      </c>
    </row>
    <row r="5010" spans="2:4" hidden="1" x14ac:dyDescent="0.3">
      <c r="B5010" t="s">
        <v>660</v>
      </c>
      <c r="C5010" t="str">
        <f>INDEX(nse!D:D,MATCH(B5010,nse!B:B,0))</f>
        <v>BE</v>
      </c>
      <c r="D5010" t="str">
        <f>INDEX(nse!C:C,MATCH(B5010,nse!B:B,0))</f>
        <v>Kalyani Forge Limited</v>
      </c>
    </row>
    <row r="5011" spans="2:4" hidden="1" x14ac:dyDescent="0.3">
      <c r="B5011" t="s">
        <v>661</v>
      </c>
      <c r="C5011" t="str">
        <f>INDEX(nse!D:D,MATCH(B5011,nse!B:B,0))</f>
        <v>EQ</v>
      </c>
      <c r="D5011" t="str">
        <f>INDEX(nse!C:C,MATCH(B5011,nse!B:B,0))</f>
        <v>Kamat Hotels (I) Limited</v>
      </c>
    </row>
    <row r="5012" spans="2:4" hidden="1" x14ac:dyDescent="0.3">
      <c r="B5012" t="s">
        <v>3610</v>
      </c>
      <c r="C5012" t="str">
        <f>INDEX(nse!D:D,MATCH(B5012,nse!B:B,0))</f>
        <v>EQ</v>
      </c>
      <c r="D5012" t="str">
        <f>INDEX(nse!C:C,MATCH(B5012,nse!B:B,0))</f>
        <v>Kamdhenu Limited</v>
      </c>
    </row>
    <row r="5013" spans="2:4" hidden="1" x14ac:dyDescent="0.3">
      <c r="B5013" t="s">
        <v>1313</v>
      </c>
      <c r="C5013" t="str">
        <f>INDEX(nse!D:D,MATCH(B5013,nse!B:B,0))</f>
        <v>EQ</v>
      </c>
      <c r="D5013" t="str">
        <f>INDEX(nse!C:C,MATCH(B5013,nse!B:B,0))</f>
        <v>Kanani Industries Limited</v>
      </c>
    </row>
    <row r="5014" spans="2:4" hidden="1" x14ac:dyDescent="0.3">
      <c r="B5014" t="s">
        <v>662</v>
      </c>
      <c r="C5014" t="str">
        <f>INDEX(nse!D:D,MATCH(B5014,nse!B:B,0))</f>
        <v>EQ</v>
      </c>
      <c r="D5014" t="str">
        <f>INDEX(nse!C:C,MATCH(B5014,nse!B:B,0))</f>
        <v>Kanoria Chemicals &amp; Industries Limited</v>
      </c>
    </row>
    <row r="5015" spans="2:4" hidden="1" x14ac:dyDescent="0.3">
      <c r="B5015" t="s">
        <v>72</v>
      </c>
      <c r="C5015" t="str">
        <f>INDEX(nse!D:D,MATCH(B5015,nse!B:B,0))</f>
        <v>EQ</v>
      </c>
      <c r="D5015" t="str">
        <f>INDEX(nse!C:C,MATCH(B5015,nse!B:B,0))</f>
        <v>Kansai Nerolac Paints Limited</v>
      </c>
    </row>
    <row r="5016" spans="2:4" hidden="1" x14ac:dyDescent="0.3">
      <c r="B5016" t="s">
        <v>663</v>
      </c>
      <c r="C5016" t="str">
        <f>INDEX(nse!D:D,MATCH(B5016,nse!B:B,0))</f>
        <v>EQ</v>
      </c>
      <c r="D5016" t="str">
        <f>INDEX(nse!C:C,MATCH(B5016,nse!B:B,0))</f>
        <v>Karma Energy Limited</v>
      </c>
    </row>
    <row r="5017" spans="2:4" hidden="1" x14ac:dyDescent="0.3">
      <c r="B5017" t="s">
        <v>74</v>
      </c>
      <c r="C5017" t="str">
        <f>INDEX(nse!D:D,MATCH(B5017,nse!B:B,0))</f>
        <v>EQ</v>
      </c>
      <c r="D5017" t="str">
        <f>INDEX(nse!C:C,MATCH(B5017,nse!B:B,0))</f>
        <v>Karur Vysya Bank Limited</v>
      </c>
    </row>
    <row r="5018" spans="2:4" hidden="1" x14ac:dyDescent="0.3">
      <c r="B5018" t="s">
        <v>664</v>
      </c>
      <c r="C5018" t="str">
        <f>INDEX(nse!D:D,MATCH(B5018,nse!B:B,0))</f>
        <v>EQ</v>
      </c>
      <c r="D5018" t="str">
        <f>INDEX(nse!C:C,MATCH(B5018,nse!B:B,0))</f>
        <v>Kaushalya Infrastructure Development Corporation Limited</v>
      </c>
    </row>
    <row r="5019" spans="2:4" hidden="1" x14ac:dyDescent="0.3">
      <c r="B5019" t="s">
        <v>665</v>
      </c>
      <c r="C5019" t="str">
        <f>INDEX(nse!D:D,MATCH(B5019,nse!B:B,0))</f>
        <v>EQ</v>
      </c>
      <c r="D5019" t="str">
        <f>INDEX(nse!C:C,MATCH(B5019,nse!B:B,0))</f>
        <v>Kavveri Telecom Products Limited</v>
      </c>
    </row>
    <row r="5020" spans="2:4" hidden="1" x14ac:dyDescent="0.3">
      <c r="B5020" t="s">
        <v>3620</v>
      </c>
      <c r="C5020" t="str">
        <f>INDEX(nse!D:D,MATCH(B5020,nse!B:B,0))</f>
        <v>EQ</v>
      </c>
      <c r="D5020" t="str">
        <f>INDEX(nse!C:C,MATCH(B5020,nse!B:B,0))</f>
        <v>Kaya Limited</v>
      </c>
    </row>
    <row r="5021" spans="2:4" hidden="1" x14ac:dyDescent="0.3">
      <c r="B5021" t="s">
        <v>666</v>
      </c>
      <c r="C5021" t="str">
        <f>INDEX(nse!D:D,MATCH(B5021,nse!B:B,0))</f>
        <v>EQ</v>
      </c>
      <c r="D5021" t="str">
        <f>INDEX(nse!C:C,MATCH(B5021,nse!B:B,0))</f>
        <v>KCP Limited</v>
      </c>
    </row>
    <row r="5022" spans="2:4" hidden="1" x14ac:dyDescent="0.3">
      <c r="B5022" t="s">
        <v>667</v>
      </c>
      <c r="C5022" t="str">
        <f>INDEX(nse!D:D,MATCH(B5022,nse!B:B,0))</f>
        <v>EQ</v>
      </c>
      <c r="D5022" t="str">
        <f>INDEX(nse!C:C,MATCH(B5022,nse!B:B,0))</f>
        <v>KCP Sugar and Industries Corporation Limited</v>
      </c>
    </row>
    <row r="5023" spans="2:4" hidden="1" x14ac:dyDescent="0.3">
      <c r="B5023" t="s">
        <v>3625</v>
      </c>
      <c r="C5023" t="str">
        <f>INDEX(nse!D:D,MATCH(B5023,nse!B:B,0))</f>
        <v>EQ</v>
      </c>
      <c r="D5023" t="str">
        <f>INDEX(nse!C:C,MATCH(B5023,nse!B:B,0))</f>
        <v>KDDL Limited</v>
      </c>
    </row>
    <row r="5024" spans="2:4" hidden="1" x14ac:dyDescent="0.3">
      <c r="B5024" t="s">
        <v>668</v>
      </c>
      <c r="C5024" t="str">
        <f>INDEX(nse!D:D,MATCH(B5024,nse!B:B,0))</f>
        <v>EQ</v>
      </c>
      <c r="D5024" t="str">
        <f>INDEX(nse!C:C,MATCH(B5024,nse!B:B,0))</f>
        <v>KEC International Limited</v>
      </c>
    </row>
    <row r="5025" spans="2:4" hidden="1" x14ac:dyDescent="0.3">
      <c r="B5025" t="s">
        <v>669</v>
      </c>
      <c r="C5025" t="str">
        <f>INDEX(nse!D:D,MATCH(B5025,nse!B:B,0))</f>
        <v>EQ</v>
      </c>
      <c r="D5025" t="str">
        <f>INDEX(nse!C:C,MATCH(B5025,nse!B:B,0))</f>
        <v>Kirloskar Electric Company Limited</v>
      </c>
    </row>
    <row r="5026" spans="2:4" hidden="1" x14ac:dyDescent="0.3">
      <c r="B5026" t="s">
        <v>670</v>
      </c>
      <c r="C5026" t="str">
        <f>INDEX(nse!D:D,MATCH(B5026,nse!B:B,0))</f>
        <v>EQ</v>
      </c>
      <c r="D5026" t="str">
        <f>INDEX(nse!C:C,MATCH(B5026,nse!B:B,0))</f>
        <v>KEI Industries Limited</v>
      </c>
    </row>
    <row r="5027" spans="2:4" hidden="1" x14ac:dyDescent="0.3">
      <c r="B5027" t="s">
        <v>3631</v>
      </c>
      <c r="C5027" t="str">
        <f>INDEX(nse!D:D,MATCH(B5027,nse!B:B,0))</f>
        <v>EQ</v>
      </c>
      <c r="D5027" t="str">
        <f>INDEX(nse!C:C,MATCH(B5027,nse!B:B,0))</f>
        <v>Kellton Tech Solutions Limited</v>
      </c>
    </row>
    <row r="5028" spans="2:4" hidden="1" x14ac:dyDescent="0.3">
      <c r="B5028" t="s">
        <v>671</v>
      </c>
      <c r="C5028" t="str">
        <f>INDEX(nse!D:D,MATCH(B5028,nse!B:B,0))</f>
        <v>BE</v>
      </c>
      <c r="D5028" t="str">
        <f>INDEX(nse!C:C,MATCH(B5028,nse!B:B,0))</f>
        <v>Kernex Microsystems (India) Limited</v>
      </c>
    </row>
    <row r="5029" spans="2:4" hidden="1" x14ac:dyDescent="0.3">
      <c r="B5029" t="s">
        <v>671</v>
      </c>
      <c r="C5029" t="str">
        <f>INDEX(nse!D:D,MATCH(B5029,nse!B:B,0))</f>
        <v>BE</v>
      </c>
      <c r="D5029" t="str">
        <f>INDEX(nse!C:C,MATCH(B5029,nse!B:B,0))</f>
        <v>Kernex Microsystems (India) Limited</v>
      </c>
    </row>
    <row r="5030" spans="2:4" hidden="1" x14ac:dyDescent="0.3">
      <c r="B5030" t="s">
        <v>672</v>
      </c>
      <c r="C5030" t="str">
        <f>INDEX(nse!D:D,MATCH(B5030,nse!B:B,0))</f>
        <v>EQ</v>
      </c>
      <c r="D5030" t="str">
        <f>INDEX(nse!C:C,MATCH(B5030,nse!B:B,0))</f>
        <v>Kesar Enterprises Limited</v>
      </c>
    </row>
    <row r="5031" spans="2:4" hidden="1" x14ac:dyDescent="0.3">
      <c r="B5031" t="s">
        <v>673</v>
      </c>
      <c r="C5031" t="str">
        <f>INDEX(nse!D:D,MATCH(B5031,nse!B:B,0))</f>
        <v>EQ</v>
      </c>
      <c r="D5031" t="str">
        <f>INDEX(nse!C:C,MATCH(B5031,nse!B:B,0))</f>
        <v>Kesoram Industries Limited</v>
      </c>
    </row>
    <row r="5032" spans="2:4" hidden="1" x14ac:dyDescent="0.3">
      <c r="B5032" t="s">
        <v>1314</v>
      </c>
      <c r="C5032" t="str">
        <f>INDEX(nse!D:D,MATCH(B5032,nse!B:B,0))</f>
        <v>EQ</v>
      </c>
      <c r="D5032" t="str">
        <f>INDEX(nse!C:C,MATCH(B5032,nse!B:B,0))</f>
        <v>Keynote Corporate Services Limited</v>
      </c>
    </row>
    <row r="5033" spans="2:4" hidden="1" x14ac:dyDescent="0.3">
      <c r="B5033" t="s">
        <v>674</v>
      </c>
      <c r="C5033" t="str">
        <f>INDEX(nse!D:D,MATCH(B5033,nse!B:B,0))</f>
        <v>EQ</v>
      </c>
      <c r="D5033" t="str">
        <f>INDEX(nse!C:C,MATCH(B5033,nse!B:B,0))</f>
        <v>Karuturi Global Limited</v>
      </c>
    </row>
    <row r="5034" spans="2:4" hidden="1" x14ac:dyDescent="0.3">
      <c r="B5034" t="s">
        <v>675</v>
      </c>
      <c r="C5034" t="str">
        <f>INDEX(nse!D:D,MATCH(B5034,nse!B:B,0))</f>
        <v>BE</v>
      </c>
      <c r="D5034" t="str">
        <f>INDEX(nse!C:C,MATCH(B5034,nse!B:B,0))</f>
        <v>Khaitan Electricals Limited</v>
      </c>
    </row>
    <row r="5035" spans="2:4" hidden="1" x14ac:dyDescent="0.3">
      <c r="B5035" t="s">
        <v>1315</v>
      </c>
      <c r="C5035" t="str">
        <f>INDEX(nse!D:D,MATCH(B5035,nse!B:B,0))</f>
        <v>BE</v>
      </c>
      <c r="D5035" t="str">
        <f>INDEX(nse!C:C,MATCH(B5035,nse!B:B,0))</f>
        <v>Khaitan (India) Limited</v>
      </c>
    </row>
    <row r="5036" spans="2:4" hidden="1" x14ac:dyDescent="0.3">
      <c r="B5036" t="s">
        <v>676</v>
      </c>
      <c r="C5036" t="str">
        <f>INDEX(nse!D:D,MATCH(B5036,nse!B:B,0))</f>
        <v>EQ</v>
      </c>
      <c r="D5036" t="str">
        <f>INDEX(nse!C:C,MATCH(B5036,nse!B:B,0))</f>
        <v>Khandwala Securities Limited</v>
      </c>
    </row>
    <row r="5037" spans="2:4" hidden="1" x14ac:dyDescent="0.3">
      <c r="B5037" t="s">
        <v>677</v>
      </c>
      <c r="C5037" t="str">
        <f>INDEX(nse!D:D,MATCH(B5037,nse!B:B,0))</f>
        <v>EQ</v>
      </c>
      <c r="D5037" t="str">
        <f>INDEX(nse!C:C,MATCH(B5037,nse!B:B,0))</f>
        <v>Kalyani Investment Company Limited</v>
      </c>
    </row>
    <row r="5038" spans="2:4" hidden="1" x14ac:dyDescent="0.3">
      <c r="B5038" t="s">
        <v>678</v>
      </c>
      <c r="C5038" t="str">
        <f>INDEX(nse!D:D,MATCH(B5038,nse!B:B,0))</f>
        <v>BE</v>
      </c>
      <c r="D5038" t="str">
        <f>INDEX(nse!C:C,MATCH(B5038,nse!B:B,0))</f>
        <v>Kilitch Drugs (India) Limited</v>
      </c>
    </row>
    <row r="5039" spans="2:4" hidden="1" x14ac:dyDescent="0.3">
      <c r="B5039" t="s">
        <v>3644</v>
      </c>
      <c r="C5039" t="str">
        <f>INDEX(nse!D:D,MATCH(B5039,nse!B:B,0))</f>
        <v>EQ</v>
      </c>
      <c r="D5039" t="str">
        <f>INDEX(nse!C:C,MATCH(B5039,nse!B:B,0))</f>
        <v>Kingfa Science &amp; Technology (India) Limited</v>
      </c>
    </row>
    <row r="5040" spans="2:4" hidden="1" x14ac:dyDescent="0.3">
      <c r="B5040" t="s">
        <v>3647</v>
      </c>
      <c r="C5040" t="str">
        <f>INDEX(nse!D:D,MATCH(B5040,nse!B:B,0))</f>
        <v>EQ</v>
      </c>
      <c r="D5040" t="str">
        <f>INDEX(nse!C:C,MATCH(B5040,nse!B:B,0))</f>
        <v>KIOCL Limited</v>
      </c>
    </row>
    <row r="5041" spans="2:4" hidden="1" x14ac:dyDescent="0.3">
      <c r="B5041" t="s">
        <v>679</v>
      </c>
      <c r="C5041" t="str">
        <f>INDEX(nse!D:D,MATCH(B5041,nse!B:B,0))</f>
        <v>EQ</v>
      </c>
      <c r="D5041" t="str">
        <f>INDEX(nse!C:C,MATCH(B5041,nse!B:B,0))</f>
        <v>Kiri Industries Limited</v>
      </c>
    </row>
    <row r="5042" spans="2:4" hidden="1" x14ac:dyDescent="0.3">
      <c r="B5042" t="s">
        <v>680</v>
      </c>
      <c r="C5042" t="str">
        <f>INDEX(nse!D:D,MATCH(B5042,nse!B:B,0))</f>
        <v>EQ</v>
      </c>
      <c r="D5042" t="str">
        <f>INDEX(nse!C:C,MATCH(B5042,nse!B:B,0))</f>
        <v>Kirloskar Brothers Limited</v>
      </c>
    </row>
    <row r="5043" spans="2:4" hidden="1" x14ac:dyDescent="0.3">
      <c r="B5043" t="s">
        <v>681</v>
      </c>
      <c r="C5043" t="str">
        <f>INDEX(nse!D:D,MATCH(B5043,nse!B:B,0))</f>
        <v>EQ</v>
      </c>
      <c r="D5043" t="str">
        <f>INDEX(nse!C:C,MATCH(B5043,nse!B:B,0))</f>
        <v>Kirloskar Oil Engines Limited</v>
      </c>
    </row>
    <row r="5044" spans="2:4" hidden="1" x14ac:dyDescent="0.3">
      <c r="B5044" t="s">
        <v>682</v>
      </c>
      <c r="C5044" t="str">
        <f>INDEX(nse!D:D,MATCH(B5044,nse!B:B,0))</f>
        <v>EQ</v>
      </c>
      <c r="D5044" t="str">
        <f>INDEX(nse!C:C,MATCH(B5044,nse!B:B,0))</f>
        <v>Kirloskar Industries Limited</v>
      </c>
    </row>
    <row r="5045" spans="2:4" hidden="1" x14ac:dyDescent="0.3">
      <c r="B5045" t="s">
        <v>683</v>
      </c>
      <c r="C5045" t="str">
        <f>INDEX(nse!D:D,MATCH(B5045,nse!B:B,0))</f>
        <v>EQ</v>
      </c>
      <c r="D5045" t="str">
        <f>INDEX(nse!C:C,MATCH(B5045,nse!B:B,0))</f>
        <v>Kitex Garments Limited</v>
      </c>
    </row>
    <row r="5046" spans="2:4" hidden="1" x14ac:dyDescent="0.3">
      <c r="B5046" t="s">
        <v>684</v>
      </c>
      <c r="C5046" t="str">
        <f>INDEX(nse!D:D,MATCH(B5046,nse!B:B,0))</f>
        <v>EQ</v>
      </c>
      <c r="D5046" t="str">
        <f>INDEX(nse!C:C,MATCH(B5046,nse!B:B,0))</f>
        <v>Kewal Kiran Clothing Limited</v>
      </c>
    </row>
    <row r="5047" spans="2:4" hidden="1" x14ac:dyDescent="0.3">
      <c r="B5047" t="s">
        <v>685</v>
      </c>
      <c r="C5047" t="str">
        <f>INDEX(nse!D:D,MATCH(B5047,nse!B:B,0))</f>
        <v>EQ</v>
      </c>
      <c r="D5047" t="str">
        <f>INDEX(nse!C:C,MATCH(B5047,nse!B:B,0))</f>
        <v>K.M.Sugar Mills Limited</v>
      </c>
    </row>
    <row r="5048" spans="2:4" hidden="1" x14ac:dyDescent="0.3">
      <c r="B5048" t="s">
        <v>686</v>
      </c>
      <c r="C5048" t="str">
        <f>INDEX(nse!D:D,MATCH(B5048,nse!B:B,0))</f>
        <v>EQ</v>
      </c>
      <c r="D5048" t="str">
        <f>INDEX(nse!C:C,MATCH(B5048,nse!B:B,0))</f>
        <v>KNR Constructions Limited</v>
      </c>
    </row>
    <row r="5049" spans="2:4" hidden="1" x14ac:dyDescent="0.3">
      <c r="B5049" t="s">
        <v>687</v>
      </c>
      <c r="C5049" t="str">
        <f>INDEX(nse!D:D,MATCH(B5049,nse!B:B,0))</f>
        <v>EQ</v>
      </c>
      <c r="D5049" t="str">
        <f>INDEX(nse!C:C,MATCH(B5049,nse!B:B,0))</f>
        <v>Kohinoor Foods Limited</v>
      </c>
    </row>
    <row r="5050" spans="2:4" hidden="1" x14ac:dyDescent="0.3">
      <c r="B5050" t="s">
        <v>688</v>
      </c>
      <c r="C5050" t="str">
        <f>INDEX(nse!D:D,MATCH(B5050,nse!B:B,0))</f>
        <v>EQ</v>
      </c>
      <c r="D5050" t="str">
        <f>INDEX(nse!C:C,MATCH(B5050,nse!B:B,0))</f>
        <v>Kokuyo Camlin Limited</v>
      </c>
    </row>
    <row r="5051" spans="2:4" hidden="1" x14ac:dyDescent="0.3">
      <c r="B5051" t="s">
        <v>689</v>
      </c>
      <c r="C5051" t="str">
        <f>INDEX(nse!D:D,MATCH(B5051,nse!B:B,0))</f>
        <v>EQ</v>
      </c>
      <c r="D5051" t="str">
        <f>INDEX(nse!C:C,MATCH(B5051,nse!B:B,0))</f>
        <v>Kolte - Patil Developers Limited</v>
      </c>
    </row>
    <row r="5052" spans="2:4" hidden="1" x14ac:dyDescent="0.3">
      <c r="B5052" t="s">
        <v>690</v>
      </c>
      <c r="C5052" t="str">
        <f>INDEX(nse!D:D,MATCH(B5052,nse!B:B,0))</f>
        <v>EQ</v>
      </c>
      <c r="D5052" t="str">
        <f>INDEX(nse!C:C,MATCH(B5052,nse!B:B,0))</f>
        <v>Kopran Limited</v>
      </c>
    </row>
    <row r="5053" spans="2:4" hidden="1" x14ac:dyDescent="0.3">
      <c r="B5053" t="s">
        <v>691</v>
      </c>
      <c r="C5053" t="str">
        <f>INDEX(nse!D:D,MATCH(B5053,nse!B:B,0))</f>
        <v>EQ</v>
      </c>
      <c r="D5053" t="str">
        <f>INDEX(nse!C:C,MATCH(B5053,nse!B:B,0))</f>
        <v>Kotak Mahindra Bank Limited</v>
      </c>
    </row>
    <row r="5054" spans="2:4" hidden="1" x14ac:dyDescent="0.3">
      <c r="B5054" t="s">
        <v>692</v>
      </c>
      <c r="C5054" t="str">
        <f>INDEX(nse!D:D,MATCH(B5054,nse!B:B,0))</f>
        <v>EQ</v>
      </c>
      <c r="D5054" t="str">
        <f>INDEX(nse!C:C,MATCH(B5054,nse!B:B,0))</f>
        <v>Kothari Sugars And Chemicals Limited</v>
      </c>
    </row>
    <row r="5055" spans="2:4" hidden="1" x14ac:dyDescent="0.3">
      <c r="B5055" t="s">
        <v>693</v>
      </c>
      <c r="C5055" t="str">
        <f>INDEX(nse!D:D,MATCH(B5055,nse!B:B,0))</f>
        <v>EQ</v>
      </c>
      <c r="D5055" t="str">
        <f>INDEX(nse!C:C,MATCH(B5055,nse!B:B,0))</f>
        <v>Kothari Petrochemicals Limited</v>
      </c>
    </row>
    <row r="5056" spans="2:4" hidden="1" x14ac:dyDescent="0.3">
      <c r="B5056" t="s">
        <v>694</v>
      </c>
      <c r="C5056" t="str">
        <f>INDEX(nse!D:D,MATCH(B5056,nse!B:B,0))</f>
        <v>EQ</v>
      </c>
      <c r="D5056" t="str">
        <f>INDEX(nse!C:C,MATCH(B5056,nse!B:B,0))</f>
        <v>Kothari Products Limited</v>
      </c>
    </row>
    <row r="5057" spans="2:4" hidden="1" x14ac:dyDescent="0.3">
      <c r="B5057" t="s">
        <v>22</v>
      </c>
      <c r="C5057" t="str">
        <f>INDEX(nse!D:D,MATCH(B5057,nse!B:B,0))</f>
        <v>EQ</v>
      </c>
      <c r="D5057" t="str">
        <f>INDEX(nse!C:C,MATCH(B5057,nse!B:B,0))</f>
        <v>KPIT Technologies Limited</v>
      </c>
    </row>
    <row r="5058" spans="2:4" hidden="1" x14ac:dyDescent="0.3">
      <c r="B5058" t="s">
        <v>695</v>
      </c>
      <c r="C5058" t="str">
        <f>INDEX(nse!D:D,MATCH(B5058,nse!B:B,0))</f>
        <v>EQ</v>
      </c>
      <c r="D5058" t="str">
        <f>INDEX(nse!C:C,MATCH(B5058,nse!B:B,0))</f>
        <v>K.P.R. Mill Limited</v>
      </c>
    </row>
    <row r="5059" spans="2:4" hidden="1" x14ac:dyDescent="0.3">
      <c r="B5059" t="s">
        <v>113</v>
      </c>
      <c r="C5059" t="str">
        <f>INDEX(nse!D:D,MATCH(B5059,nse!B:B,0))</f>
        <v>EQ</v>
      </c>
      <c r="D5059" t="str">
        <f>INDEX(nse!C:C,MATCH(B5059,nse!B:B,0))</f>
        <v>KRBL Limited</v>
      </c>
    </row>
    <row r="5060" spans="2:4" hidden="1" x14ac:dyDescent="0.3">
      <c r="B5060" t="s">
        <v>1316</v>
      </c>
      <c r="C5060" t="str">
        <f>INDEX(nse!D:D,MATCH(B5060,nse!B:B,0))</f>
        <v>BE</v>
      </c>
      <c r="D5060" t="str">
        <f>INDEX(nse!C:C,MATCH(B5060,nse!B:B,0))</f>
        <v>Krebs Biochemicals and Industries Limited</v>
      </c>
    </row>
    <row r="5061" spans="2:4" hidden="1" x14ac:dyDescent="0.3">
      <c r="B5061" t="s">
        <v>3672</v>
      </c>
      <c r="C5061" t="str">
        <f>INDEX(nse!D:D,MATCH(B5061,nse!B:B,0))</f>
        <v>BE</v>
      </c>
      <c r="D5061" t="str">
        <f>INDEX(nse!C:C,MATCH(B5061,nse!B:B,0))</f>
        <v>Kridhan Infra Limited</v>
      </c>
    </row>
    <row r="5062" spans="2:4" hidden="1" x14ac:dyDescent="0.3">
      <c r="B5062" t="s">
        <v>696</v>
      </c>
      <c r="C5062" t="str">
        <f>INDEX(nse!D:D,MATCH(B5062,nse!B:B,0))</f>
        <v>EQ</v>
      </c>
      <c r="D5062" t="str">
        <f>INDEX(nse!C:C,MATCH(B5062,nse!B:B,0))</f>
        <v>KSB Pumps Limited</v>
      </c>
    </row>
    <row r="5063" spans="2:4" hidden="1" x14ac:dyDescent="0.3">
      <c r="B5063" t="s">
        <v>697</v>
      </c>
      <c r="C5063" t="str">
        <f>INDEX(nse!D:D,MATCH(B5063,nse!B:B,0))</f>
        <v>EQ</v>
      </c>
      <c r="D5063" t="str">
        <f>INDEX(nse!C:C,MATCH(B5063,nse!B:B,0))</f>
        <v>Kaveri Seed Company Limited</v>
      </c>
    </row>
    <row r="5064" spans="2:4" hidden="1" x14ac:dyDescent="0.3">
      <c r="B5064" t="s">
        <v>698</v>
      </c>
      <c r="C5064" t="str">
        <f>INDEX(nse!D:D,MATCH(B5064,nse!B:B,0))</f>
        <v>BE</v>
      </c>
      <c r="D5064" t="str">
        <f>INDEX(nse!C:C,MATCH(B5064,nse!B:B,0))</f>
        <v>KSS Limited</v>
      </c>
    </row>
    <row r="5065" spans="2:4" hidden="1" x14ac:dyDescent="0.3">
      <c r="B5065" t="s">
        <v>699</v>
      </c>
      <c r="C5065" t="str">
        <f>INDEX(nse!D:D,MATCH(B5065,nse!B:B,0))</f>
        <v>BE</v>
      </c>
      <c r="D5065" t="str">
        <f>INDEX(nse!C:C,MATCH(B5065,nse!B:B,0))</f>
        <v>KSK Energy Ventures Limited</v>
      </c>
    </row>
    <row r="5066" spans="2:4" hidden="1" x14ac:dyDescent="0.3">
      <c r="B5066" t="s">
        <v>700</v>
      </c>
      <c r="C5066" t="str">
        <f>INDEX(nse!D:D,MATCH(B5066,nse!B:B,0))</f>
        <v>EQ</v>
      </c>
      <c r="D5066" t="str">
        <f>INDEX(nse!C:C,MATCH(B5066,nse!B:B,0))</f>
        <v>Kalyani Steels Limited</v>
      </c>
    </row>
    <row r="5067" spans="2:4" hidden="1" x14ac:dyDescent="0.3">
      <c r="B5067" t="s">
        <v>701</v>
      </c>
      <c r="C5067" t="str">
        <f>INDEX(nse!D:D,MATCH(B5067,nse!B:B,0))</f>
        <v>EQ</v>
      </c>
      <c r="D5067" t="str">
        <f>INDEX(nse!C:C,MATCH(B5067,nse!B:B,0))</f>
        <v>Kesar Terminals &amp; Infrastructure Limited</v>
      </c>
    </row>
    <row r="5068" spans="2:4" hidden="1" x14ac:dyDescent="0.3">
      <c r="B5068" t="s">
        <v>73</v>
      </c>
      <c r="C5068" t="str">
        <f>INDEX(nse!D:D,MATCH(B5068,nse!B:B,0))</f>
        <v>EQ</v>
      </c>
      <c r="D5068" t="str">
        <f>INDEX(nse!C:C,MATCH(B5068,nse!B:B,0))</f>
        <v>The Karnataka Bank Limited</v>
      </c>
    </row>
    <row r="5069" spans="2:4" hidden="1" x14ac:dyDescent="0.3">
      <c r="B5069" t="s">
        <v>702</v>
      </c>
      <c r="C5069" t="str">
        <f>INDEX(nse!D:D,MATCH(B5069,nse!B:B,0))</f>
        <v>EQ</v>
      </c>
      <c r="D5069" t="str">
        <f>INDEX(nse!C:C,MATCH(B5069,nse!B:B,0))</f>
        <v>kwality limited</v>
      </c>
    </row>
    <row r="5070" spans="2:4" hidden="1" x14ac:dyDescent="0.3">
      <c r="B5070" t="s">
        <v>75</v>
      </c>
      <c r="C5070" t="str">
        <f>INDEX(nse!D:D,MATCH(B5070,nse!B:B,0))</f>
        <v>EQ</v>
      </c>
      <c r="D5070" t="str">
        <f>INDEX(nse!C:C,MATCH(B5070,nse!B:B,0))</f>
        <v>L&amp;T Finance Holdings Limited</v>
      </c>
    </row>
    <row r="5071" spans="2:4" hidden="1" x14ac:dyDescent="0.3">
      <c r="B5071" t="s">
        <v>703</v>
      </c>
      <c r="C5071" t="str">
        <f>INDEX(nse!D:D,MATCH(B5071,nse!B:B,0))</f>
        <v>EQ</v>
      </c>
      <c r="D5071" t="str">
        <f>INDEX(nse!C:C,MATCH(B5071,nse!B:B,0))</f>
        <v>Lakshmi Precision Screws Limited</v>
      </c>
    </row>
    <row r="5072" spans="2:4" hidden="1" x14ac:dyDescent="0.3">
      <c r="B5072" t="s">
        <v>704</v>
      </c>
      <c r="C5072" t="str">
        <f>INDEX(nse!D:D,MATCH(B5072,nse!B:B,0))</f>
        <v>EQ</v>
      </c>
      <c r="D5072" t="str">
        <f>INDEX(nse!C:C,MATCH(B5072,nse!B:B,0))</f>
        <v>Lakshmi Energy and Foods Limited</v>
      </c>
    </row>
    <row r="5073" spans="2:4" hidden="1" x14ac:dyDescent="0.3">
      <c r="B5073" t="s">
        <v>705</v>
      </c>
      <c r="C5073" t="str">
        <f>INDEX(nse!D:D,MATCH(B5073,nse!B:B,0))</f>
        <v>EQ</v>
      </c>
      <c r="D5073" t="str">
        <f>INDEX(nse!C:C,MATCH(B5073,nse!B:B,0))</f>
        <v>Lakshmi Vilas Bank Limited</v>
      </c>
    </row>
    <row r="5074" spans="2:4" hidden="1" x14ac:dyDescent="0.3">
      <c r="B5074" t="s">
        <v>3687</v>
      </c>
      <c r="C5074" t="str">
        <f>INDEX(nse!D:D,MATCH(B5074,nse!B:B,0))</f>
        <v>EQ</v>
      </c>
      <c r="D5074" t="str">
        <f>INDEX(nse!C:C,MATCH(B5074,nse!B:B,0))</f>
        <v>Dr. Lal Path Labs Ltd.</v>
      </c>
    </row>
    <row r="5075" spans="2:4" hidden="1" x14ac:dyDescent="0.3">
      <c r="B5075" t="s">
        <v>3690</v>
      </c>
      <c r="C5075" t="str">
        <f>INDEX(nse!D:D,MATCH(B5075,nse!B:B,0))</f>
        <v>EQ</v>
      </c>
      <c r="D5075" t="str">
        <f>INDEX(nse!C:C,MATCH(B5075,nse!B:B,0))</f>
        <v>Lambodhara Textiles Limited</v>
      </c>
    </row>
    <row r="5076" spans="2:4" hidden="1" x14ac:dyDescent="0.3">
      <c r="B5076" t="s">
        <v>706</v>
      </c>
      <c r="C5076" t="str">
        <f>INDEX(nse!D:D,MATCH(B5076,nse!B:B,0))</f>
        <v>EQ</v>
      </c>
      <c r="D5076" t="str">
        <f>INDEX(nse!C:C,MATCH(B5076,nse!B:B,0))</f>
        <v>La Opala RG Limited</v>
      </c>
    </row>
    <row r="5077" spans="2:4" hidden="1" x14ac:dyDescent="0.3">
      <c r="B5077" t="s">
        <v>3694</v>
      </c>
      <c r="C5077" t="str">
        <f>INDEX(nse!D:D,MATCH(B5077,nse!B:B,0))</f>
        <v>EQ</v>
      </c>
      <c r="D5077" t="str">
        <f>INDEX(nse!C:C,MATCH(B5077,nse!B:B,0))</f>
        <v>Laurus Labs Limited</v>
      </c>
    </row>
    <row r="5078" spans="2:4" hidden="1" x14ac:dyDescent="0.3">
      <c r="B5078" t="s">
        <v>707</v>
      </c>
      <c r="C5078" t="str">
        <f>INDEX(nse!D:D,MATCH(B5078,nse!B:B,0))</f>
        <v>EQ</v>
      </c>
      <c r="D5078" t="str">
        <f>INDEX(nse!C:C,MATCH(B5078,nse!B:B,0))</f>
        <v>Lakshmi Machine Works Limited</v>
      </c>
    </row>
    <row r="5079" spans="2:4" hidden="1" x14ac:dyDescent="0.3">
      <c r="B5079" t="s">
        <v>1317</v>
      </c>
      <c r="C5079" t="str">
        <f>INDEX(nse!D:D,MATCH(B5079,nse!B:B,0))</f>
        <v>BE</v>
      </c>
      <c r="D5079" t="str">
        <f>INDEX(nse!C:C,MATCH(B5079,nse!B:B,0))</f>
        <v>LCC Infotech Limited</v>
      </c>
    </row>
    <row r="5080" spans="2:4" hidden="1" x14ac:dyDescent="0.3">
      <c r="B5080" t="s">
        <v>3699</v>
      </c>
      <c r="C5080" t="str">
        <f>INDEX(nse!D:D,MATCH(B5080,nse!B:B,0))</f>
        <v>BE</v>
      </c>
      <c r="D5080" t="str">
        <f>INDEX(nse!C:C,MATCH(B5080,nse!B:B,0))</f>
        <v>Lakshmi Finance &amp; Industrial Corporation Limited</v>
      </c>
    </row>
    <row r="5081" spans="2:4" hidden="1" x14ac:dyDescent="0.3">
      <c r="B5081" t="s">
        <v>708</v>
      </c>
      <c r="C5081" t="str">
        <f>INDEX(nse!D:D,MATCH(B5081,nse!B:B,0))</f>
        <v>EQ</v>
      </c>
      <c r="D5081" t="str">
        <f>INDEX(nse!C:C,MATCH(B5081,nse!B:B,0))</f>
        <v>LG Balakrishnan &amp; Bros Limited</v>
      </c>
    </row>
    <row r="5082" spans="2:4" hidden="1" x14ac:dyDescent="0.3">
      <c r="B5082" t="s">
        <v>709</v>
      </c>
      <c r="C5082" t="str">
        <f>INDEX(nse!D:D,MATCH(B5082,nse!B:B,0))</f>
        <v>BE</v>
      </c>
      <c r="D5082" t="str">
        <f>INDEX(nse!C:C,MATCH(B5082,nse!B:B,0))</f>
        <v>LGB Forge Limited</v>
      </c>
    </row>
    <row r="5083" spans="2:4" hidden="1" x14ac:dyDescent="0.3">
      <c r="B5083" t="s">
        <v>710</v>
      </c>
      <c r="C5083" t="str">
        <f>INDEX(nse!D:D,MATCH(B5083,nse!B:B,0))</f>
        <v>EQ</v>
      </c>
      <c r="D5083" t="str">
        <f>INDEX(nse!C:C,MATCH(B5083,nse!B:B,0))</f>
        <v>Liberty Shoes Limited</v>
      </c>
    </row>
    <row r="5084" spans="2:4" hidden="1" x14ac:dyDescent="0.3">
      <c r="B5084" t="s">
        <v>711</v>
      </c>
      <c r="C5084" t="str">
        <f>INDEX(nse!D:D,MATCH(B5084,nse!B:B,0))</f>
        <v>EQ</v>
      </c>
      <c r="D5084" t="str">
        <f>INDEX(nse!C:C,MATCH(B5084,nse!B:B,0))</f>
        <v>LIC Housing Finance Limited</v>
      </c>
    </row>
    <row r="5085" spans="2:4" hidden="1" x14ac:dyDescent="0.3">
      <c r="B5085" t="s">
        <v>3706</v>
      </c>
      <c r="C5085" t="str">
        <f>INDEX(nse!D:D,MATCH(B5085,nse!B:B,0))</f>
        <v>EQ</v>
      </c>
      <c r="D5085" t="str">
        <f>INDEX(nse!C:C,MATCH(B5085,nse!B:B,0))</f>
        <v>Lincoln Pharmaceuticals Limited</v>
      </c>
    </row>
    <row r="5086" spans="2:4" hidden="1" x14ac:dyDescent="0.3">
      <c r="B5086" t="s">
        <v>3709</v>
      </c>
      <c r="C5086" t="str">
        <f>INDEX(nse!D:D,MATCH(B5086,nse!B:B,0))</f>
        <v>EQ</v>
      </c>
      <c r="D5086" t="str">
        <f>INDEX(nse!C:C,MATCH(B5086,nse!B:B,0))</f>
        <v>Linc Pen &amp; Plastics Limited</v>
      </c>
    </row>
    <row r="5087" spans="2:4" hidden="1" x14ac:dyDescent="0.3">
      <c r="B5087" t="s">
        <v>712</v>
      </c>
      <c r="C5087" t="str">
        <f>INDEX(nse!D:D,MATCH(B5087,nse!B:B,0))</f>
        <v>EQ</v>
      </c>
      <c r="D5087" t="str">
        <f>INDEX(nse!C:C,MATCH(B5087,nse!B:B,0))</f>
        <v>Linde India Limited</v>
      </c>
    </row>
    <row r="5088" spans="2:4" hidden="1" x14ac:dyDescent="0.3">
      <c r="B5088" t="s">
        <v>713</v>
      </c>
      <c r="C5088" t="str">
        <f>INDEX(nse!D:D,MATCH(B5088,nse!B:B,0))</f>
        <v>EQ</v>
      </c>
      <c r="D5088" t="str">
        <f>INDEX(nse!C:C,MATCH(B5088,nse!B:B,0))</f>
        <v>Lanco Infratech Limited</v>
      </c>
    </row>
    <row r="5089" spans="2:4" hidden="1" x14ac:dyDescent="0.3">
      <c r="B5089" t="s">
        <v>714</v>
      </c>
      <c r="C5089" t="str">
        <f>INDEX(nse!D:D,MATCH(B5089,nse!B:B,0))</f>
        <v>EQ</v>
      </c>
      <c r="D5089" t="str">
        <f>INDEX(nse!C:C,MATCH(B5089,nse!B:B,0))</f>
        <v>Lloyd Electric &amp; Engineering Limited</v>
      </c>
    </row>
    <row r="5090" spans="2:4" hidden="1" x14ac:dyDescent="0.3">
      <c r="B5090" t="s">
        <v>715</v>
      </c>
      <c r="C5090" t="str">
        <f>INDEX(nse!D:D,MATCH(B5090,nse!B:B,0))</f>
        <v>EQ</v>
      </c>
      <c r="D5090" t="str">
        <f>INDEX(nse!C:C,MATCH(B5090,nse!B:B,0))</f>
        <v>LML Limited</v>
      </c>
    </row>
    <row r="5091" spans="2:4" hidden="1" x14ac:dyDescent="0.3">
      <c r="B5091" t="s">
        <v>716</v>
      </c>
      <c r="C5091" t="str">
        <f>INDEX(nse!D:D,MATCH(B5091,nse!B:B,0))</f>
        <v>EQ</v>
      </c>
      <c r="D5091" t="str">
        <f>INDEX(nse!C:C,MATCH(B5091,nse!B:B,0))</f>
        <v>Lokesh Machines Limited</v>
      </c>
    </row>
    <row r="5092" spans="2:4" hidden="1" x14ac:dyDescent="0.3">
      <c r="B5092" t="s">
        <v>717</v>
      </c>
      <c r="C5092" t="str">
        <f>INDEX(nse!D:D,MATCH(B5092,nse!B:B,0))</f>
        <v>EQ</v>
      </c>
      <c r="D5092" t="str">
        <f>INDEX(nse!C:C,MATCH(B5092,nse!B:B,0))</f>
        <v>Lotus Eye Care Hospital Limited</v>
      </c>
    </row>
    <row r="5093" spans="2:4" hidden="1" x14ac:dyDescent="0.3">
      <c r="B5093" t="s">
        <v>718</v>
      </c>
      <c r="C5093" t="str">
        <f>INDEX(nse!D:D,MATCH(B5093,nse!B:B,0))</f>
        <v>EQ</v>
      </c>
      <c r="D5093" t="str">
        <f>INDEX(nse!C:C,MATCH(B5093,nse!B:B,0))</f>
        <v>Lovable Lingerie Limited</v>
      </c>
    </row>
    <row r="5094" spans="2:4" hidden="1" x14ac:dyDescent="0.3">
      <c r="B5094" t="s">
        <v>719</v>
      </c>
      <c r="C5094" t="str">
        <f>INDEX(nse!D:D,MATCH(B5094,nse!B:B,0))</f>
        <v>EQ</v>
      </c>
      <c r="D5094" t="str">
        <f>INDEX(nse!C:C,MATCH(B5094,nse!B:B,0))</f>
        <v>Landmark Property Development Company Limited</v>
      </c>
    </row>
    <row r="5095" spans="2:4" hidden="1" x14ac:dyDescent="0.3">
      <c r="B5095" t="s">
        <v>3720</v>
      </c>
      <c r="C5095" t="str">
        <f>INDEX(nse!D:D,MATCH(B5095,nse!B:B,0))</f>
        <v>EQ</v>
      </c>
      <c r="D5095" t="str">
        <f>INDEX(nse!C:C,MATCH(B5095,nse!B:B,0))</f>
        <v>Lloyds Steels Industries Limited</v>
      </c>
    </row>
    <row r="5096" spans="2:4" hidden="1" x14ac:dyDescent="0.3">
      <c r="B5096" t="s">
        <v>127</v>
      </c>
      <c r="C5096" t="str">
        <f>INDEX(nse!D:D,MATCH(B5096,nse!B:B,0))</f>
        <v>EQ</v>
      </c>
      <c r="D5096" t="str">
        <f>INDEX(nse!C:C,MATCH(B5096,nse!B:B,0))</f>
        <v>Larsen &amp; Toubro Limited</v>
      </c>
    </row>
    <row r="5097" spans="2:4" hidden="1" x14ac:dyDescent="0.3">
      <c r="B5097" t="s">
        <v>3724</v>
      </c>
      <c r="C5097" t="str">
        <f>INDEX(nse!D:D,MATCH(B5097,nse!B:B,0))</f>
        <v>EQ</v>
      </c>
      <c r="D5097" t="str">
        <f>INDEX(nse!C:C,MATCH(B5097,nse!B:B,0))</f>
        <v>Larsen &amp; Toubro Infotech Limited</v>
      </c>
    </row>
    <row r="5098" spans="2:4" hidden="1" x14ac:dyDescent="0.3">
      <c r="B5098" t="s">
        <v>3727</v>
      </c>
      <c r="C5098" t="str">
        <f>INDEX(nse!D:D,MATCH(B5098,nse!B:B,0))</f>
        <v>EQ</v>
      </c>
      <c r="D5098" t="str">
        <f>INDEX(nse!C:C,MATCH(B5098,nse!B:B,0))</f>
        <v>L&amp;T Technology Services Limited</v>
      </c>
    </row>
    <row r="5099" spans="2:4" hidden="1" x14ac:dyDescent="0.3">
      <c r="B5099" t="s">
        <v>720</v>
      </c>
      <c r="C5099" t="str">
        <f>INDEX(nse!D:D,MATCH(B5099,nse!B:B,0))</f>
        <v>EQ</v>
      </c>
      <c r="D5099" t="str">
        <f>INDEX(nse!C:C,MATCH(B5099,nse!B:B,0))</f>
        <v>Lumax Industries Limited</v>
      </c>
    </row>
    <row r="5100" spans="2:4" hidden="1" x14ac:dyDescent="0.3">
      <c r="B5100" t="s">
        <v>721</v>
      </c>
      <c r="C5100" t="str">
        <f>INDEX(nse!D:D,MATCH(B5100,nse!B:B,0))</f>
        <v>EQ</v>
      </c>
      <c r="D5100" t="str">
        <f>INDEX(nse!C:C,MATCH(B5100,nse!B:B,0))</f>
        <v>Lumax Auto Technologies Limited</v>
      </c>
    </row>
    <row r="5101" spans="2:4" hidden="1" x14ac:dyDescent="0.3">
      <c r="B5101" t="s">
        <v>722</v>
      </c>
      <c r="C5101" t="str">
        <f>INDEX(nse!D:D,MATCH(B5101,nse!B:B,0))</f>
        <v>EQ</v>
      </c>
      <c r="D5101" t="str">
        <f>INDEX(nse!C:C,MATCH(B5101,nse!B:B,0))</f>
        <v>Lupin Limited</v>
      </c>
    </row>
    <row r="5102" spans="2:4" hidden="1" x14ac:dyDescent="0.3">
      <c r="B5102" t="s">
        <v>3733</v>
      </c>
      <c r="C5102" t="str">
        <f>INDEX(nse!D:D,MATCH(B5102,nse!B:B,0))</f>
        <v>EQ</v>
      </c>
      <c r="D5102" t="str">
        <f>INDEX(nse!C:C,MATCH(B5102,nse!B:B,0))</f>
        <v>Lux Industries Limited</v>
      </c>
    </row>
    <row r="5103" spans="2:4" hidden="1" x14ac:dyDescent="0.3">
      <c r="B5103" t="s">
        <v>3736</v>
      </c>
      <c r="C5103" t="str">
        <f>INDEX(nse!D:D,MATCH(B5103,nse!B:B,0))</f>
        <v>BE</v>
      </c>
      <c r="D5103" t="str">
        <f>INDEX(nse!C:C,MATCH(B5103,nse!B:B,0))</f>
        <v>Lycos Internet Limited</v>
      </c>
    </row>
    <row r="5104" spans="2:4" hidden="1" x14ac:dyDescent="0.3">
      <c r="B5104" t="s">
        <v>723</v>
      </c>
      <c r="C5104" t="str">
        <f>INDEX(nse!D:D,MATCH(B5104,nse!B:B,0))</f>
        <v>EQ</v>
      </c>
      <c r="D5104" t="str">
        <f>INDEX(nse!C:C,MATCH(B5104,nse!B:B,0))</f>
        <v>Lyka Labs Limited</v>
      </c>
    </row>
    <row r="5105" spans="2:4" hidden="1" x14ac:dyDescent="0.3">
      <c r="B5105" t="s">
        <v>724</v>
      </c>
      <c r="C5105" t="str">
        <f>INDEX(nse!D:D,MATCH(B5105,nse!B:B,0))</f>
        <v>EQ</v>
      </c>
      <c r="D5105" t="str">
        <f>INDEX(nse!C:C,MATCH(B5105,nse!B:B,0))</f>
        <v>Lypsa Gems &amp; Jewellery Limited</v>
      </c>
    </row>
    <row r="5106" spans="2:4" hidden="1" x14ac:dyDescent="0.3">
      <c r="B5106" t="s">
        <v>725</v>
      </c>
      <c r="C5106" t="str">
        <f>INDEX(nse!D:D,MATCH(B5106,nse!B:B,0))</f>
        <v>EQ</v>
      </c>
      <c r="D5106" t="str">
        <f>INDEX(nse!C:C,MATCH(B5106,nse!B:B,0))</f>
        <v>Mahindra &amp; Mahindra Limited</v>
      </c>
    </row>
    <row r="5107" spans="2:4" hidden="1" x14ac:dyDescent="0.3">
      <c r="B5107" t="s">
        <v>76</v>
      </c>
      <c r="C5107" t="str">
        <f>INDEX(nse!D:D,MATCH(B5107,nse!B:B,0))</f>
        <v>EQ</v>
      </c>
      <c r="D5107" t="str">
        <f>INDEX(nse!C:C,MATCH(B5107,nse!B:B,0))</f>
        <v>Mahindra &amp; Mahindra Financial Services Limited</v>
      </c>
    </row>
    <row r="5108" spans="2:4" hidden="1" x14ac:dyDescent="0.3">
      <c r="B5108" t="s">
        <v>726</v>
      </c>
      <c r="C5108" t="str">
        <f>INDEX(nse!D:D,MATCH(B5108,nse!B:B,0))</f>
        <v>EQ</v>
      </c>
      <c r="D5108" t="str">
        <f>INDEX(nse!C:C,MATCH(B5108,nse!B:B,0))</f>
        <v>Maan Aluminium Limited</v>
      </c>
    </row>
    <row r="5109" spans="2:4" hidden="1" x14ac:dyDescent="0.3">
      <c r="B5109" t="s">
        <v>727</v>
      </c>
      <c r="C5109" t="str">
        <f>INDEX(nse!D:D,MATCH(B5109,nse!B:B,0))</f>
        <v>EQ</v>
      </c>
      <c r="D5109" t="str">
        <f>INDEX(nse!C:C,MATCH(B5109,nse!B:B,0))</f>
        <v>Madhav Marbles and Granites Limited</v>
      </c>
    </row>
    <row r="5110" spans="2:4" hidden="1" x14ac:dyDescent="0.3">
      <c r="B5110" t="s">
        <v>728</v>
      </c>
      <c r="C5110" t="str">
        <f>INDEX(nse!D:D,MATCH(B5110,nse!B:B,0))</f>
        <v>EQ</v>
      </c>
      <c r="D5110" t="str">
        <f>INDEX(nse!C:C,MATCH(B5110,nse!B:B,0))</f>
        <v>Madhucon Projects Limited</v>
      </c>
    </row>
    <row r="5111" spans="2:4" hidden="1" x14ac:dyDescent="0.3">
      <c r="B5111" t="s">
        <v>729</v>
      </c>
      <c r="C5111" t="str">
        <f>INDEX(nse!D:D,MATCH(B5111,nse!B:B,0))</f>
        <v>BE</v>
      </c>
      <c r="D5111" t="str">
        <f>INDEX(nse!C:C,MATCH(B5111,nse!B:B,0))</f>
        <v>Madras Fertilizers Limited</v>
      </c>
    </row>
    <row r="5112" spans="2:4" hidden="1" x14ac:dyDescent="0.3">
      <c r="B5112" t="s">
        <v>730</v>
      </c>
      <c r="C5112" t="str">
        <f>INDEX(nse!D:D,MATCH(B5112,nse!B:B,0))</f>
        <v>EQ</v>
      </c>
      <c r="D5112" t="str">
        <f>INDEX(nse!C:C,MATCH(B5112,nse!B:B,0))</f>
        <v>Magma Fincorp Limited</v>
      </c>
    </row>
    <row r="5113" spans="2:4" hidden="1" x14ac:dyDescent="0.3">
      <c r="B5113" t="s">
        <v>731</v>
      </c>
      <c r="C5113" t="str">
        <f>INDEX(nse!D:D,MATCH(B5113,nse!B:B,0))</f>
        <v>EQ</v>
      </c>
      <c r="D5113" t="str">
        <f>INDEX(nse!C:C,MATCH(B5113,nse!B:B,0))</f>
        <v>Magnum Ventures Limited</v>
      </c>
    </row>
    <row r="5114" spans="2:4" hidden="1" x14ac:dyDescent="0.3">
      <c r="B5114" t="s">
        <v>732</v>
      </c>
      <c r="C5114" t="str">
        <f>INDEX(nse!D:D,MATCH(B5114,nse!B:B,0))</f>
        <v>EQ</v>
      </c>
      <c r="D5114" t="str">
        <f>INDEX(nse!C:C,MATCH(B5114,nse!B:B,0))</f>
        <v>Bank of Maharashtra</v>
      </c>
    </row>
    <row r="5115" spans="2:4" hidden="1" x14ac:dyDescent="0.3">
      <c r="B5115" t="s">
        <v>3750</v>
      </c>
      <c r="C5115" t="str">
        <f>INDEX(nse!D:D,MATCH(B5115,nse!B:B,0))</f>
        <v>EQ</v>
      </c>
      <c r="D5115" t="str">
        <f>INDEX(nse!C:C,MATCH(B5115,nse!B:B,0))</f>
        <v>Mahamaya Steel Industries Limited</v>
      </c>
    </row>
    <row r="5116" spans="2:4" hidden="1" x14ac:dyDescent="0.3">
      <c r="B5116" t="s">
        <v>733</v>
      </c>
      <c r="C5116" t="str">
        <f>INDEX(nse!D:D,MATCH(B5116,nse!B:B,0))</f>
        <v>EQ</v>
      </c>
      <c r="D5116" t="str">
        <f>INDEX(nse!C:C,MATCH(B5116,nse!B:B,0))</f>
        <v>Mahindra CIE Automotive Limited</v>
      </c>
    </row>
    <row r="5117" spans="2:4" hidden="1" x14ac:dyDescent="0.3">
      <c r="B5117" t="s">
        <v>734</v>
      </c>
      <c r="C5117" t="str">
        <f>INDEX(nse!D:D,MATCH(B5117,nse!B:B,0))</f>
        <v>EQ</v>
      </c>
      <c r="D5117" t="str">
        <f>INDEX(nse!C:C,MATCH(B5117,nse!B:B,0))</f>
        <v>Mahindra Lifespace Developers Limited</v>
      </c>
    </row>
    <row r="5118" spans="2:4" hidden="1" x14ac:dyDescent="0.3">
      <c r="B5118" t="s">
        <v>735</v>
      </c>
      <c r="C5118" t="str">
        <f>INDEX(nse!D:D,MATCH(B5118,nse!B:B,0))</f>
        <v>EQ</v>
      </c>
      <c r="D5118" t="str">
        <f>INDEX(nse!C:C,MATCH(B5118,nse!B:B,0))</f>
        <v>Maharashtra Scooters Limited</v>
      </c>
    </row>
    <row r="5119" spans="2:4" hidden="1" x14ac:dyDescent="0.3">
      <c r="B5119" t="s">
        <v>736</v>
      </c>
      <c r="C5119" t="str">
        <f>INDEX(nse!D:D,MATCH(B5119,nse!B:B,0))</f>
        <v>EQ</v>
      </c>
      <c r="D5119" t="str">
        <f>INDEX(nse!C:C,MATCH(B5119,nse!B:B,0))</f>
        <v>Maharashtra Seamless Limited</v>
      </c>
    </row>
    <row r="5120" spans="2:4" hidden="1" x14ac:dyDescent="0.3">
      <c r="B5120" t="s">
        <v>737</v>
      </c>
      <c r="C5120" t="str">
        <f>INDEX(nse!D:D,MATCH(B5120,nse!B:B,0))</f>
        <v>EQ</v>
      </c>
      <c r="D5120" t="str">
        <f>INDEX(nse!C:C,MATCH(B5120,nse!B:B,0))</f>
        <v>Maithan Alloys Limited</v>
      </c>
    </row>
    <row r="5121" spans="2:4" hidden="1" x14ac:dyDescent="0.3">
      <c r="B5121" t="s">
        <v>3758</v>
      </c>
      <c r="C5121" t="str">
        <f>INDEX(nse!D:D,MATCH(B5121,nse!B:B,0))</f>
        <v>EQ</v>
      </c>
      <c r="D5121" t="str">
        <f>INDEX(nse!C:C,MATCH(B5121,nse!B:B,0))</f>
        <v>Majesco Limited</v>
      </c>
    </row>
    <row r="5122" spans="2:4" hidden="1" x14ac:dyDescent="0.3">
      <c r="B5122" t="s">
        <v>738</v>
      </c>
      <c r="C5122" t="str">
        <f>INDEX(nse!D:D,MATCH(B5122,nse!B:B,0))</f>
        <v>EQ</v>
      </c>
      <c r="D5122" t="str">
        <f>INDEX(nse!C:C,MATCH(B5122,nse!B:B,0))</f>
        <v>Malu Paper Mills Limited</v>
      </c>
    </row>
    <row r="5123" spans="2:4" hidden="1" x14ac:dyDescent="0.3">
      <c r="B5123" t="s">
        <v>739</v>
      </c>
      <c r="C5123" t="str">
        <f>INDEX(nse!D:D,MATCH(B5123,nse!B:B,0))</f>
        <v>BE</v>
      </c>
      <c r="D5123" t="str">
        <f>INDEX(nse!C:C,MATCH(B5123,nse!B:B,0))</f>
        <v>Malwa Cotton Spg. Mills Limited</v>
      </c>
    </row>
    <row r="5124" spans="2:4" hidden="1" x14ac:dyDescent="0.3">
      <c r="B5124" t="s">
        <v>3763</v>
      </c>
      <c r="C5124" t="str">
        <f>INDEX(nse!D:D,MATCH(B5124,nse!B:B,0))</f>
        <v>BE</v>
      </c>
      <c r="D5124" t="str">
        <f>INDEX(nse!C:C,MATCH(B5124,nse!B:B,0))</f>
        <v>Manaksia Aluminium Company Limited</v>
      </c>
    </row>
    <row r="5125" spans="2:4" hidden="1" x14ac:dyDescent="0.3">
      <c r="B5125" t="s">
        <v>3766</v>
      </c>
      <c r="C5125" t="str">
        <f>INDEX(nse!D:D,MATCH(B5125,nse!B:B,0))</f>
        <v>EQ</v>
      </c>
      <c r="D5125" t="str">
        <f>INDEX(nse!C:C,MATCH(B5125,nse!B:B,0))</f>
        <v>Manaksia Coated Metals &amp; Industries Limited</v>
      </c>
    </row>
    <row r="5126" spans="2:4" hidden="1" x14ac:dyDescent="0.3">
      <c r="B5126" t="s">
        <v>3769</v>
      </c>
      <c r="C5126" t="str">
        <f>INDEX(nse!D:D,MATCH(B5126,nse!B:B,0))</f>
        <v>BE</v>
      </c>
      <c r="D5126" t="str">
        <f>INDEX(nse!C:C,MATCH(B5126,nse!B:B,0))</f>
        <v>Manaksia Industries Limited</v>
      </c>
    </row>
    <row r="5127" spans="2:4" hidden="1" x14ac:dyDescent="0.3">
      <c r="B5127" t="s">
        <v>740</v>
      </c>
      <c r="C5127" t="str">
        <f>INDEX(nse!D:D,MATCH(B5127,nse!B:B,0))</f>
        <v>EQ</v>
      </c>
      <c r="D5127" t="str">
        <f>INDEX(nse!C:C,MATCH(B5127,nse!B:B,0))</f>
        <v>Manaksia Limited</v>
      </c>
    </row>
    <row r="5128" spans="2:4" hidden="1" x14ac:dyDescent="0.3">
      <c r="B5128" t="s">
        <v>3773</v>
      </c>
      <c r="C5128" t="str">
        <f>INDEX(nse!D:D,MATCH(B5128,nse!B:B,0))</f>
        <v>EQ</v>
      </c>
      <c r="D5128" t="str">
        <f>INDEX(nse!C:C,MATCH(B5128,nse!B:B,0))</f>
        <v>Manaksia Steels Limited</v>
      </c>
    </row>
    <row r="5129" spans="2:4" hidden="1" x14ac:dyDescent="0.3">
      <c r="B5129" t="s">
        <v>741</v>
      </c>
      <c r="C5129" t="str">
        <f>INDEX(nse!D:D,MATCH(B5129,nse!B:B,0))</f>
        <v>EQ</v>
      </c>
      <c r="D5129" t="str">
        <f>INDEX(nse!C:C,MATCH(B5129,nse!B:B,0))</f>
        <v>Manali Petrochemicals Limited</v>
      </c>
    </row>
    <row r="5130" spans="2:4" hidden="1" x14ac:dyDescent="0.3">
      <c r="B5130" t="s">
        <v>3777</v>
      </c>
      <c r="C5130" t="str">
        <f>INDEX(nse!D:D,MATCH(B5130,nse!B:B,0))</f>
        <v>EQ</v>
      </c>
      <c r="D5130" t="str">
        <f>INDEX(nse!C:C,MATCH(B5130,nse!B:B,0))</f>
        <v>Manappuram Finance Limited</v>
      </c>
    </row>
    <row r="5131" spans="2:4" hidden="1" x14ac:dyDescent="0.3">
      <c r="B5131" t="s">
        <v>742</v>
      </c>
      <c r="C5131" t="str">
        <f>INDEX(nse!D:D,MATCH(B5131,nse!B:B,0))</f>
        <v>EQ</v>
      </c>
      <c r="D5131" t="str">
        <f>INDEX(nse!C:C,MATCH(B5131,nse!B:B,0))</f>
        <v>Mandhana Industries Limited</v>
      </c>
    </row>
    <row r="5132" spans="2:4" hidden="1" x14ac:dyDescent="0.3">
      <c r="B5132" t="s">
        <v>743</v>
      </c>
      <c r="C5132" t="str">
        <f>INDEX(nse!D:D,MATCH(B5132,nse!B:B,0))</f>
        <v>EQ</v>
      </c>
      <c r="D5132" t="str">
        <f>INDEX(nse!C:C,MATCH(B5132,nse!B:B,0))</f>
        <v>Mangalam Drugs And Organics Limited</v>
      </c>
    </row>
    <row r="5133" spans="2:4" hidden="1" x14ac:dyDescent="0.3">
      <c r="B5133" t="s">
        <v>744</v>
      </c>
      <c r="C5133" t="str">
        <f>INDEX(nse!D:D,MATCH(B5133,nse!B:B,0))</f>
        <v>EQ</v>
      </c>
      <c r="D5133" t="str">
        <f>INDEX(nse!C:C,MATCH(B5133,nse!B:B,0))</f>
        <v>Mangalore Chemicals &amp; Fertilizers Limited</v>
      </c>
    </row>
    <row r="5134" spans="2:4" hidden="1" x14ac:dyDescent="0.3">
      <c r="B5134" t="s">
        <v>745</v>
      </c>
      <c r="C5134" t="str">
        <f>INDEX(nse!D:D,MATCH(B5134,nse!B:B,0))</f>
        <v>EQ</v>
      </c>
      <c r="D5134" t="str">
        <f>INDEX(nse!C:C,MATCH(B5134,nse!B:B,0))</f>
        <v>Mangalam Cement Limited</v>
      </c>
    </row>
    <row r="5135" spans="2:4" hidden="1" x14ac:dyDescent="0.3">
      <c r="B5135" t="s">
        <v>746</v>
      </c>
      <c r="C5135" t="str">
        <f>INDEX(nse!D:D,MATCH(B5135,nse!B:B,0))</f>
        <v>EQ</v>
      </c>
      <c r="D5135" t="str">
        <f>INDEX(nse!C:C,MATCH(B5135,nse!B:B,0))</f>
        <v>Mangalam Timber Products Limited</v>
      </c>
    </row>
    <row r="5136" spans="2:4" hidden="1" x14ac:dyDescent="0.3">
      <c r="B5136" t="s">
        <v>747</v>
      </c>
      <c r="C5136" t="str">
        <f>INDEX(nse!D:D,MATCH(B5136,nse!B:B,0))</f>
        <v>EQ</v>
      </c>
      <c r="D5136" t="str">
        <f>INDEX(nse!C:C,MATCH(B5136,nse!B:B,0))</f>
        <v>Man Industries (India) Limited</v>
      </c>
    </row>
    <row r="5137" spans="2:4" hidden="1" x14ac:dyDescent="0.3">
      <c r="B5137" t="s">
        <v>748</v>
      </c>
      <c r="C5137" t="str">
        <f>INDEX(nse!D:D,MATCH(B5137,nse!B:B,0))</f>
        <v>EQ</v>
      </c>
      <c r="D5137" t="str">
        <f>INDEX(nse!C:C,MATCH(B5137,nse!B:B,0))</f>
        <v>Man Infraconstruction Limited</v>
      </c>
    </row>
    <row r="5138" spans="2:4" hidden="1" x14ac:dyDescent="0.3">
      <c r="B5138" t="s">
        <v>3787</v>
      </c>
      <c r="C5138" t="str">
        <f>INDEX(nse!D:D,MATCH(B5138,nse!B:B,0))</f>
        <v>EQ</v>
      </c>
      <c r="D5138" t="str">
        <f>INDEX(nse!C:C,MATCH(B5138,nse!B:B,0))</f>
        <v>Manpasand Beverages Limited</v>
      </c>
    </row>
    <row r="5139" spans="2:4" hidden="1" x14ac:dyDescent="0.3">
      <c r="B5139" t="s">
        <v>749</v>
      </c>
      <c r="C5139" t="str">
        <f>INDEX(nse!D:D,MATCH(B5139,nse!B:B,0))</f>
        <v>EQ</v>
      </c>
      <c r="D5139" t="str">
        <f>INDEX(nse!C:C,MATCH(B5139,nse!B:B,0))</f>
        <v>Manugraph India Limited</v>
      </c>
    </row>
    <row r="5140" spans="2:4" hidden="1" x14ac:dyDescent="0.3">
      <c r="B5140" t="s">
        <v>750</v>
      </c>
      <c r="C5140" t="str">
        <f>INDEX(nse!D:D,MATCH(B5140,nse!B:B,0))</f>
        <v>EQ</v>
      </c>
      <c r="D5140" t="str">
        <f>INDEX(nse!C:C,MATCH(B5140,nse!B:B,0))</f>
        <v>Maral Overseas Limited</v>
      </c>
    </row>
    <row r="5141" spans="2:4" hidden="1" x14ac:dyDescent="0.3">
      <c r="B5141" t="s">
        <v>3792</v>
      </c>
      <c r="C5141" t="str">
        <f>INDEX(nse!D:D,MATCH(B5141,nse!B:B,0))</f>
        <v>EQ</v>
      </c>
      <c r="D5141" t="str">
        <f>INDEX(nse!C:C,MATCH(B5141,nse!B:B,0))</f>
        <v>Marathon Nextgen Realty Limited</v>
      </c>
    </row>
    <row r="5142" spans="2:4" hidden="1" x14ac:dyDescent="0.3">
      <c r="B5142" t="s">
        <v>751</v>
      </c>
      <c r="C5142" t="str">
        <f>INDEX(nse!D:D,MATCH(B5142,nse!B:B,0))</f>
        <v>EQ</v>
      </c>
      <c r="D5142" t="str">
        <f>INDEX(nse!C:C,MATCH(B5142,nse!B:B,0))</f>
        <v>Marico Limited</v>
      </c>
    </row>
    <row r="5143" spans="2:4" hidden="1" x14ac:dyDescent="0.3">
      <c r="B5143" t="s">
        <v>752</v>
      </c>
      <c r="C5143" t="str">
        <f>INDEX(nse!D:D,MATCH(B5143,nse!B:B,0))</f>
        <v>EQ</v>
      </c>
      <c r="D5143" t="str">
        <f>INDEX(nse!C:C,MATCH(B5143,nse!B:B,0))</f>
        <v>Marksans Pharma Limited</v>
      </c>
    </row>
    <row r="5144" spans="2:4" hidden="1" x14ac:dyDescent="0.3">
      <c r="B5144" t="s">
        <v>753</v>
      </c>
      <c r="C5144" t="str">
        <f>INDEX(nse!D:D,MATCH(B5144,nse!B:B,0))</f>
        <v>EQ</v>
      </c>
      <c r="D5144" t="str">
        <f>INDEX(nse!C:C,MATCH(B5144,nse!B:B,0))</f>
        <v>Maruti Suzuki India Limited</v>
      </c>
    </row>
    <row r="5145" spans="2:4" hidden="1" x14ac:dyDescent="0.3">
      <c r="B5145" t="s">
        <v>3798</v>
      </c>
      <c r="C5145" t="str">
        <f>INDEX(nse!D:D,MATCH(B5145,nse!B:B,0))</f>
        <v>BE</v>
      </c>
      <c r="D5145" t="str">
        <f>INDEX(nse!C:C,MATCH(B5145,nse!B:B,0))</f>
        <v>Mask Investments Limited</v>
      </c>
    </row>
    <row r="5146" spans="2:4" hidden="1" x14ac:dyDescent="0.3">
      <c r="B5146" t="s">
        <v>754</v>
      </c>
      <c r="C5146" t="str">
        <f>INDEX(nse!D:D,MATCH(B5146,nse!B:B,0))</f>
        <v>EQ</v>
      </c>
      <c r="D5146" t="str">
        <f>INDEX(nse!C:C,MATCH(B5146,nse!B:B,0))</f>
        <v>Mastek Limited</v>
      </c>
    </row>
    <row r="5147" spans="2:4" hidden="1" x14ac:dyDescent="0.3">
      <c r="B5147" t="s">
        <v>755</v>
      </c>
      <c r="C5147" t="str">
        <f>INDEX(nse!D:D,MATCH(B5147,nse!B:B,0))</f>
        <v>EQ</v>
      </c>
      <c r="D5147" t="str">
        <f>INDEX(nse!C:C,MATCH(B5147,nse!B:B,0))</f>
        <v>Mawana Sugars Limited</v>
      </c>
    </row>
    <row r="5148" spans="2:4" hidden="1" x14ac:dyDescent="0.3">
      <c r="B5148" t="s">
        <v>3803</v>
      </c>
      <c r="C5148" t="str">
        <f>INDEX(nse!D:D,MATCH(B5148,nse!B:B,0))</f>
        <v>EQ</v>
      </c>
      <c r="D5148" t="str">
        <f>INDEX(nse!C:C,MATCH(B5148,nse!B:B,0))</f>
        <v>Max India Limited</v>
      </c>
    </row>
    <row r="5149" spans="2:4" hidden="1" x14ac:dyDescent="0.3">
      <c r="B5149" t="s">
        <v>3805</v>
      </c>
      <c r="C5149" t="str">
        <f>INDEX(nse!D:D,MATCH(B5149,nse!B:B,0))</f>
        <v>EQ</v>
      </c>
      <c r="D5149" t="str">
        <f>INDEX(nse!C:C,MATCH(B5149,nse!B:B,0))</f>
        <v>Max Ventures and Industries Limited</v>
      </c>
    </row>
    <row r="5150" spans="2:4" hidden="1" x14ac:dyDescent="0.3">
      <c r="B5150" t="s">
        <v>756</v>
      </c>
      <c r="C5150" t="str">
        <f>INDEX(nse!D:D,MATCH(B5150,nse!B:B,0))</f>
        <v>EQ</v>
      </c>
      <c r="D5150" t="str">
        <f>INDEX(nse!C:C,MATCH(B5150,nse!B:B,0))</f>
        <v>Mayur Uniquoters Ltd</v>
      </c>
    </row>
    <row r="5151" spans="2:4" hidden="1" x14ac:dyDescent="0.3">
      <c r="B5151" t="s">
        <v>3809</v>
      </c>
      <c r="C5151" t="str">
        <f>INDEX(nse!D:D,MATCH(B5151,nse!B:B,0))</f>
        <v>EQ</v>
      </c>
      <c r="D5151" t="str">
        <f>INDEX(nse!C:C,MATCH(B5151,nse!B:B,0))</f>
        <v>Mazda Limited</v>
      </c>
    </row>
    <row r="5152" spans="2:4" hidden="1" x14ac:dyDescent="0.3">
      <c r="B5152" t="s">
        <v>757</v>
      </c>
      <c r="C5152" t="str">
        <f>INDEX(nse!D:D,MATCH(B5152,nse!B:B,0))</f>
        <v>EQ</v>
      </c>
      <c r="D5152" t="str">
        <f>INDEX(nse!C:C,MATCH(B5152,nse!B:B,0))</f>
        <v>Mcnally Bharat Engineering Company Limited</v>
      </c>
    </row>
    <row r="5153" spans="2:4" hidden="1" x14ac:dyDescent="0.3">
      <c r="B5153" t="s">
        <v>758</v>
      </c>
      <c r="C5153" t="str">
        <f>INDEX(nse!D:D,MATCH(B5153,nse!B:B,0))</f>
        <v>EQ</v>
      </c>
      <c r="D5153" t="str">
        <f>INDEX(nse!C:C,MATCH(B5153,nse!B:B,0))</f>
        <v>MBL Infrastructures Limited</v>
      </c>
    </row>
    <row r="5154" spans="2:4" hidden="1" x14ac:dyDescent="0.3">
      <c r="B5154" t="s">
        <v>759</v>
      </c>
      <c r="C5154" t="str">
        <f>INDEX(nse!D:D,MATCH(B5154,nse!B:B,0))</f>
        <v>EQ</v>
      </c>
      <c r="D5154" t="str">
        <f>INDEX(nse!C:C,MATCH(B5154,nse!B:B,0))</f>
        <v>McDowell Holdings Limited</v>
      </c>
    </row>
    <row r="5155" spans="2:4" hidden="1" x14ac:dyDescent="0.3">
      <c r="B5155" t="s">
        <v>760</v>
      </c>
      <c r="C5155" t="str">
        <f>INDEX(nse!D:D,MATCH(B5155,nse!B:B,0))</f>
        <v>EQ</v>
      </c>
      <c r="D5155" t="str">
        <f>INDEX(nse!C:C,MATCH(B5155,nse!B:B,0))</f>
        <v>United Spirits Limited</v>
      </c>
    </row>
    <row r="5156" spans="2:4" hidden="1" x14ac:dyDescent="0.3">
      <c r="B5156" t="s">
        <v>761</v>
      </c>
      <c r="C5156" t="str">
        <f>INDEX(nse!D:D,MATCH(B5156,nse!B:B,0))</f>
        <v>EQ</v>
      </c>
      <c r="D5156" t="str">
        <f>INDEX(nse!C:C,MATCH(B5156,nse!B:B,0))</f>
        <v>Mcleod Russel India Limited</v>
      </c>
    </row>
    <row r="5157" spans="2:4" hidden="1" x14ac:dyDescent="0.3">
      <c r="B5157" t="s">
        <v>3817</v>
      </c>
      <c r="C5157" t="str">
        <f>INDEX(nse!D:D,MATCH(B5157,nse!B:B,0))</f>
        <v>EQ</v>
      </c>
      <c r="D5157" t="str">
        <f>INDEX(nse!C:C,MATCH(B5157,nse!B:B,0))</f>
        <v>Multi Commodity Exchange of India Limited</v>
      </c>
    </row>
    <row r="5158" spans="2:4" hidden="1" x14ac:dyDescent="0.3">
      <c r="B5158" t="s">
        <v>762</v>
      </c>
      <c r="C5158" t="str">
        <f>INDEX(nse!D:D,MATCH(B5158,nse!B:B,0))</f>
        <v>EQ</v>
      </c>
      <c r="D5158" t="str">
        <f>INDEX(nse!C:C,MATCH(B5158,nse!B:B,0))</f>
        <v>Megasoft Limited</v>
      </c>
    </row>
    <row r="5159" spans="2:4" hidden="1" x14ac:dyDescent="0.3">
      <c r="B5159" t="s">
        <v>763</v>
      </c>
      <c r="C5159" t="str">
        <f>INDEX(nse!D:D,MATCH(B5159,nse!B:B,0))</f>
        <v>EQ</v>
      </c>
      <c r="D5159" t="str">
        <f>INDEX(nse!C:C,MATCH(B5159,nse!B:B,0))</f>
        <v>Meghmani Organics Limited</v>
      </c>
    </row>
    <row r="5160" spans="2:4" hidden="1" x14ac:dyDescent="0.3">
      <c r="B5160" t="s">
        <v>1318</v>
      </c>
      <c r="C5160" t="str">
        <f>INDEX(nse!D:D,MATCH(B5160,nse!B:B,0))</f>
        <v>BE</v>
      </c>
      <c r="D5160" t="str">
        <f>INDEX(nse!C:C,MATCH(B5160,nse!B:B,0))</f>
        <v>Melstar Information Technologies Limited</v>
      </c>
    </row>
    <row r="5161" spans="2:4" hidden="1" x14ac:dyDescent="0.3">
      <c r="B5161" t="s">
        <v>3823</v>
      </c>
      <c r="C5161" t="str">
        <f>INDEX(nse!D:D,MATCH(B5161,nse!B:B,0))</f>
        <v>EQ</v>
      </c>
      <c r="D5161" t="str">
        <f>INDEX(nse!C:C,MATCH(B5161,nse!B:B,0))</f>
        <v>Menon Bearings Limited</v>
      </c>
    </row>
    <row r="5162" spans="2:4" hidden="1" x14ac:dyDescent="0.3">
      <c r="B5162" t="s">
        <v>3826</v>
      </c>
      <c r="C5162" t="str">
        <f>INDEX(nse!D:D,MATCH(B5162,nse!B:B,0))</f>
        <v>EQ</v>
      </c>
      <c r="D5162" t="str">
        <f>INDEX(nse!C:C,MATCH(B5162,nse!B:B,0))</f>
        <v>MEP Infrastructure Developers Limited</v>
      </c>
    </row>
    <row r="5163" spans="2:4" hidden="1" x14ac:dyDescent="0.3">
      <c r="B5163" t="s">
        <v>764</v>
      </c>
      <c r="C5163" t="str">
        <f>INDEX(nse!D:D,MATCH(B5163,nse!B:B,0))</f>
        <v>EQ</v>
      </c>
      <c r="D5163" t="str">
        <f>INDEX(nse!C:C,MATCH(B5163,nse!B:B,0))</f>
        <v>Mercator Limited</v>
      </c>
    </row>
    <row r="5164" spans="2:4" hidden="1" x14ac:dyDescent="0.3">
      <c r="B5164" t="s">
        <v>765</v>
      </c>
      <c r="C5164" t="str">
        <f>INDEX(nse!D:D,MATCH(B5164,nse!B:B,0))</f>
        <v>EQ</v>
      </c>
      <c r="D5164" t="str">
        <f>INDEX(nse!C:C,MATCH(B5164,nse!B:B,0))</f>
        <v>Merck Limited</v>
      </c>
    </row>
    <row r="5165" spans="2:4" hidden="1" x14ac:dyDescent="0.3">
      <c r="B5165" t="s">
        <v>3831</v>
      </c>
      <c r="C5165" t="str">
        <f>INDEX(nse!D:D,MATCH(B5165,nse!B:B,0))</f>
        <v>EQ</v>
      </c>
      <c r="D5165" t="str">
        <f>INDEX(nse!C:C,MATCH(B5165,nse!B:B,0))</f>
        <v>Metalyst Forgings Limited</v>
      </c>
    </row>
    <row r="5166" spans="2:4" hidden="1" x14ac:dyDescent="0.3">
      <c r="B5166" t="s">
        <v>766</v>
      </c>
      <c r="C5166" t="str">
        <f>INDEX(nse!D:D,MATCH(B5166,nse!B:B,0))</f>
        <v>BE</v>
      </c>
      <c r="D5166" t="str">
        <f>INDEX(nse!C:C,MATCH(B5166,nse!B:B,0))</f>
        <v>Metkore Alloys &amp; Industries Limited</v>
      </c>
    </row>
    <row r="5167" spans="2:4" hidden="1" x14ac:dyDescent="0.3">
      <c r="B5167" t="s">
        <v>3835</v>
      </c>
      <c r="C5167" t="str">
        <f>INDEX(nse!D:D,MATCH(B5167,nse!B:B,0))</f>
        <v>EQ</v>
      </c>
      <c r="D5167" t="str">
        <f>INDEX(nse!C:C,MATCH(B5167,nse!B:B,0))</f>
        <v>Max Financial Services Limited</v>
      </c>
    </row>
    <row r="5168" spans="2:4" hidden="1" x14ac:dyDescent="0.3">
      <c r="B5168" t="s">
        <v>3838</v>
      </c>
      <c r="C5168" t="str">
        <f>INDEX(nse!D:D,MATCH(B5168,nse!B:B,0))</f>
        <v>EQ</v>
      </c>
      <c r="D5168" t="str">
        <f>INDEX(nse!C:C,MATCH(B5168,nse!B:B,0))</f>
        <v>Mahanagar Gas Limited</v>
      </c>
    </row>
    <row r="5169" spans="2:4" hidden="1" x14ac:dyDescent="0.3">
      <c r="B5169" t="s">
        <v>767</v>
      </c>
      <c r="C5169" t="str">
        <f>INDEX(nse!D:D,MATCH(B5169,nse!B:B,0))</f>
        <v>EQ</v>
      </c>
      <c r="D5169" t="str">
        <f>INDEX(nse!C:C,MATCH(B5169,nse!B:B,0))</f>
        <v>Mahindra Holidays &amp; Resorts India Limited</v>
      </c>
    </row>
    <row r="5170" spans="2:4" hidden="1" x14ac:dyDescent="0.3">
      <c r="B5170" t="s">
        <v>768</v>
      </c>
      <c r="C5170" t="str">
        <f>INDEX(nse!D:D,MATCH(B5170,nse!B:B,0))</f>
        <v>EQ</v>
      </c>
      <c r="D5170" t="str">
        <f>INDEX(nse!C:C,MATCH(B5170,nse!B:B,0))</f>
        <v>MIC Electronics Limited</v>
      </c>
    </row>
    <row r="5171" spans="2:4" hidden="1" x14ac:dyDescent="0.3">
      <c r="B5171" t="s">
        <v>769</v>
      </c>
      <c r="C5171" t="str">
        <f>INDEX(nse!D:D,MATCH(B5171,nse!B:B,0))</f>
        <v>EQ</v>
      </c>
      <c r="D5171" t="str">
        <f>INDEX(nse!C:C,MATCH(B5171,nse!B:B,0))</f>
        <v>Minda Corporation Limited</v>
      </c>
    </row>
    <row r="5172" spans="2:4" hidden="1" x14ac:dyDescent="0.3">
      <c r="B5172" t="s">
        <v>770</v>
      </c>
      <c r="C5172" t="str">
        <f>INDEX(nse!D:D,MATCH(B5172,nse!B:B,0))</f>
        <v>EQ</v>
      </c>
      <c r="D5172" t="str">
        <f>INDEX(nse!C:C,MATCH(B5172,nse!B:B,0))</f>
        <v>Minda Industries Limited</v>
      </c>
    </row>
    <row r="5173" spans="2:4" hidden="1" x14ac:dyDescent="0.3">
      <c r="B5173" t="s">
        <v>3845</v>
      </c>
      <c r="C5173" t="str">
        <f>INDEX(nse!D:D,MATCH(B5173,nse!B:B,0))</f>
        <v>EQ</v>
      </c>
      <c r="D5173" t="str">
        <f>INDEX(nse!C:C,MATCH(B5173,nse!B:B,0))</f>
        <v>Mindteck (India) Limited</v>
      </c>
    </row>
    <row r="5174" spans="2:4" hidden="1" x14ac:dyDescent="0.3">
      <c r="B5174" t="s">
        <v>77</v>
      </c>
      <c r="C5174" t="str">
        <f>INDEX(nse!D:D,MATCH(B5174,nse!B:B,0))</f>
        <v>EQ</v>
      </c>
      <c r="D5174" t="str">
        <f>INDEX(nse!C:C,MATCH(B5174,nse!B:B,0))</f>
        <v>MindTree Limited</v>
      </c>
    </row>
    <row r="5175" spans="2:4" hidden="1" x14ac:dyDescent="0.3">
      <c r="B5175" t="s">
        <v>771</v>
      </c>
      <c r="C5175" t="str">
        <f>INDEX(nse!D:D,MATCH(B5175,nse!B:B,0))</f>
        <v>EQ</v>
      </c>
      <c r="D5175" t="str">
        <f>INDEX(nse!C:C,MATCH(B5175,nse!B:B,0))</f>
        <v>MIRC Electronics Limited</v>
      </c>
    </row>
    <row r="5176" spans="2:4" hidden="1" x14ac:dyDescent="0.3">
      <c r="B5176" t="s">
        <v>772</v>
      </c>
      <c r="C5176" t="str">
        <f>INDEX(nse!D:D,MATCH(B5176,nse!B:B,0))</f>
        <v>EQ</v>
      </c>
      <c r="D5176" t="str">
        <f>INDEX(nse!C:C,MATCH(B5176,nse!B:B,0))</f>
        <v>Mirza International Limited</v>
      </c>
    </row>
    <row r="5177" spans="2:4" hidden="1" x14ac:dyDescent="0.3">
      <c r="B5177" t="s">
        <v>773</v>
      </c>
      <c r="C5177" t="str">
        <f>INDEX(nse!D:D,MATCH(B5177,nse!B:B,0))</f>
        <v>EQ</v>
      </c>
      <c r="D5177" t="str">
        <f>INDEX(nse!C:C,MATCH(B5177,nse!B:B,0))</f>
        <v>MM Forgings Limited</v>
      </c>
    </row>
    <row r="5178" spans="2:4" hidden="1" x14ac:dyDescent="0.3">
      <c r="B5178" t="s">
        <v>774</v>
      </c>
      <c r="C5178" t="str">
        <f>INDEX(nse!D:D,MATCH(B5178,nse!B:B,0))</f>
        <v>EQ</v>
      </c>
      <c r="D5178" t="str">
        <f>INDEX(nse!C:C,MATCH(B5178,nse!B:B,0))</f>
        <v>MMTC Limited</v>
      </c>
    </row>
    <row r="5179" spans="2:4" hidden="1" x14ac:dyDescent="0.3">
      <c r="B5179" t="s">
        <v>775</v>
      </c>
      <c r="C5179" t="str">
        <f>INDEX(nse!D:D,MATCH(B5179,nse!B:B,0))</f>
        <v>EQ</v>
      </c>
      <c r="D5179" t="str">
        <f>INDEX(nse!C:C,MATCH(B5179,nse!B:B,0))</f>
        <v>Mohit Industries Limited</v>
      </c>
    </row>
    <row r="5180" spans="2:4" hidden="1" x14ac:dyDescent="0.3">
      <c r="B5180" t="s">
        <v>776</v>
      </c>
      <c r="C5180" t="str">
        <f>INDEX(nse!D:D,MATCH(B5180,nse!B:B,0))</f>
        <v>EQ</v>
      </c>
      <c r="D5180" t="str">
        <f>INDEX(nse!C:C,MATCH(B5180,nse!B:B,0))</f>
        <v>MOIL Limited</v>
      </c>
    </row>
    <row r="5181" spans="2:4" hidden="1" x14ac:dyDescent="0.3">
      <c r="B5181" t="s">
        <v>3855</v>
      </c>
      <c r="C5181" t="str">
        <f>INDEX(nse!D:D,MATCH(B5181,nse!B:B,0))</f>
        <v>EQ</v>
      </c>
      <c r="D5181" t="str">
        <f>INDEX(nse!C:C,MATCH(B5181,nse!B:B,0))</f>
        <v>Mold-Tek Technologies Limited</v>
      </c>
    </row>
    <row r="5182" spans="2:4" hidden="1" x14ac:dyDescent="0.3">
      <c r="B5182" t="s">
        <v>3858</v>
      </c>
      <c r="C5182" t="str">
        <f>INDEX(nse!D:D,MATCH(B5182,nse!B:B,0))</f>
        <v>EQ</v>
      </c>
      <c r="D5182" t="str">
        <f>INDEX(nse!C:C,MATCH(B5182,nse!B:B,0))</f>
        <v>Mold-Tek Packaging Limited</v>
      </c>
    </row>
    <row r="5183" spans="2:4" hidden="1" x14ac:dyDescent="0.3">
      <c r="B5183" t="s">
        <v>777</v>
      </c>
      <c r="C5183" t="str">
        <f>INDEX(nse!D:D,MATCH(B5183,nse!B:B,0))</f>
        <v>EQ</v>
      </c>
      <c r="D5183" t="str">
        <f>INDEX(nse!C:C,MATCH(B5183,nse!B:B,0))</f>
        <v>Monnet Ispat and Energy Limited</v>
      </c>
    </row>
    <row r="5184" spans="2:4" hidden="1" x14ac:dyDescent="0.3">
      <c r="B5184" t="s">
        <v>778</v>
      </c>
      <c r="C5184" t="str">
        <f>INDEX(nse!D:D,MATCH(B5184,nse!B:B,0))</f>
        <v>EQ</v>
      </c>
      <c r="D5184" t="str">
        <f>INDEX(nse!C:C,MATCH(B5184,nse!B:B,0))</f>
        <v>Monsanto India Limited</v>
      </c>
    </row>
    <row r="5185" spans="2:4" hidden="1" x14ac:dyDescent="0.3">
      <c r="B5185" t="s">
        <v>3863</v>
      </c>
      <c r="C5185" t="str">
        <f>INDEX(nse!D:D,MATCH(B5185,nse!B:B,0))</f>
        <v>EQ</v>
      </c>
      <c r="D5185" t="str">
        <f>INDEX(nse!C:C,MATCH(B5185,nse!B:B,0))</f>
        <v>Monte Carlo Fashions Limited</v>
      </c>
    </row>
    <row r="5186" spans="2:4" hidden="1" x14ac:dyDescent="0.3">
      <c r="B5186" t="s">
        <v>779</v>
      </c>
      <c r="C5186" t="str">
        <f>INDEX(nse!D:D,MATCH(B5186,nse!B:B,0))</f>
        <v>EQ</v>
      </c>
      <c r="D5186" t="str">
        <f>INDEX(nse!C:C,MATCH(B5186,nse!B:B,0))</f>
        <v>Morarjee Textiles Limited</v>
      </c>
    </row>
    <row r="5187" spans="2:4" hidden="1" x14ac:dyDescent="0.3">
      <c r="B5187" t="s">
        <v>780</v>
      </c>
      <c r="C5187" t="str">
        <f>INDEX(nse!D:D,MATCH(B5187,nse!B:B,0))</f>
        <v>EQ</v>
      </c>
      <c r="D5187" t="str">
        <f>INDEX(nse!C:C,MATCH(B5187,nse!B:B,0))</f>
        <v>Morepen Laboratories Limited</v>
      </c>
    </row>
    <row r="5188" spans="2:4" hidden="1" x14ac:dyDescent="0.3">
      <c r="B5188" t="s">
        <v>781</v>
      </c>
      <c r="C5188" t="str">
        <f>INDEX(nse!D:D,MATCH(B5188,nse!B:B,0))</f>
        <v>EQ</v>
      </c>
      <c r="D5188" t="str">
        <f>INDEX(nse!C:C,MATCH(B5188,nse!B:B,0))</f>
        <v>Moser-Baer (I) Limited</v>
      </c>
    </row>
    <row r="5189" spans="2:4" hidden="1" x14ac:dyDescent="0.3">
      <c r="B5189" t="s">
        <v>78</v>
      </c>
      <c r="C5189" t="str">
        <f>INDEX(nse!D:D,MATCH(B5189,nse!B:B,0))</f>
        <v>EQ</v>
      </c>
      <c r="D5189" t="str">
        <f>INDEX(nse!C:C,MATCH(B5189,nse!B:B,0))</f>
        <v>Motherson Sumi Systems Limited</v>
      </c>
    </row>
    <row r="5190" spans="2:4" hidden="1" x14ac:dyDescent="0.3">
      <c r="B5190" t="s">
        <v>782</v>
      </c>
      <c r="C5190" t="str">
        <f>INDEX(nse!D:D,MATCH(B5190,nse!B:B,0))</f>
        <v>EQ</v>
      </c>
      <c r="D5190" t="str">
        <f>INDEX(nse!C:C,MATCH(B5190,nse!B:B,0))</f>
        <v>Motilal Oswal Financial Services Limited</v>
      </c>
    </row>
    <row r="5191" spans="2:4" hidden="1" x14ac:dyDescent="0.3">
      <c r="B5191" t="s">
        <v>783</v>
      </c>
      <c r="C5191" t="str">
        <f>INDEX(nse!D:D,MATCH(B5191,nse!B:B,0))</f>
        <v>BE</v>
      </c>
      <c r="D5191" t="str">
        <f>INDEX(nse!C:C,MATCH(B5191,nse!B:B,0))</f>
        <v>The Motor &amp; General Finance Limited</v>
      </c>
    </row>
    <row r="5192" spans="2:4" hidden="1" x14ac:dyDescent="0.3">
      <c r="B5192" t="s">
        <v>79</v>
      </c>
      <c r="C5192" t="str">
        <f>INDEX(nse!D:D,MATCH(B5192,nse!B:B,0))</f>
        <v>EQ</v>
      </c>
      <c r="D5192" t="str">
        <f>INDEX(nse!C:C,MATCH(B5192,nse!B:B,0))</f>
        <v>MphasiS Limited</v>
      </c>
    </row>
    <row r="5193" spans="2:4" hidden="1" x14ac:dyDescent="0.3">
      <c r="B5193" t="s">
        <v>784</v>
      </c>
      <c r="C5193" t="str">
        <f>INDEX(nse!D:D,MATCH(B5193,nse!B:B,0))</f>
        <v>EQ</v>
      </c>
      <c r="D5193" t="str">
        <f>INDEX(nse!C:C,MATCH(B5193,nse!B:B,0))</f>
        <v>MPS Limited</v>
      </c>
    </row>
    <row r="5194" spans="2:4" hidden="1" x14ac:dyDescent="0.3">
      <c r="B5194" t="s">
        <v>23</v>
      </c>
      <c r="C5194" t="str">
        <f>INDEX(nse!D:D,MATCH(B5194,nse!B:B,0))</f>
        <v>EQ</v>
      </c>
      <c r="D5194" t="str">
        <f>INDEX(nse!C:C,MATCH(B5194,nse!B:B,0))</f>
        <v>MRF Limited</v>
      </c>
    </row>
    <row r="5195" spans="2:4" hidden="1" x14ac:dyDescent="0.3">
      <c r="B5195" t="s">
        <v>785</v>
      </c>
      <c r="C5195" t="str">
        <f>INDEX(nse!D:D,MATCH(B5195,nse!B:B,0))</f>
        <v>EQ</v>
      </c>
      <c r="D5195" t="str">
        <f>INDEX(nse!C:C,MATCH(B5195,nse!B:B,0))</f>
        <v>MRO-TEK Realty Limited</v>
      </c>
    </row>
    <row r="5196" spans="2:4" hidden="1" x14ac:dyDescent="0.3">
      <c r="B5196" t="s">
        <v>786</v>
      </c>
      <c r="C5196" t="str">
        <f>INDEX(nse!D:D,MATCH(B5196,nse!B:B,0))</f>
        <v>EQ</v>
      </c>
      <c r="D5196" t="str">
        <f>INDEX(nse!C:C,MATCH(B5196,nse!B:B,0))</f>
        <v>Mangalore Refinery and Petrochemicals Limited</v>
      </c>
    </row>
    <row r="5197" spans="2:4" hidden="1" x14ac:dyDescent="0.3">
      <c r="B5197" t="s">
        <v>787</v>
      </c>
      <c r="C5197" t="str">
        <f>INDEX(nse!D:D,MATCH(B5197,nse!B:B,0))</f>
        <v>EQ</v>
      </c>
      <c r="D5197" t="str">
        <f>INDEX(nse!C:C,MATCH(B5197,nse!B:B,0))</f>
        <v>MSP Steel &amp; Power Limited</v>
      </c>
    </row>
    <row r="5198" spans="2:4" hidden="1" x14ac:dyDescent="0.3">
      <c r="B5198" t="s">
        <v>788</v>
      </c>
      <c r="C5198" t="str">
        <f>INDEX(nse!D:D,MATCH(B5198,nse!B:B,0))</f>
        <v>EQ</v>
      </c>
      <c r="D5198" t="str">
        <f>INDEX(nse!C:C,MATCH(B5198,nse!B:B,0))</f>
        <v>MT Educare Limited</v>
      </c>
    </row>
    <row r="5199" spans="2:4" hidden="1" x14ac:dyDescent="0.3">
      <c r="B5199" t="s">
        <v>789</v>
      </c>
      <c r="C5199" t="str">
        <f>INDEX(nse!D:D,MATCH(B5199,nse!B:B,0))</f>
        <v>EQ</v>
      </c>
      <c r="D5199" t="str">
        <f>INDEX(nse!C:C,MATCH(B5199,nse!B:B,0))</f>
        <v>Mahanagar Telephone Nigam Limited</v>
      </c>
    </row>
    <row r="5200" spans="2:4" hidden="1" x14ac:dyDescent="0.3">
      <c r="B5200" t="s">
        <v>790</v>
      </c>
      <c r="C5200" t="str">
        <f>INDEX(nse!D:D,MATCH(B5200,nse!B:B,0))</f>
        <v>EQ</v>
      </c>
      <c r="D5200" t="str">
        <f>INDEX(nse!C:C,MATCH(B5200,nse!B:B,0))</f>
        <v>Mukand Engineers Limited</v>
      </c>
    </row>
    <row r="5201" spans="2:4" hidden="1" x14ac:dyDescent="0.3">
      <c r="B5201" t="s">
        <v>791</v>
      </c>
      <c r="C5201" t="str">
        <f>INDEX(nse!D:D,MATCH(B5201,nse!B:B,0))</f>
        <v>EQ</v>
      </c>
      <c r="D5201" t="str">
        <f>INDEX(nse!C:C,MATCH(B5201,nse!B:B,0))</f>
        <v>Mukand Limited</v>
      </c>
    </row>
    <row r="5202" spans="2:4" hidden="1" x14ac:dyDescent="0.3">
      <c r="B5202" t="s">
        <v>792</v>
      </c>
      <c r="C5202" t="str">
        <f>INDEX(nse!D:D,MATCH(B5202,nse!B:B,0))</f>
        <v>EQ</v>
      </c>
      <c r="D5202" t="str">
        <f>INDEX(nse!C:C,MATCH(B5202,nse!B:B,0))</f>
        <v>Mukta Arts Limited</v>
      </c>
    </row>
    <row r="5203" spans="2:4" hidden="1" x14ac:dyDescent="0.3">
      <c r="B5203" t="s">
        <v>793</v>
      </c>
      <c r="C5203" t="str">
        <f>INDEX(nse!D:D,MATCH(B5203,nse!B:B,0))</f>
        <v>EQ</v>
      </c>
      <c r="D5203" t="str">
        <f>INDEX(nse!C:C,MATCH(B5203,nse!B:B,0))</f>
        <v>Munjal Auto Industries Limited</v>
      </c>
    </row>
    <row r="5204" spans="2:4" hidden="1" x14ac:dyDescent="0.3">
      <c r="B5204" t="s">
        <v>794</v>
      </c>
      <c r="C5204" t="str">
        <f>INDEX(nse!D:D,MATCH(B5204,nse!B:B,0))</f>
        <v>EQ</v>
      </c>
      <c r="D5204" t="str">
        <f>INDEX(nse!C:C,MATCH(B5204,nse!B:B,0))</f>
        <v>Munjal Showa Limited</v>
      </c>
    </row>
    <row r="5205" spans="2:4" hidden="1" x14ac:dyDescent="0.3">
      <c r="B5205" t="s">
        <v>795</v>
      </c>
      <c r="C5205" t="str">
        <f>INDEX(nse!D:D,MATCH(B5205,nse!B:B,0))</f>
        <v>BE</v>
      </c>
      <c r="D5205" t="str">
        <f>INDEX(nse!C:C,MATCH(B5205,nse!B:B,0))</f>
        <v>Murudeshwar Ceramics Limited</v>
      </c>
    </row>
    <row r="5206" spans="2:4" hidden="1" x14ac:dyDescent="0.3">
      <c r="B5206" t="s">
        <v>3887</v>
      </c>
      <c r="C5206" t="str">
        <f>INDEX(nse!D:D,MATCH(B5206,nse!B:B,0))</f>
        <v>EQ</v>
      </c>
      <c r="D5206" t="str">
        <f>INDEX(nse!C:C,MATCH(B5206,nse!B:B,0))</f>
        <v>Muthoot Capital Services Limited</v>
      </c>
    </row>
    <row r="5207" spans="2:4" hidden="1" x14ac:dyDescent="0.3">
      <c r="B5207" t="s">
        <v>796</v>
      </c>
      <c r="C5207" t="str">
        <f>INDEX(nse!D:D,MATCH(B5207,nse!B:B,0))</f>
        <v>EQ</v>
      </c>
      <c r="D5207" t="str">
        <f>INDEX(nse!C:C,MATCH(B5207,nse!B:B,0))</f>
        <v>Muthoot Finance Limited</v>
      </c>
    </row>
    <row r="5208" spans="2:4" hidden="1" x14ac:dyDescent="0.3">
      <c r="B5208" t="s">
        <v>797</v>
      </c>
      <c r="C5208" t="str">
        <f>INDEX(nse!D:D,MATCH(B5208,nse!B:B,0))</f>
        <v>EQ</v>
      </c>
      <c r="D5208" t="str">
        <f>INDEX(nse!C:C,MATCH(B5208,nse!B:B,0))</f>
        <v>MVL Limited</v>
      </c>
    </row>
    <row r="5209" spans="2:4" hidden="1" x14ac:dyDescent="0.3">
      <c r="B5209" t="s">
        <v>3892</v>
      </c>
      <c r="C5209" t="str">
        <f>INDEX(nse!D:D,MATCH(B5209,nse!B:B,0))</f>
        <v>EQ</v>
      </c>
      <c r="D5209" t="str">
        <f>INDEX(nse!C:C,MATCH(B5209,nse!B:B,0))</f>
        <v>Nagarjuna Agrichem Limited</v>
      </c>
    </row>
    <row r="5210" spans="2:4" hidden="1" x14ac:dyDescent="0.3">
      <c r="B5210" t="s">
        <v>3895</v>
      </c>
      <c r="C5210" t="str">
        <f>INDEX(nse!D:D,MATCH(B5210,nse!B:B,0))</f>
        <v>EQ</v>
      </c>
      <c r="D5210" t="str">
        <f>INDEX(nse!C:C,MATCH(B5210,nse!B:B,0))</f>
        <v>Nagarjuna Fertilizers and Chemicals Limited</v>
      </c>
    </row>
    <row r="5211" spans="2:4" hidden="1" x14ac:dyDescent="0.3">
      <c r="B5211" t="s">
        <v>798</v>
      </c>
      <c r="C5211" t="str">
        <f>INDEX(nse!D:D,MATCH(B5211,nse!B:B,0))</f>
        <v>EQ</v>
      </c>
      <c r="D5211" t="str">
        <f>INDEX(nse!C:C,MATCH(B5211,nse!B:B,0))</f>
        <v>Nagarjuna Oil Refinery Limited</v>
      </c>
    </row>
    <row r="5212" spans="2:4" hidden="1" x14ac:dyDescent="0.3">
      <c r="B5212" t="s">
        <v>1319</v>
      </c>
      <c r="C5212" t="str">
        <f>INDEX(nse!D:D,MATCH(B5212,nse!B:B,0))</f>
        <v>EQ</v>
      </c>
      <c r="D5212" t="str">
        <f>INDEX(nse!C:C,MATCH(B5212,nse!B:B,0))</f>
        <v>Nagreeka Capital &amp; Infrastructure Limited</v>
      </c>
    </row>
    <row r="5213" spans="2:4" hidden="1" x14ac:dyDescent="0.3">
      <c r="B5213" t="s">
        <v>1320</v>
      </c>
      <c r="C5213" t="str">
        <f>INDEX(nse!D:D,MATCH(B5213,nse!B:B,0))</f>
        <v>EQ</v>
      </c>
      <c r="D5213" t="str">
        <f>INDEX(nse!C:C,MATCH(B5213,nse!B:B,0))</f>
        <v>Nagreeka Exports Limited</v>
      </c>
    </row>
    <row r="5214" spans="2:4" hidden="1" x14ac:dyDescent="0.3">
      <c r="B5214" t="s">
        <v>799</v>
      </c>
      <c r="C5214" t="str">
        <f>INDEX(nse!D:D,MATCH(B5214,nse!B:B,0))</f>
        <v>EQ</v>
      </c>
      <c r="D5214" t="str">
        <f>INDEX(nse!C:C,MATCH(B5214,nse!B:B,0))</f>
        <v>Nahar Capital and Financial Services Limited</v>
      </c>
    </row>
    <row r="5215" spans="2:4" hidden="1" x14ac:dyDescent="0.3">
      <c r="B5215" t="s">
        <v>800</v>
      </c>
      <c r="C5215" t="str">
        <f>INDEX(nse!D:D,MATCH(B5215,nse!B:B,0))</f>
        <v>EQ</v>
      </c>
      <c r="D5215" t="str">
        <f>INDEX(nse!C:C,MATCH(B5215,nse!B:B,0))</f>
        <v>Nahar Industrial Enterprises Limited</v>
      </c>
    </row>
    <row r="5216" spans="2:4" hidden="1" x14ac:dyDescent="0.3">
      <c r="B5216" t="s">
        <v>801</v>
      </c>
      <c r="C5216" t="str">
        <f>INDEX(nse!D:D,MATCH(B5216,nse!B:B,0))</f>
        <v>EQ</v>
      </c>
      <c r="D5216" t="str">
        <f>INDEX(nse!C:C,MATCH(B5216,nse!B:B,0))</f>
        <v>Nahar Poly Films Limited</v>
      </c>
    </row>
    <row r="5217" spans="2:4" hidden="1" x14ac:dyDescent="0.3">
      <c r="B5217" t="s">
        <v>802</v>
      </c>
      <c r="C5217" t="str">
        <f>INDEX(nse!D:D,MATCH(B5217,nse!B:B,0))</f>
        <v>EQ</v>
      </c>
      <c r="D5217" t="str">
        <f>INDEX(nse!C:C,MATCH(B5217,nse!B:B,0))</f>
        <v>Nahar Spinning Mills Limited</v>
      </c>
    </row>
    <row r="5218" spans="2:4" hidden="1" x14ac:dyDescent="0.3">
      <c r="B5218" t="s">
        <v>803</v>
      </c>
      <c r="C5218" t="str">
        <f>INDEX(nse!D:D,MATCH(B5218,nse!B:B,0))</f>
        <v>BE</v>
      </c>
      <c r="D5218" t="str">
        <f>INDEX(nse!C:C,MATCH(B5218,nse!B:B,0))</f>
        <v>Nakoda Limited</v>
      </c>
    </row>
    <row r="5219" spans="2:4" hidden="1" x14ac:dyDescent="0.3">
      <c r="B5219" t="s">
        <v>804</v>
      </c>
      <c r="C5219" t="str">
        <f>INDEX(nse!D:D,MATCH(B5219,nse!B:B,0))</f>
        <v>EQ</v>
      </c>
      <c r="D5219" t="str">
        <f>INDEX(nse!C:C,MATCH(B5219,nse!B:B,0))</f>
        <v>Natco Pharma Limited</v>
      </c>
    </row>
    <row r="5220" spans="2:4" hidden="1" x14ac:dyDescent="0.3">
      <c r="B5220" t="s">
        <v>805</v>
      </c>
      <c r="C5220" t="str">
        <f>INDEX(nse!D:D,MATCH(B5220,nse!B:B,0))</f>
        <v>EQ</v>
      </c>
      <c r="D5220" t="str">
        <f>INDEX(nse!C:C,MATCH(B5220,nse!B:B,0))</f>
        <v>Nath Bio-Genes (India) Limited</v>
      </c>
    </row>
    <row r="5221" spans="2:4" hidden="1" x14ac:dyDescent="0.3">
      <c r="B5221" t="s">
        <v>806</v>
      </c>
      <c r="C5221" t="str">
        <f>INDEX(nse!D:D,MATCH(B5221,nse!B:B,0))</f>
        <v>EQ</v>
      </c>
      <c r="D5221" t="str">
        <f>INDEX(nse!C:C,MATCH(B5221,nse!B:B,0))</f>
        <v>National Aluminium Company Limited</v>
      </c>
    </row>
    <row r="5222" spans="2:4" hidden="1" x14ac:dyDescent="0.3">
      <c r="B5222" t="s">
        <v>807</v>
      </c>
      <c r="C5222" t="str">
        <f>INDEX(nse!D:D,MATCH(B5222,nse!B:B,0))</f>
        <v>BE</v>
      </c>
      <c r="D5222" t="str">
        <f>INDEX(nse!C:C,MATCH(B5222,nse!B:B,0))</f>
        <v>National Steel And Agro Industries Limited</v>
      </c>
    </row>
    <row r="5223" spans="2:4" hidden="1" x14ac:dyDescent="0.3">
      <c r="B5223" t="s">
        <v>808</v>
      </c>
      <c r="C5223" t="str">
        <f>INDEX(nse!D:D,MATCH(B5223,nse!B:B,0))</f>
        <v>EQ</v>
      </c>
      <c r="D5223" t="str">
        <f>INDEX(nse!C:C,MATCH(B5223,nse!B:B,0))</f>
        <v>Info Edge (India) Limited</v>
      </c>
    </row>
    <row r="5224" spans="2:4" hidden="1" x14ac:dyDescent="0.3">
      <c r="B5224" t="s">
        <v>809</v>
      </c>
      <c r="C5224" t="str">
        <f>INDEX(nse!D:D,MATCH(B5224,nse!B:B,0))</f>
        <v>EQ</v>
      </c>
      <c r="D5224" t="str">
        <f>INDEX(nse!C:C,MATCH(B5224,nse!B:B,0))</f>
        <v>Navin Fluorine International Limited</v>
      </c>
    </row>
    <row r="5225" spans="2:4" hidden="1" x14ac:dyDescent="0.3">
      <c r="B5225" t="s">
        <v>3912</v>
      </c>
      <c r="C5225" t="str">
        <f>INDEX(nse!D:D,MATCH(B5225,nse!B:B,0))</f>
        <v>EQ</v>
      </c>
      <c r="D5225" t="str">
        <f>INDEX(nse!C:C,MATCH(B5225,nse!B:B,0))</f>
        <v>Navkar Corporation Limited</v>
      </c>
    </row>
    <row r="5226" spans="2:4" hidden="1" x14ac:dyDescent="0.3">
      <c r="B5226" t="s">
        <v>810</v>
      </c>
      <c r="C5226" t="str">
        <f>INDEX(nse!D:D,MATCH(B5226,nse!B:B,0))</f>
        <v>EQ</v>
      </c>
      <c r="D5226" t="str">
        <f>INDEX(nse!C:C,MATCH(B5226,nse!B:B,0))</f>
        <v>Navneet Education Limited</v>
      </c>
    </row>
    <row r="5227" spans="2:4" hidden="1" x14ac:dyDescent="0.3">
      <c r="B5227" t="s">
        <v>811</v>
      </c>
      <c r="C5227" t="str">
        <f>INDEX(nse!D:D,MATCH(B5227,nse!B:B,0))</f>
        <v>EQ</v>
      </c>
      <c r="D5227" t="str">
        <f>INDEX(nse!C:C,MATCH(B5227,nse!B:B,0))</f>
        <v>NBCC (India) Limited</v>
      </c>
    </row>
    <row r="5228" spans="2:4" hidden="1" x14ac:dyDescent="0.3">
      <c r="B5228" t="s">
        <v>3918</v>
      </c>
      <c r="C5228" t="str">
        <f>INDEX(nse!D:D,MATCH(B5228,nse!B:B,0))</f>
        <v>BE</v>
      </c>
      <c r="D5228" t="str">
        <f>INDEX(nse!C:C,MATCH(B5228,nse!B:B,0))</f>
        <v>N. B. I. Industrial Finance Company Limited</v>
      </c>
    </row>
    <row r="5229" spans="2:4" hidden="1" x14ac:dyDescent="0.3">
      <c r="B5229" t="s">
        <v>812</v>
      </c>
      <c r="C5229" t="str">
        <f>INDEX(nse!D:D,MATCH(B5229,nse!B:B,0))</f>
        <v>EQ</v>
      </c>
      <c r="D5229" t="str">
        <f>INDEX(nse!C:C,MATCH(B5229,nse!B:B,0))</f>
        <v>Nava Bharat Ventures Limited</v>
      </c>
    </row>
    <row r="5230" spans="2:4" hidden="1" x14ac:dyDescent="0.3">
      <c r="B5230" t="s">
        <v>813</v>
      </c>
      <c r="C5230" t="str">
        <f>INDEX(nse!D:D,MATCH(B5230,nse!B:B,0))</f>
        <v>EQ</v>
      </c>
      <c r="D5230" t="str">
        <f>INDEX(nse!C:C,MATCH(B5230,nse!B:B,0))</f>
        <v>NCC Limited</v>
      </c>
    </row>
    <row r="5231" spans="2:4" hidden="1" x14ac:dyDescent="0.3">
      <c r="B5231" t="s">
        <v>814</v>
      </c>
      <c r="C5231" t="str">
        <f>INDEX(nse!D:D,MATCH(B5231,nse!B:B,0))</f>
        <v>EQ</v>
      </c>
      <c r="D5231" t="str">
        <f>INDEX(nse!C:C,MATCH(B5231,nse!B:B,0))</f>
        <v>NCL Industries Limited</v>
      </c>
    </row>
    <row r="5232" spans="2:4" hidden="1" x14ac:dyDescent="0.3">
      <c r="B5232" t="s">
        <v>3924</v>
      </c>
      <c r="C5232" t="str">
        <f>INDEX(nse!D:D,MATCH(B5232,nse!B:B,0))</f>
        <v>EQ</v>
      </c>
      <c r="D5232" t="str">
        <f>INDEX(nse!C:C,MATCH(B5232,nse!B:B,0))</f>
        <v>Naga Dhunseri Group Limited</v>
      </c>
    </row>
    <row r="5233" spans="2:4" hidden="1" x14ac:dyDescent="0.3">
      <c r="B5233" t="s">
        <v>815</v>
      </c>
      <c r="C5233" t="str">
        <f>INDEX(nse!D:D,MATCH(B5233,nse!B:B,0))</f>
        <v>EQ</v>
      </c>
      <c r="D5233" t="str">
        <f>INDEX(nse!C:C,MATCH(B5233,nse!B:B,0))</f>
        <v>Nandan Denim Limited</v>
      </c>
    </row>
    <row r="5234" spans="2:4" hidden="1" x14ac:dyDescent="0.3">
      <c r="B5234" t="s">
        <v>816</v>
      </c>
      <c r="C5234" t="str">
        <f>INDEX(nse!D:D,MATCH(B5234,nse!B:B,0))</f>
        <v>EQ</v>
      </c>
      <c r="D5234" t="str">
        <f>INDEX(nse!C:C,MATCH(B5234,nse!B:B,0))</f>
        <v>New Delhi Television Limited</v>
      </c>
    </row>
    <row r="5235" spans="2:4" hidden="1" x14ac:dyDescent="0.3">
      <c r="B5235" t="s">
        <v>3929</v>
      </c>
      <c r="C5235" t="str">
        <f>INDEX(nse!D:D,MATCH(B5235,nse!B:B,0))</f>
        <v>EQ</v>
      </c>
      <c r="D5235" t="str">
        <f>INDEX(nse!C:C,MATCH(B5235,nse!B:B,0))</f>
        <v>North Eastern Carrying Corporation Limited</v>
      </c>
    </row>
    <row r="5236" spans="2:4" hidden="1" x14ac:dyDescent="0.3">
      <c r="B5236" t="s">
        <v>817</v>
      </c>
      <c r="C5236" t="str">
        <f>INDEX(nse!D:D,MATCH(B5236,nse!B:B,0))</f>
        <v>EQ</v>
      </c>
      <c r="D5236" t="str">
        <f>INDEX(nse!C:C,MATCH(B5236,nse!B:B,0))</f>
        <v>Nectar Lifesciences Limited</v>
      </c>
    </row>
    <row r="5237" spans="2:4" hidden="1" x14ac:dyDescent="0.3">
      <c r="B5237" t="s">
        <v>818</v>
      </c>
      <c r="C5237" t="str">
        <f>INDEX(nse!D:D,MATCH(B5237,nse!B:B,0))</f>
        <v>EQ</v>
      </c>
      <c r="D5237" t="str">
        <f>INDEX(nse!C:C,MATCH(B5237,nse!B:B,0))</f>
        <v>Nelcast Limited</v>
      </c>
    </row>
    <row r="5238" spans="2:4" hidden="1" x14ac:dyDescent="0.3">
      <c r="B5238" t="s">
        <v>819</v>
      </c>
      <c r="C5238" t="str">
        <f>INDEX(nse!D:D,MATCH(B5238,nse!B:B,0))</f>
        <v>EQ</v>
      </c>
      <c r="D5238" t="str">
        <f>INDEX(nse!C:C,MATCH(B5238,nse!B:B,0))</f>
        <v>NELCO Limited</v>
      </c>
    </row>
    <row r="5239" spans="2:4" hidden="1" x14ac:dyDescent="0.3">
      <c r="B5239" t="s">
        <v>820</v>
      </c>
      <c r="C5239" t="str">
        <f>INDEX(nse!D:D,MATCH(B5239,nse!B:B,0))</f>
        <v>EQ</v>
      </c>
      <c r="D5239" t="str">
        <f>INDEX(nse!C:C,MATCH(B5239,nse!B:B,0))</f>
        <v>Nesco Limited</v>
      </c>
    </row>
    <row r="5240" spans="2:4" hidden="1" x14ac:dyDescent="0.3">
      <c r="B5240" t="s">
        <v>3936</v>
      </c>
      <c r="C5240" t="str">
        <f>INDEX(nse!D:D,MATCH(B5240,nse!B:B,0))</f>
        <v>EQ</v>
      </c>
      <c r="D5240" t="str">
        <f>INDEX(nse!C:C,MATCH(B5240,nse!B:B,0))</f>
        <v>Nestle India Limited</v>
      </c>
    </row>
    <row r="5241" spans="2:4" hidden="1" x14ac:dyDescent="0.3">
      <c r="B5241" t="s">
        <v>821</v>
      </c>
      <c r="C5241" t="str">
        <f>INDEX(nse!D:D,MATCH(B5241,nse!B:B,0))</f>
        <v>BE</v>
      </c>
      <c r="D5241" t="str">
        <f>INDEX(nse!C:C,MATCH(B5241,nse!B:B,0))</f>
        <v>Net 4 India Limited</v>
      </c>
    </row>
    <row r="5242" spans="2:4" hidden="1" x14ac:dyDescent="0.3">
      <c r="B5242" t="s">
        <v>822</v>
      </c>
      <c r="C5242" t="str">
        <f>INDEX(nse!D:D,MATCH(B5242,nse!B:B,0))</f>
        <v>EQ</v>
      </c>
      <c r="D5242" t="str">
        <f>INDEX(nse!C:C,MATCH(B5242,nse!B:B,0))</f>
        <v>Network18 Media &amp; Investments Limited</v>
      </c>
    </row>
    <row r="5243" spans="2:4" hidden="1" x14ac:dyDescent="0.3">
      <c r="B5243" t="s">
        <v>823</v>
      </c>
      <c r="C5243" t="str">
        <f>INDEX(nse!D:D,MATCH(B5243,nse!B:B,0))</f>
        <v>EQ</v>
      </c>
      <c r="D5243" t="str">
        <f>INDEX(nse!C:C,MATCH(B5243,nse!B:B,0))</f>
        <v>Neuland Laboratories Limited</v>
      </c>
    </row>
    <row r="5244" spans="2:4" hidden="1" x14ac:dyDescent="0.3">
      <c r="B5244" t="s">
        <v>824</v>
      </c>
      <c r="C5244" t="str">
        <f>INDEX(nse!D:D,MATCH(B5244,nse!B:B,0))</f>
        <v>BE</v>
      </c>
      <c r="D5244" t="str">
        <f>INDEX(nse!C:C,MATCH(B5244,nse!B:B,0))</f>
        <v>Next Mediaworks Limited</v>
      </c>
    </row>
    <row r="5245" spans="2:4" hidden="1" x14ac:dyDescent="0.3">
      <c r="B5245" t="s">
        <v>825</v>
      </c>
      <c r="C5245" t="str">
        <f>INDEX(nse!D:D,MATCH(B5245,nse!B:B,0))</f>
        <v>EQ</v>
      </c>
      <c r="D5245" t="str">
        <f>INDEX(nse!C:C,MATCH(B5245,nse!B:B,0))</f>
        <v>National Fertilizers Limited</v>
      </c>
    </row>
    <row r="5246" spans="2:4" hidden="1" x14ac:dyDescent="0.3">
      <c r="B5246" t="s">
        <v>3944</v>
      </c>
      <c r="C5246" t="str">
        <f>INDEX(nse!D:D,MATCH(B5246,nse!B:B,0))</f>
        <v>EQ</v>
      </c>
      <c r="D5246" t="str">
        <f>INDEX(nse!C:C,MATCH(B5246,nse!B:B,0))</f>
        <v>Narayana Hrudayalaya Ltd.</v>
      </c>
    </row>
    <row r="5247" spans="2:4" hidden="1" x14ac:dyDescent="0.3">
      <c r="B5247" t="s">
        <v>24</v>
      </c>
      <c r="C5247" t="str">
        <f>INDEX(nse!D:D,MATCH(B5247,nse!B:B,0))</f>
        <v>EQ</v>
      </c>
      <c r="D5247" t="str">
        <f>INDEX(nse!C:C,MATCH(B5247,nse!B:B,0))</f>
        <v>NHPC Limited</v>
      </c>
    </row>
    <row r="5248" spans="2:4" hidden="1" x14ac:dyDescent="0.3">
      <c r="B5248" t="s">
        <v>826</v>
      </c>
      <c r="C5248" t="str">
        <f>INDEX(nse!D:D,MATCH(B5248,nse!B:B,0))</f>
        <v>EQ</v>
      </c>
      <c r="D5248" t="str">
        <f>INDEX(nse!C:C,MATCH(B5248,nse!B:B,0))</f>
        <v>NRB Industrial Bearings Limited</v>
      </c>
    </row>
    <row r="5249" spans="2:4" hidden="1" x14ac:dyDescent="0.3">
      <c r="B5249" t="s">
        <v>827</v>
      </c>
      <c r="C5249" t="str">
        <f>INDEX(nse!D:D,MATCH(B5249,nse!B:B,0))</f>
        <v>BE</v>
      </c>
      <c r="D5249" t="str">
        <f>INDEX(nse!C:C,MATCH(B5249,nse!B:B,0))</f>
        <v>Nicco Corporation Limited</v>
      </c>
    </row>
    <row r="5250" spans="2:4" hidden="1" x14ac:dyDescent="0.3">
      <c r="B5250" t="s">
        <v>828</v>
      </c>
      <c r="C5250" t="str">
        <f>INDEX(nse!D:D,MATCH(B5250,nse!B:B,0))</f>
        <v>EQ</v>
      </c>
      <c r="D5250" t="str">
        <f>INDEX(nse!C:C,MATCH(B5250,nse!B:B,0))</f>
        <v>NIIT Limited</v>
      </c>
    </row>
    <row r="5251" spans="2:4" hidden="1" x14ac:dyDescent="0.3">
      <c r="B5251" t="s">
        <v>829</v>
      </c>
      <c r="C5251" t="str">
        <f>INDEX(nse!D:D,MATCH(B5251,nse!B:B,0))</f>
        <v>EQ</v>
      </c>
      <c r="D5251" t="str">
        <f>INDEX(nse!C:C,MATCH(B5251,nse!B:B,0))</f>
        <v>NIIT Technologies Limited</v>
      </c>
    </row>
    <row r="5252" spans="2:4" hidden="1" x14ac:dyDescent="0.3">
      <c r="B5252" t="s">
        <v>3952</v>
      </c>
      <c r="C5252" t="str">
        <f>INDEX(nse!D:D,MATCH(B5252,nse!B:B,0))</f>
        <v>EQ</v>
      </c>
      <c r="D5252" t="str">
        <f>INDEX(nse!C:C,MATCH(B5252,nse!B:B,0))</f>
        <v>Nila Infrastructures Limited</v>
      </c>
    </row>
    <row r="5253" spans="2:4" hidden="1" x14ac:dyDescent="0.3">
      <c r="B5253" t="s">
        <v>830</v>
      </c>
      <c r="C5253" t="str">
        <f>INDEX(nse!D:D,MATCH(B5253,nse!B:B,0))</f>
        <v>EQ</v>
      </c>
      <c r="D5253" t="str">
        <f>INDEX(nse!C:C,MATCH(B5253,nse!B:B,0))</f>
        <v>Nilkamal Limited</v>
      </c>
    </row>
    <row r="5254" spans="2:4" hidden="1" x14ac:dyDescent="0.3">
      <c r="B5254" t="s">
        <v>831</v>
      </c>
      <c r="C5254" t="str">
        <f>INDEX(nse!D:D,MATCH(B5254,nse!B:B,0))</f>
        <v>EQ</v>
      </c>
      <c r="D5254" t="str">
        <f>INDEX(nse!C:C,MATCH(B5254,nse!B:B,0))</f>
        <v>Indo-National Limited</v>
      </c>
    </row>
    <row r="5255" spans="2:4" hidden="1" x14ac:dyDescent="0.3">
      <c r="B5255" t="s">
        <v>3958</v>
      </c>
      <c r="C5255" t="str">
        <f>INDEX(nse!D:D,MATCH(B5255,nse!B:B,0))</f>
        <v>BE</v>
      </c>
      <c r="D5255" t="str">
        <f>INDEX(nse!C:C,MATCH(B5255,nse!B:B,0))</f>
        <v>Niraj Ispat Industries Limited</v>
      </c>
    </row>
    <row r="5256" spans="2:4" hidden="1" x14ac:dyDescent="0.3">
      <c r="B5256" t="s">
        <v>832</v>
      </c>
      <c r="C5256" t="str">
        <f>INDEX(nse!D:D,MATCH(B5256,nse!B:B,0))</f>
        <v>EQ</v>
      </c>
      <c r="D5256" t="str">
        <f>INDEX(nse!C:C,MATCH(B5256,nse!B:B,0))</f>
        <v>Nitco Limited</v>
      </c>
    </row>
    <row r="5257" spans="2:4" hidden="1" x14ac:dyDescent="0.3">
      <c r="B5257" t="s">
        <v>833</v>
      </c>
      <c r="C5257" t="str">
        <f>INDEX(nse!D:D,MATCH(B5257,nse!B:B,0))</f>
        <v>EQ</v>
      </c>
      <c r="D5257" t="str">
        <f>INDEX(nse!C:C,MATCH(B5257,nse!B:B,0))</f>
        <v>Nitesh Estates Limited</v>
      </c>
    </row>
    <row r="5258" spans="2:4" hidden="1" x14ac:dyDescent="0.3">
      <c r="B5258" t="s">
        <v>834</v>
      </c>
      <c r="C5258" t="str">
        <f>INDEX(nse!D:D,MATCH(B5258,nse!B:B,0))</f>
        <v>EQ</v>
      </c>
      <c r="D5258" t="str">
        <f>INDEX(nse!C:C,MATCH(B5258,nse!B:B,0))</f>
        <v>Nitin Fire Protection Industries Limited</v>
      </c>
    </row>
    <row r="5259" spans="2:4" hidden="1" x14ac:dyDescent="0.3">
      <c r="B5259" t="s">
        <v>835</v>
      </c>
      <c r="C5259" t="str">
        <f>INDEX(nse!D:D,MATCH(B5259,nse!B:B,0))</f>
        <v>EQ</v>
      </c>
      <c r="D5259" t="str">
        <f>INDEX(nse!C:C,MATCH(B5259,nse!B:B,0))</f>
        <v>Nitin Spinners Limited</v>
      </c>
    </row>
    <row r="5260" spans="2:4" hidden="1" x14ac:dyDescent="0.3">
      <c r="B5260" t="s">
        <v>1321</v>
      </c>
      <c r="C5260" t="str">
        <f>INDEX(nse!D:D,MATCH(B5260,nse!B:B,0))</f>
        <v>EQ</v>
      </c>
      <c r="D5260" t="str">
        <f>INDEX(nse!C:C,MATCH(B5260,nse!B:B,0))</f>
        <v>NK Industries Limited</v>
      </c>
    </row>
    <row r="5261" spans="2:4" hidden="1" x14ac:dyDescent="0.3">
      <c r="B5261" t="s">
        <v>3966</v>
      </c>
      <c r="C5261" t="str">
        <f>INDEX(nse!D:D,MATCH(B5261,nse!B:B,0))</f>
        <v>EQ</v>
      </c>
      <c r="D5261" t="str">
        <f>INDEX(nse!C:C,MATCH(B5261,nse!B:B,0))</f>
        <v>NLC India Limited</v>
      </c>
    </row>
    <row r="5262" spans="2:4" hidden="1" x14ac:dyDescent="0.3">
      <c r="B5262" t="s">
        <v>114</v>
      </c>
      <c r="C5262" t="str">
        <f>INDEX(nse!D:D,MATCH(B5262,nse!B:B,0))</f>
        <v>EQ</v>
      </c>
      <c r="D5262" t="str">
        <f>INDEX(nse!C:C,MATCH(B5262,nse!B:B,0))</f>
        <v>NMDC Limited</v>
      </c>
    </row>
    <row r="5263" spans="2:4" hidden="1" x14ac:dyDescent="0.3">
      <c r="B5263" t="s">
        <v>836</v>
      </c>
      <c r="C5263" t="str">
        <f>INDEX(nse!D:D,MATCH(B5263,nse!B:B,0))</f>
        <v>EQ</v>
      </c>
      <c r="D5263" t="str">
        <f>INDEX(nse!C:C,MATCH(B5263,nse!B:B,0))</f>
        <v>NOCIL Limited</v>
      </c>
    </row>
    <row r="5264" spans="2:4" hidden="1" x14ac:dyDescent="0.3">
      <c r="B5264" t="s">
        <v>1322</v>
      </c>
      <c r="C5264" t="str">
        <f>INDEX(nse!D:D,MATCH(B5264,nse!B:B,0))</f>
        <v>BE</v>
      </c>
      <c r="D5264" t="str">
        <f>INDEX(nse!C:C,MATCH(B5264,nse!B:B,0))</f>
        <v>Noesis Industries Limited</v>
      </c>
    </row>
    <row r="5265" spans="2:4" hidden="1" x14ac:dyDescent="0.3">
      <c r="B5265" t="s">
        <v>837</v>
      </c>
      <c r="C5265" t="str">
        <f>INDEX(nse!D:D,MATCH(B5265,nse!B:B,0))</f>
        <v>EQ</v>
      </c>
      <c r="D5265" t="str">
        <f>INDEX(nse!C:C,MATCH(B5265,nse!B:B,0))</f>
        <v>Noida Toll Bridge Company Limited</v>
      </c>
    </row>
    <row r="5266" spans="2:4" hidden="1" x14ac:dyDescent="0.3">
      <c r="B5266" t="s">
        <v>1323</v>
      </c>
      <c r="C5266" t="str">
        <f>INDEX(nse!D:D,MATCH(B5266,nse!B:B,0))</f>
        <v>EQ</v>
      </c>
      <c r="D5266" t="str">
        <f>INDEX(nse!C:C,MATCH(B5266,nse!B:B,0))</f>
        <v>Norben Tea &amp; Exports Limited</v>
      </c>
    </row>
    <row r="5267" spans="2:4" hidden="1" x14ac:dyDescent="0.3">
      <c r="B5267" t="s">
        <v>3974</v>
      </c>
      <c r="C5267" t="str">
        <f>INDEX(nse!D:D,MATCH(B5267,nse!B:B,0))</f>
        <v>EQ</v>
      </c>
      <c r="D5267" t="str">
        <f>INDEX(nse!C:C,MATCH(B5267,nse!B:B,0))</f>
        <v>N R Agarwal Industries Limited</v>
      </c>
    </row>
    <row r="5268" spans="2:4" hidden="1" x14ac:dyDescent="0.3">
      <c r="B5268" t="s">
        <v>838</v>
      </c>
      <c r="C5268" t="str">
        <f>INDEX(nse!D:D,MATCH(B5268,nse!B:B,0))</f>
        <v>EQ</v>
      </c>
      <c r="D5268" t="str">
        <f>INDEX(nse!C:C,MATCH(B5268,nse!B:B,0))</f>
        <v>NRB Bearing Limited</v>
      </c>
    </row>
    <row r="5269" spans="2:4" hidden="1" x14ac:dyDescent="0.3">
      <c r="B5269" t="s">
        <v>839</v>
      </c>
      <c r="C5269" t="str">
        <f>INDEX(nse!D:D,MATCH(B5269,nse!B:B,0))</f>
        <v>EQ</v>
      </c>
      <c r="D5269" t="str">
        <f>INDEX(nse!C:C,MATCH(B5269,nse!B:B,0))</f>
        <v>Nalwa Sons Investments Limited</v>
      </c>
    </row>
    <row r="5270" spans="2:4" hidden="1" x14ac:dyDescent="0.3">
      <c r="B5270" t="s">
        <v>3979</v>
      </c>
      <c r="C5270" t="str">
        <f>INDEX(nse!D:D,MATCH(B5270,nse!B:B,0))</f>
        <v>EQ</v>
      </c>
      <c r="D5270" t="str">
        <f>INDEX(nse!C:C,MATCH(B5270,nse!B:B,0))</f>
        <v>Neueon Towers Limited</v>
      </c>
    </row>
    <row r="5271" spans="2:4" hidden="1" x14ac:dyDescent="0.3">
      <c r="B5271" t="s">
        <v>840</v>
      </c>
      <c r="C5271" t="str">
        <f>INDEX(nse!D:D,MATCH(B5271,nse!B:B,0))</f>
        <v>EQ</v>
      </c>
      <c r="D5271" t="str">
        <f>INDEX(nse!C:C,MATCH(B5271,nse!B:B,0))</f>
        <v>NTPC Limited</v>
      </c>
    </row>
    <row r="5272" spans="2:4" hidden="1" x14ac:dyDescent="0.3">
      <c r="B5272" t="s">
        <v>841</v>
      </c>
      <c r="C5272" t="str">
        <f>INDEX(nse!D:D,MATCH(B5272,nse!B:B,0))</f>
        <v>EQ</v>
      </c>
      <c r="D5272" t="str">
        <f>INDEX(nse!C:C,MATCH(B5272,nse!B:B,0))</f>
        <v>Nucleus Software Exports Limited</v>
      </c>
    </row>
    <row r="5273" spans="2:4" hidden="1" x14ac:dyDescent="0.3">
      <c r="B5273" t="s">
        <v>842</v>
      </c>
      <c r="C5273" t="str">
        <f>INDEX(nse!D:D,MATCH(B5273,nse!B:B,0))</f>
        <v>EQ</v>
      </c>
      <c r="D5273" t="str">
        <f>INDEX(nse!C:C,MATCH(B5273,nse!B:B,0))</f>
        <v>Nu Tek India Limited</v>
      </c>
    </row>
    <row r="5274" spans="2:4" hidden="1" x14ac:dyDescent="0.3">
      <c r="B5274" t="s">
        <v>843</v>
      </c>
      <c r="C5274" t="str">
        <f>INDEX(nse!D:D,MATCH(B5274,nse!B:B,0))</f>
        <v>EQ</v>
      </c>
      <c r="D5274" t="str">
        <f>INDEX(nse!C:C,MATCH(B5274,nse!B:B,0))</f>
        <v>Oberoi Realty Limited</v>
      </c>
    </row>
    <row r="5275" spans="2:4" hidden="1" x14ac:dyDescent="0.3">
      <c r="B5275" t="s">
        <v>3986</v>
      </c>
      <c r="C5275" t="str">
        <f>INDEX(nse!D:D,MATCH(B5275,nse!B:B,0))</f>
        <v>EQ</v>
      </c>
      <c r="D5275" t="str">
        <f>INDEX(nse!C:C,MATCH(B5275,nse!B:B,0))</f>
        <v>Oriental Carbon &amp; Chemicals Limited</v>
      </c>
    </row>
    <row r="5276" spans="2:4" hidden="1" x14ac:dyDescent="0.3">
      <c r="B5276" t="s">
        <v>844</v>
      </c>
      <c r="C5276" t="str">
        <f>INDEX(nse!D:D,MATCH(B5276,nse!B:B,0))</f>
        <v>EQ</v>
      </c>
      <c r="D5276" t="str">
        <f>INDEX(nse!C:C,MATCH(B5276,nse!B:B,0))</f>
        <v>OCL India Limited</v>
      </c>
    </row>
    <row r="5277" spans="2:4" hidden="1" x14ac:dyDescent="0.3">
      <c r="B5277" t="s">
        <v>25</v>
      </c>
      <c r="C5277" t="str">
        <f>INDEX(nse!D:D,MATCH(B5277,nse!B:B,0))</f>
        <v>EQ</v>
      </c>
      <c r="D5277" t="str">
        <f>INDEX(nse!C:C,MATCH(B5277,nse!B:B,0))</f>
        <v>Oracle Financial Services Software Limited</v>
      </c>
    </row>
    <row r="5278" spans="2:4" hidden="1" x14ac:dyDescent="0.3">
      <c r="B5278" t="s">
        <v>80</v>
      </c>
      <c r="C5278" t="str">
        <f>INDEX(nse!D:D,MATCH(B5278,nse!B:B,0))</f>
        <v>EQ</v>
      </c>
      <c r="D5278" t="str">
        <f>INDEX(nse!C:C,MATCH(B5278,nse!B:B,0))</f>
        <v>Oil India Limited</v>
      </c>
    </row>
    <row r="5279" spans="2:4" hidden="1" x14ac:dyDescent="0.3">
      <c r="B5279" t="s">
        <v>845</v>
      </c>
      <c r="C5279" t="str">
        <f>INDEX(nse!D:D,MATCH(B5279,nse!B:B,0))</f>
        <v>EQ</v>
      </c>
      <c r="D5279" t="str">
        <f>INDEX(nse!C:C,MATCH(B5279,nse!B:B,0))</f>
        <v>Oil Country Tubular Limited</v>
      </c>
    </row>
    <row r="5280" spans="2:4" hidden="1" x14ac:dyDescent="0.3">
      <c r="B5280" t="s">
        <v>846</v>
      </c>
      <c r="C5280" t="str">
        <f>INDEX(nse!D:D,MATCH(B5280,nse!B:B,0))</f>
        <v>BE</v>
      </c>
      <c r="D5280" t="str">
        <f>INDEX(nse!C:C,MATCH(B5280,nse!B:B,0))</f>
        <v>OCL Iron and Steel Limited</v>
      </c>
    </row>
    <row r="5281" spans="2:4" hidden="1" x14ac:dyDescent="0.3">
      <c r="B5281" t="s">
        <v>847</v>
      </c>
      <c r="C5281" t="str">
        <f>INDEX(nse!D:D,MATCH(B5281,nse!B:B,0))</f>
        <v>EQ</v>
      </c>
      <c r="D5281" t="str">
        <f>INDEX(nse!C:C,MATCH(B5281,nse!B:B,0))</f>
        <v>Omax Autos Limited</v>
      </c>
    </row>
    <row r="5282" spans="2:4" hidden="1" x14ac:dyDescent="0.3">
      <c r="B5282" t="s">
        <v>848</v>
      </c>
      <c r="C5282" t="str">
        <f>INDEX(nse!D:D,MATCH(B5282,nse!B:B,0))</f>
        <v>EQ</v>
      </c>
      <c r="D5282" t="str">
        <f>INDEX(nse!C:C,MATCH(B5282,nse!B:B,0))</f>
        <v>Omaxe Limited</v>
      </c>
    </row>
    <row r="5283" spans="2:4" hidden="1" x14ac:dyDescent="0.3">
      <c r="B5283" t="s">
        <v>849</v>
      </c>
      <c r="C5283" t="str">
        <f>INDEX(nse!D:D,MATCH(B5283,nse!B:B,0))</f>
        <v>EQ</v>
      </c>
      <c r="D5283" t="str">
        <f>INDEX(nse!C:C,MATCH(B5283,nse!B:B,0))</f>
        <v>Omkar Speciality Chemicals Limited</v>
      </c>
    </row>
    <row r="5284" spans="2:4" hidden="1" x14ac:dyDescent="0.3">
      <c r="B5284" t="s">
        <v>850</v>
      </c>
      <c r="C5284" t="str">
        <f>INDEX(nse!D:D,MATCH(B5284,nse!B:B,0))</f>
        <v>EQ</v>
      </c>
      <c r="D5284" t="str">
        <f>INDEX(nse!C:C,MATCH(B5284,nse!B:B,0))</f>
        <v>OM Metals Infraprojects Limited</v>
      </c>
    </row>
    <row r="5285" spans="2:4" hidden="1" x14ac:dyDescent="0.3">
      <c r="B5285" t="s">
        <v>851</v>
      </c>
      <c r="C5285" t="str">
        <f>INDEX(nse!D:D,MATCH(B5285,nse!B:B,0))</f>
        <v>BE</v>
      </c>
      <c r="D5285" t="str">
        <f>INDEX(nse!C:C,MATCH(B5285,nse!B:B,0))</f>
        <v>Onelife Capital Advisors Limited</v>
      </c>
    </row>
    <row r="5286" spans="2:4" hidden="1" x14ac:dyDescent="0.3">
      <c r="B5286" t="s">
        <v>852</v>
      </c>
      <c r="C5286" t="str">
        <f>INDEX(nse!D:D,MATCH(B5286,nse!B:B,0))</f>
        <v>EQ</v>
      </c>
      <c r="D5286" t="str">
        <f>INDEX(nse!C:C,MATCH(B5286,nse!B:B,0))</f>
        <v>Oil &amp; Natural Gas Corporation Limited</v>
      </c>
    </row>
    <row r="5287" spans="2:4" hidden="1" x14ac:dyDescent="0.3">
      <c r="B5287" t="s">
        <v>853</v>
      </c>
      <c r="C5287" t="str">
        <f>INDEX(nse!D:D,MATCH(B5287,nse!B:B,0))</f>
        <v>EQ</v>
      </c>
      <c r="D5287" t="str">
        <f>INDEX(nse!C:C,MATCH(B5287,nse!B:B,0))</f>
        <v>OnMobile Global Limited</v>
      </c>
    </row>
    <row r="5288" spans="2:4" hidden="1" x14ac:dyDescent="0.3">
      <c r="B5288" t="s">
        <v>854</v>
      </c>
      <c r="C5288" t="str">
        <f>INDEX(nse!D:D,MATCH(B5288,nse!B:B,0))</f>
        <v>BE</v>
      </c>
      <c r="D5288" t="str">
        <f>INDEX(nse!C:C,MATCH(B5288,nse!B:B,0))</f>
        <v>Onward Technologies Limited</v>
      </c>
    </row>
    <row r="5289" spans="2:4" hidden="1" x14ac:dyDescent="0.3">
      <c r="B5289" t="s">
        <v>855</v>
      </c>
      <c r="C5289" t="str">
        <f>INDEX(nse!D:D,MATCH(B5289,nse!B:B,0))</f>
        <v>EQ</v>
      </c>
      <c r="D5289" t="str">
        <f>INDEX(nse!C:C,MATCH(B5289,nse!B:B,0))</f>
        <v>Opto Circuits (India) Limited</v>
      </c>
    </row>
    <row r="5290" spans="2:4" hidden="1" x14ac:dyDescent="0.3">
      <c r="B5290" t="s">
        <v>856</v>
      </c>
      <c r="C5290" t="str">
        <f>INDEX(nse!D:D,MATCH(B5290,nse!B:B,0))</f>
        <v>BE</v>
      </c>
      <c r="D5290" t="str">
        <f>INDEX(nse!C:C,MATCH(B5290,nse!B:B,0))</f>
        <v>Orbit Corporation Limited</v>
      </c>
    </row>
    <row r="5291" spans="2:4" hidden="1" x14ac:dyDescent="0.3">
      <c r="B5291" t="s">
        <v>856</v>
      </c>
      <c r="C5291" t="str">
        <f>INDEX(nse!D:D,MATCH(B5291,nse!B:B,0))</f>
        <v>BE</v>
      </c>
      <c r="D5291" t="str">
        <f>INDEX(nse!C:C,MATCH(B5291,nse!B:B,0))</f>
        <v>Orbit Corporation Limited</v>
      </c>
    </row>
    <row r="5292" spans="2:4" hidden="1" x14ac:dyDescent="0.3">
      <c r="B5292" t="s">
        <v>857</v>
      </c>
      <c r="C5292" t="str">
        <f>INDEX(nse!D:D,MATCH(B5292,nse!B:B,0))</f>
        <v>EQ</v>
      </c>
      <c r="D5292" t="str">
        <f>INDEX(nse!C:C,MATCH(B5292,nse!B:B,0))</f>
        <v>Orbit Exports Limited</v>
      </c>
    </row>
    <row r="5293" spans="2:4" hidden="1" x14ac:dyDescent="0.3">
      <c r="B5293" t="s">
        <v>4005</v>
      </c>
      <c r="C5293" t="str">
        <f>INDEX(nse!D:D,MATCH(B5293,nse!B:B,0))</f>
        <v>EQ</v>
      </c>
      <c r="D5293" t="str">
        <f>INDEX(nse!C:C,MATCH(B5293,nse!B:B,0))</f>
        <v>Orchid Pharma Limited</v>
      </c>
    </row>
    <row r="5294" spans="2:4" hidden="1" x14ac:dyDescent="0.3">
      <c r="B5294" t="s">
        <v>4008</v>
      </c>
      <c r="C5294" t="str">
        <f>INDEX(nse!D:D,MATCH(B5294,nse!B:B,0))</f>
        <v>EQ</v>
      </c>
      <c r="D5294" t="str">
        <f>INDEX(nse!C:C,MATCH(B5294,nse!B:B,0))</f>
        <v>Oricon Enterprises Limited</v>
      </c>
    </row>
    <row r="5295" spans="2:4" hidden="1" x14ac:dyDescent="0.3">
      <c r="B5295" t="s">
        <v>858</v>
      </c>
      <c r="C5295" t="str">
        <f>INDEX(nse!D:D,MATCH(B5295,nse!B:B,0))</f>
        <v>EQ</v>
      </c>
      <c r="D5295" t="str">
        <f>INDEX(nse!C:C,MATCH(B5295,nse!B:B,0))</f>
        <v>Orient Abrasives Limited</v>
      </c>
    </row>
    <row r="5296" spans="2:4" hidden="1" x14ac:dyDescent="0.3">
      <c r="B5296" t="s">
        <v>1324</v>
      </c>
      <c r="C5296" t="str">
        <f>INDEX(nse!D:D,MATCH(B5296,nse!B:B,0))</f>
        <v>BE</v>
      </c>
      <c r="D5296" t="str">
        <f>INDEX(nse!C:C,MATCH(B5296,nse!B:B,0))</f>
        <v>Oriental Trimex Limited</v>
      </c>
    </row>
    <row r="5297" spans="2:4" hidden="1" x14ac:dyDescent="0.3">
      <c r="B5297" t="s">
        <v>81</v>
      </c>
      <c r="C5297" t="str">
        <f>INDEX(nse!D:D,MATCH(B5297,nse!B:B,0))</f>
        <v>EQ</v>
      </c>
      <c r="D5297" t="str">
        <f>INDEX(nse!C:C,MATCH(B5297,nse!B:B,0))</f>
        <v>Oriental Bank of Commerce</v>
      </c>
    </row>
    <row r="5298" spans="2:4" hidden="1" x14ac:dyDescent="0.3">
      <c r="B5298" t="s">
        <v>859</v>
      </c>
      <c r="C5298" t="str">
        <f>INDEX(nse!D:D,MATCH(B5298,nse!B:B,0))</f>
        <v>EQ</v>
      </c>
      <c r="D5298" t="str">
        <f>INDEX(nse!C:C,MATCH(B5298,nse!B:B,0))</f>
        <v>Orient Bell Limited</v>
      </c>
    </row>
    <row r="5299" spans="2:4" hidden="1" x14ac:dyDescent="0.3">
      <c r="B5299" t="s">
        <v>860</v>
      </c>
      <c r="C5299" t="str">
        <f>INDEX(nse!D:D,MATCH(B5299,nse!B:B,0))</f>
        <v>EQ</v>
      </c>
      <c r="D5299" t="str">
        <f>INDEX(nse!C:C,MATCH(B5299,nse!B:B,0))</f>
        <v>Orient Cement Limited</v>
      </c>
    </row>
    <row r="5300" spans="2:4" hidden="1" x14ac:dyDescent="0.3">
      <c r="B5300" t="s">
        <v>861</v>
      </c>
      <c r="C5300" t="str">
        <f>INDEX(nse!D:D,MATCH(B5300,nse!B:B,0))</f>
        <v>EQ</v>
      </c>
      <c r="D5300" t="str">
        <f>INDEX(nse!C:C,MATCH(B5300,nse!B:B,0))</f>
        <v>Oriental Hotels Limited</v>
      </c>
    </row>
    <row r="5301" spans="2:4" hidden="1" x14ac:dyDescent="0.3">
      <c r="B5301" t="s">
        <v>862</v>
      </c>
      <c r="C5301" t="str">
        <f>INDEX(nse!D:D,MATCH(B5301,nse!B:B,0))</f>
        <v>EQ</v>
      </c>
      <c r="D5301" t="str">
        <f>INDEX(nse!C:C,MATCH(B5301,nse!B:B,0))</f>
        <v>Orient Press Limited</v>
      </c>
    </row>
    <row r="5302" spans="2:4" hidden="1" x14ac:dyDescent="0.3">
      <c r="B5302" t="s">
        <v>863</v>
      </c>
      <c r="C5302" t="str">
        <f>INDEX(nse!D:D,MATCH(B5302,nse!B:B,0))</f>
        <v>EQ</v>
      </c>
      <c r="D5302" t="str">
        <f>INDEX(nse!C:C,MATCH(B5302,nse!B:B,0))</f>
        <v>Orient Paper &amp; Industries Limited</v>
      </c>
    </row>
    <row r="5303" spans="2:4" hidden="1" x14ac:dyDescent="0.3">
      <c r="B5303" t="s">
        <v>864</v>
      </c>
      <c r="C5303" t="str">
        <f>INDEX(nse!D:D,MATCH(B5303,nse!B:B,0))</f>
        <v>EQ</v>
      </c>
      <c r="D5303" t="str">
        <f>INDEX(nse!C:C,MATCH(B5303,nse!B:B,0))</f>
        <v>Orient Refractories Limited</v>
      </c>
    </row>
    <row r="5304" spans="2:4" hidden="1" x14ac:dyDescent="0.3">
      <c r="B5304" t="s">
        <v>865</v>
      </c>
      <c r="C5304" t="str">
        <f>INDEX(nse!D:D,MATCH(B5304,nse!B:B,0))</f>
        <v>EQ</v>
      </c>
      <c r="D5304" t="str">
        <f>INDEX(nse!C:C,MATCH(B5304,nse!B:B,0))</f>
        <v>The Orissa Minerals Development Company Limited</v>
      </c>
    </row>
    <row r="5305" spans="2:4" hidden="1" x14ac:dyDescent="0.3">
      <c r="B5305" t="s">
        <v>4021</v>
      </c>
      <c r="C5305" t="str">
        <f>INDEX(nse!D:D,MATCH(B5305,nse!B:B,0))</f>
        <v>EQ</v>
      </c>
      <c r="D5305" t="str">
        <f>INDEX(nse!C:C,MATCH(B5305,nse!B:B,0))</f>
        <v>Ortel Communications Limited</v>
      </c>
    </row>
    <row r="5306" spans="2:4" hidden="1" x14ac:dyDescent="0.3">
      <c r="B5306" t="s">
        <v>4024</v>
      </c>
      <c r="C5306" t="str">
        <f>INDEX(nse!D:D,MATCH(B5306,nse!B:B,0))</f>
        <v>BE</v>
      </c>
      <c r="D5306" t="str">
        <f>INDEX(nse!C:C,MATCH(B5306,nse!B:B,0))</f>
        <v>Ortin Laboratories Limited</v>
      </c>
    </row>
    <row r="5307" spans="2:4" hidden="1" x14ac:dyDescent="0.3">
      <c r="B5307" t="s">
        <v>866</v>
      </c>
      <c r="C5307" t="str">
        <f>INDEX(nse!D:D,MATCH(B5307,nse!B:B,0))</f>
        <v>BE</v>
      </c>
      <c r="D5307" t="str">
        <f>INDEX(nse!C:C,MATCH(B5307,nse!B:B,0))</f>
        <v>PAE Limited</v>
      </c>
    </row>
    <row r="5308" spans="2:4" hidden="1" x14ac:dyDescent="0.3">
      <c r="B5308" t="s">
        <v>867</v>
      </c>
      <c r="C5308" t="str">
        <f>INDEX(nse!D:D,MATCH(B5308,nse!B:B,0))</f>
        <v>EQ</v>
      </c>
      <c r="D5308" t="str">
        <f>INDEX(nse!C:C,MATCH(B5308,nse!B:B,0))</f>
        <v>Page Industries Limited</v>
      </c>
    </row>
    <row r="5309" spans="2:4" hidden="1" x14ac:dyDescent="0.3">
      <c r="B5309" t="s">
        <v>4029</v>
      </c>
      <c r="C5309" t="str">
        <f>INDEX(nse!D:D,MATCH(B5309,nse!B:B,0))</f>
        <v>BE</v>
      </c>
      <c r="D5309" t="str">
        <f>INDEX(nse!C:C,MATCH(B5309,nse!B:B,0))</f>
        <v>Palred Technologies Limited</v>
      </c>
    </row>
    <row r="5310" spans="2:4" hidden="1" x14ac:dyDescent="0.3">
      <c r="B5310" t="s">
        <v>868</v>
      </c>
      <c r="C5310" t="str">
        <f>INDEX(nse!D:D,MATCH(B5310,nse!B:B,0))</f>
        <v>EQ</v>
      </c>
      <c r="D5310" t="str">
        <f>INDEX(nse!C:C,MATCH(B5310,nse!B:B,0))</f>
        <v>Panacea Biotec Limited</v>
      </c>
    </row>
    <row r="5311" spans="2:4" hidden="1" x14ac:dyDescent="0.3">
      <c r="B5311" t="s">
        <v>869</v>
      </c>
      <c r="C5311" t="str">
        <f>INDEX(nse!D:D,MATCH(B5311,nse!B:B,0))</f>
        <v>EQ</v>
      </c>
      <c r="D5311" t="str">
        <f>INDEX(nse!C:C,MATCH(B5311,nse!B:B,0))</f>
        <v>Panama Petrochem Limited</v>
      </c>
    </row>
    <row r="5312" spans="2:4" hidden="1" x14ac:dyDescent="0.3">
      <c r="B5312" t="s">
        <v>870</v>
      </c>
      <c r="C5312" t="str">
        <f>INDEX(nse!D:D,MATCH(B5312,nse!B:B,0))</f>
        <v>EQ</v>
      </c>
      <c r="D5312" t="str">
        <f>INDEX(nse!C:C,MATCH(B5312,nse!B:B,0))</f>
        <v>Panoramic Universal Limited</v>
      </c>
    </row>
    <row r="5313" spans="2:4" hidden="1" x14ac:dyDescent="0.3">
      <c r="B5313" t="s">
        <v>871</v>
      </c>
      <c r="C5313" t="str">
        <f>INDEX(nse!D:D,MATCH(B5313,nse!B:B,0))</f>
        <v>EQ</v>
      </c>
      <c r="D5313" t="str">
        <f>INDEX(nse!C:C,MATCH(B5313,nse!B:B,0))</f>
        <v>Huhtamaki PPL Limited</v>
      </c>
    </row>
    <row r="5314" spans="2:4" hidden="1" x14ac:dyDescent="0.3">
      <c r="B5314" t="s">
        <v>872</v>
      </c>
      <c r="C5314" t="str">
        <f>INDEX(nse!D:D,MATCH(B5314,nse!B:B,0))</f>
        <v>EQ</v>
      </c>
      <c r="D5314" t="str">
        <f>INDEX(nse!C:C,MATCH(B5314,nse!B:B,0))</f>
        <v>Parabolic Drugs Limited</v>
      </c>
    </row>
    <row r="5315" spans="2:4" hidden="1" x14ac:dyDescent="0.3">
      <c r="B5315" t="s">
        <v>873</v>
      </c>
      <c r="C5315" t="str">
        <f>INDEX(nse!D:D,MATCH(B5315,nse!B:B,0))</f>
        <v>BE</v>
      </c>
      <c r="D5315" t="str">
        <f>INDEX(nse!C:C,MATCH(B5315,nse!B:B,0))</f>
        <v>Paramount Communications Limited</v>
      </c>
    </row>
    <row r="5316" spans="2:4" hidden="1" x14ac:dyDescent="0.3">
      <c r="B5316" t="s">
        <v>4037</v>
      </c>
      <c r="C5316" t="str">
        <f>INDEX(nse!D:D,MATCH(B5316,nse!B:B,0))</f>
        <v>EQ</v>
      </c>
      <c r="D5316" t="str">
        <f>INDEX(nse!C:C,MATCH(B5316,nse!B:B,0))</f>
        <v>Parag Milk Foods Limited</v>
      </c>
    </row>
    <row r="5317" spans="2:4" hidden="1" x14ac:dyDescent="0.3">
      <c r="B5317" t="s">
        <v>874</v>
      </c>
      <c r="C5317" t="str">
        <f>INDEX(nse!D:D,MATCH(B5317,nse!B:B,0))</f>
        <v>EQ</v>
      </c>
      <c r="D5317" t="str">
        <f>INDEX(nse!C:C,MATCH(B5317,nse!B:B,0))</f>
        <v>Parsvnath Developers Limited</v>
      </c>
    </row>
    <row r="5318" spans="2:4" hidden="1" x14ac:dyDescent="0.3">
      <c r="B5318" t="s">
        <v>875</v>
      </c>
      <c r="C5318" t="str">
        <f>INDEX(nse!D:D,MATCH(B5318,nse!B:B,0))</f>
        <v>EQ</v>
      </c>
      <c r="D5318" t="str">
        <f>INDEX(nse!C:C,MATCH(B5318,nse!B:B,0))</f>
        <v>Patel Engineering Limited</v>
      </c>
    </row>
    <row r="5319" spans="2:4" hidden="1" x14ac:dyDescent="0.3">
      <c r="B5319" t="s">
        <v>876</v>
      </c>
      <c r="C5319" t="str">
        <f>INDEX(nse!D:D,MATCH(B5319,nse!B:B,0))</f>
        <v>EQ</v>
      </c>
      <c r="D5319" t="str">
        <f>INDEX(nse!C:C,MATCH(B5319,nse!B:B,0))</f>
        <v>Patel Integrated Logistics Limited</v>
      </c>
    </row>
    <row r="5320" spans="2:4" hidden="1" x14ac:dyDescent="0.3">
      <c r="B5320" t="s">
        <v>877</v>
      </c>
      <c r="C5320" t="str">
        <f>INDEX(nse!D:D,MATCH(B5320,nse!B:B,0))</f>
        <v>EQ</v>
      </c>
      <c r="D5320" t="str">
        <f>INDEX(nse!C:C,MATCH(B5320,nse!B:B,0))</f>
        <v>Patspin India Limited</v>
      </c>
    </row>
    <row r="5321" spans="2:4" hidden="1" x14ac:dyDescent="0.3">
      <c r="B5321" t="s">
        <v>878</v>
      </c>
      <c r="C5321" t="str">
        <f>INDEX(nse!D:D,MATCH(B5321,nse!B:B,0))</f>
        <v>EQ</v>
      </c>
      <c r="D5321" t="str">
        <f>INDEX(nse!C:C,MATCH(B5321,nse!B:B,0))</f>
        <v>PBA Infrastructure Limited</v>
      </c>
    </row>
    <row r="5322" spans="2:4" hidden="1" x14ac:dyDescent="0.3">
      <c r="B5322" t="s">
        <v>879</v>
      </c>
      <c r="C5322" t="str">
        <f>INDEX(nse!D:D,MATCH(B5322,nse!B:B,0))</f>
        <v>EQ</v>
      </c>
      <c r="D5322" t="str">
        <f>INDEX(nse!C:C,MATCH(B5322,nse!B:B,0))</f>
        <v>PC Jeweller Limited</v>
      </c>
    </row>
    <row r="5323" spans="2:4" hidden="1" x14ac:dyDescent="0.3">
      <c r="B5323" t="s">
        <v>4046</v>
      </c>
      <c r="C5323" t="str">
        <f>INDEX(nse!D:D,MATCH(B5323,nse!B:B,0))</f>
        <v>EQ</v>
      </c>
      <c r="D5323" t="str">
        <f>INDEX(nse!C:C,MATCH(B5323,nse!B:B,0))</f>
        <v>Pudumjee Paper Products Limited</v>
      </c>
    </row>
    <row r="5324" spans="2:4" hidden="1" x14ac:dyDescent="0.3">
      <c r="B5324" t="s">
        <v>880</v>
      </c>
      <c r="C5324" t="str">
        <f>INDEX(nse!D:D,MATCH(B5324,nse!B:B,0))</f>
        <v>EQ</v>
      </c>
      <c r="D5324" t="str">
        <f>INDEX(nse!C:C,MATCH(B5324,nse!B:B,0))</f>
        <v>Parenteral Drugs (India) Limited</v>
      </c>
    </row>
    <row r="5325" spans="2:4" hidden="1" x14ac:dyDescent="0.3">
      <c r="B5325" t="s">
        <v>881</v>
      </c>
      <c r="C5325" t="str">
        <f>INDEX(nse!D:D,MATCH(B5325,nse!B:B,0))</f>
        <v>EQ</v>
      </c>
      <c r="D5325" t="str">
        <f>INDEX(nse!C:C,MATCH(B5325,nse!B:B,0))</f>
        <v>PDS Multinational Fashions Limited</v>
      </c>
    </row>
    <row r="5326" spans="2:4" hidden="1" x14ac:dyDescent="0.3">
      <c r="B5326" t="s">
        <v>1325</v>
      </c>
      <c r="C5326" t="str">
        <f>INDEX(nse!D:D,MATCH(B5326,nse!B:B,0))</f>
        <v>EQ</v>
      </c>
      <c r="D5326" t="str">
        <f>INDEX(nse!C:C,MATCH(B5326,nse!B:B,0))</f>
        <v>Pudumjee Industries Limited</v>
      </c>
    </row>
    <row r="5327" spans="2:4" hidden="1" x14ac:dyDescent="0.3">
      <c r="B5327" t="s">
        <v>882</v>
      </c>
      <c r="C5327" t="str">
        <f>INDEX(nse!D:D,MATCH(B5327,nse!B:B,0))</f>
        <v>EQ</v>
      </c>
      <c r="D5327" t="str">
        <f>INDEX(nse!C:C,MATCH(B5327,nse!B:B,0))</f>
        <v>Pudumjee Pulp &amp; Paper Mills Limited</v>
      </c>
    </row>
    <row r="5328" spans="2:4" hidden="1" x14ac:dyDescent="0.3">
      <c r="B5328" t="s">
        <v>883</v>
      </c>
      <c r="C5328" t="str">
        <f>INDEX(nse!D:D,MATCH(B5328,nse!B:B,0))</f>
        <v>BE</v>
      </c>
      <c r="D5328" t="str">
        <f>INDEX(nse!C:C,MATCH(B5328,nse!B:B,0))</f>
        <v>Pearl Polymers Limited</v>
      </c>
    </row>
    <row r="5329" spans="2:4" hidden="1" x14ac:dyDescent="0.3">
      <c r="B5329" t="s">
        <v>84</v>
      </c>
      <c r="C5329" t="str">
        <f>INDEX(nse!D:D,MATCH(B5329,nse!B:B,0))</f>
        <v>EQ</v>
      </c>
      <c r="D5329" t="str">
        <f>INDEX(nse!C:C,MATCH(B5329,nse!B:B,0))</f>
        <v>Piramal Enterprises Limited</v>
      </c>
    </row>
    <row r="5330" spans="2:4" hidden="1" x14ac:dyDescent="0.3">
      <c r="B5330" t="s">
        <v>884</v>
      </c>
      <c r="C5330" t="str">
        <f>INDEX(nse!D:D,MATCH(B5330,nse!B:B,0))</f>
        <v>EQ</v>
      </c>
      <c r="D5330" t="str">
        <f>INDEX(nse!C:C,MATCH(B5330,nse!B:B,0))</f>
        <v>Pennar Industries Limited</v>
      </c>
    </row>
    <row r="5331" spans="2:4" hidden="1" x14ac:dyDescent="0.3">
      <c r="B5331" t="s">
        <v>885</v>
      </c>
      <c r="C5331" t="str">
        <f>INDEX(nse!D:D,MATCH(B5331,nse!B:B,0))</f>
        <v>EQ</v>
      </c>
      <c r="D5331" t="str">
        <f>INDEX(nse!C:C,MATCH(B5331,nse!B:B,0))</f>
        <v>Peninsula Land Limited</v>
      </c>
    </row>
    <row r="5332" spans="2:4" hidden="1" x14ac:dyDescent="0.3">
      <c r="B5332" t="s">
        <v>4057</v>
      </c>
      <c r="C5332" t="str">
        <f>INDEX(nse!D:D,MATCH(B5332,nse!B:B,0))</f>
        <v>EQ</v>
      </c>
      <c r="D5332" t="str">
        <f>INDEX(nse!C:C,MATCH(B5332,nse!B:B,0))</f>
        <v>Pennar Engineered Building Systems Limited</v>
      </c>
    </row>
    <row r="5333" spans="2:4" hidden="1" x14ac:dyDescent="0.3">
      <c r="B5333" t="s">
        <v>886</v>
      </c>
      <c r="C5333" t="str">
        <f>INDEX(nse!D:D,MATCH(B5333,nse!B:B,0))</f>
        <v>EQ</v>
      </c>
      <c r="D5333" t="str">
        <f>INDEX(nse!C:C,MATCH(B5333,nse!B:B,0))</f>
        <v>Persistent Systems Limited</v>
      </c>
    </row>
    <row r="5334" spans="2:4" hidden="1" x14ac:dyDescent="0.3">
      <c r="B5334" t="s">
        <v>887</v>
      </c>
      <c r="C5334" t="str">
        <f>INDEX(nse!D:D,MATCH(B5334,nse!B:B,0))</f>
        <v>BE</v>
      </c>
      <c r="D5334" t="str">
        <f>INDEX(nse!C:C,MATCH(B5334,nse!B:B,0))</f>
        <v>Petron Engineering Construction Limited</v>
      </c>
    </row>
    <row r="5335" spans="2:4" hidden="1" x14ac:dyDescent="0.3">
      <c r="B5335" t="s">
        <v>82</v>
      </c>
      <c r="C5335" t="str">
        <f>INDEX(nse!D:D,MATCH(B5335,nse!B:B,0))</f>
        <v>EQ</v>
      </c>
      <c r="D5335" t="str">
        <f>INDEX(nse!C:C,MATCH(B5335,nse!B:B,0))</f>
        <v>Petronet LNG Limited</v>
      </c>
    </row>
    <row r="5336" spans="2:4" hidden="1" x14ac:dyDescent="0.3">
      <c r="B5336" t="s">
        <v>85</v>
      </c>
      <c r="C5336" t="str">
        <f>INDEX(nse!D:D,MATCH(B5336,nse!B:B,0))</f>
        <v>EQ</v>
      </c>
      <c r="D5336" t="str">
        <f>INDEX(nse!C:C,MATCH(B5336,nse!B:B,0))</f>
        <v>Power Finance Corporation Limited</v>
      </c>
    </row>
    <row r="5337" spans="2:4" hidden="1" x14ac:dyDescent="0.3">
      <c r="B5337" t="s">
        <v>888</v>
      </c>
      <c r="C5337" t="str">
        <f>INDEX(nse!D:D,MATCH(B5337,nse!B:B,0))</f>
        <v>EQ</v>
      </c>
      <c r="D5337" t="str">
        <f>INDEX(nse!C:C,MATCH(B5337,nse!B:B,0))</f>
        <v>Pfizer Limited</v>
      </c>
    </row>
    <row r="5338" spans="2:4" hidden="1" x14ac:dyDescent="0.3">
      <c r="B5338" t="s">
        <v>889</v>
      </c>
      <c r="C5338" t="str">
        <f>INDEX(nse!D:D,MATCH(B5338,nse!B:B,0))</f>
        <v>EQ</v>
      </c>
      <c r="D5338" t="str">
        <f>INDEX(nse!C:C,MATCH(B5338,nse!B:B,0))</f>
        <v>Prime Focus Limited</v>
      </c>
    </row>
    <row r="5339" spans="2:4" hidden="1" x14ac:dyDescent="0.3">
      <c r="B5339" t="s">
        <v>890</v>
      </c>
      <c r="C5339" t="str">
        <f>INDEX(nse!D:D,MATCH(B5339,nse!B:B,0))</f>
        <v>EQ</v>
      </c>
      <c r="D5339" t="str">
        <f>INDEX(nse!C:C,MATCH(B5339,nse!B:B,0))</f>
        <v>PTC India Financial Services Limited</v>
      </c>
    </row>
    <row r="5340" spans="2:4" hidden="1" x14ac:dyDescent="0.3">
      <c r="B5340" t="s">
        <v>891</v>
      </c>
      <c r="C5340" t="str">
        <f>INDEX(nse!D:D,MATCH(B5340,nse!B:B,0))</f>
        <v>EQ</v>
      </c>
      <c r="D5340" t="str">
        <f>INDEX(nse!C:C,MATCH(B5340,nse!B:B,0))</f>
        <v>PG Electroplast Limited</v>
      </c>
    </row>
    <row r="5341" spans="2:4" hidden="1" x14ac:dyDescent="0.3">
      <c r="B5341" t="s">
        <v>86</v>
      </c>
      <c r="C5341" t="str">
        <f>INDEX(nse!D:D,MATCH(B5341,nse!B:B,0))</f>
        <v>EQ</v>
      </c>
      <c r="D5341" t="str">
        <f>INDEX(nse!C:C,MATCH(B5341,nse!B:B,0))</f>
        <v>Procter &amp; Gamble Hygiene and Health Care Limited</v>
      </c>
    </row>
    <row r="5342" spans="2:4" hidden="1" x14ac:dyDescent="0.3">
      <c r="B5342" t="s">
        <v>892</v>
      </c>
      <c r="C5342" t="str">
        <f>INDEX(nse!D:D,MATCH(B5342,nse!B:B,0))</f>
        <v>EQ</v>
      </c>
      <c r="D5342" t="str">
        <f>INDEX(nse!C:C,MATCH(B5342,nse!B:B,0))</f>
        <v>Pearl Global Industries Limited</v>
      </c>
    </row>
    <row r="5343" spans="2:4" hidden="1" x14ac:dyDescent="0.3">
      <c r="B5343" t="s">
        <v>893</v>
      </c>
      <c r="C5343" t="str">
        <f>INDEX(nse!D:D,MATCH(B5343,nse!B:B,0))</f>
        <v>EQ</v>
      </c>
      <c r="D5343" t="str">
        <f>INDEX(nse!C:C,MATCH(B5343,nse!B:B,0))</f>
        <v>Phillips Carbon Black Limited</v>
      </c>
    </row>
    <row r="5344" spans="2:4" hidden="1" x14ac:dyDescent="0.3">
      <c r="B5344" t="s">
        <v>894</v>
      </c>
      <c r="C5344" t="str">
        <f>INDEX(nse!D:D,MATCH(B5344,nse!B:B,0))</f>
        <v>EQ</v>
      </c>
      <c r="D5344" t="str">
        <f>INDEX(nse!C:C,MATCH(B5344,nse!B:B,0))</f>
        <v>Phoenix Lamps Limited</v>
      </c>
    </row>
    <row r="5345" spans="2:4" hidden="1" x14ac:dyDescent="0.3">
      <c r="B5345" t="s">
        <v>895</v>
      </c>
      <c r="C5345" t="str">
        <f>INDEX(nse!D:D,MATCH(B5345,nse!B:B,0))</f>
        <v>EQ</v>
      </c>
      <c r="D5345" t="str">
        <f>INDEX(nse!C:C,MATCH(B5345,nse!B:B,0))</f>
        <v>The Phoenix Mills Limited</v>
      </c>
    </row>
    <row r="5346" spans="2:4" hidden="1" x14ac:dyDescent="0.3">
      <c r="B5346" t="s">
        <v>83</v>
      </c>
      <c r="C5346" t="str">
        <f>INDEX(nse!D:D,MATCH(B5346,nse!B:B,0))</f>
        <v>EQ</v>
      </c>
      <c r="D5346" t="str">
        <f>INDEX(nse!C:C,MATCH(B5346,nse!B:B,0))</f>
        <v>Pidilite Industries Limited</v>
      </c>
    </row>
    <row r="5347" spans="2:4" hidden="1" x14ac:dyDescent="0.3">
      <c r="B5347" t="s">
        <v>896</v>
      </c>
      <c r="C5347" t="str">
        <f>INDEX(nse!D:D,MATCH(B5347,nse!B:B,0))</f>
        <v>EQ</v>
      </c>
      <c r="D5347" t="str">
        <f>INDEX(nse!C:C,MATCH(B5347,nse!B:B,0))</f>
        <v>PI Industries Limited</v>
      </c>
    </row>
    <row r="5348" spans="2:4" hidden="1" x14ac:dyDescent="0.3">
      <c r="B5348" t="s">
        <v>4075</v>
      </c>
      <c r="C5348" t="str">
        <f>INDEX(nse!D:D,MATCH(B5348,nse!B:B,0))</f>
        <v>BE</v>
      </c>
      <c r="D5348" t="str">
        <f>INDEX(nse!C:C,MATCH(B5348,nse!B:B,0))</f>
        <v>Pilani Investment and Industries Corporation Limited</v>
      </c>
    </row>
    <row r="5349" spans="2:4" hidden="1" x14ac:dyDescent="0.3">
      <c r="B5349" t="s">
        <v>4078</v>
      </c>
      <c r="C5349" t="str">
        <f>INDEX(nse!D:D,MATCH(B5349,nse!B:B,0))</f>
        <v>BE</v>
      </c>
      <c r="D5349" t="str">
        <f>INDEX(nse!C:C,MATCH(B5349,nse!B:B,0))</f>
        <v>PIL ITALICA LIFESTYLE LIMITED</v>
      </c>
    </row>
    <row r="5350" spans="2:4" hidden="1" x14ac:dyDescent="0.3">
      <c r="B5350" t="s">
        <v>4081</v>
      </c>
      <c r="C5350" t="str">
        <f>INDEX(nse!D:D,MATCH(B5350,nse!B:B,0))</f>
        <v>EQ</v>
      </c>
      <c r="D5350" t="str">
        <f>INDEX(nse!C:C,MATCH(B5350,nse!B:B,0))</f>
        <v>Pincon Spirit Limited</v>
      </c>
    </row>
    <row r="5351" spans="2:4" hidden="1" x14ac:dyDescent="0.3">
      <c r="B5351" t="s">
        <v>1326</v>
      </c>
      <c r="C5351" t="str">
        <f>INDEX(nse!D:D,MATCH(B5351,nse!B:B,0))</f>
        <v>EQ</v>
      </c>
      <c r="D5351" t="str">
        <f>INDEX(nse!C:C,MATCH(B5351,nse!B:B,0))</f>
        <v>Pioneer Distilleries Limited</v>
      </c>
    </row>
    <row r="5352" spans="2:4" hidden="1" x14ac:dyDescent="0.3">
      <c r="B5352" t="s">
        <v>897</v>
      </c>
      <c r="C5352" t="str">
        <f>INDEX(nse!D:D,MATCH(B5352,nse!B:B,0))</f>
        <v>EQ</v>
      </c>
      <c r="D5352" t="str">
        <f>INDEX(nse!C:C,MATCH(B5352,nse!B:B,0))</f>
        <v>Pioneer Embroideries Limited</v>
      </c>
    </row>
    <row r="5353" spans="2:4" hidden="1" x14ac:dyDescent="0.3">
      <c r="B5353" t="s">
        <v>898</v>
      </c>
      <c r="C5353" t="str">
        <f>INDEX(nse!D:D,MATCH(B5353,nse!B:B,0))</f>
        <v>BE</v>
      </c>
      <c r="D5353" t="str">
        <f>INDEX(nse!C:C,MATCH(B5353,nse!B:B,0))</f>
        <v>Piramal Phytocare Limited</v>
      </c>
    </row>
    <row r="5354" spans="2:4" hidden="1" x14ac:dyDescent="0.3">
      <c r="B5354" t="s">
        <v>899</v>
      </c>
      <c r="C5354" t="str">
        <f>INDEX(nse!D:D,MATCH(B5354,nse!B:B,0))</f>
        <v>EQ</v>
      </c>
      <c r="D5354" t="str">
        <f>INDEX(nse!C:C,MATCH(B5354,nse!B:B,0))</f>
        <v>Pitti Laminations Limited</v>
      </c>
    </row>
    <row r="5355" spans="2:4" hidden="1" x14ac:dyDescent="0.3">
      <c r="B5355" t="s">
        <v>4088</v>
      </c>
      <c r="C5355" t="str">
        <f>INDEX(nse!D:D,MATCH(B5355,nse!B:B,0))</f>
        <v>EQ</v>
      </c>
      <c r="D5355" t="str">
        <f>INDEX(nse!C:C,MATCH(B5355,nse!B:B,0))</f>
        <v>The Peria Karamalai Tea &amp; Produce Company Limited</v>
      </c>
    </row>
    <row r="5356" spans="2:4" hidden="1" x14ac:dyDescent="0.3">
      <c r="B5356" t="s">
        <v>900</v>
      </c>
      <c r="C5356" t="str">
        <f>INDEX(nse!D:D,MATCH(B5356,nse!B:B,0))</f>
        <v>EQ</v>
      </c>
      <c r="D5356" t="str">
        <f>INDEX(nse!C:C,MATCH(B5356,nse!B:B,0))</f>
        <v>Plastiblends India Limited</v>
      </c>
    </row>
    <row r="5357" spans="2:4" hidden="1" x14ac:dyDescent="0.3">
      <c r="B5357" t="s">
        <v>901</v>
      </c>
      <c r="C5357" t="str">
        <f>INDEX(nse!D:D,MATCH(B5357,nse!B:B,0))</f>
        <v>EQ</v>
      </c>
      <c r="D5357" t="str">
        <f>INDEX(nse!C:C,MATCH(B5357,nse!B:B,0))</f>
        <v>Punjab National Bank</v>
      </c>
    </row>
    <row r="5358" spans="2:4" hidden="1" x14ac:dyDescent="0.3">
      <c r="B5358" t="s">
        <v>902</v>
      </c>
      <c r="C5358" t="str">
        <f>INDEX(nse!D:D,MATCH(B5358,nse!B:B,0))</f>
        <v>EQ</v>
      </c>
      <c r="D5358" t="str">
        <f>INDEX(nse!C:C,MATCH(B5358,nse!B:B,0))</f>
        <v>PNB Gilts Limited</v>
      </c>
    </row>
    <row r="5359" spans="2:4" hidden="1" x14ac:dyDescent="0.3">
      <c r="B5359" t="s">
        <v>4094</v>
      </c>
      <c r="C5359" t="str">
        <f>INDEX(nse!D:D,MATCH(B5359,nse!B:B,0))</f>
        <v>EQ</v>
      </c>
      <c r="D5359" t="str">
        <f>INDEX(nse!C:C,MATCH(B5359,nse!B:B,0))</f>
        <v>PNB Housing Finance Limited</v>
      </c>
    </row>
    <row r="5360" spans="2:4" hidden="1" x14ac:dyDescent="0.3">
      <c r="B5360" t="s">
        <v>903</v>
      </c>
      <c r="C5360" t="str">
        <f>INDEX(nse!D:D,MATCH(B5360,nse!B:B,0))</f>
        <v>BE</v>
      </c>
      <c r="D5360" t="str">
        <f>INDEX(nse!C:C,MATCH(B5360,nse!B:B,0))</f>
        <v>Pritish Nandy Communications Limited</v>
      </c>
    </row>
    <row r="5361" spans="2:4" hidden="1" x14ac:dyDescent="0.3">
      <c r="B5361" t="s">
        <v>4098</v>
      </c>
      <c r="C5361" t="str">
        <f>INDEX(nse!D:D,MATCH(B5361,nse!B:B,0))</f>
        <v>EQ</v>
      </c>
      <c r="D5361" t="str">
        <f>INDEX(nse!C:C,MATCH(B5361,nse!B:B,0))</f>
        <v>PNC Infratech Limited</v>
      </c>
    </row>
    <row r="5362" spans="2:4" hidden="1" x14ac:dyDescent="0.3">
      <c r="B5362" t="s">
        <v>904</v>
      </c>
      <c r="C5362" t="str">
        <f>INDEX(nse!D:D,MATCH(B5362,nse!B:B,0))</f>
        <v>EQ</v>
      </c>
      <c r="D5362" t="str">
        <f>INDEX(nse!C:C,MATCH(B5362,nse!B:B,0))</f>
        <v>Pochiraju Industries Limited</v>
      </c>
    </row>
    <row r="5363" spans="2:4" hidden="1" x14ac:dyDescent="0.3">
      <c r="B5363" t="s">
        <v>4102</v>
      </c>
      <c r="C5363" t="str">
        <f>INDEX(nse!D:D,MATCH(B5363,nse!B:B,0))</f>
        <v>EQ</v>
      </c>
      <c r="D5363" t="str">
        <f>INDEX(nse!C:C,MATCH(B5363,nse!B:B,0))</f>
        <v>Poddar Housing and Development Limited</v>
      </c>
    </row>
    <row r="5364" spans="2:4" hidden="1" x14ac:dyDescent="0.3">
      <c r="B5364" t="s">
        <v>4105</v>
      </c>
      <c r="C5364" t="str">
        <f>INDEX(nse!D:D,MATCH(B5364,nse!B:B,0))</f>
        <v>EQ</v>
      </c>
      <c r="D5364" t="str">
        <f>INDEX(nse!C:C,MATCH(B5364,nse!B:B,0))</f>
        <v>Poddar Pigments Limited</v>
      </c>
    </row>
    <row r="5365" spans="2:4" hidden="1" x14ac:dyDescent="0.3">
      <c r="B5365" t="s">
        <v>4108</v>
      </c>
      <c r="C5365" t="str">
        <f>INDEX(nse!D:D,MATCH(B5365,nse!B:B,0))</f>
        <v>EQ</v>
      </c>
      <c r="D5365" t="str">
        <f>INDEX(nse!C:C,MATCH(B5365,nse!B:B,0))</f>
        <v>Pokarna Limited</v>
      </c>
    </row>
    <row r="5366" spans="2:4" hidden="1" x14ac:dyDescent="0.3">
      <c r="B5366" t="s">
        <v>905</v>
      </c>
      <c r="C5366" t="str">
        <f>INDEX(nse!D:D,MATCH(B5366,nse!B:B,0))</f>
        <v>EQ</v>
      </c>
      <c r="D5366" t="str">
        <f>INDEX(nse!C:C,MATCH(B5366,nse!B:B,0))</f>
        <v>POLARIS CONSULTING &amp; SERVICES LIMITED</v>
      </c>
    </row>
    <row r="5367" spans="2:4" hidden="1" x14ac:dyDescent="0.3">
      <c r="B5367" t="s">
        <v>906</v>
      </c>
      <c r="C5367" t="str">
        <f>INDEX(nse!D:D,MATCH(B5367,nse!B:B,0))</f>
        <v>EQ</v>
      </c>
      <c r="D5367" t="str">
        <f>INDEX(nse!C:C,MATCH(B5367,nse!B:B,0))</f>
        <v>Poly Medicure Limited</v>
      </c>
    </row>
    <row r="5368" spans="2:4" hidden="1" x14ac:dyDescent="0.3">
      <c r="B5368" t="s">
        <v>907</v>
      </c>
      <c r="C5368" t="str">
        <f>INDEX(nse!D:D,MATCH(B5368,nse!B:B,0))</f>
        <v>EQ</v>
      </c>
      <c r="D5368" t="str">
        <f>INDEX(nse!C:C,MATCH(B5368,nse!B:B,0))</f>
        <v>Polyplex Corporation Limited</v>
      </c>
    </row>
    <row r="5369" spans="2:4" hidden="1" x14ac:dyDescent="0.3">
      <c r="B5369" t="s">
        <v>908</v>
      </c>
      <c r="C5369" t="str">
        <f>INDEX(nse!D:D,MATCH(B5369,nse!B:B,0))</f>
        <v>EQ</v>
      </c>
      <c r="D5369" t="str">
        <f>INDEX(nse!C:C,MATCH(B5369,nse!B:B,0))</f>
        <v>Ponni Sugars (Erode) Limited</v>
      </c>
    </row>
    <row r="5370" spans="2:4" hidden="1" x14ac:dyDescent="0.3">
      <c r="B5370" t="s">
        <v>909</v>
      </c>
      <c r="C5370" t="str">
        <f>INDEX(nse!D:D,MATCH(B5370,nse!B:B,0))</f>
        <v>EQ</v>
      </c>
      <c r="D5370" t="str">
        <f>INDEX(nse!C:C,MATCH(B5370,nse!B:B,0))</f>
        <v>Power Grid Corporation of India Limited</v>
      </c>
    </row>
    <row r="5371" spans="2:4" hidden="1" x14ac:dyDescent="0.3">
      <c r="B5371" t="s">
        <v>4117</v>
      </c>
      <c r="C5371" t="str">
        <f>INDEX(nse!D:D,MATCH(B5371,nse!B:B,0))</f>
        <v>EQ</v>
      </c>
      <c r="D5371" t="str">
        <f>INDEX(nse!C:C,MATCH(B5371,nse!B:B,0))</f>
        <v>Power Mech Projects Limited</v>
      </c>
    </row>
    <row r="5372" spans="2:4" hidden="1" x14ac:dyDescent="0.3">
      <c r="B5372" t="s">
        <v>910</v>
      </c>
      <c r="C5372" t="str">
        <f>INDEX(nse!D:D,MATCH(B5372,nse!B:B,0))</f>
        <v>EQ</v>
      </c>
      <c r="D5372" t="str">
        <f>INDEX(nse!C:C,MATCH(B5372,nse!B:B,0))</f>
        <v>PPAP Automotive Limited</v>
      </c>
    </row>
    <row r="5373" spans="2:4" hidden="1" x14ac:dyDescent="0.3">
      <c r="B5373" t="s">
        <v>4121</v>
      </c>
      <c r="C5373" t="str">
        <f>INDEX(nse!D:D,MATCH(B5373,nse!B:B,0))</f>
        <v>EQ</v>
      </c>
      <c r="D5373" t="str">
        <f>INDEX(nse!C:C,MATCH(B5373,nse!B:B,0))</f>
        <v>Prabhat Dairy Limited</v>
      </c>
    </row>
    <row r="5374" spans="2:4" hidden="1" x14ac:dyDescent="0.3">
      <c r="B5374" t="s">
        <v>911</v>
      </c>
      <c r="C5374" t="str">
        <f>INDEX(nse!D:D,MATCH(B5374,nse!B:B,0))</f>
        <v>BE</v>
      </c>
      <c r="D5374" t="str">
        <f>INDEX(nse!C:C,MATCH(B5374,nse!B:B,0))</f>
        <v>Pradip Overseas Limited</v>
      </c>
    </row>
    <row r="5375" spans="2:4" hidden="1" x14ac:dyDescent="0.3">
      <c r="B5375" t="s">
        <v>912</v>
      </c>
      <c r="C5375" t="str">
        <f>INDEX(nse!D:D,MATCH(B5375,nse!B:B,0))</f>
        <v>EQ</v>
      </c>
      <c r="D5375" t="str">
        <f>INDEX(nse!C:C,MATCH(B5375,nse!B:B,0))</f>
        <v>Prajay Engineers Syndicate Limited</v>
      </c>
    </row>
    <row r="5376" spans="2:4" hidden="1" x14ac:dyDescent="0.3">
      <c r="B5376" t="s">
        <v>913</v>
      </c>
      <c r="C5376" t="str">
        <f>INDEX(nse!D:D,MATCH(B5376,nse!B:B,0))</f>
        <v>EQ</v>
      </c>
      <c r="D5376" t="str">
        <f>INDEX(nse!C:C,MATCH(B5376,nse!B:B,0))</f>
        <v>Praj Industries Limited</v>
      </c>
    </row>
    <row r="5377" spans="2:4" hidden="1" x14ac:dyDescent="0.3">
      <c r="B5377" t="s">
        <v>914</v>
      </c>
      <c r="C5377" t="str">
        <f>INDEX(nse!D:D,MATCH(B5377,nse!B:B,0))</f>
        <v>EQ</v>
      </c>
      <c r="D5377" t="str">
        <f>INDEX(nse!C:C,MATCH(B5377,nse!B:B,0))</f>
        <v>Prakash Industries Limited</v>
      </c>
    </row>
    <row r="5378" spans="2:4" hidden="1" x14ac:dyDescent="0.3">
      <c r="B5378" t="s">
        <v>915</v>
      </c>
      <c r="C5378" t="str">
        <f>INDEX(nse!D:D,MATCH(B5378,nse!B:B,0))</f>
        <v>EQ</v>
      </c>
      <c r="D5378" t="str">
        <f>INDEX(nse!C:C,MATCH(B5378,nse!B:B,0))</f>
        <v>Prakash Constrowell Limited</v>
      </c>
    </row>
    <row r="5379" spans="2:4" hidden="1" x14ac:dyDescent="0.3">
      <c r="B5379" t="s">
        <v>916</v>
      </c>
      <c r="C5379" t="str">
        <f>INDEX(nse!D:D,MATCH(B5379,nse!B:B,0))</f>
        <v>EQ</v>
      </c>
      <c r="D5379" t="str">
        <f>INDEX(nse!C:C,MATCH(B5379,nse!B:B,0))</f>
        <v>Prakash Steelage Limited</v>
      </c>
    </row>
    <row r="5380" spans="2:4" hidden="1" x14ac:dyDescent="0.3">
      <c r="B5380" t="s">
        <v>917</v>
      </c>
      <c r="C5380" t="str">
        <f>INDEX(nse!D:D,MATCH(B5380,nse!B:B,0))</f>
        <v>EQ</v>
      </c>
      <c r="D5380" t="str">
        <f>INDEX(nse!C:C,MATCH(B5380,nse!B:B,0))</f>
        <v>Pratibha Industries Limited</v>
      </c>
    </row>
    <row r="5381" spans="2:4" hidden="1" x14ac:dyDescent="0.3">
      <c r="B5381" t="s">
        <v>4131</v>
      </c>
      <c r="C5381" t="str">
        <f>INDEX(nse!D:D,MATCH(B5381,nse!B:B,0))</f>
        <v>EQ</v>
      </c>
      <c r="D5381" t="str">
        <f>INDEX(nse!C:C,MATCH(B5381,nse!B:B,0))</f>
        <v>Precision Camshafts Limited</v>
      </c>
    </row>
    <row r="5382" spans="2:4" hidden="1" x14ac:dyDescent="0.3">
      <c r="B5382" t="s">
        <v>918</v>
      </c>
      <c r="C5382" t="str">
        <f>INDEX(nse!D:D,MATCH(B5382,nse!B:B,0))</f>
        <v>BE</v>
      </c>
      <c r="D5382" t="str">
        <f>INDEX(nse!C:C,MATCH(B5382,nse!B:B,0))</f>
        <v>Precot Meridian Limited</v>
      </c>
    </row>
    <row r="5383" spans="2:4" hidden="1" x14ac:dyDescent="0.3">
      <c r="B5383" t="s">
        <v>919</v>
      </c>
      <c r="C5383" t="str">
        <f>INDEX(nse!D:D,MATCH(B5383,nse!B:B,0))</f>
        <v>EQ</v>
      </c>
      <c r="D5383" t="str">
        <f>INDEX(nse!C:C,MATCH(B5383,nse!B:B,0))</f>
        <v>Precision Wires India Limited</v>
      </c>
    </row>
    <row r="5384" spans="2:4" hidden="1" x14ac:dyDescent="0.3">
      <c r="B5384" t="s">
        <v>4136</v>
      </c>
      <c r="C5384" t="str">
        <f>INDEX(nse!D:D,MATCH(B5384,nse!B:B,0))</f>
        <v>EQ</v>
      </c>
      <c r="D5384" t="str">
        <f>INDEX(nse!C:C,MATCH(B5384,nse!B:B,0))</f>
        <v>Premier Explosives Limited</v>
      </c>
    </row>
    <row r="5385" spans="2:4" hidden="1" x14ac:dyDescent="0.3">
      <c r="B5385" t="s">
        <v>920</v>
      </c>
      <c r="C5385" t="str">
        <f>INDEX(nse!D:D,MATCH(B5385,nse!B:B,0))</f>
        <v>EQ</v>
      </c>
      <c r="D5385" t="str">
        <f>INDEX(nse!C:C,MATCH(B5385,nse!B:B,0))</f>
        <v>Premier Limited</v>
      </c>
    </row>
    <row r="5386" spans="2:4" hidden="1" x14ac:dyDescent="0.3">
      <c r="B5386" t="s">
        <v>1327</v>
      </c>
      <c r="C5386" t="str">
        <f>INDEX(nse!D:D,MATCH(B5386,nse!B:B,0))</f>
        <v>EQ</v>
      </c>
      <c r="D5386" t="str">
        <f>INDEX(nse!C:C,MATCH(B5386,nse!B:B,0))</f>
        <v>Premier Polyfilm Limited</v>
      </c>
    </row>
    <row r="5387" spans="2:4" hidden="1" x14ac:dyDescent="0.3">
      <c r="B5387" t="s">
        <v>921</v>
      </c>
      <c r="C5387" t="str">
        <f>INDEX(nse!D:D,MATCH(B5387,nse!B:B,0))</f>
        <v>EQ</v>
      </c>
      <c r="D5387" t="str">
        <f>INDEX(nse!C:C,MATCH(B5387,nse!B:B,0))</f>
        <v>Pressman Advertising Limited</v>
      </c>
    </row>
    <row r="5388" spans="2:4" hidden="1" x14ac:dyDescent="0.3">
      <c r="B5388" t="s">
        <v>922</v>
      </c>
      <c r="C5388" t="str">
        <f>INDEX(nse!D:D,MATCH(B5388,nse!B:B,0))</f>
        <v>EQ</v>
      </c>
      <c r="D5388" t="str">
        <f>INDEX(nse!C:C,MATCH(B5388,nse!B:B,0))</f>
        <v>Prestige Estates Projects Limited</v>
      </c>
    </row>
    <row r="5389" spans="2:4" hidden="1" x14ac:dyDescent="0.3">
      <c r="B5389" t="s">
        <v>4143</v>
      </c>
      <c r="C5389" t="str">
        <f>INDEX(nse!D:D,MATCH(B5389,nse!B:B,0))</f>
        <v>EQ</v>
      </c>
      <c r="D5389" t="str">
        <f>INDEX(nse!C:C,MATCH(B5389,nse!B:B,0))</f>
        <v>Pricol Limited</v>
      </c>
    </row>
    <row r="5390" spans="2:4" hidden="1" x14ac:dyDescent="0.3">
      <c r="B5390" t="s">
        <v>923</v>
      </c>
      <c r="C5390" t="str">
        <f>INDEX(nse!D:D,MATCH(B5390,nse!B:B,0))</f>
        <v>EQ</v>
      </c>
      <c r="D5390" t="str">
        <f>INDEX(nse!C:C,MATCH(B5390,nse!B:B,0))</f>
        <v>Prime Securities Limited</v>
      </c>
    </row>
    <row r="5391" spans="2:4" hidden="1" x14ac:dyDescent="0.3">
      <c r="B5391" t="s">
        <v>924</v>
      </c>
      <c r="C5391" t="str">
        <f>INDEX(nse!D:D,MATCH(B5391,nse!B:B,0))</f>
        <v>EQ</v>
      </c>
      <c r="D5391" t="str">
        <f>INDEX(nse!C:C,MATCH(B5391,nse!B:B,0))</f>
        <v>Prism Cement Limited</v>
      </c>
    </row>
    <row r="5392" spans="2:4" hidden="1" x14ac:dyDescent="0.3">
      <c r="B5392" t="s">
        <v>925</v>
      </c>
      <c r="C5392" t="str">
        <f>INDEX(nse!D:D,MATCH(B5392,nse!B:B,0))</f>
        <v>EQ</v>
      </c>
      <c r="D5392" t="str">
        <f>INDEX(nse!C:C,MATCH(B5392,nse!B:B,0))</f>
        <v>Provogue (India) Limited</v>
      </c>
    </row>
    <row r="5393" spans="2:4" hidden="1" x14ac:dyDescent="0.3">
      <c r="B5393" t="s">
        <v>926</v>
      </c>
      <c r="C5393" t="str">
        <f>INDEX(nse!D:D,MATCH(B5393,nse!B:B,0))</f>
        <v>EQ</v>
      </c>
      <c r="D5393" t="str">
        <f>INDEX(nse!C:C,MATCH(B5393,nse!B:B,0))</f>
        <v>Prozone Intu Properties Limited</v>
      </c>
    </row>
    <row r="5394" spans="2:4" hidden="1" x14ac:dyDescent="0.3">
      <c r="B5394" t="s">
        <v>927</v>
      </c>
      <c r="C5394" t="str">
        <f>INDEX(nse!D:D,MATCH(B5394,nse!B:B,0))</f>
        <v>EQ</v>
      </c>
      <c r="D5394" t="str">
        <f>INDEX(nse!C:C,MATCH(B5394,nse!B:B,0))</f>
        <v>Punjab &amp; Sind Bank</v>
      </c>
    </row>
    <row r="5395" spans="2:4" hidden="1" x14ac:dyDescent="0.3">
      <c r="B5395" t="s">
        <v>928</v>
      </c>
      <c r="C5395" t="str">
        <f>INDEX(nse!D:D,MATCH(B5395,nse!B:B,0))</f>
        <v>EQ</v>
      </c>
      <c r="D5395" t="str">
        <f>INDEX(nse!C:C,MATCH(B5395,nse!B:B,0))</f>
        <v>PSL Limited</v>
      </c>
    </row>
    <row r="5396" spans="2:4" hidden="1" x14ac:dyDescent="0.3">
      <c r="B5396" t="s">
        <v>929</v>
      </c>
      <c r="C5396" t="str">
        <f>INDEX(nse!D:D,MATCH(B5396,nse!B:B,0))</f>
        <v>EQ</v>
      </c>
      <c r="D5396" t="str">
        <f>INDEX(nse!C:C,MATCH(B5396,nse!B:B,0))</f>
        <v>PTC India Limited</v>
      </c>
    </row>
    <row r="5397" spans="2:4" hidden="1" x14ac:dyDescent="0.3">
      <c r="B5397" t="s">
        <v>930</v>
      </c>
      <c r="C5397" t="str">
        <f>INDEX(nse!D:D,MATCH(B5397,nse!B:B,0))</f>
        <v>EQ</v>
      </c>
      <c r="D5397" t="str">
        <f>INDEX(nse!C:C,MATCH(B5397,nse!B:B,0))</f>
        <v>PTL Enterprises Limited</v>
      </c>
    </row>
    <row r="5398" spans="2:4" hidden="1" x14ac:dyDescent="0.3">
      <c r="B5398" t="s">
        <v>931</v>
      </c>
      <c r="C5398" t="str">
        <f>INDEX(nse!D:D,MATCH(B5398,nse!B:B,0))</f>
        <v>EQ</v>
      </c>
      <c r="D5398" t="str">
        <f>INDEX(nse!C:C,MATCH(B5398,nse!B:B,0))</f>
        <v>Punjab Chemicals &amp; Crop Protection Limited</v>
      </c>
    </row>
    <row r="5399" spans="2:4" hidden="1" x14ac:dyDescent="0.3">
      <c r="B5399" t="s">
        <v>932</v>
      </c>
      <c r="C5399" t="str">
        <f>INDEX(nse!D:D,MATCH(B5399,nse!B:B,0))</f>
        <v>EQ</v>
      </c>
      <c r="D5399" t="str">
        <f>INDEX(nse!C:C,MATCH(B5399,nse!B:B,0))</f>
        <v>Punj Lloyd Limited</v>
      </c>
    </row>
    <row r="5400" spans="2:4" hidden="1" x14ac:dyDescent="0.3">
      <c r="B5400" t="s">
        <v>933</v>
      </c>
      <c r="C5400" t="str">
        <f>INDEX(nse!D:D,MATCH(B5400,nse!B:B,0))</f>
        <v>EQ</v>
      </c>
      <c r="D5400" t="str">
        <f>INDEX(nse!C:C,MATCH(B5400,nse!B:B,0))</f>
        <v>Puravankara Limited</v>
      </c>
    </row>
    <row r="5401" spans="2:4" hidden="1" x14ac:dyDescent="0.3">
      <c r="B5401" t="s">
        <v>934</v>
      </c>
      <c r="C5401" t="str">
        <f>INDEX(nse!D:D,MATCH(B5401,nse!B:B,0))</f>
        <v>BE</v>
      </c>
      <c r="D5401" t="str">
        <f>INDEX(nse!C:C,MATCH(B5401,nse!B:B,0))</f>
        <v>PVP Ventures Limited</v>
      </c>
    </row>
    <row r="5402" spans="2:4" hidden="1" x14ac:dyDescent="0.3">
      <c r="B5402" t="s">
        <v>935</v>
      </c>
      <c r="C5402" t="str">
        <f>INDEX(nse!D:D,MATCH(B5402,nse!B:B,0))</f>
        <v>EQ</v>
      </c>
      <c r="D5402" t="str">
        <f>INDEX(nse!C:C,MATCH(B5402,nse!B:B,0))</f>
        <v>PVR Limited</v>
      </c>
    </row>
    <row r="5403" spans="2:4" hidden="1" x14ac:dyDescent="0.3">
      <c r="B5403" t="s">
        <v>4159</v>
      </c>
      <c r="C5403" t="str">
        <f>INDEX(nse!D:D,MATCH(B5403,nse!B:B,0))</f>
        <v>EQ</v>
      </c>
      <c r="D5403" t="str">
        <f>INDEX(nse!C:C,MATCH(B5403,nse!B:B,0))</f>
        <v>Quess Corp Limited</v>
      </c>
    </row>
    <row r="5404" spans="2:4" hidden="1" x14ac:dyDescent="0.3">
      <c r="B5404" t="s">
        <v>4162</v>
      </c>
      <c r="C5404" t="str">
        <f>INDEX(nse!D:D,MATCH(B5404,nse!B:B,0))</f>
        <v>EQ</v>
      </c>
      <c r="D5404" t="str">
        <f>INDEX(nse!C:C,MATCH(B5404,nse!B:B,0))</f>
        <v>Quick Heal Technologies Limited</v>
      </c>
    </row>
    <row r="5405" spans="2:4" hidden="1" x14ac:dyDescent="0.3">
      <c r="B5405" t="s">
        <v>1328</v>
      </c>
      <c r="C5405" t="str">
        <f>INDEX(nse!D:D,MATCH(B5405,nse!B:B,0))</f>
        <v>EQ</v>
      </c>
      <c r="D5405" t="str">
        <f>INDEX(nse!C:C,MATCH(B5405,nse!B:B,0))</f>
        <v>Quintegra Solutions Limited</v>
      </c>
    </row>
    <row r="5406" spans="2:4" hidden="1" x14ac:dyDescent="0.3">
      <c r="B5406" t="s">
        <v>1329</v>
      </c>
      <c r="C5406" t="str">
        <f>INDEX(nse!D:D,MATCH(B5406,nse!B:B,0))</f>
        <v>EQ</v>
      </c>
      <c r="D5406" t="str">
        <f>INDEX(nse!C:C,MATCH(B5406,nse!B:B,0))</f>
        <v>Radaan Mediaworks India Limited</v>
      </c>
    </row>
    <row r="5407" spans="2:4" hidden="1" x14ac:dyDescent="0.3">
      <c r="B5407" t="s">
        <v>936</v>
      </c>
      <c r="C5407" t="str">
        <f>INDEX(nse!D:D,MATCH(B5407,nse!B:B,0))</f>
        <v>EQ</v>
      </c>
      <c r="D5407" t="str">
        <f>INDEX(nse!C:C,MATCH(B5407,nse!B:B,0))</f>
        <v>Radico Khaitan Limited</v>
      </c>
    </row>
    <row r="5408" spans="2:4" hidden="1" x14ac:dyDescent="0.3">
      <c r="B5408" t="s">
        <v>4168</v>
      </c>
      <c r="C5408" t="str">
        <f>INDEX(nse!D:D,MATCH(B5408,nse!B:B,0))</f>
        <v>EQ</v>
      </c>
      <c r="D5408" t="str">
        <f>INDEX(nse!C:C,MATCH(B5408,nse!B:B,0))</f>
        <v>Music Broadcast Limited</v>
      </c>
    </row>
    <row r="5409" spans="2:4" hidden="1" x14ac:dyDescent="0.3">
      <c r="B5409" t="s">
        <v>937</v>
      </c>
      <c r="C5409" t="str">
        <f>INDEX(nse!D:D,MATCH(B5409,nse!B:B,0))</f>
        <v>EQ</v>
      </c>
      <c r="D5409" t="str">
        <f>INDEX(nse!C:C,MATCH(B5409,nse!B:B,0))</f>
        <v>Rain Industries Limited</v>
      </c>
    </row>
    <row r="5410" spans="2:4" hidden="1" x14ac:dyDescent="0.3">
      <c r="B5410" t="s">
        <v>938</v>
      </c>
      <c r="C5410" t="str">
        <f>INDEX(nse!D:D,MATCH(B5410,nse!B:B,0))</f>
        <v>EQ</v>
      </c>
      <c r="D5410" t="str">
        <f>INDEX(nse!C:C,MATCH(B5410,nse!B:B,0))</f>
        <v>Rainbow Papers Limited</v>
      </c>
    </row>
    <row r="5411" spans="2:4" hidden="1" x14ac:dyDescent="0.3">
      <c r="B5411" t="s">
        <v>939</v>
      </c>
      <c r="C5411" t="str">
        <f>INDEX(nse!D:D,MATCH(B5411,nse!B:B,0))</f>
        <v>EQ</v>
      </c>
      <c r="D5411" t="str">
        <f>INDEX(nse!C:C,MATCH(B5411,nse!B:B,0))</f>
        <v>Raisaheb Reckhchand Mohota Spinning &amp; Weaving Mills Limited</v>
      </c>
    </row>
    <row r="5412" spans="2:4" hidden="1" x14ac:dyDescent="0.3">
      <c r="B5412" t="s">
        <v>940</v>
      </c>
      <c r="C5412" t="str">
        <f>INDEX(nse!D:D,MATCH(B5412,nse!B:B,0))</f>
        <v>EQ</v>
      </c>
      <c r="D5412" t="str">
        <f>INDEX(nse!C:C,MATCH(B5412,nse!B:B,0))</f>
        <v>Rajesh Exports Limited</v>
      </c>
    </row>
    <row r="5413" spans="2:4" hidden="1" x14ac:dyDescent="0.3">
      <c r="B5413" t="s">
        <v>941</v>
      </c>
      <c r="C5413" t="str">
        <f>INDEX(nse!D:D,MATCH(B5413,nse!B:B,0))</f>
        <v>BE</v>
      </c>
      <c r="D5413" t="str">
        <f>INDEX(nse!C:C,MATCH(B5413,nse!B:B,0))</f>
        <v>Raj Oil Mills Limited</v>
      </c>
    </row>
    <row r="5414" spans="2:4" hidden="1" x14ac:dyDescent="0.3">
      <c r="B5414" t="s">
        <v>942</v>
      </c>
      <c r="C5414" t="str">
        <f>INDEX(nse!D:D,MATCH(B5414,nse!B:B,0))</f>
        <v>EQ</v>
      </c>
      <c r="D5414" t="str">
        <f>INDEX(nse!C:C,MATCH(B5414,nse!B:B,0))</f>
        <v>Raj Rayon Industries Limited</v>
      </c>
    </row>
    <row r="5415" spans="2:4" hidden="1" x14ac:dyDescent="0.3">
      <c r="B5415" t="s">
        <v>943</v>
      </c>
      <c r="C5415" t="str">
        <f>INDEX(nse!D:D,MATCH(B5415,nse!B:B,0))</f>
        <v>EQ</v>
      </c>
      <c r="D5415" t="str">
        <f>INDEX(nse!C:C,MATCH(B5415,nse!B:B,0))</f>
        <v>Rajshree Sugars &amp; Chemicals Limited</v>
      </c>
    </row>
    <row r="5416" spans="2:4" hidden="1" x14ac:dyDescent="0.3">
      <c r="B5416" t="s">
        <v>944</v>
      </c>
      <c r="C5416" t="str">
        <f>INDEX(nse!D:D,MATCH(B5416,nse!B:B,0))</f>
        <v>EQ</v>
      </c>
      <c r="D5416" t="str">
        <f>INDEX(nse!C:C,MATCH(B5416,nse!B:B,0))</f>
        <v>Raj Television Network Limited</v>
      </c>
    </row>
    <row r="5417" spans="2:4" hidden="1" x14ac:dyDescent="0.3">
      <c r="B5417" t="s">
        <v>945</v>
      </c>
      <c r="C5417" t="str">
        <f>INDEX(nse!D:D,MATCH(B5417,nse!B:B,0))</f>
        <v>EQ</v>
      </c>
      <c r="D5417" t="str">
        <f>INDEX(nse!C:C,MATCH(B5417,nse!B:B,0))</f>
        <v>Rajvir Industries Limited</v>
      </c>
    </row>
    <row r="5418" spans="2:4" hidden="1" x14ac:dyDescent="0.3">
      <c r="B5418" t="s">
        <v>946</v>
      </c>
      <c r="C5418" t="str">
        <f>INDEX(nse!D:D,MATCH(B5418,nse!B:B,0))</f>
        <v>EQ</v>
      </c>
      <c r="D5418" t="str">
        <f>INDEX(nse!C:C,MATCH(B5418,nse!B:B,0))</f>
        <v>Rallis India Limited</v>
      </c>
    </row>
    <row r="5419" spans="2:4" hidden="1" x14ac:dyDescent="0.3">
      <c r="B5419" t="s">
        <v>947</v>
      </c>
      <c r="C5419" t="str">
        <f>INDEX(nse!D:D,MATCH(B5419,nse!B:B,0))</f>
        <v>EQ</v>
      </c>
      <c r="D5419" t="str">
        <f>INDEX(nse!C:C,MATCH(B5419,nse!B:B,0))</f>
        <v>Shree Rama Newsprint Limited</v>
      </c>
    </row>
    <row r="5420" spans="2:4" hidden="1" x14ac:dyDescent="0.3">
      <c r="B5420" t="s">
        <v>4183</v>
      </c>
      <c r="C5420" t="str">
        <f>INDEX(nse!D:D,MATCH(B5420,nse!B:B,0))</f>
        <v>EQ</v>
      </c>
      <c r="D5420" t="str">
        <f>INDEX(nse!C:C,MATCH(B5420,nse!B:B,0))</f>
        <v>Rama Steel Tubes Limited</v>
      </c>
    </row>
    <row r="5421" spans="2:4" hidden="1" x14ac:dyDescent="0.3">
      <c r="B5421" t="s">
        <v>100</v>
      </c>
      <c r="C5421" t="str">
        <f>INDEX(nse!D:D,MATCH(B5421,nse!B:B,0))</f>
        <v>EQ</v>
      </c>
      <c r="D5421" t="str">
        <f>INDEX(nse!C:C,MATCH(B5421,nse!B:B,0))</f>
        <v>The Ramco Cements Limited</v>
      </c>
    </row>
    <row r="5422" spans="2:4" hidden="1" x14ac:dyDescent="0.3">
      <c r="B5422" t="s">
        <v>948</v>
      </c>
      <c r="C5422" t="str">
        <f>INDEX(nse!D:D,MATCH(B5422,nse!B:B,0))</f>
        <v>EQ</v>
      </c>
      <c r="D5422" t="str">
        <f>INDEX(nse!C:C,MATCH(B5422,nse!B:B,0))</f>
        <v>Ramco Industries Limited</v>
      </c>
    </row>
    <row r="5423" spans="2:4" hidden="1" x14ac:dyDescent="0.3">
      <c r="B5423" t="s">
        <v>949</v>
      </c>
      <c r="C5423" t="str">
        <f>INDEX(nse!D:D,MATCH(B5423,nse!B:B,0))</f>
        <v>EQ</v>
      </c>
      <c r="D5423" t="str">
        <f>INDEX(nse!C:C,MATCH(B5423,nse!B:B,0))</f>
        <v>Ramco Systems Limited</v>
      </c>
    </row>
    <row r="5424" spans="2:4" hidden="1" x14ac:dyDescent="0.3">
      <c r="B5424" t="s">
        <v>950</v>
      </c>
      <c r="C5424" t="str">
        <f>INDEX(nse!D:D,MATCH(B5424,nse!B:B,0))</f>
        <v>EQ</v>
      </c>
      <c r="D5424" t="str">
        <f>INDEX(nse!C:C,MATCH(B5424,nse!B:B,0))</f>
        <v>Ramky Infrastructure Limited</v>
      </c>
    </row>
    <row r="5425" spans="2:4" hidden="1" x14ac:dyDescent="0.3">
      <c r="B5425" t="s">
        <v>951</v>
      </c>
      <c r="C5425" t="str">
        <f>INDEX(nse!D:D,MATCH(B5425,nse!B:B,0))</f>
        <v>BE</v>
      </c>
      <c r="D5425" t="str">
        <f>INDEX(nse!C:C,MATCH(B5425,nse!B:B,0))</f>
        <v>Ramsarup Industries Limited</v>
      </c>
    </row>
    <row r="5426" spans="2:4" hidden="1" x14ac:dyDescent="0.3">
      <c r="B5426" t="s">
        <v>952</v>
      </c>
      <c r="C5426" t="str">
        <f>INDEX(nse!D:D,MATCH(B5426,nse!B:B,0))</f>
        <v>EQ</v>
      </c>
      <c r="D5426" t="str">
        <f>INDEX(nse!C:C,MATCH(B5426,nse!B:B,0))</f>
        <v>Rana Sugars Limited</v>
      </c>
    </row>
    <row r="5427" spans="2:4" hidden="1" x14ac:dyDescent="0.3">
      <c r="B5427" t="s">
        <v>953</v>
      </c>
      <c r="C5427" t="str">
        <f>INDEX(nse!D:D,MATCH(B5427,nse!B:B,0))</f>
        <v>EQ</v>
      </c>
      <c r="D5427" t="str">
        <f>INDEX(nse!C:C,MATCH(B5427,nse!B:B,0))</f>
        <v>Rane Engine Valve Limited</v>
      </c>
    </row>
    <row r="5428" spans="2:4" hidden="1" x14ac:dyDescent="0.3">
      <c r="B5428" t="s">
        <v>954</v>
      </c>
      <c r="C5428" t="str">
        <f>INDEX(nse!D:D,MATCH(B5428,nse!B:B,0))</f>
        <v>EQ</v>
      </c>
      <c r="D5428" t="str">
        <f>INDEX(nse!C:C,MATCH(B5428,nse!B:B,0))</f>
        <v>Rane Holdings Limited</v>
      </c>
    </row>
    <row r="5429" spans="2:4" hidden="1" x14ac:dyDescent="0.3">
      <c r="B5429" t="s">
        <v>955</v>
      </c>
      <c r="C5429" t="str">
        <f>INDEX(nse!D:D,MATCH(B5429,nse!B:B,0))</f>
        <v>BE</v>
      </c>
      <c r="D5429" t="str">
        <f>INDEX(nse!C:C,MATCH(B5429,nse!B:B,0))</f>
        <v>Rasoya Proteins Limited</v>
      </c>
    </row>
    <row r="5430" spans="2:4" hidden="1" x14ac:dyDescent="0.3">
      <c r="B5430" t="s">
        <v>956</v>
      </c>
      <c r="C5430" t="str">
        <f>INDEX(nse!D:D,MATCH(B5430,nse!B:B,0))</f>
        <v>EQ</v>
      </c>
      <c r="D5430" t="str">
        <f>INDEX(nse!C:C,MATCH(B5430,nse!B:B,0))</f>
        <v>Ratnamani Metals &amp; Tubes Limited</v>
      </c>
    </row>
    <row r="5431" spans="2:4" hidden="1" x14ac:dyDescent="0.3">
      <c r="B5431" t="s">
        <v>957</v>
      </c>
      <c r="C5431" t="str">
        <f>INDEX(nse!D:D,MATCH(B5431,nse!B:B,0))</f>
        <v>EQ</v>
      </c>
      <c r="D5431" t="str">
        <f>INDEX(nse!C:C,MATCH(B5431,nse!B:B,0))</f>
        <v>Raymond Limited</v>
      </c>
    </row>
    <row r="5432" spans="2:4" hidden="1" x14ac:dyDescent="0.3">
      <c r="B5432" t="s">
        <v>958</v>
      </c>
      <c r="C5432" t="str">
        <f>INDEX(nse!D:D,MATCH(B5432,nse!B:B,0))</f>
        <v>EQ</v>
      </c>
      <c r="D5432" t="str">
        <f>INDEX(nse!C:C,MATCH(B5432,nse!B:B,0))</f>
        <v>Rane Brake Lining Limited</v>
      </c>
    </row>
    <row r="5433" spans="2:4" hidden="1" x14ac:dyDescent="0.3">
      <c r="B5433" t="s">
        <v>4198</v>
      </c>
      <c r="C5433" t="str">
        <f>INDEX(nse!D:D,MATCH(B5433,nse!B:B,0))</f>
        <v>EQ</v>
      </c>
      <c r="D5433" t="str">
        <f>INDEX(nse!C:C,MATCH(B5433,nse!B:B,0))</f>
        <v>RBL Bank Limited</v>
      </c>
    </row>
    <row r="5434" spans="2:4" hidden="1" x14ac:dyDescent="0.3">
      <c r="B5434" t="s">
        <v>959</v>
      </c>
      <c r="C5434" t="str">
        <f>INDEX(nse!D:D,MATCH(B5434,nse!B:B,0))</f>
        <v>EQ</v>
      </c>
      <c r="D5434" t="str">
        <f>INDEX(nse!C:C,MATCH(B5434,nse!B:B,0))</f>
        <v>Rashtriya Chemicals and Fertilizers Limited</v>
      </c>
    </row>
    <row r="5435" spans="2:4" hidden="1" x14ac:dyDescent="0.3">
      <c r="B5435" t="s">
        <v>960</v>
      </c>
      <c r="C5435" t="str">
        <f>INDEX(nse!D:D,MATCH(B5435,nse!B:B,0))</f>
        <v>EQ</v>
      </c>
      <c r="D5435" t="str">
        <f>INDEX(nse!C:C,MATCH(B5435,nse!B:B,0))</f>
        <v>Reliance Communications Limited</v>
      </c>
    </row>
    <row r="5436" spans="2:4" hidden="1" x14ac:dyDescent="0.3">
      <c r="B5436" t="s">
        <v>4203</v>
      </c>
      <c r="C5436" t="str">
        <f>INDEX(nse!D:D,MATCH(B5436,nse!B:B,0))</f>
        <v>EQ</v>
      </c>
      <c r="D5436" t="str">
        <f>INDEX(nse!C:C,MATCH(B5436,nse!B:B,0))</f>
        <v>Reliance Defence and Engineering Limited</v>
      </c>
    </row>
    <row r="5437" spans="2:4" hidden="1" x14ac:dyDescent="0.3">
      <c r="B5437" t="s">
        <v>961</v>
      </c>
      <c r="C5437" t="str">
        <f>INDEX(nse!D:D,MATCH(B5437,nse!B:B,0))</f>
        <v>EQ</v>
      </c>
      <c r="D5437" t="str">
        <f>INDEX(nse!C:C,MATCH(B5437,nse!B:B,0))</f>
        <v>Rural Electrification Corporation Limited</v>
      </c>
    </row>
    <row r="5438" spans="2:4" hidden="1" x14ac:dyDescent="0.3">
      <c r="B5438" t="s">
        <v>962</v>
      </c>
      <c r="C5438" t="str">
        <f>INDEX(nse!D:D,MATCH(B5438,nse!B:B,0))</f>
        <v>EQ</v>
      </c>
      <c r="D5438" t="str">
        <f>INDEX(nse!C:C,MATCH(B5438,nse!B:B,0))</f>
        <v>Redington (India) Limited</v>
      </c>
    </row>
    <row r="5439" spans="2:4" hidden="1" x14ac:dyDescent="0.3">
      <c r="B5439" t="s">
        <v>963</v>
      </c>
      <c r="C5439" t="str">
        <f>INDEX(nse!D:D,MATCH(B5439,nse!B:B,0))</f>
        <v>EQ</v>
      </c>
      <c r="D5439" t="str">
        <f>INDEX(nse!C:C,MATCH(B5439,nse!B:B,0))</f>
        <v>Refex Industries Limited</v>
      </c>
    </row>
    <row r="5440" spans="2:4" hidden="1" x14ac:dyDescent="0.3">
      <c r="B5440" t="s">
        <v>964</v>
      </c>
      <c r="C5440" t="str">
        <f>INDEX(nse!D:D,MATCH(B5440,nse!B:B,0))</f>
        <v>BE</v>
      </c>
      <c r="D5440" t="str">
        <f>INDEX(nse!C:C,MATCH(B5440,nse!B:B,0))</f>
        <v>Regency Ceramics Limited</v>
      </c>
    </row>
    <row r="5441" spans="2:4" hidden="1" x14ac:dyDescent="0.3">
      <c r="B5441" t="s">
        <v>965</v>
      </c>
      <c r="C5441" t="str">
        <f>INDEX(nse!D:D,MATCH(B5441,nse!B:B,0))</f>
        <v>EQ</v>
      </c>
      <c r="D5441" t="str">
        <f>INDEX(nse!C:C,MATCH(B5441,nse!B:B,0))</f>
        <v>Rei Agro Limited</v>
      </c>
    </row>
    <row r="5442" spans="2:4" hidden="1" x14ac:dyDescent="0.3">
      <c r="B5442" t="s">
        <v>966</v>
      </c>
      <c r="C5442" t="str">
        <f>INDEX(nse!D:D,MATCH(B5442,nse!B:B,0))</f>
        <v>EQ</v>
      </c>
      <c r="D5442" t="str">
        <f>INDEX(nse!C:C,MATCH(B5442,nse!B:B,0))</f>
        <v>Relaxo Footwears Limited</v>
      </c>
    </row>
    <row r="5443" spans="2:4" hidden="1" x14ac:dyDescent="0.3">
      <c r="B5443" t="s">
        <v>87</v>
      </c>
      <c r="C5443" t="str">
        <f>INDEX(nse!D:D,MATCH(B5443,nse!B:B,0))</f>
        <v>EQ</v>
      </c>
      <c r="D5443" t="str">
        <f>INDEX(nse!C:C,MATCH(B5443,nse!B:B,0))</f>
        <v>Reliance Capital Limited</v>
      </c>
    </row>
    <row r="5444" spans="2:4" hidden="1" x14ac:dyDescent="0.3">
      <c r="B5444" t="s">
        <v>967</v>
      </c>
      <c r="C5444" t="str">
        <f>INDEX(nse!D:D,MATCH(B5444,nse!B:B,0))</f>
        <v>EQ</v>
      </c>
      <c r="D5444" t="str">
        <f>INDEX(nse!C:C,MATCH(B5444,nse!B:B,0))</f>
        <v>Reliance Industries Limited</v>
      </c>
    </row>
    <row r="5445" spans="2:4" hidden="1" x14ac:dyDescent="0.3">
      <c r="B5445" t="s">
        <v>968</v>
      </c>
      <c r="C5445" t="str">
        <f>INDEX(nse!D:D,MATCH(B5445,nse!B:B,0))</f>
        <v>EQ</v>
      </c>
      <c r="D5445" t="str">
        <f>INDEX(nse!C:C,MATCH(B5445,nse!B:B,0))</f>
        <v>Religare Enterprises Limited</v>
      </c>
    </row>
    <row r="5446" spans="2:4" hidden="1" x14ac:dyDescent="0.3">
      <c r="B5446" t="s">
        <v>88</v>
      </c>
      <c r="C5446" t="str">
        <f>INDEX(nse!D:D,MATCH(B5446,nse!B:B,0))</f>
        <v>EQ</v>
      </c>
      <c r="D5446" t="str">
        <f>INDEX(nse!C:C,MATCH(B5446,nse!B:B,0))</f>
        <v>Reliance Infrastructure Limited</v>
      </c>
    </row>
    <row r="5447" spans="2:4" hidden="1" x14ac:dyDescent="0.3">
      <c r="B5447" t="s">
        <v>1330</v>
      </c>
      <c r="C5447" t="str">
        <f>INDEX(nse!D:D,MATCH(B5447,nse!B:B,0))</f>
        <v>EQ</v>
      </c>
      <c r="D5447" t="str">
        <f>INDEX(nse!C:C,MATCH(B5447,nse!B:B,0))</f>
        <v>Remsons Industries Limited</v>
      </c>
    </row>
    <row r="5448" spans="2:4" hidden="1" x14ac:dyDescent="0.3">
      <c r="B5448" t="s">
        <v>969</v>
      </c>
      <c r="C5448" t="str">
        <f>INDEX(nse!D:D,MATCH(B5448,nse!B:B,0))</f>
        <v>EQ</v>
      </c>
      <c r="D5448" t="str">
        <f>INDEX(nse!C:C,MATCH(B5448,nse!B:B,0))</f>
        <v>Shree Renuka Sugars Limited</v>
      </c>
    </row>
    <row r="5449" spans="2:4" hidden="1" x14ac:dyDescent="0.3">
      <c r="B5449" t="s">
        <v>970</v>
      </c>
      <c r="C5449" t="str">
        <f>INDEX(nse!D:D,MATCH(B5449,nse!B:B,0))</f>
        <v>EQ</v>
      </c>
      <c r="D5449" t="str">
        <f>INDEX(nse!C:C,MATCH(B5449,nse!B:B,0))</f>
        <v>Repco Home Finance Limited</v>
      </c>
    </row>
    <row r="5450" spans="2:4" hidden="1" x14ac:dyDescent="0.3">
      <c r="B5450" t="s">
        <v>971</v>
      </c>
      <c r="C5450" t="str">
        <f>INDEX(nse!D:D,MATCH(B5450,nse!B:B,0))</f>
        <v>EQ</v>
      </c>
      <c r="D5450" t="str">
        <f>INDEX(nse!C:C,MATCH(B5450,nse!B:B,0))</f>
        <v>Repro India Limited</v>
      </c>
    </row>
    <row r="5451" spans="2:4" hidden="1" x14ac:dyDescent="0.3">
      <c r="B5451" t="s">
        <v>972</v>
      </c>
      <c r="C5451" t="str">
        <f>INDEX(nse!D:D,MATCH(B5451,nse!B:B,0))</f>
        <v>EQ</v>
      </c>
      <c r="D5451" t="str">
        <f>INDEX(nse!C:C,MATCH(B5451,nse!B:B,0))</f>
        <v>Responsive Industries Limited</v>
      </c>
    </row>
    <row r="5452" spans="2:4" hidden="1" x14ac:dyDescent="0.3">
      <c r="B5452" t="s">
        <v>973</v>
      </c>
      <c r="C5452" t="str">
        <f>INDEX(nse!D:D,MATCH(B5452,nse!B:B,0))</f>
        <v>EQ</v>
      </c>
      <c r="D5452" t="str">
        <f>INDEX(nse!C:C,MATCH(B5452,nse!B:B,0))</f>
        <v>Revathi Equipment Limited</v>
      </c>
    </row>
    <row r="5453" spans="2:4" hidden="1" x14ac:dyDescent="0.3">
      <c r="B5453" t="s">
        <v>974</v>
      </c>
      <c r="C5453" t="str">
        <f>INDEX(nse!D:D,MATCH(B5453,nse!B:B,0))</f>
        <v>EQ</v>
      </c>
      <c r="D5453" t="str">
        <f>INDEX(nse!C:C,MATCH(B5453,nse!B:B,0))</f>
        <v>Rico Auto Industries Limited</v>
      </c>
    </row>
    <row r="5454" spans="2:4" hidden="1" x14ac:dyDescent="0.3">
      <c r="B5454" t="s">
        <v>975</v>
      </c>
      <c r="C5454" t="str">
        <f>INDEX(nse!D:D,MATCH(B5454,nse!B:B,0))</f>
        <v>EQ</v>
      </c>
      <c r="D5454" t="str">
        <f>INDEX(nse!C:C,MATCH(B5454,nse!B:B,0))</f>
        <v>Reliance Industrial Infrastructure Limited</v>
      </c>
    </row>
    <row r="5455" spans="2:4" hidden="1" x14ac:dyDescent="0.3">
      <c r="B5455" t="s">
        <v>976</v>
      </c>
      <c r="C5455" t="str">
        <f>INDEX(nse!D:D,MATCH(B5455,nse!B:B,0))</f>
        <v>EQ</v>
      </c>
      <c r="D5455" t="str">
        <f>INDEX(nse!C:C,MATCH(B5455,nse!B:B,0))</f>
        <v>Renaissance Jewellery Limited</v>
      </c>
    </row>
    <row r="5456" spans="2:4" hidden="1" x14ac:dyDescent="0.3">
      <c r="B5456" t="s">
        <v>977</v>
      </c>
      <c r="C5456" t="str">
        <f>INDEX(nse!D:D,MATCH(B5456,nse!B:B,0))</f>
        <v>EQ</v>
      </c>
      <c r="D5456" t="str">
        <f>INDEX(nse!C:C,MATCH(B5456,nse!B:B,0))</f>
        <v>Ravi Kumar Distilleries Limited</v>
      </c>
    </row>
    <row r="5457" spans="2:4" hidden="1" x14ac:dyDescent="0.3">
      <c r="B5457" t="s">
        <v>978</v>
      </c>
      <c r="C5457" t="str">
        <f>INDEX(nse!D:D,MATCH(B5457,nse!B:B,0))</f>
        <v>EQ</v>
      </c>
      <c r="D5457" t="str">
        <f>INDEX(nse!C:C,MATCH(B5457,nse!B:B,0))</f>
        <v>Ramkrishna Forgings Limited</v>
      </c>
    </row>
    <row r="5458" spans="2:4" hidden="1" x14ac:dyDescent="0.3">
      <c r="B5458" t="s">
        <v>979</v>
      </c>
      <c r="C5458" t="str">
        <f>INDEX(nse!D:D,MATCH(B5458,nse!B:B,0))</f>
        <v>BE</v>
      </c>
      <c r="D5458" t="str">
        <f>INDEX(nse!C:C,MATCH(B5458,nse!B:B,0))</f>
        <v>Radha Madhav Corporation Limited</v>
      </c>
    </row>
    <row r="5459" spans="2:4" hidden="1" x14ac:dyDescent="0.3">
      <c r="B5459" t="s">
        <v>980</v>
      </c>
      <c r="C5459" t="str">
        <f>INDEX(nse!D:D,MATCH(B5459,nse!B:B,0))</f>
        <v>EQ</v>
      </c>
      <c r="D5459" t="str">
        <f>INDEX(nse!C:C,MATCH(B5459,nse!B:B,0))</f>
        <v>Rane (Madras) Limited</v>
      </c>
    </row>
    <row r="5460" spans="2:4" hidden="1" x14ac:dyDescent="0.3">
      <c r="B5460" t="s">
        <v>981</v>
      </c>
      <c r="C5460" t="str">
        <f>INDEX(nse!D:D,MATCH(B5460,nse!B:B,0))</f>
        <v>EQ</v>
      </c>
      <c r="D5460" t="str">
        <f>INDEX(nse!C:C,MATCH(B5460,nse!B:B,0))</f>
        <v>Rohit Ferro-Tech Limited</v>
      </c>
    </row>
    <row r="5461" spans="2:4" hidden="1" x14ac:dyDescent="0.3">
      <c r="B5461" t="s">
        <v>982</v>
      </c>
      <c r="C5461" t="str">
        <f>INDEX(nse!D:D,MATCH(B5461,nse!B:B,0))</f>
        <v>EQ</v>
      </c>
      <c r="D5461" t="str">
        <f>INDEX(nse!C:C,MATCH(B5461,nse!B:B,0))</f>
        <v>Royal Orchid Hotels Limited</v>
      </c>
    </row>
    <row r="5462" spans="2:4" hidden="1" x14ac:dyDescent="0.3">
      <c r="B5462" t="s">
        <v>4232</v>
      </c>
      <c r="C5462" t="str">
        <f>INDEX(nse!D:D,MATCH(B5462,nse!B:B,0))</f>
        <v>EQ</v>
      </c>
      <c r="D5462" t="str">
        <f>INDEX(nse!C:C,MATCH(B5462,nse!B:B,0))</f>
        <v>Rollatainers Limited</v>
      </c>
    </row>
    <row r="5463" spans="2:4" hidden="1" x14ac:dyDescent="0.3">
      <c r="B5463" t="s">
        <v>983</v>
      </c>
      <c r="C5463" t="str">
        <f>INDEX(nse!D:D,MATCH(B5463,nse!B:B,0))</f>
        <v>EQ</v>
      </c>
      <c r="D5463" t="str">
        <f>INDEX(nse!C:C,MATCH(B5463,nse!B:B,0))</f>
        <v>Rolta India Limited</v>
      </c>
    </row>
    <row r="5464" spans="2:4" hidden="1" x14ac:dyDescent="0.3">
      <c r="B5464" t="s">
        <v>984</v>
      </c>
      <c r="C5464" t="str">
        <f>INDEX(nse!D:D,MATCH(B5464,nse!B:B,0))</f>
        <v>EQ</v>
      </c>
      <c r="D5464" t="str">
        <f>INDEX(nse!C:C,MATCH(B5464,nse!B:B,0))</f>
        <v>Rossell India Limited</v>
      </c>
    </row>
    <row r="5465" spans="2:4" hidden="1" x14ac:dyDescent="0.3">
      <c r="B5465" t="s">
        <v>985</v>
      </c>
      <c r="C5465" t="str">
        <f>INDEX(nse!D:D,MATCH(B5465,nse!B:B,0))</f>
        <v>EQ</v>
      </c>
      <c r="D5465" t="str">
        <f>INDEX(nse!C:C,MATCH(B5465,nse!B:B,0))</f>
        <v>RPG Life Sciences Limited</v>
      </c>
    </row>
    <row r="5466" spans="2:4" hidden="1" x14ac:dyDescent="0.3">
      <c r="B5466" t="s">
        <v>89</v>
      </c>
      <c r="C5466" t="str">
        <f>INDEX(nse!D:D,MATCH(B5466,nse!B:B,0))</f>
        <v>EQ</v>
      </c>
      <c r="D5466" t="str">
        <f>INDEX(nse!C:C,MATCH(B5466,nse!B:B,0))</f>
        <v>Reliance Power Limited</v>
      </c>
    </row>
    <row r="5467" spans="2:4" hidden="1" x14ac:dyDescent="0.3">
      <c r="B5467" t="s">
        <v>986</v>
      </c>
      <c r="C5467" t="str">
        <f>INDEX(nse!D:D,MATCH(B5467,nse!B:B,0))</f>
        <v>EQ</v>
      </c>
      <c r="D5467" t="str">
        <f>INDEX(nse!C:C,MATCH(B5467,nse!B:B,0))</f>
        <v>R.P.P. Infra Projects Limited</v>
      </c>
    </row>
    <row r="5468" spans="2:4" hidden="1" x14ac:dyDescent="0.3">
      <c r="B5468" t="s">
        <v>987</v>
      </c>
      <c r="C5468" t="str">
        <f>INDEX(nse!D:D,MATCH(B5468,nse!B:B,0))</f>
        <v>EQ</v>
      </c>
      <c r="D5468" t="str">
        <f>INDEX(nse!C:C,MATCH(B5468,nse!B:B,0))</f>
        <v>R. S. Software (India) Limited</v>
      </c>
    </row>
    <row r="5469" spans="2:4" hidden="1" x14ac:dyDescent="0.3">
      <c r="B5469" t="s">
        <v>988</v>
      </c>
      <c r="C5469" t="str">
        <f>INDEX(nse!D:D,MATCH(B5469,nse!B:B,0))</f>
        <v>EQ</v>
      </c>
      <c r="D5469" t="str">
        <f>INDEX(nse!C:C,MATCH(B5469,nse!B:B,0))</f>
        <v>RSWM Limited</v>
      </c>
    </row>
    <row r="5470" spans="2:4" hidden="1" x14ac:dyDescent="0.3">
      <c r="B5470" t="s">
        <v>989</v>
      </c>
      <c r="C5470" t="str">
        <f>INDEX(nse!D:D,MATCH(B5470,nse!B:B,0))</f>
        <v>EQ</v>
      </c>
      <c r="D5470" t="str">
        <f>INDEX(nse!C:C,MATCH(B5470,nse!B:B,0))</f>
        <v>R Systems International Limited</v>
      </c>
    </row>
    <row r="5471" spans="2:4" hidden="1" x14ac:dyDescent="0.3">
      <c r="B5471" t="s">
        <v>990</v>
      </c>
      <c r="C5471" t="str">
        <f>INDEX(nse!D:D,MATCH(B5471,nse!B:B,0))</f>
        <v>EQ</v>
      </c>
      <c r="D5471" t="str">
        <f>INDEX(nse!C:C,MATCH(B5471,nse!B:B,0))</f>
        <v>RattanIndia Infrastructure Limited</v>
      </c>
    </row>
    <row r="5472" spans="2:4" hidden="1" x14ac:dyDescent="0.3">
      <c r="B5472" t="s">
        <v>991</v>
      </c>
      <c r="C5472" t="str">
        <f>INDEX(nse!D:D,MATCH(B5472,nse!B:B,0))</f>
        <v>EQ</v>
      </c>
      <c r="D5472" t="str">
        <f>INDEX(nse!C:C,MATCH(B5472,nse!B:B,0))</f>
        <v>RattanIndia Power Limited</v>
      </c>
    </row>
    <row r="5473" spans="2:4" hidden="1" x14ac:dyDescent="0.3">
      <c r="B5473" t="s">
        <v>992</v>
      </c>
      <c r="C5473" t="str">
        <f>INDEX(nse!D:D,MATCH(B5473,nse!B:B,0))</f>
        <v>EQ</v>
      </c>
      <c r="D5473" t="str">
        <f>INDEX(nse!C:C,MATCH(B5473,nse!B:B,0))</f>
        <v>The Ruby Mills Limited</v>
      </c>
    </row>
    <row r="5474" spans="2:4" hidden="1" x14ac:dyDescent="0.3">
      <c r="B5474" t="s">
        <v>993</v>
      </c>
      <c r="C5474" t="str">
        <f>INDEX(nse!D:D,MATCH(B5474,nse!B:B,0))</f>
        <v>BE</v>
      </c>
      <c r="D5474" t="str">
        <f>INDEX(nse!C:C,MATCH(B5474,nse!B:B,0))</f>
        <v>Ruchi Infrastructure Limited</v>
      </c>
    </row>
    <row r="5475" spans="2:4" hidden="1" x14ac:dyDescent="0.3">
      <c r="B5475" t="s">
        <v>994</v>
      </c>
      <c r="C5475" t="str">
        <f>INDEX(nse!D:D,MATCH(B5475,nse!B:B,0))</f>
        <v>EQ</v>
      </c>
      <c r="D5475" t="str">
        <f>INDEX(nse!C:C,MATCH(B5475,nse!B:B,0))</f>
        <v>Ruchira Papers Limited</v>
      </c>
    </row>
    <row r="5476" spans="2:4" hidden="1" x14ac:dyDescent="0.3">
      <c r="B5476" t="s">
        <v>995</v>
      </c>
      <c r="C5476" t="str">
        <f>INDEX(nse!D:D,MATCH(B5476,nse!B:B,0))</f>
        <v>EQ</v>
      </c>
      <c r="D5476" t="str">
        <f>INDEX(nse!C:C,MATCH(B5476,nse!B:B,0))</f>
        <v>Ruchi Soya Industries Limited</v>
      </c>
    </row>
    <row r="5477" spans="2:4" hidden="1" x14ac:dyDescent="0.3">
      <c r="B5477" t="s">
        <v>996</v>
      </c>
      <c r="C5477" t="str">
        <f>INDEX(nse!D:D,MATCH(B5477,nse!B:B,0))</f>
        <v>EQ</v>
      </c>
      <c r="D5477" t="str">
        <f>INDEX(nse!C:C,MATCH(B5477,nse!B:B,0))</f>
        <v>Rupa &amp; Company Limited</v>
      </c>
    </row>
    <row r="5478" spans="2:4" hidden="1" x14ac:dyDescent="0.3">
      <c r="B5478" t="s">
        <v>997</v>
      </c>
      <c r="C5478" t="str">
        <f>INDEX(nse!D:D,MATCH(B5478,nse!B:B,0))</f>
        <v>EQ</v>
      </c>
      <c r="D5478" t="str">
        <f>INDEX(nse!C:C,MATCH(B5478,nse!B:B,0))</f>
        <v>Rushil Decor Limited</v>
      </c>
    </row>
    <row r="5479" spans="2:4" hidden="1" x14ac:dyDescent="0.3">
      <c r="B5479" t="s">
        <v>4251</v>
      </c>
      <c r="C5479" t="str">
        <f>INDEX(nse!D:D,MATCH(B5479,nse!B:B,0))</f>
        <v>EQ</v>
      </c>
      <c r="D5479" t="str">
        <f>INDEX(nse!C:C,MATCH(B5479,nse!B:B,0))</f>
        <v>Sab Events &amp; Governance Now Media Limited</v>
      </c>
    </row>
    <row r="5480" spans="2:4" hidden="1" x14ac:dyDescent="0.3">
      <c r="B5480" t="s">
        <v>998</v>
      </c>
      <c r="C5480" t="str">
        <f>INDEX(nse!D:D,MATCH(B5480,nse!B:B,0))</f>
        <v>EQ</v>
      </c>
      <c r="D5480" t="str">
        <f>INDEX(nse!C:C,MATCH(B5480,nse!B:B,0))</f>
        <v>Sri Adhikari Brothers Television Network Limited</v>
      </c>
    </row>
    <row r="5481" spans="2:4" hidden="1" x14ac:dyDescent="0.3">
      <c r="B5481" t="s">
        <v>999</v>
      </c>
      <c r="C5481" t="str">
        <f>INDEX(nse!D:D,MATCH(B5481,nse!B:B,0))</f>
        <v>EQ</v>
      </c>
      <c r="D5481" t="str">
        <f>INDEX(nse!C:C,MATCH(B5481,nse!B:B,0))</f>
        <v>Sadbhav Engineering Limited</v>
      </c>
    </row>
    <row r="5482" spans="2:4" hidden="1" x14ac:dyDescent="0.3">
      <c r="B5482" t="s">
        <v>4256</v>
      </c>
      <c r="C5482" t="str">
        <f>INDEX(nse!D:D,MATCH(B5482,nse!B:B,0))</f>
        <v>EQ</v>
      </c>
      <c r="D5482" t="str">
        <f>INDEX(nse!C:C,MATCH(B5482,nse!B:B,0))</f>
        <v>Sadbhav Infrastructure Project Limited</v>
      </c>
    </row>
    <row r="5483" spans="2:4" hidden="1" x14ac:dyDescent="0.3">
      <c r="B5483" t="s">
        <v>1000</v>
      </c>
      <c r="C5483" t="str">
        <f>INDEX(nse!D:D,MATCH(B5483,nse!B:B,0))</f>
        <v>EQ</v>
      </c>
      <c r="D5483" t="str">
        <f>INDEX(nse!C:C,MATCH(B5483,nse!B:B,0))</f>
        <v>Sagar Cements Limited</v>
      </c>
    </row>
    <row r="5484" spans="2:4" hidden="1" x14ac:dyDescent="0.3">
      <c r="B5484" t="s">
        <v>26</v>
      </c>
      <c r="C5484" t="str">
        <f>INDEX(nse!D:D,MATCH(B5484,nse!B:B,0))</f>
        <v>EQ</v>
      </c>
      <c r="D5484" t="str">
        <f>INDEX(nse!C:C,MATCH(B5484,nse!B:B,0))</f>
        <v>Steel Authority of India Limited</v>
      </c>
    </row>
    <row r="5485" spans="2:4" hidden="1" x14ac:dyDescent="0.3">
      <c r="B5485" t="s">
        <v>1001</v>
      </c>
      <c r="C5485" t="str">
        <f>INDEX(nse!D:D,MATCH(B5485,nse!B:B,0))</f>
        <v>EQ</v>
      </c>
      <c r="D5485" t="str">
        <f>INDEX(nse!C:C,MATCH(B5485,nse!B:B,0))</f>
        <v>Sakthi Sugars Limited</v>
      </c>
    </row>
    <row r="5486" spans="2:4" hidden="1" x14ac:dyDescent="0.3">
      <c r="B5486" t="s">
        <v>1002</v>
      </c>
      <c r="C5486" t="str">
        <f>INDEX(nse!D:D,MATCH(B5486,nse!B:B,0))</f>
        <v>EQ</v>
      </c>
      <c r="D5486" t="str">
        <f>INDEX(nse!C:C,MATCH(B5486,nse!B:B,0))</f>
        <v>Saksoft Limited</v>
      </c>
    </row>
    <row r="5487" spans="2:4" hidden="1" x14ac:dyDescent="0.3">
      <c r="B5487" t="s">
        <v>1003</v>
      </c>
      <c r="C5487" t="str">
        <f>INDEX(nse!D:D,MATCH(B5487,nse!B:B,0))</f>
        <v>EQ</v>
      </c>
      <c r="D5487" t="str">
        <f>INDEX(nse!C:C,MATCH(B5487,nse!B:B,0))</f>
        <v>Sakuma Exports Limited</v>
      </c>
    </row>
    <row r="5488" spans="2:4" hidden="1" x14ac:dyDescent="0.3">
      <c r="B5488" t="s">
        <v>4264</v>
      </c>
      <c r="C5488" t="str">
        <f>INDEX(nse!D:D,MATCH(B5488,nse!B:B,0))</f>
        <v>BE</v>
      </c>
      <c r="D5488" t="str">
        <f>INDEX(nse!C:C,MATCH(B5488,nse!B:B,0))</f>
        <v>Salona Cotspin Limited</v>
      </c>
    </row>
    <row r="5489" spans="2:4" hidden="1" x14ac:dyDescent="0.3">
      <c r="B5489" t="s">
        <v>1004</v>
      </c>
      <c r="C5489" t="str">
        <f>INDEX(nse!D:D,MATCH(B5489,nse!B:B,0))</f>
        <v>EQ</v>
      </c>
      <c r="D5489" t="str">
        <f>INDEX(nse!C:C,MATCH(B5489,nse!B:B,0))</f>
        <v>Salora International Limited</v>
      </c>
    </row>
    <row r="5490" spans="2:4" hidden="1" x14ac:dyDescent="0.3">
      <c r="B5490" t="s">
        <v>1005</v>
      </c>
      <c r="C5490" t="str">
        <f>INDEX(nse!D:D,MATCH(B5490,nse!B:B,0))</f>
        <v>BE</v>
      </c>
      <c r="D5490" t="str">
        <f>INDEX(nse!C:C,MATCH(B5490,nse!B:B,0))</f>
        <v>S.A.L. Steel Limited</v>
      </c>
    </row>
    <row r="5491" spans="2:4" hidden="1" x14ac:dyDescent="0.3">
      <c r="B5491" t="s">
        <v>4269</v>
      </c>
      <c r="C5491" t="str">
        <f>INDEX(nse!D:D,MATCH(B5491,nse!B:B,0))</f>
        <v>EQ</v>
      </c>
      <c r="D5491" t="str">
        <f>INDEX(nse!C:C,MATCH(B5491,nse!B:B,0))</f>
        <v>Salzer Electronics Limited</v>
      </c>
    </row>
    <row r="5492" spans="2:4" hidden="1" x14ac:dyDescent="0.3">
      <c r="B5492" t="s">
        <v>1331</v>
      </c>
      <c r="C5492" t="str">
        <f>INDEX(nse!D:D,MATCH(B5492,nse!B:B,0))</f>
        <v>BE</v>
      </c>
      <c r="D5492" t="str">
        <f>INDEX(nse!C:C,MATCH(B5492,nse!B:B,0))</f>
        <v>Sambhaav Media Limited</v>
      </c>
    </row>
    <row r="5493" spans="2:4" hidden="1" x14ac:dyDescent="0.3">
      <c r="B5493" t="s">
        <v>1006</v>
      </c>
      <c r="C5493" t="str">
        <f>INDEX(nse!D:D,MATCH(B5493,nse!B:B,0))</f>
        <v>EQ</v>
      </c>
      <c r="D5493" t="str">
        <f>INDEX(nse!C:C,MATCH(B5493,nse!B:B,0))</f>
        <v>Samtel Color Limited</v>
      </c>
    </row>
    <row r="5494" spans="2:4" hidden="1" x14ac:dyDescent="0.3">
      <c r="B5494" t="s">
        <v>1340</v>
      </c>
      <c r="C5494" t="str">
        <f>INDEX(nse!D:D,MATCH(B5494,nse!B:B,0))</f>
        <v>BE</v>
      </c>
      <c r="D5494" t="str">
        <f>INDEX(nse!C:C,MATCH(B5494,nse!B:B,0))</f>
        <v>Sanco Industries Limited</v>
      </c>
    </row>
    <row r="5495" spans="2:4" hidden="1" x14ac:dyDescent="0.3">
      <c r="B5495" t="s">
        <v>1007</v>
      </c>
      <c r="C5495" t="str">
        <f>INDEX(nse!D:D,MATCH(B5495,nse!B:B,0))</f>
        <v>EQ</v>
      </c>
      <c r="D5495" t="str">
        <f>INDEX(nse!C:C,MATCH(B5495,nse!B:B,0))</f>
        <v>The Sandesh Limited</v>
      </c>
    </row>
    <row r="5496" spans="2:4" hidden="1" x14ac:dyDescent="0.3">
      <c r="B5496" t="s">
        <v>1008</v>
      </c>
      <c r="C5496" t="str">
        <f>INDEX(nse!D:D,MATCH(B5496,nse!B:B,0))</f>
        <v>EQ</v>
      </c>
      <c r="D5496" t="str">
        <f>INDEX(nse!C:C,MATCH(B5496,nse!B:B,0))</f>
        <v>Sangam (India) Limited</v>
      </c>
    </row>
    <row r="5497" spans="2:4" hidden="1" x14ac:dyDescent="0.3">
      <c r="B5497" t="s">
        <v>1009</v>
      </c>
      <c r="C5497" t="str">
        <f>INDEX(nse!D:D,MATCH(B5497,nse!B:B,0))</f>
        <v>EQ</v>
      </c>
      <c r="D5497" t="str">
        <f>INDEX(nse!C:C,MATCH(B5497,nse!B:B,0))</f>
        <v>Sanghi Industries Limited</v>
      </c>
    </row>
    <row r="5498" spans="2:4" hidden="1" x14ac:dyDescent="0.3">
      <c r="B5498" t="s">
        <v>1010</v>
      </c>
      <c r="C5498" t="str">
        <f>INDEX(nse!D:D,MATCH(B5498,nse!B:B,0))</f>
        <v>EQ</v>
      </c>
      <c r="D5498" t="str">
        <f>INDEX(nse!C:C,MATCH(B5498,nse!B:B,0))</f>
        <v>Sanghvi Forging and Engineering Limited</v>
      </c>
    </row>
    <row r="5499" spans="2:4" hidden="1" x14ac:dyDescent="0.3">
      <c r="B5499" t="s">
        <v>1011</v>
      </c>
      <c r="C5499" t="str">
        <f>INDEX(nse!D:D,MATCH(B5499,nse!B:B,0))</f>
        <v>EQ</v>
      </c>
      <c r="D5499" t="str">
        <f>INDEX(nse!C:C,MATCH(B5499,nse!B:B,0))</f>
        <v>Sanghvi Movers Limited</v>
      </c>
    </row>
    <row r="5500" spans="2:4" hidden="1" x14ac:dyDescent="0.3">
      <c r="B5500" t="s">
        <v>90</v>
      </c>
      <c r="C5500" t="str">
        <f>INDEX(nse!D:D,MATCH(B5500,nse!B:B,0))</f>
        <v>EQ</v>
      </c>
      <c r="D5500" t="str">
        <f>INDEX(nse!C:C,MATCH(B5500,nse!B:B,0))</f>
        <v>Sanofi India Limited</v>
      </c>
    </row>
    <row r="5501" spans="2:4" hidden="1" x14ac:dyDescent="0.3">
      <c r="B5501" t="s">
        <v>1012</v>
      </c>
      <c r="C5501" t="str">
        <f>INDEX(nse!D:D,MATCH(B5501,nse!B:B,0))</f>
        <v>EQ</v>
      </c>
      <c r="D5501" t="str">
        <f>INDEX(nse!C:C,MATCH(B5501,nse!B:B,0))</f>
        <v>Sanwaria Agro Oils Limited</v>
      </c>
    </row>
    <row r="5502" spans="2:4" hidden="1" x14ac:dyDescent="0.3">
      <c r="B5502" t="s">
        <v>1013</v>
      </c>
      <c r="C5502" t="str">
        <f>INDEX(nse!D:D,MATCH(B5502,nse!B:B,0))</f>
        <v>EQ</v>
      </c>
      <c r="D5502" t="str">
        <f>INDEX(nse!C:C,MATCH(B5502,nse!B:B,0))</f>
        <v>Sarda Energy &amp; Minerals Limited</v>
      </c>
    </row>
    <row r="5503" spans="2:4" hidden="1" x14ac:dyDescent="0.3">
      <c r="B5503" t="s">
        <v>1014</v>
      </c>
      <c r="C5503" t="str">
        <f>INDEX(nse!D:D,MATCH(B5503,nse!B:B,0))</f>
        <v>EQ</v>
      </c>
      <c r="D5503" t="str">
        <f>INDEX(nse!C:C,MATCH(B5503,nse!B:B,0))</f>
        <v>Saregama India Limited</v>
      </c>
    </row>
    <row r="5504" spans="2:4" hidden="1" x14ac:dyDescent="0.3">
      <c r="B5504" t="s">
        <v>1015</v>
      </c>
      <c r="C5504" t="str">
        <f>INDEX(nse!D:D,MATCH(B5504,nse!B:B,0))</f>
        <v>EQ</v>
      </c>
      <c r="D5504" t="str">
        <f>INDEX(nse!C:C,MATCH(B5504,nse!B:B,0))</f>
        <v>Sarla Performance Fibers Limited</v>
      </c>
    </row>
    <row r="5505" spans="2:4" hidden="1" x14ac:dyDescent="0.3">
      <c r="B5505" t="s">
        <v>1016</v>
      </c>
      <c r="C5505" t="str">
        <f>INDEX(nse!D:D,MATCH(B5505,nse!B:B,0))</f>
        <v>EQ</v>
      </c>
      <c r="D5505" t="str">
        <f>INDEX(nse!C:C,MATCH(B5505,nse!B:B,0))</f>
        <v>Sasken Technologies Limited</v>
      </c>
    </row>
    <row r="5506" spans="2:4" hidden="1" x14ac:dyDescent="0.3">
      <c r="B5506" t="s">
        <v>4287</v>
      </c>
      <c r="C5506" t="str">
        <f>INDEX(nse!D:D,MATCH(B5506,nse!B:B,0))</f>
        <v>BE</v>
      </c>
      <c r="D5506" t="str">
        <f>INDEX(nse!C:C,MATCH(B5506,nse!B:B,0))</f>
        <v>Sastasundar Ventures Limited</v>
      </c>
    </row>
    <row r="5507" spans="2:4" hidden="1" x14ac:dyDescent="0.3">
      <c r="B5507" t="s">
        <v>1017</v>
      </c>
      <c r="C5507" t="str">
        <f>INDEX(nse!D:D,MATCH(B5507,nse!B:B,0))</f>
        <v>EQ</v>
      </c>
      <c r="D5507" t="str">
        <f>INDEX(nse!C:C,MATCH(B5507,nse!B:B,0))</f>
        <v>Sathavahana Ispat Limited</v>
      </c>
    </row>
    <row r="5508" spans="2:4" hidden="1" x14ac:dyDescent="0.3">
      <c r="B5508" t="s">
        <v>4291</v>
      </c>
      <c r="C5508" t="str">
        <f>INDEX(nse!D:D,MATCH(B5508,nse!B:B,0))</f>
        <v>EQ</v>
      </c>
      <c r="D5508" t="str">
        <f>INDEX(nse!C:C,MATCH(B5508,nse!B:B,0))</f>
        <v>Satin Creditcare Network Limited</v>
      </c>
    </row>
    <row r="5509" spans="2:4" hidden="1" x14ac:dyDescent="0.3">
      <c r="B5509" t="s">
        <v>1018</v>
      </c>
      <c r="C5509" t="str">
        <f>INDEX(nse!D:D,MATCH(B5509,nse!B:B,0))</f>
        <v>EQ</v>
      </c>
      <c r="D5509" t="str">
        <f>INDEX(nse!C:C,MATCH(B5509,nse!B:B,0))</f>
        <v>State Bank of India</v>
      </c>
    </row>
    <row r="5510" spans="2:4" hidden="1" x14ac:dyDescent="0.3">
      <c r="B5510" t="s">
        <v>4295</v>
      </c>
      <c r="C5510" t="str">
        <f>INDEX(nse!D:D,MATCH(B5510,nse!B:B,0))</f>
        <v>EQ</v>
      </c>
      <c r="D5510" t="str">
        <f>INDEX(nse!C:C,MATCH(B5510,nse!B:B,0))</f>
        <v>S Chand And Company Limited</v>
      </c>
    </row>
    <row r="5511" spans="2:4" hidden="1" x14ac:dyDescent="0.3">
      <c r="B5511" t="s">
        <v>1019</v>
      </c>
      <c r="C5511" t="str">
        <f>INDEX(nse!D:D,MATCH(B5511,nse!B:B,0))</f>
        <v>EQ</v>
      </c>
      <c r="D5511" t="str">
        <f>INDEX(nse!C:C,MATCH(B5511,nse!B:B,0))</f>
        <v>Schneider Electric Infrastructure Limited</v>
      </c>
    </row>
    <row r="5512" spans="2:4" hidden="1" x14ac:dyDescent="0.3">
      <c r="B5512" t="s">
        <v>1020</v>
      </c>
      <c r="C5512" t="str">
        <f>INDEX(nse!D:D,MATCH(B5512,nse!B:B,0))</f>
        <v>EQ</v>
      </c>
      <c r="D5512" t="str">
        <f>INDEX(nse!C:C,MATCH(B5512,nse!B:B,0))</f>
        <v>Shipping Corporation Of India Limited</v>
      </c>
    </row>
    <row r="5513" spans="2:4" hidden="1" x14ac:dyDescent="0.3">
      <c r="B5513" t="s">
        <v>1021</v>
      </c>
      <c r="C5513" t="str">
        <f>INDEX(nse!D:D,MATCH(B5513,nse!B:B,0))</f>
        <v>EQ</v>
      </c>
      <c r="D5513" t="str">
        <f>INDEX(nse!C:C,MATCH(B5513,nse!B:B,0))</f>
        <v>Som Distilleries &amp; Breweries Limited</v>
      </c>
    </row>
    <row r="5514" spans="2:4" hidden="1" x14ac:dyDescent="0.3">
      <c r="B5514" t="s">
        <v>1022</v>
      </c>
      <c r="C5514" t="str">
        <f>INDEX(nse!D:D,MATCH(B5514,nse!B:B,0))</f>
        <v>EQ</v>
      </c>
      <c r="D5514" t="str">
        <f>INDEX(nse!C:C,MATCH(B5514,nse!B:B,0))</f>
        <v>Seamec Limited</v>
      </c>
    </row>
    <row r="5515" spans="2:4" hidden="1" x14ac:dyDescent="0.3">
      <c r="B5515" t="s">
        <v>1023</v>
      </c>
      <c r="C5515" t="str">
        <f>INDEX(nse!D:D,MATCH(B5515,nse!B:B,0))</f>
        <v>EQ</v>
      </c>
      <c r="D5515" t="str">
        <f>INDEX(nse!C:C,MATCH(B5515,nse!B:B,0))</f>
        <v>S.E. Investments Limited</v>
      </c>
    </row>
    <row r="5516" spans="2:4" hidden="1" x14ac:dyDescent="0.3">
      <c r="B5516" t="s">
        <v>1024</v>
      </c>
      <c r="C5516" t="str">
        <f>INDEX(nse!D:D,MATCH(B5516,nse!B:B,0))</f>
        <v>EQ</v>
      </c>
      <c r="D5516" t="str">
        <f>INDEX(nse!C:C,MATCH(B5516,nse!B:B,0))</f>
        <v>Selan Exploration Technology Limited</v>
      </c>
    </row>
    <row r="5517" spans="2:4" hidden="1" x14ac:dyDescent="0.3">
      <c r="B5517" t="s">
        <v>1025</v>
      </c>
      <c r="C5517" t="str">
        <f>INDEX(nse!D:D,MATCH(B5517,nse!B:B,0))</f>
        <v>EQ</v>
      </c>
      <c r="D5517" t="str">
        <f>INDEX(nse!C:C,MATCH(B5517,nse!B:B,0))</f>
        <v>SEL Manufacturing Company Limited</v>
      </c>
    </row>
    <row r="5518" spans="2:4" hidden="1" x14ac:dyDescent="0.3">
      <c r="B5518" t="s">
        <v>1026</v>
      </c>
      <c r="C5518" t="str">
        <f>INDEX(nse!D:D,MATCH(B5518,nse!B:B,0))</f>
        <v>EQ</v>
      </c>
      <c r="D5518" t="str">
        <f>INDEX(nse!C:C,MATCH(B5518,nse!B:B,0))</f>
        <v>S.E. Power Limited</v>
      </c>
    </row>
    <row r="5519" spans="2:4" hidden="1" x14ac:dyDescent="0.3">
      <c r="B5519" t="s">
        <v>4306</v>
      </c>
      <c r="C5519" t="str">
        <f>INDEX(nse!D:D,MATCH(B5519,nse!B:B,0))</f>
        <v>EQ</v>
      </c>
      <c r="D5519" t="str">
        <f>INDEX(nse!C:C,MATCH(B5519,nse!B:B,0))</f>
        <v>Sequent Scientific Limited</v>
      </c>
    </row>
    <row r="5520" spans="2:4" hidden="1" x14ac:dyDescent="0.3">
      <c r="B5520" t="s">
        <v>1027</v>
      </c>
      <c r="C5520" t="str">
        <f>INDEX(nse!D:D,MATCH(B5520,nse!B:B,0))</f>
        <v>EQ</v>
      </c>
      <c r="D5520" t="str">
        <f>INDEX(nse!C:C,MATCH(B5520,nse!B:B,0))</f>
        <v>Servalakshmi Paper Limited</v>
      </c>
    </row>
    <row r="5521" spans="2:4" hidden="1" x14ac:dyDescent="0.3">
      <c r="B5521" t="s">
        <v>1028</v>
      </c>
      <c r="C5521" t="str">
        <f>INDEX(nse!D:D,MATCH(B5521,nse!B:B,0))</f>
        <v>EQ</v>
      </c>
      <c r="D5521" t="str">
        <f>INDEX(nse!C:C,MATCH(B5521,nse!B:B,0))</f>
        <v>Seshasayee Paper and Boards Limited</v>
      </c>
    </row>
    <row r="5522" spans="2:4" hidden="1" x14ac:dyDescent="0.3">
      <c r="B5522" t="s">
        <v>4311</v>
      </c>
      <c r="C5522" t="str">
        <f>INDEX(nse!D:D,MATCH(B5522,nse!B:B,0))</f>
        <v>EQ</v>
      </c>
      <c r="D5522" t="str">
        <f>INDEX(nse!C:C,MATCH(B5522,nse!B:B,0))</f>
        <v>Setco Automotive Limited</v>
      </c>
    </row>
    <row r="5523" spans="2:4" hidden="1" x14ac:dyDescent="0.3">
      <c r="B5523" t="s">
        <v>1029</v>
      </c>
      <c r="C5523" t="str">
        <f>INDEX(nse!D:D,MATCH(B5523,nse!B:B,0))</f>
        <v>BE</v>
      </c>
      <c r="D5523" t="str">
        <f>INDEX(nse!C:C,MATCH(B5523,nse!B:B,0))</f>
        <v>Sezal Glass Limited</v>
      </c>
    </row>
    <row r="5524" spans="2:4" hidden="1" x14ac:dyDescent="0.3">
      <c r="B5524" t="s">
        <v>4315</v>
      </c>
      <c r="C5524" t="str">
        <f>INDEX(nse!D:D,MATCH(B5524,nse!B:B,0))</f>
        <v>EQ</v>
      </c>
      <c r="D5524" t="str">
        <f>INDEX(nse!C:C,MATCH(B5524,nse!B:B,0))</f>
        <v>Sheela Foam Limited</v>
      </c>
    </row>
    <row r="5525" spans="2:4" hidden="1" x14ac:dyDescent="0.3">
      <c r="B5525" t="s">
        <v>1332</v>
      </c>
      <c r="C5525" t="str">
        <f>INDEX(nse!D:D,MATCH(B5525,nse!B:B,0))</f>
        <v>BE</v>
      </c>
      <c r="D5525" t="str">
        <f>INDEX(nse!C:C,MATCH(B5525,nse!B:B,0))</f>
        <v>Shree Ganesh Forgings Limited</v>
      </c>
    </row>
    <row r="5526" spans="2:4" hidden="1" x14ac:dyDescent="0.3">
      <c r="B5526" t="s">
        <v>1333</v>
      </c>
      <c r="C5526" t="str">
        <f>INDEX(nse!D:D,MATCH(B5526,nse!B:B,0))</f>
        <v>EQ</v>
      </c>
      <c r="D5526" t="str">
        <f>INDEX(nse!C:C,MATCH(B5526,nse!B:B,0))</f>
        <v>STL Global Limited</v>
      </c>
    </row>
    <row r="5527" spans="2:4" hidden="1" x14ac:dyDescent="0.3">
      <c r="B5527" t="s">
        <v>1030</v>
      </c>
      <c r="C5527" t="str">
        <f>INDEX(nse!D:D,MATCH(B5527,nse!B:B,0))</f>
        <v>BE</v>
      </c>
      <c r="D5527" t="str">
        <f>INDEX(nse!C:C,MATCH(B5527,nse!B:B,0))</f>
        <v>Shah Alloys Limited</v>
      </c>
    </row>
    <row r="5528" spans="2:4" hidden="1" x14ac:dyDescent="0.3">
      <c r="B5528" t="s">
        <v>4321</v>
      </c>
      <c r="C5528" t="str">
        <f>INDEX(nse!D:D,MATCH(B5528,nse!B:B,0))</f>
        <v>EQ</v>
      </c>
      <c r="D5528" t="str">
        <f>INDEX(nse!C:C,MATCH(B5528,nse!B:B,0))</f>
        <v>Shakti Pumps (India) Limited</v>
      </c>
    </row>
    <row r="5529" spans="2:4" hidden="1" x14ac:dyDescent="0.3">
      <c r="B5529" t="s">
        <v>1031</v>
      </c>
      <c r="C5529" t="str">
        <f>INDEX(nse!D:D,MATCH(B5529,nse!B:B,0))</f>
        <v>EQ</v>
      </c>
      <c r="D5529" t="str">
        <f>INDEX(nse!C:C,MATCH(B5529,nse!B:B,0))</f>
        <v>Shalimar Paints Limited</v>
      </c>
    </row>
    <row r="5530" spans="2:4" hidden="1" x14ac:dyDescent="0.3">
      <c r="B5530" t="s">
        <v>4325</v>
      </c>
      <c r="C5530" t="str">
        <f>INDEX(nse!D:D,MATCH(B5530,nse!B:B,0))</f>
        <v>EQ</v>
      </c>
      <c r="D5530" t="str">
        <f>INDEX(nse!C:C,MATCH(B5530,nse!B:B,0))</f>
        <v>Shankara Building Products Limited</v>
      </c>
    </row>
    <row r="5531" spans="2:4" hidden="1" x14ac:dyDescent="0.3">
      <c r="B5531" t="s">
        <v>1032</v>
      </c>
      <c r="C5531" t="str">
        <f>INDEX(nse!D:D,MATCH(B5531,nse!B:B,0))</f>
        <v>EQ</v>
      </c>
      <c r="D5531" t="str">
        <f>INDEX(nse!C:C,MATCH(B5531,nse!B:B,0))</f>
        <v>Shanthi Gears Limited</v>
      </c>
    </row>
    <row r="5532" spans="2:4" hidden="1" x14ac:dyDescent="0.3">
      <c r="B5532" t="s">
        <v>1033</v>
      </c>
      <c r="C5532" t="str">
        <f>INDEX(nse!D:D,MATCH(B5532,nse!B:B,0))</f>
        <v>EQ</v>
      </c>
      <c r="D5532" t="str">
        <f>INDEX(nse!C:C,MATCH(B5532,nse!B:B,0))</f>
        <v>Sharda Cropchem Limited</v>
      </c>
    </row>
    <row r="5533" spans="2:4" hidden="1" x14ac:dyDescent="0.3">
      <c r="B5533" t="s">
        <v>4330</v>
      </c>
      <c r="C5533" t="str">
        <f>INDEX(nse!D:D,MATCH(B5533,nse!B:B,0))</f>
        <v>EQ</v>
      </c>
      <c r="D5533" t="str">
        <f>INDEX(nse!C:C,MATCH(B5533,nse!B:B,0))</f>
        <v>Sharda Motor Industries Limited</v>
      </c>
    </row>
    <row r="5534" spans="2:4" hidden="1" x14ac:dyDescent="0.3">
      <c r="B5534" t="s">
        <v>1034</v>
      </c>
      <c r="C5534" t="str">
        <f>INDEX(nse!D:D,MATCH(B5534,nse!B:B,0))</f>
        <v>EQ</v>
      </c>
      <c r="D5534" t="str">
        <f>INDEX(nse!C:C,MATCH(B5534,nse!B:B,0))</f>
        <v>Sharon Bio-Medicine Limited</v>
      </c>
    </row>
    <row r="5535" spans="2:4" hidden="1" x14ac:dyDescent="0.3">
      <c r="B5535" t="s">
        <v>1035</v>
      </c>
      <c r="C5535" t="str">
        <f>INDEX(nse!D:D,MATCH(B5535,nse!B:B,0))</f>
        <v>EQ</v>
      </c>
      <c r="D5535" t="str">
        <f>INDEX(nse!C:C,MATCH(B5535,nse!B:B,0))</f>
        <v>Shemaroo Entertainment Limited</v>
      </c>
    </row>
    <row r="5536" spans="2:4" hidden="1" x14ac:dyDescent="0.3">
      <c r="B5536" t="s">
        <v>1036</v>
      </c>
      <c r="C5536" t="str">
        <f>INDEX(nse!D:D,MATCH(B5536,nse!B:B,0))</f>
        <v>EQ</v>
      </c>
      <c r="D5536" t="str">
        <f>INDEX(nse!C:C,MATCH(B5536,nse!B:B,0))</f>
        <v>Shilpa Medicare Limited</v>
      </c>
    </row>
    <row r="5537" spans="2:4" hidden="1" x14ac:dyDescent="0.3">
      <c r="B5537" t="s">
        <v>1037</v>
      </c>
      <c r="C5537" t="str">
        <f>INDEX(nse!D:D,MATCH(B5537,nse!B:B,0))</f>
        <v>EQ</v>
      </c>
      <c r="D5537" t="str">
        <f>INDEX(nse!C:C,MATCH(B5537,nse!B:B,0))</f>
        <v>Shilpi Cable Technologies Limited</v>
      </c>
    </row>
    <row r="5538" spans="2:4" hidden="1" x14ac:dyDescent="0.3">
      <c r="B5538" t="s">
        <v>1038</v>
      </c>
      <c r="C5538" t="str">
        <f>INDEX(nse!D:D,MATCH(B5538,nse!B:B,0))</f>
        <v>EQ</v>
      </c>
      <c r="D5538" t="str">
        <f>INDEX(nse!C:C,MATCH(B5538,nse!B:B,0))</f>
        <v>Shirpur Gold Refinery Limited</v>
      </c>
    </row>
    <row r="5539" spans="2:4" hidden="1" x14ac:dyDescent="0.3">
      <c r="B5539" t="s">
        <v>1039</v>
      </c>
      <c r="C5539" t="str">
        <f>INDEX(nse!D:D,MATCH(B5539,nse!B:B,0))</f>
        <v>EQ</v>
      </c>
      <c r="D5539" t="str">
        <f>INDEX(nse!C:C,MATCH(B5539,nse!B:B,0))</f>
        <v>Shivam Autotech Limited</v>
      </c>
    </row>
    <row r="5540" spans="2:4" hidden="1" x14ac:dyDescent="0.3">
      <c r="B5540" t="s">
        <v>1040</v>
      </c>
      <c r="C5540" t="str">
        <f>INDEX(nse!D:D,MATCH(B5540,nse!B:B,0))</f>
        <v>EQ</v>
      </c>
      <c r="D5540" t="str">
        <f>INDEX(nse!C:C,MATCH(B5540,nse!B:B,0))</f>
        <v>Shiva Texyarn Limited</v>
      </c>
    </row>
    <row r="5541" spans="2:4" hidden="1" x14ac:dyDescent="0.3">
      <c r="B5541" t="s">
        <v>4340</v>
      </c>
      <c r="C5541" t="str">
        <f>INDEX(nse!D:D,MATCH(B5541,nse!B:B,0))</f>
        <v>EQ</v>
      </c>
      <c r="D5541" t="str">
        <f>INDEX(nse!C:C,MATCH(B5541,nse!B:B,0))</f>
        <v>S H Kelkar and Company Limited</v>
      </c>
    </row>
    <row r="5542" spans="2:4" hidden="1" x14ac:dyDescent="0.3">
      <c r="B5542" t="s">
        <v>1041</v>
      </c>
      <c r="C5542" t="str">
        <f>INDEX(nse!D:D,MATCH(B5542,nse!B:B,0))</f>
        <v>EQ</v>
      </c>
      <c r="D5542" t="str">
        <f>INDEX(nse!C:C,MATCH(B5542,nse!B:B,0))</f>
        <v>Shoppers Stop Limited</v>
      </c>
    </row>
    <row r="5543" spans="2:4" hidden="1" x14ac:dyDescent="0.3">
      <c r="B5543" t="s">
        <v>91</v>
      </c>
      <c r="C5543" t="str">
        <f>INDEX(nse!D:D,MATCH(B5543,nse!B:B,0))</f>
        <v>EQ</v>
      </c>
      <c r="D5543" t="str">
        <f>INDEX(nse!C:C,MATCH(B5543,nse!B:B,0))</f>
        <v>Shree Cements Limited</v>
      </c>
    </row>
    <row r="5544" spans="2:4" hidden="1" x14ac:dyDescent="0.3">
      <c r="B5544" t="s">
        <v>4345</v>
      </c>
      <c r="C5544" t="str">
        <f>INDEX(nse!D:D,MATCH(B5544,nse!B:B,0))</f>
        <v>EQ</v>
      </c>
      <c r="D5544" t="str">
        <f>INDEX(nse!C:C,MATCH(B5544,nse!B:B,0))</f>
        <v>Shree Pushkar Chemicals &amp; Fertilisers Limited</v>
      </c>
    </row>
    <row r="5545" spans="2:4" hidden="1" x14ac:dyDescent="0.3">
      <c r="B5545" t="s">
        <v>1042</v>
      </c>
      <c r="C5545" t="str">
        <f>INDEX(nse!D:D,MATCH(B5545,nse!B:B,0))</f>
        <v>EQ</v>
      </c>
      <c r="D5545" t="str">
        <f>INDEX(nse!C:C,MATCH(B5545,nse!B:B,0))</f>
        <v>Shree Rama Multi-Tech Limited</v>
      </c>
    </row>
    <row r="5546" spans="2:4" hidden="1" x14ac:dyDescent="0.3">
      <c r="B5546" t="s">
        <v>1043</v>
      </c>
      <c r="C5546" t="str">
        <f>INDEX(nse!D:D,MATCH(B5546,nse!B:B,0))</f>
        <v>EQ</v>
      </c>
      <c r="D5546" t="str">
        <f>INDEX(nse!C:C,MATCH(B5546,nse!B:B,0))</f>
        <v>Shreyans Industries Limited</v>
      </c>
    </row>
    <row r="5547" spans="2:4" hidden="1" x14ac:dyDescent="0.3">
      <c r="B5547" t="s">
        <v>1044</v>
      </c>
      <c r="C5547" t="str">
        <f>INDEX(nse!D:D,MATCH(B5547,nse!B:B,0))</f>
        <v>EQ</v>
      </c>
      <c r="D5547" t="str">
        <f>INDEX(nse!C:C,MATCH(B5547,nse!B:B,0))</f>
        <v>Shreyas Shipping &amp; Logistics Limited</v>
      </c>
    </row>
    <row r="5548" spans="2:4" hidden="1" x14ac:dyDescent="0.3">
      <c r="B5548" t="s">
        <v>4351</v>
      </c>
      <c r="C5548" t="str">
        <f>INDEX(nse!D:D,MATCH(B5548,nse!B:B,0))</f>
        <v>BE</v>
      </c>
      <c r="D5548" t="str">
        <f>INDEX(nse!C:C,MATCH(B5548,nse!B:B,0))</f>
        <v>Shriram Pistons &amp; Rings Limited</v>
      </c>
    </row>
    <row r="5549" spans="2:4" hidden="1" x14ac:dyDescent="0.3">
      <c r="B5549" t="s">
        <v>1045</v>
      </c>
      <c r="C5549" t="str">
        <f>INDEX(nse!D:D,MATCH(B5549,nse!B:B,0))</f>
        <v>EQ</v>
      </c>
      <c r="D5549" t="str">
        <f>INDEX(nse!C:C,MATCH(B5549,nse!B:B,0))</f>
        <v>Shriram City Union Finance Limited</v>
      </c>
    </row>
    <row r="5550" spans="2:4" hidden="1" x14ac:dyDescent="0.3">
      <c r="B5550" t="s">
        <v>1046</v>
      </c>
      <c r="C5550" t="str">
        <f>INDEX(nse!D:D,MATCH(B5550,nse!B:B,0))</f>
        <v>EQ</v>
      </c>
      <c r="D5550" t="str">
        <f>INDEX(nse!C:C,MATCH(B5550,nse!B:B,0))</f>
        <v>Shriram EPC Limited</v>
      </c>
    </row>
    <row r="5551" spans="2:4" hidden="1" x14ac:dyDescent="0.3">
      <c r="B5551" t="s">
        <v>4356</v>
      </c>
      <c r="C5551" t="str">
        <f>INDEX(nse!D:D,MATCH(B5551,nse!B:B,0))</f>
        <v>EQ</v>
      </c>
      <c r="D5551" t="str">
        <f>INDEX(nse!C:C,MATCH(B5551,nse!B:B,0))</f>
        <v>Shyam Century Ferrous Limited</v>
      </c>
    </row>
    <row r="5552" spans="2:4" hidden="1" x14ac:dyDescent="0.3">
      <c r="B5552" t="s">
        <v>1047</v>
      </c>
      <c r="C5552" t="str">
        <f>INDEX(nse!D:D,MATCH(B5552,nse!B:B,0))</f>
        <v>EQ</v>
      </c>
      <c r="D5552" t="str">
        <f>INDEX(nse!C:C,MATCH(B5552,nse!B:B,0))</f>
        <v>Shyam Telecom Limited</v>
      </c>
    </row>
    <row r="5553" spans="2:4" hidden="1" x14ac:dyDescent="0.3">
      <c r="B5553" t="s">
        <v>1048</v>
      </c>
      <c r="C5553" t="str">
        <f>INDEX(nse!D:D,MATCH(B5553,nse!B:B,0))</f>
        <v>EQ</v>
      </c>
      <c r="D5553" t="str">
        <f>INDEX(nse!C:C,MATCH(B5553,nse!B:B,0))</f>
        <v>Sicagen India Limited</v>
      </c>
    </row>
    <row r="5554" spans="2:4" hidden="1" x14ac:dyDescent="0.3">
      <c r="B5554" t="s">
        <v>1049</v>
      </c>
      <c r="C5554" t="str">
        <f>INDEX(nse!D:D,MATCH(B5554,nse!B:B,0))</f>
        <v>EQ</v>
      </c>
      <c r="D5554" t="str">
        <f>INDEX(nse!C:C,MATCH(B5554,nse!B:B,0))</f>
        <v>Sical Logistics Limited</v>
      </c>
    </row>
    <row r="5555" spans="2:4" hidden="1" x14ac:dyDescent="0.3">
      <c r="B5555" t="s">
        <v>92</v>
      </c>
      <c r="C5555" t="str">
        <f>INDEX(nse!D:D,MATCH(B5555,nse!B:B,0))</f>
        <v>EQ</v>
      </c>
      <c r="D5555" t="str">
        <f>INDEX(nse!C:C,MATCH(B5555,nse!B:B,0))</f>
        <v>Siemens Limited</v>
      </c>
    </row>
    <row r="5556" spans="2:4" hidden="1" x14ac:dyDescent="0.3">
      <c r="B5556" t="s">
        <v>4363</v>
      </c>
      <c r="C5556" t="str">
        <f>INDEX(nse!D:D,MATCH(B5556,nse!B:B,0))</f>
        <v>EQ</v>
      </c>
      <c r="D5556" t="str">
        <f>INDEX(nse!C:C,MATCH(B5556,nse!B:B,0))</f>
        <v>Signet Industries Limited</v>
      </c>
    </row>
    <row r="5557" spans="2:4" hidden="1" x14ac:dyDescent="0.3">
      <c r="B5557" t="s">
        <v>1050</v>
      </c>
      <c r="C5557" t="str">
        <f>INDEX(nse!D:D,MATCH(B5557,nse!B:B,0))</f>
        <v>BE</v>
      </c>
      <c r="D5557" t="str">
        <f>INDEX(nse!C:C,MATCH(B5557,nse!B:B,0))</f>
        <v>Standard Industries Limited</v>
      </c>
    </row>
    <row r="5558" spans="2:4" hidden="1" x14ac:dyDescent="0.3">
      <c r="B5558" t="s">
        <v>1051</v>
      </c>
      <c r="C5558" t="str">
        <f>INDEX(nse!D:D,MATCH(B5558,nse!B:B,0))</f>
        <v>EQ</v>
      </c>
      <c r="D5558" t="str">
        <f>INDEX(nse!C:C,MATCH(B5558,nse!B:B,0))</f>
        <v>SIL Investments Limited</v>
      </c>
    </row>
    <row r="5559" spans="2:4" hidden="1" x14ac:dyDescent="0.3">
      <c r="B5559" t="s">
        <v>4368</v>
      </c>
      <c r="C5559" t="str">
        <f>INDEX(nse!D:D,MATCH(B5559,nse!B:B,0))</f>
        <v>EQ</v>
      </c>
      <c r="D5559" t="str">
        <f>INDEX(nse!C:C,MATCH(B5559,nse!B:B,0))</f>
        <v>Simbhaoli Sugars Limited</v>
      </c>
    </row>
    <row r="5560" spans="2:4" hidden="1" x14ac:dyDescent="0.3">
      <c r="B5560" t="s">
        <v>1052</v>
      </c>
      <c r="C5560" t="str">
        <f>INDEX(nse!D:D,MATCH(B5560,nse!B:B,0))</f>
        <v>BE</v>
      </c>
      <c r="D5560" t="str">
        <f>INDEX(nse!C:C,MATCH(B5560,nse!B:B,0))</f>
        <v>Simplex Projects Limited</v>
      </c>
    </row>
    <row r="5561" spans="2:4" hidden="1" x14ac:dyDescent="0.3">
      <c r="B5561" t="s">
        <v>1053</v>
      </c>
      <c r="C5561" t="str">
        <f>INDEX(nse!D:D,MATCH(B5561,nse!B:B,0))</f>
        <v>EQ</v>
      </c>
      <c r="D5561" t="str">
        <f>INDEX(nse!C:C,MATCH(B5561,nse!B:B,0))</f>
        <v>Simplex Infrastructures Limited</v>
      </c>
    </row>
    <row r="5562" spans="2:4" hidden="1" x14ac:dyDescent="0.3">
      <c r="B5562" t="s">
        <v>1054</v>
      </c>
      <c r="C5562" t="str">
        <f>INDEX(nse!D:D,MATCH(B5562,nse!B:B,0))</f>
        <v>EQ</v>
      </c>
      <c r="D5562" t="str">
        <f>INDEX(nse!C:C,MATCH(B5562,nse!B:B,0))</f>
        <v>Sintex Industries Limited</v>
      </c>
    </row>
    <row r="5563" spans="2:4" hidden="1" x14ac:dyDescent="0.3">
      <c r="B5563" t="s">
        <v>1055</v>
      </c>
      <c r="C5563" t="str">
        <f>INDEX(nse!D:D,MATCH(B5563,nse!B:B,0))</f>
        <v>EQ</v>
      </c>
      <c r="D5563" t="str">
        <f>INDEX(nse!C:C,MATCH(B5563,nse!B:B,0))</f>
        <v>Sita Shree Food Products Limited</v>
      </c>
    </row>
    <row r="5564" spans="2:4" hidden="1" x14ac:dyDescent="0.3">
      <c r="B5564" t="s">
        <v>4374</v>
      </c>
      <c r="C5564" t="str">
        <f>INDEX(nse!D:D,MATCH(B5564,nse!B:B,0))</f>
        <v>EQ</v>
      </c>
      <c r="D5564" t="str">
        <f>INDEX(nse!C:C,MATCH(B5564,nse!B:B,0))</f>
        <v>Siti Networks Limited</v>
      </c>
    </row>
    <row r="5565" spans="2:4" hidden="1" x14ac:dyDescent="0.3">
      <c r="B5565" t="s">
        <v>1056</v>
      </c>
      <c r="C5565" t="str">
        <f>INDEX(nse!D:D,MATCH(B5565,nse!B:B,0))</f>
        <v>EQ</v>
      </c>
      <c r="D5565" t="str">
        <f>INDEX(nse!C:C,MATCH(B5565,nse!B:B,0))</f>
        <v>Siyaram Silk Mills Limited</v>
      </c>
    </row>
    <row r="5566" spans="2:4" hidden="1" x14ac:dyDescent="0.3">
      <c r="B5566" t="s">
        <v>1057</v>
      </c>
      <c r="C5566" t="str">
        <f>INDEX(nse!D:D,MATCH(B5566,nse!B:B,0))</f>
        <v>EQ</v>
      </c>
      <c r="D5566" t="str">
        <f>INDEX(nse!C:C,MATCH(B5566,nse!B:B,0))</f>
        <v>SJVN Limited</v>
      </c>
    </row>
    <row r="5567" spans="2:4" hidden="1" x14ac:dyDescent="0.3">
      <c r="B5567" t="s">
        <v>1058</v>
      </c>
      <c r="C5567" t="str">
        <f>INDEX(nse!D:D,MATCH(B5567,nse!B:B,0))</f>
        <v>EQ</v>
      </c>
      <c r="D5567" t="str">
        <f>INDEX(nse!C:C,MATCH(B5567,nse!B:B,0))</f>
        <v>SKF India Limited</v>
      </c>
    </row>
    <row r="5568" spans="2:4" hidden="1" x14ac:dyDescent="0.3">
      <c r="B5568" t="s">
        <v>1059</v>
      </c>
      <c r="C5568" t="str">
        <f>INDEX(nse!D:D,MATCH(B5568,nse!B:B,0))</f>
        <v>EQ</v>
      </c>
      <c r="D5568" t="str">
        <f>INDEX(nse!C:C,MATCH(B5568,nse!B:B,0))</f>
        <v>SKIL Infrastructure Limited</v>
      </c>
    </row>
    <row r="5569" spans="2:4" hidden="1" x14ac:dyDescent="0.3">
      <c r="B5569" t="s">
        <v>4381</v>
      </c>
      <c r="C5569" t="str">
        <f>INDEX(nse!D:D,MATCH(B5569,nse!B:B,0))</f>
        <v>EQ</v>
      </c>
      <c r="D5569" t="str">
        <f>INDEX(nse!C:C,MATCH(B5569,nse!B:B,0))</f>
        <v>Skipper Limited</v>
      </c>
    </row>
    <row r="5570" spans="2:4" hidden="1" x14ac:dyDescent="0.3">
      <c r="B5570" t="s">
        <v>1060</v>
      </c>
      <c r="C5570" t="str">
        <f>INDEX(nse!D:D,MATCH(B5570,nse!B:B,0))</f>
        <v>BE</v>
      </c>
      <c r="D5570" t="str">
        <f>INDEX(nse!C:C,MATCH(B5570,nse!B:B,0))</f>
        <v>SKM Egg Products Export (India) Limited</v>
      </c>
    </row>
    <row r="5571" spans="2:4" hidden="1" x14ac:dyDescent="0.3">
      <c r="B5571" t="s">
        <v>1061</v>
      </c>
      <c r="C5571" t="str">
        <f>INDEX(nse!D:D,MATCH(B5571,nse!B:B,0))</f>
        <v>EQ</v>
      </c>
      <c r="D5571" t="str">
        <f>INDEX(nse!C:C,MATCH(B5571,nse!B:B,0))</f>
        <v>Smartlink Network Systems Limited</v>
      </c>
    </row>
    <row r="5572" spans="2:4" hidden="1" x14ac:dyDescent="0.3">
      <c r="B5572" t="s">
        <v>1062</v>
      </c>
      <c r="C5572" t="str">
        <f>INDEX(nse!D:D,MATCH(B5572,nse!B:B,0))</f>
        <v>EQ</v>
      </c>
      <c r="D5572" t="str">
        <f>INDEX(nse!C:C,MATCH(B5572,nse!B:B,0))</f>
        <v>SML Isuzu Limited</v>
      </c>
    </row>
    <row r="5573" spans="2:4" hidden="1" x14ac:dyDescent="0.3">
      <c r="B5573" t="s">
        <v>1063</v>
      </c>
      <c r="C5573" t="str">
        <f>INDEX(nse!D:D,MATCH(B5573,nse!B:B,0))</f>
        <v>EQ</v>
      </c>
      <c r="D5573" t="str">
        <f>INDEX(nse!C:C,MATCH(B5573,nse!B:B,0))</f>
        <v>Splendid Metal Products Limited</v>
      </c>
    </row>
    <row r="5574" spans="2:4" hidden="1" x14ac:dyDescent="0.3">
      <c r="B5574" t="s">
        <v>1064</v>
      </c>
      <c r="C5574" t="str">
        <f>INDEX(nse!D:D,MATCH(B5574,nse!B:B,0))</f>
        <v>EQ</v>
      </c>
      <c r="D5574" t="str">
        <f>INDEX(nse!C:C,MATCH(B5574,nse!B:B,0))</f>
        <v>SMS Pharmaceuticals Limited</v>
      </c>
    </row>
    <row r="5575" spans="2:4" hidden="1" x14ac:dyDescent="0.3">
      <c r="B5575" t="s">
        <v>1065</v>
      </c>
      <c r="C5575" t="str">
        <f>INDEX(nse!D:D,MATCH(B5575,nse!B:B,0))</f>
        <v>EQ</v>
      </c>
      <c r="D5575" t="str">
        <f>INDEX(nse!C:C,MATCH(B5575,nse!B:B,0))</f>
        <v>Snowman Logistics Limited</v>
      </c>
    </row>
    <row r="5576" spans="2:4" hidden="1" x14ac:dyDescent="0.3">
      <c r="B5576" t="s">
        <v>1066</v>
      </c>
      <c r="C5576" t="str">
        <f>INDEX(nse!D:D,MATCH(B5576,nse!B:B,0))</f>
        <v>EQ</v>
      </c>
      <c r="D5576" t="str">
        <f>INDEX(nse!C:C,MATCH(B5576,nse!B:B,0))</f>
        <v>Sobha Limited</v>
      </c>
    </row>
    <row r="5577" spans="2:4" hidden="1" x14ac:dyDescent="0.3">
      <c r="B5577" t="s">
        <v>1334</v>
      </c>
      <c r="C5577" t="str">
        <f>INDEX(nse!D:D,MATCH(B5577,nse!B:B,0))</f>
        <v>EQ</v>
      </c>
      <c r="D5577" t="str">
        <f>INDEX(nse!C:C,MATCH(B5577,nse!B:B,0))</f>
        <v>Software Technology Group International Limited</v>
      </c>
    </row>
    <row r="5578" spans="2:4" hidden="1" x14ac:dyDescent="0.3">
      <c r="B5578" t="s">
        <v>1067</v>
      </c>
      <c r="C5578" t="str">
        <f>INDEX(nse!D:D,MATCH(B5578,nse!B:B,0))</f>
        <v>EQ</v>
      </c>
      <c r="D5578" t="str">
        <f>INDEX(nse!C:C,MATCH(B5578,nse!B:B,0))</f>
        <v>Solar Industries India Limited</v>
      </c>
    </row>
    <row r="5579" spans="2:4" hidden="1" x14ac:dyDescent="0.3">
      <c r="B5579" t="s">
        <v>1068</v>
      </c>
      <c r="C5579" t="str">
        <f>INDEX(nse!D:D,MATCH(B5579,nse!B:B,0))</f>
        <v>EQ</v>
      </c>
      <c r="D5579" t="str">
        <f>INDEX(nse!C:C,MATCH(B5579,nse!B:B,0))</f>
        <v>Somany Ceramics Limited</v>
      </c>
    </row>
    <row r="5580" spans="2:4" hidden="1" x14ac:dyDescent="0.3">
      <c r="B5580" t="s">
        <v>1069</v>
      </c>
      <c r="C5580" t="str">
        <f>INDEX(nse!D:D,MATCH(B5580,nse!B:B,0))</f>
        <v>BE</v>
      </c>
      <c r="D5580" t="str">
        <f>INDEX(nse!C:C,MATCH(B5580,nse!B:B,0))</f>
        <v>Soma Textiles &amp; Industries Limited</v>
      </c>
    </row>
    <row r="5581" spans="2:4" hidden="1" x14ac:dyDescent="0.3">
      <c r="B5581" t="s">
        <v>4396</v>
      </c>
      <c r="C5581" t="str">
        <f>INDEX(nse!D:D,MATCH(B5581,nse!B:B,0))</f>
        <v>EQ</v>
      </c>
      <c r="D5581" t="str">
        <f>INDEX(nse!C:C,MATCH(B5581,nse!B:B,0))</f>
        <v>Somi Conveyor Beltings Limited</v>
      </c>
    </row>
    <row r="5582" spans="2:4" hidden="1" x14ac:dyDescent="0.3">
      <c r="B5582" t="s">
        <v>1070</v>
      </c>
      <c r="C5582" t="str">
        <f>INDEX(nse!D:D,MATCH(B5582,nse!B:B,0))</f>
        <v>EQ</v>
      </c>
      <c r="D5582" t="str">
        <f>INDEX(nse!C:C,MATCH(B5582,nse!B:B,0))</f>
        <v>Sona Koyo Steering Systems Limited</v>
      </c>
    </row>
    <row r="5583" spans="2:4" hidden="1" x14ac:dyDescent="0.3">
      <c r="B5583" t="s">
        <v>1071</v>
      </c>
      <c r="C5583" t="str">
        <f>INDEX(nse!D:D,MATCH(B5583,nse!B:B,0))</f>
        <v>EQ</v>
      </c>
      <c r="D5583" t="str">
        <f>INDEX(nse!C:C,MATCH(B5583,nse!B:B,0))</f>
        <v>Sonata Software Limited</v>
      </c>
    </row>
    <row r="5584" spans="2:4" hidden="1" x14ac:dyDescent="0.3">
      <c r="B5584" t="s">
        <v>4401</v>
      </c>
      <c r="C5584" t="str">
        <f>INDEX(nse!D:D,MATCH(B5584,nse!B:B,0))</f>
        <v>EQ</v>
      </c>
      <c r="D5584" t="str">
        <f>INDEX(nse!C:C,MATCH(B5584,nse!B:B,0))</f>
        <v>SORIL Holdings and Ventures Limited</v>
      </c>
    </row>
    <row r="5585" spans="2:4" hidden="1" x14ac:dyDescent="0.3">
      <c r="B5585" t="s">
        <v>4404</v>
      </c>
      <c r="C5585" t="str">
        <f>INDEX(nse!D:D,MATCH(B5585,nse!B:B,0))</f>
        <v>EQ</v>
      </c>
      <c r="D5585" t="str">
        <f>INDEX(nse!C:C,MATCH(B5585,nse!B:B,0))</f>
        <v>SORIL Infra Resources Limited</v>
      </c>
    </row>
    <row r="5586" spans="2:4" hidden="1" x14ac:dyDescent="0.3">
      <c r="B5586" t="s">
        <v>1072</v>
      </c>
      <c r="C5586" t="str">
        <f>INDEX(nse!D:D,MATCH(B5586,nse!B:B,0))</f>
        <v>EQ</v>
      </c>
      <c r="D5586" t="str">
        <f>INDEX(nse!C:C,MATCH(B5586,nse!B:B,0))</f>
        <v>Savita Oil Technologies Limited</v>
      </c>
    </row>
    <row r="5587" spans="2:4" hidden="1" x14ac:dyDescent="0.3">
      <c r="B5587" t="s">
        <v>93</v>
      </c>
      <c r="C5587" t="str">
        <f>INDEX(nse!D:D,MATCH(B5587,nse!B:B,0))</f>
        <v>EQ</v>
      </c>
      <c r="D5587" t="str">
        <f>INDEX(nse!C:C,MATCH(B5587,nse!B:B,0))</f>
        <v>The South Indian Bank Limited</v>
      </c>
    </row>
    <row r="5588" spans="2:4" hidden="1" x14ac:dyDescent="0.3">
      <c r="B5588" t="s">
        <v>4409</v>
      </c>
      <c r="C5588" t="str">
        <f>INDEX(nse!D:D,MATCH(B5588,nse!B:B,0))</f>
        <v>EQ</v>
      </c>
      <c r="D5588" t="str">
        <f>INDEX(nse!C:C,MATCH(B5588,nse!B:B,0))</f>
        <v>S. P. Apparels Limited</v>
      </c>
    </row>
    <row r="5589" spans="2:4" hidden="1" x14ac:dyDescent="0.3">
      <c r="B5589" t="s">
        <v>1073</v>
      </c>
      <c r="C5589" t="str">
        <f>INDEX(nse!D:D,MATCH(B5589,nse!B:B,0))</f>
        <v>EQ</v>
      </c>
      <c r="D5589" t="str">
        <f>INDEX(nse!C:C,MATCH(B5589,nse!B:B,0))</f>
        <v>Sun Pharma Advanced Research Company Limited</v>
      </c>
    </row>
    <row r="5590" spans="2:4" hidden="1" x14ac:dyDescent="0.3">
      <c r="B5590" t="s">
        <v>4413</v>
      </c>
      <c r="C5590" t="str">
        <f>INDEX(nse!D:D,MATCH(B5590,nse!B:B,0))</f>
        <v>EQ</v>
      </c>
      <c r="D5590" t="str">
        <f>INDEX(nse!C:C,MATCH(B5590,nse!B:B,0))</f>
        <v>Spacenet Enterprises India Limited</v>
      </c>
    </row>
    <row r="5591" spans="2:4" hidden="1" x14ac:dyDescent="0.3">
      <c r="B5591" t="s">
        <v>1074</v>
      </c>
      <c r="C5591" t="str">
        <f>INDEX(nse!D:D,MATCH(B5591,nse!B:B,0))</f>
        <v>BE</v>
      </c>
      <c r="D5591" t="str">
        <f>INDEX(nse!C:C,MATCH(B5591,nse!B:B,0))</f>
        <v>Speciality Restaurants Limited</v>
      </c>
    </row>
    <row r="5592" spans="2:4" hidden="1" x14ac:dyDescent="0.3">
      <c r="B5592" t="s">
        <v>1075</v>
      </c>
      <c r="C5592" t="str">
        <f>INDEX(nse!D:D,MATCH(B5592,nse!B:B,0))</f>
        <v>EQ</v>
      </c>
      <c r="D5592" t="str">
        <f>INDEX(nse!C:C,MATCH(B5592,nse!B:B,0))</f>
        <v>Spentex Industries Limited</v>
      </c>
    </row>
    <row r="5593" spans="2:4" hidden="1" x14ac:dyDescent="0.3">
      <c r="B5593" t="s">
        <v>4418</v>
      </c>
      <c r="C5593" t="str">
        <f>INDEX(nse!D:D,MATCH(B5593,nse!B:B,0))</f>
        <v>EQ</v>
      </c>
      <c r="D5593" t="str">
        <f>INDEX(nse!C:C,MATCH(B5593,nse!B:B,0))</f>
        <v>Sphere Global Services Limited</v>
      </c>
    </row>
    <row r="5594" spans="2:4" hidden="1" x14ac:dyDescent="0.3">
      <c r="B5594" t="s">
        <v>1076</v>
      </c>
      <c r="C5594" t="str">
        <f>INDEX(nse!D:D,MATCH(B5594,nse!B:B,0))</f>
        <v>EQ</v>
      </c>
      <c r="D5594" t="str">
        <f>INDEX(nse!C:C,MATCH(B5594,nse!B:B,0))</f>
        <v>Southern Petrochemicals Industries Corporation  Limited</v>
      </c>
    </row>
    <row r="5595" spans="2:4" hidden="1" x14ac:dyDescent="0.3">
      <c r="B5595" t="s">
        <v>115</v>
      </c>
      <c r="C5595" t="str">
        <f>INDEX(nse!D:D,MATCH(B5595,nse!B:B,0))</f>
        <v>EQ</v>
      </c>
      <c r="D5595" t="str">
        <f>INDEX(nse!C:C,MATCH(B5595,nse!B:B,0))</f>
        <v>Spice Mobility Limited</v>
      </c>
    </row>
    <row r="5596" spans="2:4" hidden="1" x14ac:dyDescent="0.3">
      <c r="B5596" t="s">
        <v>1077</v>
      </c>
      <c r="C5596" t="str">
        <f>INDEX(nse!D:D,MATCH(B5596,nse!B:B,0))</f>
        <v>EQ</v>
      </c>
      <c r="D5596" t="str">
        <f>INDEX(nse!C:C,MATCH(B5596,nse!B:B,0))</f>
        <v>SPL Industries Limited</v>
      </c>
    </row>
    <row r="5597" spans="2:4" hidden="1" x14ac:dyDescent="0.3">
      <c r="B5597" t="s">
        <v>1078</v>
      </c>
      <c r="C5597" t="str">
        <f>INDEX(nse!D:D,MATCH(B5597,nse!B:B,0))</f>
        <v>BE</v>
      </c>
      <c r="D5597" t="str">
        <f>INDEX(nse!C:C,MATCH(B5597,nse!B:B,0))</f>
        <v>SPML Infra Limited</v>
      </c>
    </row>
    <row r="5598" spans="2:4" hidden="1" x14ac:dyDescent="0.3">
      <c r="B5598" t="s">
        <v>1079</v>
      </c>
      <c r="C5598" t="str">
        <f>INDEX(nse!D:D,MATCH(B5598,nse!B:B,0))</f>
        <v>EQ</v>
      </c>
      <c r="D5598" t="str">
        <f>INDEX(nse!C:C,MATCH(B5598,nse!B:B,0))</f>
        <v>Shekhawati Poly-Yarn Limited</v>
      </c>
    </row>
    <row r="5599" spans="2:4" hidden="1" x14ac:dyDescent="0.3">
      <c r="B5599" t="s">
        <v>4426</v>
      </c>
      <c r="C5599" t="str">
        <f>INDEX(nse!D:D,MATCH(B5599,nse!B:B,0))</f>
        <v>EQ</v>
      </c>
      <c r="D5599" t="str">
        <f>INDEX(nse!C:C,MATCH(B5599,nse!B:B,0))</f>
        <v>SQS India BFSI Limited</v>
      </c>
    </row>
    <row r="5600" spans="2:4" hidden="1" x14ac:dyDescent="0.3">
      <c r="B5600" t="s">
        <v>1335</v>
      </c>
      <c r="C5600" t="str">
        <f>INDEX(nse!D:D,MATCH(B5600,nse!B:B,0))</f>
        <v>EQ</v>
      </c>
      <c r="D5600" t="str">
        <f>INDEX(nse!C:C,MATCH(B5600,nse!B:B,0))</f>
        <v>Sreeleathers Limited</v>
      </c>
    </row>
    <row r="5601" spans="2:4" hidden="1" x14ac:dyDescent="0.3">
      <c r="B5601" t="s">
        <v>1080</v>
      </c>
      <c r="C5601" t="str">
        <f>INDEX(nse!D:D,MATCH(B5601,nse!B:B,0))</f>
        <v>EQ</v>
      </c>
      <c r="D5601" t="str">
        <f>INDEX(nse!C:C,MATCH(B5601,nse!B:B,0))</f>
        <v>SREI Infrastructure Finance Limited</v>
      </c>
    </row>
    <row r="5602" spans="2:4" hidden="1" x14ac:dyDescent="0.3">
      <c r="B5602" t="s">
        <v>1081</v>
      </c>
      <c r="C5602" t="str">
        <f>INDEX(nse!D:D,MATCH(B5602,nse!B:B,0))</f>
        <v>EQ</v>
      </c>
      <c r="D5602" t="str">
        <f>INDEX(nse!C:C,MATCH(B5602,nse!B:B,0))</f>
        <v>SRF Limited</v>
      </c>
    </row>
    <row r="5603" spans="2:4" hidden="1" x14ac:dyDescent="0.3">
      <c r="B5603" t="s">
        <v>1082</v>
      </c>
      <c r="C5603" t="str">
        <f>INDEX(nse!D:D,MATCH(B5603,nse!B:B,0))</f>
        <v>BE</v>
      </c>
      <c r="D5603" t="str">
        <f>INDEX(nse!C:C,MATCH(B5603,nse!B:B,0))</f>
        <v>SRG Infotec (India) Limited</v>
      </c>
    </row>
    <row r="5604" spans="2:4" hidden="1" x14ac:dyDescent="0.3">
      <c r="B5604" t="s">
        <v>1083</v>
      </c>
      <c r="C5604" t="str">
        <f>INDEX(nse!D:D,MATCH(B5604,nse!B:B,0))</f>
        <v>EQ</v>
      </c>
      <c r="D5604" t="str">
        <f>INDEX(nse!C:C,MATCH(B5604,nse!B:B,0))</f>
        <v>Sree Rayalaseema Hi-Strength Hypo Limited</v>
      </c>
    </row>
    <row r="5605" spans="2:4" hidden="1" x14ac:dyDescent="0.3">
      <c r="B5605" t="s">
        <v>4434</v>
      </c>
      <c r="C5605" t="str">
        <f>INDEX(nse!D:D,MATCH(B5605,nse!B:B,0))</f>
        <v>EQ</v>
      </c>
      <c r="D5605" t="str">
        <f>INDEX(nse!C:C,MATCH(B5605,nse!B:B,0))</f>
        <v>Srikalahasthi Pipes Limited</v>
      </c>
    </row>
    <row r="5606" spans="2:4" hidden="1" x14ac:dyDescent="0.3">
      <c r="B5606" t="s">
        <v>109</v>
      </c>
      <c r="C5606" t="str">
        <f>INDEX(nse!D:D,MATCH(B5606,nse!B:B,0))</f>
        <v>EQ</v>
      </c>
      <c r="D5606" t="str">
        <f>INDEX(nse!C:C,MATCH(B5606,nse!B:B,0))</f>
        <v>SRS Limited</v>
      </c>
    </row>
    <row r="5607" spans="2:4" hidden="1" x14ac:dyDescent="0.3">
      <c r="B5607" t="s">
        <v>1084</v>
      </c>
      <c r="C5607" t="str">
        <f>INDEX(nse!D:D,MATCH(B5607,nse!B:B,0))</f>
        <v>EQ</v>
      </c>
      <c r="D5607" t="str">
        <f>INDEX(nse!C:C,MATCH(B5607,nse!B:B,0))</f>
        <v>Shriram Transport Finance Company Limited</v>
      </c>
    </row>
    <row r="5608" spans="2:4" hidden="1" x14ac:dyDescent="0.3">
      <c r="B5608" t="s">
        <v>1085</v>
      </c>
      <c r="C5608" t="str">
        <f>INDEX(nse!D:D,MATCH(B5608,nse!B:B,0))</f>
        <v>EQ</v>
      </c>
      <c r="D5608" t="str">
        <f>INDEX(nse!C:C,MATCH(B5608,nse!B:B,0))</f>
        <v>Steel Strips Wheels Limited</v>
      </c>
    </row>
    <row r="5609" spans="2:4" hidden="1" x14ac:dyDescent="0.3">
      <c r="B5609" t="s">
        <v>4440</v>
      </c>
      <c r="C5609" t="str">
        <f>INDEX(nse!D:D,MATCH(B5609,nse!B:B,0))</f>
        <v>EQ</v>
      </c>
      <c r="D5609" t="str">
        <f>INDEX(nse!C:C,MATCH(B5609,nse!B:B,0))</f>
        <v>Stampede Capital Limited</v>
      </c>
    </row>
    <row r="5610" spans="2:4" hidden="1" x14ac:dyDescent="0.3">
      <c r="B5610" t="s">
        <v>94</v>
      </c>
      <c r="C5610" t="str">
        <f>INDEX(nse!D:D,MATCH(B5610,nse!B:B,0))</f>
        <v>EQ</v>
      </c>
      <c r="D5610" t="str">
        <f>INDEX(nse!C:C,MATCH(B5610,nse!B:B,0))</f>
        <v>Strides Shasun Limited</v>
      </c>
    </row>
    <row r="5611" spans="2:4" hidden="1" x14ac:dyDescent="0.3">
      <c r="B5611" t="s">
        <v>1086</v>
      </c>
      <c r="C5611" t="str">
        <f>INDEX(nse!D:D,MATCH(B5611,nse!B:B,0))</f>
        <v>EQ</v>
      </c>
      <c r="D5611" t="str">
        <f>INDEX(nse!C:C,MATCH(B5611,nse!B:B,0))</f>
        <v>Star Paper Mills Limited</v>
      </c>
    </row>
    <row r="5612" spans="2:4" hidden="1" x14ac:dyDescent="0.3">
      <c r="B5612" t="s">
        <v>1087</v>
      </c>
      <c r="C5612" t="str">
        <f>INDEX(nse!D:D,MATCH(B5612,nse!B:B,0))</f>
        <v>EQ</v>
      </c>
      <c r="D5612" t="str">
        <f>INDEX(nse!C:C,MATCH(B5612,nse!B:B,0))</f>
        <v>The State Trading Corporation of India Limited</v>
      </c>
    </row>
    <row r="5613" spans="2:4" hidden="1" x14ac:dyDescent="0.3">
      <c r="B5613" t="s">
        <v>1088</v>
      </c>
      <c r="C5613" t="str">
        <f>INDEX(nse!D:D,MATCH(B5613,nse!B:B,0))</f>
        <v>EQ</v>
      </c>
      <c r="D5613" t="str">
        <f>INDEX(nse!C:C,MATCH(B5613,nse!B:B,0))</f>
        <v>Stel Holdings Limited</v>
      </c>
    </row>
    <row r="5614" spans="2:4" hidden="1" x14ac:dyDescent="0.3">
      <c r="B5614" t="s">
        <v>1089</v>
      </c>
      <c r="C5614" t="str">
        <f>INDEX(nse!D:D,MATCH(B5614,nse!B:B,0))</f>
        <v>EQ</v>
      </c>
      <c r="D5614" t="str">
        <f>INDEX(nse!C:C,MATCH(B5614,nse!B:B,0))</f>
        <v>Sterling Biotech Limited</v>
      </c>
    </row>
    <row r="5615" spans="2:4" hidden="1" x14ac:dyDescent="0.3">
      <c r="B5615" t="s">
        <v>1090</v>
      </c>
      <c r="C5615" t="str">
        <f>INDEX(nse!D:D,MATCH(B5615,nse!B:B,0))</f>
        <v>EQ</v>
      </c>
      <c r="D5615" t="str">
        <f>INDEX(nse!C:C,MATCH(B5615,nse!B:B,0))</f>
        <v>Sterling Tools Limited</v>
      </c>
    </row>
    <row r="5616" spans="2:4" hidden="1" x14ac:dyDescent="0.3">
      <c r="B5616" t="s">
        <v>1091</v>
      </c>
      <c r="C5616" t="str">
        <f>INDEX(nse!D:D,MATCH(B5616,nse!B:B,0))</f>
        <v>EQ</v>
      </c>
      <c r="D5616" t="str">
        <f>INDEX(nse!C:C,MATCH(B5616,nse!B:B,0))</f>
        <v>STI India Limited</v>
      </c>
    </row>
    <row r="5617" spans="2:4" hidden="1" x14ac:dyDescent="0.3">
      <c r="B5617" t="s">
        <v>1092</v>
      </c>
      <c r="C5617" t="str">
        <f>INDEX(nse!D:D,MATCH(B5617,nse!B:B,0))</f>
        <v>EQ</v>
      </c>
      <c r="D5617" t="str">
        <f>INDEX(nse!C:C,MATCH(B5617,nse!B:B,0))</f>
        <v>Sterlite Technologies Limited</v>
      </c>
    </row>
    <row r="5618" spans="2:4" hidden="1" x14ac:dyDescent="0.3">
      <c r="B5618" t="s">
        <v>1093</v>
      </c>
      <c r="C5618" t="str">
        <f>INDEX(nse!D:D,MATCH(B5618,nse!B:B,0))</f>
        <v>EQ</v>
      </c>
      <c r="D5618" t="str">
        <f>INDEX(nse!C:C,MATCH(B5618,nse!B:B,0))</f>
        <v>Subex Limited</v>
      </c>
    </row>
    <row r="5619" spans="2:4" hidden="1" x14ac:dyDescent="0.3">
      <c r="B5619" t="s">
        <v>1094</v>
      </c>
      <c r="C5619" t="str">
        <f>INDEX(nse!D:D,MATCH(B5619,nse!B:B,0))</f>
        <v>EQ</v>
      </c>
      <c r="D5619" t="str">
        <f>INDEX(nse!C:C,MATCH(B5619,nse!B:B,0))</f>
        <v>Subros Limited</v>
      </c>
    </row>
    <row r="5620" spans="2:4" hidden="1" x14ac:dyDescent="0.3">
      <c r="B5620" t="s">
        <v>1095</v>
      </c>
      <c r="C5620" t="str">
        <f>INDEX(nse!D:D,MATCH(B5620,nse!B:B,0))</f>
        <v>EQ</v>
      </c>
      <c r="D5620" t="str">
        <f>INDEX(nse!C:C,MATCH(B5620,nse!B:B,0))</f>
        <v>Sudarshan Chemical Industries Limited</v>
      </c>
    </row>
    <row r="5621" spans="2:4" hidden="1" x14ac:dyDescent="0.3">
      <c r="B5621" t="s">
        <v>1096</v>
      </c>
      <c r="C5621" t="str">
        <f>INDEX(nse!D:D,MATCH(B5621,nse!B:B,0))</f>
        <v>EQ</v>
      </c>
      <c r="D5621" t="str">
        <f>INDEX(nse!C:C,MATCH(B5621,nse!B:B,0))</f>
        <v>Sujana Universal Industries Limited</v>
      </c>
    </row>
    <row r="5622" spans="2:4" hidden="1" x14ac:dyDescent="0.3">
      <c r="B5622" t="s">
        <v>1097</v>
      </c>
      <c r="C5622" t="str">
        <f>INDEX(nse!D:D,MATCH(B5622,nse!B:B,0))</f>
        <v>EQ</v>
      </c>
      <c r="D5622" t="str">
        <f>INDEX(nse!C:C,MATCH(B5622,nse!B:B,0))</f>
        <v>Sumeet Industries Limited</v>
      </c>
    </row>
    <row r="5623" spans="2:4" hidden="1" x14ac:dyDescent="0.3">
      <c r="B5623" t="s">
        <v>1098</v>
      </c>
      <c r="C5623" t="str">
        <f>INDEX(nse!D:D,MATCH(B5623,nse!B:B,0))</f>
        <v>EQ</v>
      </c>
      <c r="D5623" t="str">
        <f>INDEX(nse!C:C,MATCH(B5623,nse!B:B,0))</f>
        <v>Summit Securities Limited</v>
      </c>
    </row>
    <row r="5624" spans="2:4" hidden="1" x14ac:dyDescent="0.3">
      <c r="B5624" t="s">
        <v>1099</v>
      </c>
      <c r="C5624" t="str">
        <f>INDEX(nse!D:D,MATCH(B5624,nse!B:B,0))</f>
        <v>EQ</v>
      </c>
      <c r="D5624" t="str">
        <f>INDEX(nse!C:C,MATCH(B5624,nse!B:B,0))</f>
        <v>Sundaram Clayton Limited</v>
      </c>
    </row>
    <row r="5625" spans="2:4" hidden="1" x14ac:dyDescent="0.3">
      <c r="B5625" t="s">
        <v>1100</v>
      </c>
      <c r="C5625" t="str">
        <f>INDEX(nse!D:D,MATCH(B5625,nse!B:B,0))</f>
        <v>EQ</v>
      </c>
      <c r="D5625" t="str">
        <f>INDEX(nse!C:C,MATCH(B5625,nse!B:B,0))</f>
        <v>Sundaram Multi Pap Limited</v>
      </c>
    </row>
    <row r="5626" spans="2:4" hidden="1" x14ac:dyDescent="0.3">
      <c r="B5626" t="s">
        <v>1101</v>
      </c>
      <c r="C5626" t="str">
        <f>INDEX(nse!D:D,MATCH(B5626,nse!B:B,0))</f>
        <v>EQ</v>
      </c>
      <c r="D5626" t="str">
        <f>INDEX(nse!C:C,MATCH(B5626,nse!B:B,0))</f>
        <v>Sundaram Finance Limited</v>
      </c>
    </row>
    <row r="5627" spans="2:4" hidden="1" x14ac:dyDescent="0.3">
      <c r="B5627" t="s">
        <v>1102</v>
      </c>
      <c r="C5627" t="str">
        <f>INDEX(nse!D:D,MATCH(B5627,nse!B:B,0))</f>
        <v>EQ</v>
      </c>
      <c r="D5627" t="str">
        <f>INDEX(nse!C:C,MATCH(B5627,nse!B:B,0))</f>
        <v>Sundaram Brake Linings Limited</v>
      </c>
    </row>
    <row r="5628" spans="2:4" hidden="1" x14ac:dyDescent="0.3">
      <c r="B5628" t="s">
        <v>1103</v>
      </c>
      <c r="C5628" t="str">
        <f>INDEX(nse!D:D,MATCH(B5628,nse!B:B,0))</f>
        <v>EQ</v>
      </c>
      <c r="D5628" t="str">
        <f>INDEX(nse!C:C,MATCH(B5628,nse!B:B,0))</f>
        <v>Sundram Fasteners Limited</v>
      </c>
    </row>
    <row r="5629" spans="2:4" hidden="1" x14ac:dyDescent="0.3">
      <c r="B5629" t="s">
        <v>1104</v>
      </c>
      <c r="C5629" t="str">
        <f>INDEX(nse!D:D,MATCH(B5629,nse!B:B,0))</f>
        <v>EQ</v>
      </c>
      <c r="D5629" t="str">
        <f>INDEX(nse!C:C,MATCH(B5629,nse!B:B,0))</f>
        <v>Sunflag Iron And Steel Company Limited</v>
      </c>
    </row>
    <row r="5630" spans="2:4" hidden="1" x14ac:dyDescent="0.3">
      <c r="B5630" t="s">
        <v>1105</v>
      </c>
      <c r="C5630" t="str">
        <f>INDEX(nse!D:D,MATCH(B5630,nse!B:B,0))</f>
        <v>EQ</v>
      </c>
      <c r="D5630" t="str">
        <f>INDEX(nse!C:C,MATCH(B5630,nse!B:B,0))</f>
        <v>Sunil Hitech Engineers Limited</v>
      </c>
    </row>
    <row r="5631" spans="2:4" hidden="1" x14ac:dyDescent="0.3">
      <c r="B5631" t="s">
        <v>1106</v>
      </c>
      <c r="C5631" t="str">
        <f>INDEX(nse!D:D,MATCH(B5631,nse!B:B,0))</f>
        <v>EQ</v>
      </c>
      <c r="D5631" t="str">
        <f>INDEX(nse!C:C,MATCH(B5631,nse!B:B,0))</f>
        <v>Sun Pharmaceutical Industries Limited</v>
      </c>
    </row>
    <row r="5632" spans="2:4" hidden="1" x14ac:dyDescent="0.3">
      <c r="B5632" t="s">
        <v>1107</v>
      </c>
      <c r="C5632" t="str">
        <f>INDEX(nse!D:D,MATCH(B5632,nse!B:B,0))</f>
        <v>EQ</v>
      </c>
      <c r="D5632" t="str">
        <f>INDEX(nse!C:C,MATCH(B5632,nse!B:B,0))</f>
        <v>Sunteck Realty Limited</v>
      </c>
    </row>
    <row r="5633" spans="2:4" hidden="1" x14ac:dyDescent="0.3">
      <c r="B5633" t="s">
        <v>27</v>
      </c>
      <c r="C5633" t="str">
        <f>INDEX(nse!D:D,MATCH(B5633,nse!B:B,0))</f>
        <v>EQ</v>
      </c>
      <c r="D5633" t="str">
        <f>INDEX(nse!C:C,MATCH(B5633,nse!B:B,0))</f>
        <v>Sun TV Network Limited</v>
      </c>
    </row>
    <row r="5634" spans="2:4" hidden="1" x14ac:dyDescent="0.3">
      <c r="B5634" t="s">
        <v>1108</v>
      </c>
      <c r="C5634" t="str">
        <f>INDEX(nse!D:D,MATCH(B5634,nse!B:B,0))</f>
        <v>EQ</v>
      </c>
      <c r="D5634" t="str">
        <f>INDEX(nse!C:C,MATCH(B5634,nse!B:B,0))</f>
        <v>Superhouse Limited</v>
      </c>
    </row>
    <row r="5635" spans="2:4" hidden="1" x14ac:dyDescent="0.3">
      <c r="B5635" t="s">
        <v>1109</v>
      </c>
      <c r="C5635" t="str">
        <f>INDEX(nse!D:D,MATCH(B5635,nse!B:B,0))</f>
        <v>EQ</v>
      </c>
      <c r="D5635" t="str">
        <f>INDEX(nse!C:C,MATCH(B5635,nse!B:B,0))</f>
        <v>Super Spinning Mills Limited</v>
      </c>
    </row>
    <row r="5636" spans="2:4" hidden="1" x14ac:dyDescent="0.3">
      <c r="B5636" t="s">
        <v>1110</v>
      </c>
      <c r="C5636" t="str">
        <f>INDEX(nse!D:D,MATCH(B5636,nse!B:B,0))</f>
        <v>EQ</v>
      </c>
      <c r="D5636" t="str">
        <f>INDEX(nse!C:C,MATCH(B5636,nse!B:B,0))</f>
        <v>Supreme Petrochem Limited</v>
      </c>
    </row>
    <row r="5637" spans="2:4" hidden="1" x14ac:dyDescent="0.3">
      <c r="B5637" t="s">
        <v>116</v>
      </c>
      <c r="C5637" t="str">
        <f>INDEX(nse!D:D,MATCH(B5637,nse!B:B,0))</f>
        <v>EQ</v>
      </c>
      <c r="D5637" t="str">
        <f>INDEX(nse!C:C,MATCH(B5637,nse!B:B,0))</f>
        <v>Suprajit Engineering Limited</v>
      </c>
    </row>
    <row r="5638" spans="2:4" hidden="1" x14ac:dyDescent="0.3">
      <c r="B5638" t="s">
        <v>1111</v>
      </c>
      <c r="C5638" t="str">
        <f>INDEX(nse!D:D,MATCH(B5638,nse!B:B,0))</f>
        <v>EQ</v>
      </c>
      <c r="D5638" t="str">
        <f>INDEX(nse!C:C,MATCH(B5638,nse!B:B,0))</f>
        <v>Supreme Industries Limited</v>
      </c>
    </row>
    <row r="5639" spans="2:4" hidden="1" x14ac:dyDescent="0.3">
      <c r="B5639" t="s">
        <v>1112</v>
      </c>
      <c r="C5639" t="str">
        <f>INDEX(nse!D:D,MATCH(B5639,nse!B:B,0))</f>
        <v>EQ</v>
      </c>
      <c r="D5639" t="str">
        <f>INDEX(nse!C:C,MATCH(B5639,nse!B:B,0))</f>
        <v>Supreme Infrastructure India Limited</v>
      </c>
    </row>
    <row r="5640" spans="2:4" hidden="1" x14ac:dyDescent="0.3">
      <c r="B5640" t="s">
        <v>1113</v>
      </c>
      <c r="C5640" t="str">
        <f>INDEX(nse!D:D,MATCH(B5640,nse!B:B,0))</f>
        <v>EQ</v>
      </c>
      <c r="D5640" t="str">
        <f>INDEX(nse!C:C,MATCH(B5640,nse!B:B,0))</f>
        <v>Supreme Tex Mart Limited</v>
      </c>
    </row>
    <row r="5641" spans="2:4" hidden="1" x14ac:dyDescent="0.3">
      <c r="B5641" t="s">
        <v>1114</v>
      </c>
      <c r="C5641" t="str">
        <f>INDEX(nse!D:D,MATCH(B5641,nse!B:B,0))</f>
        <v>EQ</v>
      </c>
      <c r="D5641" t="str">
        <f>INDEX(nse!C:C,MATCH(B5641,nse!B:B,0))</f>
        <v>Surana Corporation Limited</v>
      </c>
    </row>
    <row r="5642" spans="2:4" hidden="1" x14ac:dyDescent="0.3">
      <c r="B5642" t="s">
        <v>1115</v>
      </c>
      <c r="C5642" t="str">
        <f>INDEX(nse!D:D,MATCH(B5642,nse!B:B,0))</f>
        <v>BE</v>
      </c>
      <c r="D5642" t="str">
        <f>INDEX(nse!C:C,MATCH(B5642,nse!B:B,0))</f>
        <v>Surana Industries Limited</v>
      </c>
    </row>
    <row r="5643" spans="2:4" hidden="1" x14ac:dyDescent="0.3">
      <c r="B5643" t="s">
        <v>1116</v>
      </c>
      <c r="C5643" t="str">
        <f>INDEX(nse!D:D,MATCH(B5643,nse!B:B,0))</f>
        <v>EQ</v>
      </c>
      <c r="D5643" t="str">
        <f>INDEX(nse!C:C,MATCH(B5643,nse!B:B,0))</f>
        <v>Surana Solar Limited</v>
      </c>
    </row>
    <row r="5644" spans="2:4" hidden="1" x14ac:dyDescent="0.3">
      <c r="B5644" t="s">
        <v>1117</v>
      </c>
      <c r="C5644" t="str">
        <f>INDEX(nse!D:D,MATCH(B5644,nse!B:B,0))</f>
        <v>EQ</v>
      </c>
      <c r="D5644" t="str">
        <f>INDEX(nse!C:C,MATCH(B5644,nse!B:B,0))</f>
        <v>Surana Telecom and Power Limited</v>
      </c>
    </row>
    <row r="5645" spans="2:4" hidden="1" x14ac:dyDescent="0.3">
      <c r="B5645" t="s">
        <v>1118</v>
      </c>
      <c r="C5645" t="str">
        <f>INDEX(nse!D:D,MATCH(B5645,nse!B:B,0))</f>
        <v>EQ</v>
      </c>
      <c r="D5645" t="str">
        <f>INDEX(nse!C:C,MATCH(B5645,nse!B:B,0))</f>
        <v>Suryalakshmi Cotton Mills Limited</v>
      </c>
    </row>
    <row r="5646" spans="2:4" hidden="1" x14ac:dyDescent="0.3">
      <c r="B5646" t="s">
        <v>1119</v>
      </c>
      <c r="C5646" t="str">
        <f>INDEX(nse!D:D,MATCH(B5646,nse!B:B,0))</f>
        <v>EQ</v>
      </c>
      <c r="D5646" t="str">
        <f>INDEX(nse!C:C,MATCH(B5646,nse!B:B,0))</f>
        <v>Surya Roshni Limited</v>
      </c>
    </row>
    <row r="5647" spans="2:4" hidden="1" x14ac:dyDescent="0.3">
      <c r="B5647" t="s">
        <v>1120</v>
      </c>
      <c r="C5647" t="str">
        <f>INDEX(nse!D:D,MATCH(B5647,nse!B:B,0))</f>
        <v>EQ</v>
      </c>
      <c r="D5647" t="str">
        <f>INDEX(nse!C:C,MATCH(B5647,nse!B:B,0))</f>
        <v>Sutlej Textiles and Industries Limited</v>
      </c>
    </row>
    <row r="5648" spans="2:4" hidden="1" x14ac:dyDescent="0.3">
      <c r="B5648" t="s">
        <v>1121</v>
      </c>
      <c r="C5648" t="str">
        <f>INDEX(nse!D:D,MATCH(B5648,nse!B:B,0))</f>
        <v>EQ</v>
      </c>
      <c r="D5648" t="str">
        <f>INDEX(nse!C:C,MATCH(B5648,nse!B:B,0))</f>
        <v>Suven Life Sciences Limited</v>
      </c>
    </row>
    <row r="5649" spans="2:4" hidden="1" x14ac:dyDescent="0.3">
      <c r="B5649" t="s">
        <v>1122</v>
      </c>
      <c r="C5649" t="str">
        <f>INDEX(nse!D:D,MATCH(B5649,nse!B:B,0))</f>
        <v>EQ</v>
      </c>
      <c r="D5649" t="str">
        <f>INDEX(nse!C:C,MATCH(B5649,nse!B:B,0))</f>
        <v>Suzlon Energy Limited</v>
      </c>
    </row>
    <row r="5650" spans="2:4" hidden="1" x14ac:dyDescent="0.3">
      <c r="B5650" t="s">
        <v>1123</v>
      </c>
      <c r="C5650" t="str">
        <f>INDEX(nse!D:D,MATCH(B5650,nse!B:B,0))</f>
        <v>EQ</v>
      </c>
      <c r="D5650" t="str">
        <f>INDEX(nse!C:C,MATCH(B5650,nse!B:B,0))</f>
        <v>Swan Energy Limited</v>
      </c>
    </row>
    <row r="5651" spans="2:4" hidden="1" x14ac:dyDescent="0.3">
      <c r="B5651" t="s">
        <v>1124</v>
      </c>
      <c r="C5651" t="str">
        <f>INDEX(nse!D:D,MATCH(B5651,nse!B:B,0))</f>
        <v>EQ</v>
      </c>
      <c r="D5651" t="str">
        <f>INDEX(nse!C:C,MATCH(B5651,nse!B:B,0))</f>
        <v>Swaraj Engines Limited</v>
      </c>
    </row>
    <row r="5652" spans="2:4" hidden="1" x14ac:dyDescent="0.3">
      <c r="B5652" t="s">
        <v>1125</v>
      </c>
      <c r="C5652" t="str">
        <f>INDEX(nse!D:D,MATCH(B5652,nse!B:B,0))</f>
        <v>EQ</v>
      </c>
      <c r="D5652" t="str">
        <f>INDEX(nse!C:C,MATCH(B5652,nse!B:B,0))</f>
        <v>Swelect Energy Systems Limited</v>
      </c>
    </row>
    <row r="5653" spans="2:4" hidden="1" x14ac:dyDescent="0.3">
      <c r="B5653" t="s">
        <v>1126</v>
      </c>
      <c r="C5653" t="str">
        <f>INDEX(nse!D:D,MATCH(B5653,nse!B:B,0))</f>
        <v>EQ</v>
      </c>
      <c r="D5653" t="str">
        <f>INDEX(nse!C:C,MATCH(B5653,nse!B:B,0))</f>
        <v>Symphony Limited</v>
      </c>
    </row>
    <row r="5654" spans="2:4" hidden="1" x14ac:dyDescent="0.3">
      <c r="B5654" t="s">
        <v>1127</v>
      </c>
      <c r="C5654" t="str">
        <f>INDEX(nse!D:D,MATCH(B5654,nse!B:B,0))</f>
        <v>EQ</v>
      </c>
      <c r="D5654" t="str">
        <f>INDEX(nse!C:C,MATCH(B5654,nse!B:B,0))</f>
        <v>Syncom Healthcare Limited</v>
      </c>
    </row>
    <row r="5655" spans="2:4" hidden="1" x14ac:dyDescent="0.3">
      <c r="B5655" t="s">
        <v>95</v>
      </c>
      <c r="C5655" t="str">
        <f>INDEX(nse!D:D,MATCH(B5655,nse!B:B,0))</f>
        <v>EQ</v>
      </c>
      <c r="D5655" t="str">
        <f>INDEX(nse!C:C,MATCH(B5655,nse!B:B,0))</f>
        <v>Syndicate Bank</v>
      </c>
    </row>
    <row r="5656" spans="2:4" hidden="1" x14ac:dyDescent="0.3">
      <c r="B5656" t="s">
        <v>4492</v>
      </c>
      <c r="C5656" t="str">
        <f>INDEX(nse!D:D,MATCH(B5656,nse!B:B,0))</f>
        <v>EQ</v>
      </c>
      <c r="D5656" t="str">
        <f>INDEX(nse!C:C,MATCH(B5656,nse!B:B,0))</f>
        <v>Syngene International Limited</v>
      </c>
    </row>
    <row r="5657" spans="2:4" hidden="1" x14ac:dyDescent="0.3">
      <c r="B5657" t="s">
        <v>1128</v>
      </c>
      <c r="C5657" t="str">
        <f>INDEX(nse!D:D,MATCH(B5657,nse!B:B,0))</f>
        <v>EQ</v>
      </c>
      <c r="D5657" t="str">
        <f>INDEX(nse!C:C,MATCH(B5657,nse!B:B,0))</f>
        <v>Tainwala Chemical and Plastic (I) Limited</v>
      </c>
    </row>
    <row r="5658" spans="2:4" hidden="1" x14ac:dyDescent="0.3">
      <c r="B5658" t="s">
        <v>1129</v>
      </c>
      <c r="C5658" t="str">
        <f>INDEX(nse!D:D,MATCH(B5658,nse!B:B,0))</f>
        <v>EQ</v>
      </c>
      <c r="D5658" t="str">
        <f>INDEX(nse!C:C,MATCH(B5658,nse!B:B,0))</f>
        <v>Taj GVK Hotels &amp; Resorts Limited</v>
      </c>
    </row>
    <row r="5659" spans="2:4" hidden="1" x14ac:dyDescent="0.3">
      <c r="B5659" t="s">
        <v>1130</v>
      </c>
      <c r="C5659" t="str">
        <f>INDEX(nse!D:D,MATCH(B5659,nse!B:B,0))</f>
        <v>EQ</v>
      </c>
      <c r="D5659" t="str">
        <f>INDEX(nse!C:C,MATCH(B5659,nse!B:B,0))</f>
        <v>Take Solutions Limited</v>
      </c>
    </row>
    <row r="5660" spans="2:4" hidden="1" x14ac:dyDescent="0.3">
      <c r="B5660" t="s">
        <v>1131</v>
      </c>
      <c r="C5660" t="str">
        <f>INDEX(nse!D:D,MATCH(B5660,nse!B:B,0))</f>
        <v>EQ</v>
      </c>
      <c r="D5660" t="str">
        <f>INDEX(nse!C:C,MATCH(B5660,nse!B:B,0))</f>
        <v>Talbros Automotive Components Limited</v>
      </c>
    </row>
    <row r="5661" spans="2:4" hidden="1" x14ac:dyDescent="0.3">
      <c r="B5661" t="s">
        <v>1132</v>
      </c>
      <c r="C5661" t="str">
        <f>INDEX(nse!D:D,MATCH(B5661,nse!B:B,0))</f>
        <v>EQ</v>
      </c>
      <c r="D5661" t="str">
        <f>INDEX(nse!C:C,MATCH(B5661,nse!B:B,0))</f>
        <v>Talwalkars Better Value Fitness Limited</v>
      </c>
    </row>
    <row r="5662" spans="2:4" hidden="1" x14ac:dyDescent="0.3">
      <c r="B5662" t="s">
        <v>1133</v>
      </c>
      <c r="C5662" t="str">
        <f>INDEX(nse!D:D,MATCH(B5662,nse!B:B,0))</f>
        <v>EQ</v>
      </c>
      <c r="D5662" t="str">
        <f>INDEX(nse!C:C,MATCH(B5662,nse!B:B,0))</f>
        <v>Tanla Solutions Limited</v>
      </c>
    </row>
    <row r="5663" spans="2:4" hidden="1" x14ac:dyDescent="0.3">
      <c r="B5663" t="s">
        <v>1134</v>
      </c>
      <c r="C5663" t="str">
        <f>INDEX(nse!D:D,MATCH(B5663,nse!B:B,0))</f>
        <v>BE</v>
      </c>
      <c r="D5663" t="str">
        <f>INDEX(nse!C:C,MATCH(B5663,nse!B:B,0))</f>
        <v>Tantia Constructions Limited</v>
      </c>
    </row>
    <row r="5664" spans="2:4" hidden="1" x14ac:dyDescent="0.3">
      <c r="B5664" t="s">
        <v>1135</v>
      </c>
      <c r="C5664" t="str">
        <f>INDEX(nse!D:D,MATCH(B5664,nse!B:B,0))</f>
        <v>EQ</v>
      </c>
      <c r="D5664" t="str">
        <f>INDEX(nse!C:C,MATCH(B5664,nse!B:B,0))</f>
        <v>Tara Jewels Limited</v>
      </c>
    </row>
    <row r="5665" spans="2:4" hidden="1" x14ac:dyDescent="0.3">
      <c r="B5665" t="s">
        <v>1136</v>
      </c>
      <c r="C5665" t="str">
        <f>INDEX(nse!D:D,MATCH(B5665,nse!B:B,0))</f>
        <v>BE</v>
      </c>
      <c r="D5665" t="str">
        <f>INDEX(nse!C:C,MATCH(B5665,nse!B:B,0))</f>
        <v>Tarapur Transformers Limited</v>
      </c>
    </row>
    <row r="5666" spans="2:4" hidden="1" x14ac:dyDescent="0.3">
      <c r="B5666" t="s">
        <v>1137</v>
      </c>
      <c r="C5666" t="str">
        <f>INDEX(nse!D:D,MATCH(B5666,nse!B:B,0))</f>
        <v>BE</v>
      </c>
      <c r="D5666" t="str">
        <f>INDEX(nse!C:C,MATCH(B5666,nse!B:B,0))</f>
        <v>Tarmat Limited</v>
      </c>
    </row>
    <row r="5667" spans="2:4" hidden="1" x14ac:dyDescent="0.3">
      <c r="B5667" t="s">
        <v>4505</v>
      </c>
      <c r="C5667" t="str">
        <f>INDEX(nse!D:D,MATCH(B5667,nse!B:B,0))</f>
        <v>EQ</v>
      </c>
      <c r="D5667" t="str">
        <f>INDEX(nse!C:C,MATCH(B5667,nse!B:B,0))</f>
        <v>Tasty Bite Eatables Limited</v>
      </c>
    </row>
    <row r="5668" spans="2:4" hidden="1" x14ac:dyDescent="0.3">
      <c r="B5668" t="s">
        <v>97</v>
      </c>
      <c r="C5668" t="str">
        <f>INDEX(nse!D:D,MATCH(B5668,nse!B:B,0))</f>
        <v>EQ</v>
      </c>
      <c r="D5668" t="str">
        <f>INDEX(nse!C:C,MATCH(B5668,nse!B:B,0))</f>
        <v>Tata Chemicals Limited</v>
      </c>
    </row>
    <row r="5669" spans="2:4" hidden="1" x14ac:dyDescent="0.3">
      <c r="B5669" t="s">
        <v>97</v>
      </c>
      <c r="C5669" t="str">
        <f>INDEX(nse!D:D,MATCH(B5669,nse!B:B,0))</f>
        <v>EQ</v>
      </c>
      <c r="D5669" t="str">
        <f>INDEX(nse!C:C,MATCH(B5669,nse!B:B,0))</f>
        <v>Tata Chemicals Limited</v>
      </c>
    </row>
    <row r="5670" spans="2:4" hidden="1" x14ac:dyDescent="0.3">
      <c r="B5670" t="s">
        <v>1138</v>
      </c>
      <c r="C5670" t="str">
        <f>INDEX(nse!D:D,MATCH(B5670,nse!B:B,0))</f>
        <v>EQ</v>
      </c>
      <c r="D5670" t="str">
        <f>INDEX(nse!C:C,MATCH(B5670,nse!B:B,0))</f>
        <v>Tata Coffee Limited</v>
      </c>
    </row>
    <row r="5671" spans="2:4" hidden="1" x14ac:dyDescent="0.3">
      <c r="B5671" t="s">
        <v>98</v>
      </c>
      <c r="C5671" t="str">
        <f>INDEX(nse!D:D,MATCH(B5671,nse!B:B,0))</f>
        <v>EQ</v>
      </c>
      <c r="D5671" t="str">
        <f>INDEX(nse!C:C,MATCH(B5671,nse!B:B,0))</f>
        <v>Tata Communications Limited</v>
      </c>
    </row>
    <row r="5672" spans="2:4" hidden="1" x14ac:dyDescent="0.3">
      <c r="B5672" t="s">
        <v>1139</v>
      </c>
      <c r="C5672" t="str">
        <f>INDEX(nse!D:D,MATCH(B5672,nse!B:B,0))</f>
        <v>EQ</v>
      </c>
      <c r="D5672" t="str">
        <f>INDEX(nse!C:C,MATCH(B5672,nse!B:B,0))</f>
        <v>Tata Elxsi Limited</v>
      </c>
    </row>
    <row r="5673" spans="2:4" hidden="1" x14ac:dyDescent="0.3">
      <c r="B5673" t="s">
        <v>99</v>
      </c>
      <c r="C5673" t="str">
        <f>INDEX(nse!D:D,MATCH(B5673,nse!B:B,0))</f>
        <v>EQ</v>
      </c>
      <c r="D5673" t="str">
        <f>INDEX(nse!C:C,MATCH(B5673,nse!B:B,0))</f>
        <v>Tata Global Beverages Limited</v>
      </c>
    </row>
    <row r="5674" spans="2:4" hidden="1" x14ac:dyDescent="0.3">
      <c r="B5674" t="s">
        <v>1140</v>
      </c>
      <c r="C5674" t="str">
        <f>INDEX(nse!D:D,MATCH(B5674,nse!B:B,0))</f>
        <v>EQ</v>
      </c>
      <c r="D5674" t="str">
        <f>INDEX(nse!C:C,MATCH(B5674,nse!B:B,0))</f>
        <v>Tata Investment Corporation Limited</v>
      </c>
    </row>
    <row r="5675" spans="2:4" hidden="1" x14ac:dyDescent="0.3">
      <c r="B5675" t="s">
        <v>1141</v>
      </c>
      <c r="C5675" t="str">
        <f>INDEX(nse!D:D,MATCH(B5675,nse!B:B,0))</f>
        <v>EQ</v>
      </c>
      <c r="D5675" t="str">
        <f>INDEX(nse!C:C,MATCH(B5675,nse!B:B,0))</f>
        <v>Tata Metaliks Limited</v>
      </c>
    </row>
    <row r="5676" spans="2:4" hidden="1" x14ac:dyDescent="0.3">
      <c r="B5676" t="s">
        <v>1142</v>
      </c>
      <c r="C5676" t="str">
        <f>INDEX(nse!D:D,MATCH(B5676,nse!B:B,0))</f>
        <v>EQ</v>
      </c>
      <c r="D5676" t="str">
        <f>INDEX(nse!C:C,MATCH(B5676,nse!B:B,0))</f>
        <v>Tata Motors Limited</v>
      </c>
    </row>
    <row r="5677" spans="2:4" hidden="1" x14ac:dyDescent="0.3">
      <c r="B5677" t="s">
        <v>4517</v>
      </c>
      <c r="C5677" t="str">
        <f>INDEX(nse!D:D,MATCH(B5677,nse!B:B,0))</f>
        <v>EQ</v>
      </c>
      <c r="D5677" t="str">
        <f>INDEX(nse!C:C,MATCH(B5677,nse!B:B,0))</f>
        <v>Tata Motors Limited</v>
      </c>
    </row>
    <row r="5678" spans="2:4" hidden="1" x14ac:dyDescent="0.3">
      <c r="B5678" t="s">
        <v>1143</v>
      </c>
      <c r="C5678" t="str">
        <f>INDEX(nse!D:D,MATCH(B5678,nse!B:B,0))</f>
        <v>EQ</v>
      </c>
      <c r="D5678" t="str">
        <f>INDEX(nse!C:C,MATCH(B5678,nse!B:B,0))</f>
        <v>Tata Power Company Limited</v>
      </c>
    </row>
    <row r="5679" spans="2:4" hidden="1" x14ac:dyDescent="0.3">
      <c r="B5679" t="s">
        <v>1144</v>
      </c>
      <c r="C5679" t="str">
        <f>INDEX(nse!D:D,MATCH(B5679,nse!B:B,0))</f>
        <v>EQ</v>
      </c>
      <c r="D5679" t="str">
        <f>INDEX(nse!C:C,MATCH(B5679,nse!B:B,0))</f>
        <v>Tata Sponge Iron Limited</v>
      </c>
    </row>
    <row r="5680" spans="2:4" hidden="1" x14ac:dyDescent="0.3">
      <c r="B5680" t="s">
        <v>117</v>
      </c>
      <c r="C5680" t="str">
        <f>INDEX(nse!D:D,MATCH(B5680,nse!B:B,0))</f>
        <v>EQ</v>
      </c>
      <c r="D5680" t="str">
        <f>INDEX(nse!C:C,MATCH(B5680,nse!B:B,0))</f>
        <v>Tata Steel Limited</v>
      </c>
    </row>
    <row r="5681" spans="2:4" hidden="1" x14ac:dyDescent="0.3">
      <c r="B5681" t="s">
        <v>1145</v>
      </c>
      <c r="C5681" t="str">
        <f>INDEX(nse!D:D,MATCH(B5681,nse!B:B,0))</f>
        <v>EQ</v>
      </c>
      <c r="D5681" t="str">
        <f>INDEX(nse!C:C,MATCH(B5681,nse!B:B,0))</f>
        <v>Tribhovandas Bhimji Zaveri Limited</v>
      </c>
    </row>
    <row r="5682" spans="2:4" hidden="1" x14ac:dyDescent="0.3">
      <c r="B5682" t="s">
        <v>1146</v>
      </c>
      <c r="C5682" t="str">
        <f>INDEX(nse!D:D,MATCH(B5682,nse!B:B,0))</f>
        <v>EQ</v>
      </c>
      <c r="D5682" t="str">
        <f>INDEX(nse!C:C,MATCH(B5682,nse!B:B,0))</f>
        <v>Transport Corporation of India Limited</v>
      </c>
    </row>
    <row r="5683" spans="2:4" hidden="1" x14ac:dyDescent="0.3">
      <c r="B5683" t="s">
        <v>1147</v>
      </c>
      <c r="C5683" t="str">
        <f>INDEX(nse!D:D,MATCH(B5683,nse!B:B,0))</f>
        <v>EQ</v>
      </c>
      <c r="D5683" t="str">
        <f>INDEX(nse!C:C,MATCH(B5683,nse!B:B,0))</f>
        <v>TCI Developers Limited</v>
      </c>
    </row>
    <row r="5684" spans="2:4" hidden="1" x14ac:dyDescent="0.3">
      <c r="B5684" t="s">
        <v>4525</v>
      </c>
      <c r="C5684" t="str">
        <f>INDEX(nse!D:D,MATCH(B5684,nse!B:B,0))</f>
        <v>EQ</v>
      </c>
      <c r="D5684" t="str">
        <f>INDEX(nse!C:C,MATCH(B5684,nse!B:B,0))</f>
        <v>TCI Express Limited</v>
      </c>
    </row>
    <row r="5685" spans="2:4" hidden="1" x14ac:dyDescent="0.3">
      <c r="B5685" t="s">
        <v>1148</v>
      </c>
      <c r="C5685" t="str">
        <f>INDEX(nse!D:D,MATCH(B5685,nse!B:B,0))</f>
        <v>EQ</v>
      </c>
      <c r="D5685" t="str">
        <f>INDEX(nse!C:C,MATCH(B5685,nse!B:B,0))</f>
        <v>TCI Finance Limited</v>
      </c>
    </row>
    <row r="5686" spans="2:4" hidden="1" x14ac:dyDescent="0.3">
      <c r="B5686" t="s">
        <v>1149</v>
      </c>
      <c r="C5686" t="str">
        <f>INDEX(nse!D:D,MATCH(B5686,nse!B:B,0))</f>
        <v>EQ</v>
      </c>
      <c r="D5686" t="str">
        <f>INDEX(nse!C:C,MATCH(B5686,nse!B:B,0))</f>
        <v>Tata Consultancy Services Limited</v>
      </c>
    </row>
    <row r="5687" spans="2:4" hidden="1" x14ac:dyDescent="0.3">
      <c r="B5687" t="s">
        <v>1150</v>
      </c>
      <c r="C5687" t="str">
        <f>INDEX(nse!D:D,MATCH(B5687,nse!B:B,0))</f>
        <v>EQ</v>
      </c>
      <c r="D5687" t="str">
        <f>INDEX(nse!C:C,MATCH(B5687,nse!B:B,0))</f>
        <v>TD Power Systems Limited</v>
      </c>
    </row>
    <row r="5688" spans="2:4" hidden="1" x14ac:dyDescent="0.3">
      <c r="B5688" t="s">
        <v>4531</v>
      </c>
      <c r="C5688" t="str">
        <f>INDEX(nse!D:D,MATCH(B5688,nse!B:B,0))</f>
        <v>EQ</v>
      </c>
      <c r="D5688" t="str">
        <f>INDEX(nse!C:C,MATCH(B5688,nse!B:B,0))</f>
        <v>Teamlease Services Limited</v>
      </c>
    </row>
    <row r="5689" spans="2:4" hidden="1" x14ac:dyDescent="0.3">
      <c r="B5689" t="s">
        <v>1151</v>
      </c>
      <c r="C5689" t="str">
        <f>INDEX(nse!D:D,MATCH(B5689,nse!B:B,0))</f>
        <v>BE</v>
      </c>
      <c r="D5689" t="str">
        <f>INDEX(nse!C:C,MATCH(B5689,nse!B:B,0))</f>
        <v>Techindia Nirman Limited</v>
      </c>
    </row>
    <row r="5690" spans="2:4" hidden="1" x14ac:dyDescent="0.3">
      <c r="B5690" t="s">
        <v>1152</v>
      </c>
      <c r="C5690" t="str">
        <f>INDEX(nse!D:D,MATCH(B5690,nse!B:B,0))</f>
        <v>EQ</v>
      </c>
      <c r="D5690" t="str">
        <f>INDEX(nse!C:C,MATCH(B5690,nse!B:B,0))</f>
        <v>Tech Mahindra Limited</v>
      </c>
    </row>
    <row r="5691" spans="2:4" hidden="1" x14ac:dyDescent="0.3">
      <c r="B5691" t="s">
        <v>1153</v>
      </c>
      <c r="C5691" t="str">
        <f>INDEX(nse!D:D,MATCH(B5691,nse!B:B,0))</f>
        <v>EQ</v>
      </c>
      <c r="D5691" t="str">
        <f>INDEX(nse!C:C,MATCH(B5691,nse!B:B,0))</f>
        <v>Techno Electric &amp; Engineering Company Limited</v>
      </c>
    </row>
    <row r="5692" spans="2:4" hidden="1" x14ac:dyDescent="0.3">
      <c r="B5692" t="s">
        <v>1154</v>
      </c>
      <c r="C5692" t="str">
        <f>INDEX(nse!D:D,MATCH(B5692,nse!B:B,0))</f>
        <v>EQ</v>
      </c>
      <c r="D5692" t="str">
        <f>INDEX(nse!C:C,MATCH(B5692,nse!B:B,0))</f>
        <v>Technofab Engineering Limited</v>
      </c>
    </row>
    <row r="5693" spans="2:4" hidden="1" x14ac:dyDescent="0.3">
      <c r="B5693" t="s">
        <v>4539</v>
      </c>
      <c r="C5693" t="str">
        <f>INDEX(nse!D:D,MATCH(B5693,nse!B:B,0))</f>
        <v>EQ</v>
      </c>
      <c r="D5693" t="str">
        <f>INDEX(nse!C:C,MATCH(B5693,nse!B:B,0))</f>
        <v>Tera Software Limited</v>
      </c>
    </row>
    <row r="5694" spans="2:4" hidden="1" x14ac:dyDescent="0.3">
      <c r="B5694" t="s">
        <v>1155</v>
      </c>
      <c r="C5694" t="str">
        <f>INDEX(nse!D:D,MATCH(B5694,nse!B:B,0))</f>
        <v>EQ</v>
      </c>
      <c r="D5694" t="str">
        <f>INDEX(nse!C:C,MATCH(B5694,nse!B:B,0))</f>
        <v>Texmaco Infrastructure &amp; Holdings Limited</v>
      </c>
    </row>
    <row r="5695" spans="2:4" hidden="1" x14ac:dyDescent="0.3">
      <c r="B5695" t="s">
        <v>1156</v>
      </c>
      <c r="C5695" t="str">
        <f>INDEX(nse!D:D,MATCH(B5695,nse!B:B,0))</f>
        <v>BE</v>
      </c>
      <c r="D5695" t="str">
        <f>INDEX(nse!C:C,MATCH(B5695,nse!B:B,0))</f>
        <v>Texmo Pipes and Products Limited</v>
      </c>
    </row>
    <row r="5696" spans="2:4" hidden="1" x14ac:dyDescent="0.3">
      <c r="B5696" t="s">
        <v>1157</v>
      </c>
      <c r="C5696" t="str">
        <f>INDEX(nse!D:D,MATCH(B5696,nse!B:B,0))</f>
        <v>EQ</v>
      </c>
      <c r="D5696" t="str">
        <f>INDEX(nse!C:C,MATCH(B5696,nse!B:B,0))</f>
        <v>Texmaco Rail &amp; Engineering Limited</v>
      </c>
    </row>
    <row r="5697" spans="2:4" hidden="1" x14ac:dyDescent="0.3">
      <c r="B5697" t="s">
        <v>1158</v>
      </c>
      <c r="C5697" t="str">
        <f>INDEX(nse!D:D,MATCH(B5697,nse!B:B,0))</f>
        <v>EQ</v>
      </c>
      <c r="D5697" t="str">
        <f>INDEX(nse!C:C,MATCH(B5697,nse!B:B,0))</f>
        <v>Tourism Finance Corporation of India Limited</v>
      </c>
    </row>
    <row r="5698" spans="2:4" hidden="1" x14ac:dyDescent="0.3">
      <c r="B5698" t="s">
        <v>1159</v>
      </c>
      <c r="C5698" t="str">
        <f>INDEX(nse!D:D,MATCH(B5698,nse!B:B,0))</f>
        <v>BE</v>
      </c>
      <c r="D5698" t="str">
        <f>INDEX(nse!C:C,MATCH(B5698,nse!B:B,0))</f>
        <v>Transwarranty Finance Limited</v>
      </c>
    </row>
    <row r="5699" spans="2:4" hidden="1" x14ac:dyDescent="0.3">
      <c r="B5699" t="s">
        <v>1160</v>
      </c>
      <c r="C5699" t="str">
        <f>INDEX(nse!D:D,MATCH(B5699,nse!B:B,0))</f>
        <v>EQ</v>
      </c>
      <c r="D5699" t="str">
        <f>INDEX(nse!C:C,MATCH(B5699,nse!B:B,0))</f>
        <v>TGB Banquets And Hotels Limited</v>
      </c>
    </row>
    <row r="5700" spans="2:4" hidden="1" x14ac:dyDescent="0.3">
      <c r="B5700" t="s">
        <v>1161</v>
      </c>
      <c r="C5700" t="str">
        <f>INDEX(nse!D:D,MATCH(B5700,nse!B:B,0))</f>
        <v>EQ</v>
      </c>
      <c r="D5700" t="str">
        <f>INDEX(nse!C:C,MATCH(B5700,nse!B:B,0))</f>
        <v>Thangamayil Jewellery Limited</v>
      </c>
    </row>
    <row r="5701" spans="2:4" hidden="1" x14ac:dyDescent="0.3">
      <c r="B5701" t="s">
        <v>1162</v>
      </c>
      <c r="C5701" t="str">
        <f>INDEX(nse!D:D,MATCH(B5701,nse!B:B,0))</f>
        <v>EQ</v>
      </c>
      <c r="D5701" t="str">
        <f>INDEX(nse!C:C,MATCH(B5701,nse!B:B,0))</f>
        <v>Themis Medicare Limited</v>
      </c>
    </row>
    <row r="5702" spans="2:4" hidden="1" x14ac:dyDescent="0.3">
      <c r="B5702" t="s">
        <v>101</v>
      </c>
      <c r="C5702" t="str">
        <f>INDEX(nse!D:D,MATCH(B5702,nse!B:B,0))</f>
        <v>EQ</v>
      </c>
      <c r="D5702" t="str">
        <f>INDEX(nse!C:C,MATCH(B5702,nse!B:B,0))</f>
        <v>Thermax Limited</v>
      </c>
    </row>
    <row r="5703" spans="2:4" hidden="1" x14ac:dyDescent="0.3">
      <c r="B5703" t="s">
        <v>1163</v>
      </c>
      <c r="C5703" t="str">
        <f>INDEX(nse!D:D,MATCH(B5703,nse!B:B,0))</f>
        <v>EQ</v>
      </c>
      <c r="D5703" t="str">
        <f>INDEX(nse!C:C,MATCH(B5703,nse!B:B,0))</f>
        <v>Thiru Arooran Sugars Limited</v>
      </c>
    </row>
    <row r="5704" spans="2:4" hidden="1" x14ac:dyDescent="0.3">
      <c r="B5704" t="s">
        <v>1164</v>
      </c>
      <c r="C5704" t="str">
        <f>INDEX(nse!D:D,MATCH(B5704,nse!B:B,0))</f>
        <v>EQ</v>
      </c>
      <c r="D5704" t="str">
        <f>INDEX(nse!C:C,MATCH(B5704,nse!B:B,0))</f>
        <v>Thomas Cook  (India)  Limited</v>
      </c>
    </row>
    <row r="5705" spans="2:4" hidden="1" x14ac:dyDescent="0.3">
      <c r="B5705" t="s">
        <v>1165</v>
      </c>
      <c r="C5705" t="str">
        <f>INDEX(nse!D:D,MATCH(B5705,nse!B:B,0))</f>
        <v>BE</v>
      </c>
      <c r="D5705" t="str">
        <f>INDEX(nse!C:C,MATCH(B5705,nse!B:B,0))</f>
        <v>Thomas Scott (India) Limited</v>
      </c>
    </row>
    <row r="5706" spans="2:4" hidden="1" x14ac:dyDescent="0.3">
      <c r="B5706" t="s">
        <v>4555</v>
      </c>
      <c r="C5706" t="str">
        <f>INDEX(nse!D:D,MATCH(B5706,nse!B:B,0))</f>
        <v>EQ</v>
      </c>
      <c r="D5706" t="str">
        <f>INDEX(nse!C:C,MATCH(B5706,nse!B:B,0))</f>
        <v>Thyrocare Technologies Limited</v>
      </c>
    </row>
    <row r="5707" spans="2:4" hidden="1" x14ac:dyDescent="0.3">
      <c r="B5707" t="s">
        <v>1166</v>
      </c>
      <c r="C5707" t="str">
        <f>INDEX(nse!D:D,MATCH(B5707,nse!B:B,0))</f>
        <v>EQ</v>
      </c>
      <c r="D5707" t="str">
        <f>INDEX(nse!C:C,MATCH(B5707,nse!B:B,0))</f>
        <v>Tilaknagar Industries Limited</v>
      </c>
    </row>
    <row r="5708" spans="2:4" hidden="1" x14ac:dyDescent="0.3">
      <c r="B5708" t="s">
        <v>1167</v>
      </c>
      <c r="C5708" t="str">
        <f>INDEX(nse!D:D,MATCH(B5708,nse!B:B,0))</f>
        <v>EQ</v>
      </c>
      <c r="D5708" t="str">
        <f>INDEX(nse!C:C,MATCH(B5708,nse!B:B,0))</f>
        <v>Tide Water Oil Company (India) Limited</v>
      </c>
    </row>
    <row r="5709" spans="2:4" hidden="1" x14ac:dyDescent="0.3">
      <c r="B5709" t="s">
        <v>1168</v>
      </c>
      <c r="C5709" t="str">
        <f>INDEX(nse!D:D,MATCH(B5709,nse!B:B,0))</f>
        <v>EQ</v>
      </c>
      <c r="D5709" t="str">
        <f>INDEX(nse!C:C,MATCH(B5709,nse!B:B,0))</f>
        <v>Technocraft Industries (India) Limited</v>
      </c>
    </row>
    <row r="5710" spans="2:4" hidden="1" x14ac:dyDescent="0.3">
      <c r="B5710" t="s">
        <v>1336</v>
      </c>
      <c r="C5710" t="str">
        <f>INDEX(nse!D:D,MATCH(B5710,nse!B:B,0))</f>
        <v>BE</v>
      </c>
      <c r="D5710" t="str">
        <f>INDEX(nse!C:C,MATCH(B5710,nse!B:B,0))</f>
        <v>Tijaria Polypipes Limited</v>
      </c>
    </row>
    <row r="5711" spans="2:4" hidden="1" x14ac:dyDescent="0.3">
      <c r="B5711" t="s">
        <v>1169</v>
      </c>
      <c r="C5711" t="str">
        <f>INDEX(nse!D:D,MATCH(B5711,nse!B:B,0))</f>
        <v>EQ</v>
      </c>
      <c r="D5711" t="str">
        <f>INDEX(nse!C:C,MATCH(B5711,nse!B:B,0))</f>
        <v>TIL Limited</v>
      </c>
    </row>
    <row r="5712" spans="2:4" hidden="1" x14ac:dyDescent="0.3">
      <c r="B5712" t="s">
        <v>1170</v>
      </c>
      <c r="C5712" t="str">
        <f>INDEX(nse!D:D,MATCH(B5712,nse!B:B,0))</f>
        <v>BE</v>
      </c>
      <c r="D5712" t="str">
        <f>INDEX(nse!C:C,MATCH(B5712,nse!B:B,0))</f>
        <v>Times Guaranty Limited</v>
      </c>
    </row>
    <row r="5713" spans="2:4" hidden="1" x14ac:dyDescent="0.3">
      <c r="B5713" t="s">
        <v>1171</v>
      </c>
      <c r="C5713" t="str">
        <f>INDEX(nse!D:D,MATCH(B5713,nse!B:B,0))</f>
        <v>EQ</v>
      </c>
      <c r="D5713" t="str">
        <f>INDEX(nse!C:C,MATCH(B5713,nse!B:B,0))</f>
        <v>Time Technoplast Limited</v>
      </c>
    </row>
    <row r="5714" spans="2:4" hidden="1" x14ac:dyDescent="0.3">
      <c r="B5714" t="s">
        <v>1172</v>
      </c>
      <c r="C5714" t="str">
        <f>INDEX(nse!D:D,MATCH(B5714,nse!B:B,0))</f>
        <v>EQ</v>
      </c>
      <c r="D5714" t="str">
        <f>INDEX(nse!C:C,MATCH(B5714,nse!B:B,0))</f>
        <v>Timken India Limited</v>
      </c>
    </row>
    <row r="5715" spans="2:4" hidden="1" x14ac:dyDescent="0.3">
      <c r="B5715" t="s">
        <v>1173</v>
      </c>
      <c r="C5715" t="str">
        <f>INDEX(nse!D:D,MATCH(B5715,nse!B:B,0))</f>
        <v>EQ</v>
      </c>
      <c r="D5715" t="str">
        <f>INDEX(nse!C:C,MATCH(B5715,nse!B:B,0))</f>
        <v>The Tinplate Company of India Limited</v>
      </c>
    </row>
    <row r="5716" spans="2:4" hidden="1" x14ac:dyDescent="0.3">
      <c r="B5716" t="s">
        <v>1174</v>
      </c>
      <c r="C5716" t="str">
        <f>INDEX(nse!D:D,MATCH(B5716,nse!B:B,0))</f>
        <v>EQ</v>
      </c>
      <c r="D5716" t="str">
        <f>INDEX(nse!C:C,MATCH(B5716,nse!B:B,0))</f>
        <v>TIPS Industries Limited</v>
      </c>
    </row>
    <row r="5717" spans="2:4" hidden="1" x14ac:dyDescent="0.3">
      <c r="B5717" t="s">
        <v>1175</v>
      </c>
      <c r="C5717" t="str">
        <f>INDEX(nse!D:D,MATCH(B5717,nse!B:B,0))</f>
        <v>EQ</v>
      </c>
      <c r="D5717" t="str">
        <f>INDEX(nse!C:C,MATCH(B5717,nse!B:B,0))</f>
        <v>Thirumalai Chemicals Limited</v>
      </c>
    </row>
    <row r="5718" spans="2:4" hidden="1" x14ac:dyDescent="0.3">
      <c r="B5718" t="s">
        <v>1176</v>
      </c>
      <c r="C5718" t="str">
        <f>INDEX(nse!D:D,MATCH(B5718,nse!B:B,0))</f>
        <v>EQ</v>
      </c>
      <c r="D5718" t="str">
        <f>INDEX(nse!C:C,MATCH(B5718,nse!B:B,0))</f>
        <v>Titan Company Limited</v>
      </c>
    </row>
    <row r="5719" spans="2:4" hidden="1" x14ac:dyDescent="0.3">
      <c r="B5719" t="s">
        <v>4570</v>
      </c>
      <c r="C5719" t="str">
        <f>INDEX(nse!D:D,MATCH(B5719,nse!B:B,0))</f>
        <v>EQ</v>
      </c>
      <c r="D5719" t="str">
        <f>INDEX(nse!C:C,MATCH(B5719,nse!B:B,0))</f>
        <v>The Mandhana Retail Ventures Limited</v>
      </c>
    </row>
    <row r="5720" spans="2:4" hidden="1" x14ac:dyDescent="0.3">
      <c r="B5720" t="s">
        <v>1177</v>
      </c>
      <c r="C5720" t="str">
        <f>INDEX(nse!D:D,MATCH(B5720,nse!B:B,0))</f>
        <v>EQ</v>
      </c>
      <c r="D5720" t="str">
        <f>INDEX(nse!C:C,MATCH(B5720,nse!B:B,0))</f>
        <v>Tamilnadu PetroProducts Limited</v>
      </c>
    </row>
    <row r="5721" spans="2:4" hidden="1" x14ac:dyDescent="0.3">
      <c r="B5721" t="s">
        <v>1178</v>
      </c>
      <c r="C5721" t="str">
        <f>INDEX(nse!D:D,MATCH(B5721,nse!B:B,0))</f>
        <v>EQ</v>
      </c>
      <c r="D5721" t="str">
        <f>INDEX(nse!C:C,MATCH(B5721,nse!B:B,0))</f>
        <v>Tamil Nadu Newsprint &amp; Papers Limited</v>
      </c>
    </row>
    <row r="5722" spans="2:4" hidden="1" x14ac:dyDescent="0.3">
      <c r="B5722" t="s">
        <v>1179</v>
      </c>
      <c r="C5722" t="str">
        <f>INDEX(nse!D:D,MATCH(B5722,nse!B:B,0))</f>
        <v>BE</v>
      </c>
      <c r="D5722" t="str">
        <f>INDEX(nse!C:C,MATCH(B5722,nse!B:B,0))</f>
        <v>Tamilnadu Telecommunication Limited</v>
      </c>
    </row>
    <row r="5723" spans="2:4" hidden="1" x14ac:dyDescent="0.3">
      <c r="B5723" t="s">
        <v>1337</v>
      </c>
      <c r="C5723" t="str">
        <f>INDEX(nse!D:D,MATCH(B5723,nse!B:B,0))</f>
        <v>BE</v>
      </c>
      <c r="D5723" t="str">
        <f>INDEX(nse!C:C,MATCH(B5723,nse!B:B,0))</f>
        <v>Todays Writing Instruments Limited</v>
      </c>
    </row>
    <row r="5724" spans="2:4" hidden="1" x14ac:dyDescent="0.3">
      <c r="B5724" t="s">
        <v>1180</v>
      </c>
      <c r="C5724" t="str">
        <f>INDEX(nse!D:D,MATCH(B5724,nse!B:B,0))</f>
        <v>EQ</v>
      </c>
      <c r="D5724" t="str">
        <f>INDEX(nse!C:C,MATCH(B5724,nse!B:B,0))</f>
        <v>Tokyo Plast International Limited</v>
      </c>
    </row>
    <row r="5725" spans="2:4" hidden="1" x14ac:dyDescent="0.3">
      <c r="B5725" t="s">
        <v>102</v>
      </c>
      <c r="C5725" t="str">
        <f>INDEX(nse!D:D,MATCH(B5725,nse!B:B,0))</f>
        <v>EQ</v>
      </c>
      <c r="D5725" t="str">
        <f>INDEX(nse!C:C,MATCH(B5725,nse!B:B,0))</f>
        <v>Torrent Pharmaceuticals Limited</v>
      </c>
    </row>
    <row r="5726" spans="2:4" hidden="1" x14ac:dyDescent="0.3">
      <c r="B5726" t="s">
        <v>103</v>
      </c>
      <c r="C5726" t="str">
        <f>INDEX(nse!D:D,MATCH(B5726,nse!B:B,0))</f>
        <v>EQ</v>
      </c>
      <c r="D5726" t="str">
        <f>INDEX(nse!C:C,MATCH(B5726,nse!B:B,0))</f>
        <v>Torrent Power Limited</v>
      </c>
    </row>
    <row r="5727" spans="2:4" hidden="1" x14ac:dyDescent="0.3">
      <c r="B5727" t="s">
        <v>4580</v>
      </c>
      <c r="C5727" t="str">
        <f>INDEX(nse!D:D,MATCH(B5727,nse!B:B,0))</f>
        <v>EQ</v>
      </c>
      <c r="D5727" t="str">
        <f>INDEX(nse!C:C,MATCH(B5727,nse!B:B,0))</f>
        <v>TPL Plastech Limited</v>
      </c>
    </row>
    <row r="5728" spans="2:4" hidden="1" x14ac:dyDescent="0.3">
      <c r="B5728" t="s">
        <v>1181</v>
      </c>
      <c r="C5728" t="str">
        <f>INDEX(nse!D:D,MATCH(B5728,nse!B:B,0))</f>
        <v>EQ</v>
      </c>
      <c r="D5728" t="str">
        <f>INDEX(nse!C:C,MATCH(B5728,nse!B:B,0))</f>
        <v>Tree House Education &amp; Accessories Limited</v>
      </c>
    </row>
    <row r="5729" spans="2:4" hidden="1" x14ac:dyDescent="0.3">
      <c r="B5729" t="s">
        <v>1182</v>
      </c>
      <c r="C5729" t="str">
        <f>INDEX(nse!D:D,MATCH(B5729,nse!B:B,0))</f>
        <v>EQ</v>
      </c>
      <c r="D5729" t="str">
        <f>INDEX(nse!C:C,MATCH(B5729,nse!B:B,0))</f>
        <v>Trent Limited</v>
      </c>
    </row>
    <row r="5730" spans="2:4" hidden="1" x14ac:dyDescent="0.3">
      <c r="B5730" t="s">
        <v>1182</v>
      </c>
      <c r="C5730" t="str">
        <f>INDEX(nse!D:D,MATCH(B5730,nse!B:B,0))</f>
        <v>EQ</v>
      </c>
      <c r="D5730" t="str">
        <f>INDEX(nse!C:C,MATCH(B5730,nse!B:B,0))</f>
        <v>Trent Limited</v>
      </c>
    </row>
    <row r="5731" spans="2:4" hidden="1" x14ac:dyDescent="0.3">
      <c r="B5731" t="s">
        <v>1183</v>
      </c>
      <c r="C5731" t="str">
        <f>INDEX(nse!D:D,MATCH(B5731,nse!B:B,0))</f>
        <v>EQ</v>
      </c>
      <c r="D5731" t="str">
        <f>INDEX(nse!C:C,MATCH(B5731,nse!B:B,0))</f>
        <v>TRF Limited</v>
      </c>
    </row>
    <row r="5732" spans="2:4" hidden="1" x14ac:dyDescent="0.3">
      <c r="B5732" t="s">
        <v>125</v>
      </c>
      <c r="C5732" t="str">
        <f>INDEX(nse!D:D,MATCH(B5732,nse!B:B,0))</f>
        <v>EQ</v>
      </c>
      <c r="D5732" t="str">
        <f>INDEX(nse!C:C,MATCH(B5732,nse!B:B,0))</f>
        <v>Trident Limited</v>
      </c>
    </row>
    <row r="5733" spans="2:4" hidden="1" x14ac:dyDescent="0.3">
      <c r="B5733" t="s">
        <v>1184</v>
      </c>
      <c r="C5733" t="str">
        <f>INDEX(nse!D:D,MATCH(B5733,nse!B:B,0))</f>
        <v>EQ</v>
      </c>
      <c r="D5733" t="str">
        <f>INDEX(nse!C:C,MATCH(B5733,nse!B:B,0))</f>
        <v>Trigyn Technologies Limited</v>
      </c>
    </row>
    <row r="5734" spans="2:4" hidden="1" x14ac:dyDescent="0.3">
      <c r="B5734" t="s">
        <v>1185</v>
      </c>
      <c r="C5734" t="str">
        <f>INDEX(nse!D:D,MATCH(B5734,nse!B:B,0))</f>
        <v>EQ</v>
      </c>
      <c r="D5734" t="str">
        <f>INDEX(nse!C:C,MATCH(B5734,nse!B:B,0))</f>
        <v>Transformers And Rectifiers (India) Limited</v>
      </c>
    </row>
    <row r="5735" spans="2:4" hidden="1" x14ac:dyDescent="0.3">
      <c r="B5735" t="s">
        <v>1186</v>
      </c>
      <c r="C5735" t="str">
        <f>INDEX(nse!D:D,MATCH(B5735,nse!B:B,0))</f>
        <v>EQ</v>
      </c>
      <c r="D5735" t="str">
        <f>INDEX(nse!C:C,MATCH(B5735,nse!B:B,0))</f>
        <v>Triveni Turbine Limited</v>
      </c>
    </row>
    <row r="5736" spans="2:4" hidden="1" x14ac:dyDescent="0.3">
      <c r="B5736" t="s">
        <v>1187</v>
      </c>
      <c r="C5736" t="str">
        <f>INDEX(nse!D:D,MATCH(B5736,nse!B:B,0))</f>
        <v>EQ</v>
      </c>
      <c r="D5736" t="str">
        <f>INDEX(nse!C:C,MATCH(B5736,nse!B:B,0))</f>
        <v>Triveni Engineering &amp; Industries Limited</v>
      </c>
    </row>
    <row r="5737" spans="2:4" hidden="1" x14ac:dyDescent="0.3">
      <c r="B5737" t="s">
        <v>4591</v>
      </c>
      <c r="C5737" t="str">
        <f>INDEX(nse!D:D,MATCH(B5737,nse!B:B,0))</f>
        <v>EQ</v>
      </c>
      <c r="D5737" t="str">
        <f>INDEX(nse!C:C,MATCH(B5737,nse!B:B,0))</f>
        <v>TTK Healthcare Limited</v>
      </c>
    </row>
    <row r="5738" spans="2:4" hidden="1" x14ac:dyDescent="0.3">
      <c r="B5738" t="s">
        <v>1188</v>
      </c>
      <c r="C5738" t="str">
        <f>INDEX(nse!D:D,MATCH(B5738,nse!B:B,0))</f>
        <v>EQ</v>
      </c>
      <c r="D5738" t="str">
        <f>INDEX(nse!C:C,MATCH(B5738,nse!B:B,0))</f>
        <v>TTK Prestige Limited</v>
      </c>
    </row>
    <row r="5739" spans="2:4" hidden="1" x14ac:dyDescent="0.3">
      <c r="B5739" t="s">
        <v>1189</v>
      </c>
      <c r="C5739" t="str">
        <f>INDEX(nse!D:D,MATCH(B5739,nse!B:B,0))</f>
        <v>EQ</v>
      </c>
      <c r="D5739" t="str">
        <f>INDEX(nse!C:C,MATCH(B5739,nse!B:B,0))</f>
        <v>T T Limited</v>
      </c>
    </row>
    <row r="5740" spans="2:4" hidden="1" x14ac:dyDescent="0.3">
      <c r="B5740" t="s">
        <v>1190</v>
      </c>
      <c r="C5740" t="str">
        <f>INDEX(nse!D:D,MATCH(B5740,nse!B:B,0))</f>
        <v>EQ</v>
      </c>
      <c r="D5740" t="str">
        <f>INDEX(nse!C:C,MATCH(B5740,nse!B:B,0))</f>
        <v>Tata Teleservices (Maharashtra) Limited</v>
      </c>
    </row>
    <row r="5741" spans="2:4" hidden="1" x14ac:dyDescent="0.3">
      <c r="B5741" t="s">
        <v>1191</v>
      </c>
      <c r="C5741" t="str">
        <f>INDEX(nse!D:D,MATCH(B5741,nse!B:B,0))</f>
        <v>EQ</v>
      </c>
      <c r="D5741" t="str">
        <f>INDEX(nse!C:C,MATCH(B5741,nse!B:B,0))</f>
        <v>Tube Investments of India Limited</v>
      </c>
    </row>
    <row r="5742" spans="2:4" hidden="1" x14ac:dyDescent="0.3">
      <c r="B5742" t="s">
        <v>1192</v>
      </c>
      <c r="C5742" t="str">
        <f>INDEX(nse!D:D,MATCH(B5742,nse!B:B,0))</f>
        <v>EQ</v>
      </c>
      <c r="D5742" t="str">
        <f>INDEX(nse!C:C,MATCH(B5742,nse!B:B,0))</f>
        <v>Tulsi Extrusions Limited</v>
      </c>
    </row>
    <row r="5743" spans="2:4" hidden="1" x14ac:dyDescent="0.3">
      <c r="B5743" t="s">
        <v>96</v>
      </c>
      <c r="C5743" t="str">
        <f>INDEX(nse!D:D,MATCH(B5743,nse!B:B,0))</f>
        <v>EQ</v>
      </c>
      <c r="D5743" t="str">
        <f>INDEX(nse!C:C,MATCH(B5743,nse!B:B,0))</f>
        <v>TV18 Broadcast Limited</v>
      </c>
    </row>
    <row r="5744" spans="2:4" hidden="1" x14ac:dyDescent="0.3">
      <c r="B5744" t="s">
        <v>1193</v>
      </c>
      <c r="C5744" t="str">
        <f>INDEX(nse!D:D,MATCH(B5744,nse!B:B,0))</f>
        <v>EQ</v>
      </c>
      <c r="D5744" t="str">
        <f>INDEX(nse!C:C,MATCH(B5744,nse!B:B,0))</f>
        <v>TVS Electronics Limited</v>
      </c>
    </row>
    <row r="5745" spans="2:4" hidden="1" x14ac:dyDescent="0.3">
      <c r="B5745" t="s">
        <v>1194</v>
      </c>
      <c r="C5745" t="str">
        <f>INDEX(nse!D:D,MATCH(B5745,nse!B:B,0))</f>
        <v>EQ</v>
      </c>
      <c r="D5745" t="str">
        <f>INDEX(nse!C:C,MATCH(B5745,nse!B:B,0))</f>
        <v>TVS Motor Company Limited</v>
      </c>
    </row>
    <row r="5746" spans="2:4" hidden="1" x14ac:dyDescent="0.3">
      <c r="B5746" t="s">
        <v>1195</v>
      </c>
      <c r="C5746" t="str">
        <f>INDEX(nse!D:D,MATCH(B5746,nse!B:B,0))</f>
        <v>EQ</v>
      </c>
      <c r="D5746" t="str">
        <f>INDEX(nse!C:C,MATCH(B5746,nse!B:B,0))</f>
        <v>TVS Srichakra Limited</v>
      </c>
    </row>
    <row r="5747" spans="2:4" hidden="1" x14ac:dyDescent="0.3">
      <c r="B5747" t="s">
        <v>1196</v>
      </c>
      <c r="C5747" t="str">
        <f>INDEX(nse!D:D,MATCH(B5747,nse!B:B,0))</f>
        <v>EQ</v>
      </c>
      <c r="D5747" t="str">
        <f>INDEX(nse!C:C,MATCH(B5747,nse!B:B,0))</f>
        <v>TV Today Network Limited</v>
      </c>
    </row>
    <row r="5748" spans="2:4" hidden="1" x14ac:dyDescent="0.3">
      <c r="B5748" t="s">
        <v>4604</v>
      </c>
      <c r="C5748" t="str">
        <f>INDEX(nse!D:D,MATCH(B5748,nse!B:B,0))</f>
        <v>EQ</v>
      </c>
      <c r="D5748" t="str">
        <f>INDEX(nse!C:C,MATCH(B5748,nse!B:B,0))</f>
        <v>TV Vision Limited</v>
      </c>
    </row>
    <row r="5749" spans="2:4" hidden="1" x14ac:dyDescent="0.3">
      <c r="B5749" t="s">
        <v>1197</v>
      </c>
      <c r="C5749" t="str">
        <f>INDEX(nse!D:D,MATCH(B5749,nse!B:B,0))</f>
        <v>EQ</v>
      </c>
      <c r="D5749" t="str">
        <f>INDEX(nse!C:C,MATCH(B5749,nse!B:B,0))</f>
        <v>Titagarh Wagons Limited</v>
      </c>
    </row>
    <row r="5750" spans="2:4" hidden="1" x14ac:dyDescent="0.3">
      <c r="B5750" t="s">
        <v>1198</v>
      </c>
      <c r="C5750" t="str">
        <f>INDEX(nse!D:D,MATCH(B5750,nse!B:B,0))</f>
        <v>BE</v>
      </c>
      <c r="D5750" t="str">
        <f>INDEX(nse!C:C,MATCH(B5750,nse!B:B,0))</f>
        <v>United Breweries (Holdings) Limited</v>
      </c>
    </row>
    <row r="5751" spans="2:4" hidden="1" x14ac:dyDescent="0.3">
      <c r="B5751" t="s">
        <v>107</v>
      </c>
      <c r="C5751" t="str">
        <f>INDEX(nse!D:D,MATCH(B5751,nse!B:B,0))</f>
        <v>EQ</v>
      </c>
      <c r="D5751" t="str">
        <f>INDEX(nse!C:C,MATCH(B5751,nse!B:B,0))</f>
        <v>United Breweries Limited</v>
      </c>
    </row>
    <row r="5752" spans="2:4" hidden="1" x14ac:dyDescent="0.3">
      <c r="B5752" t="s">
        <v>1199</v>
      </c>
      <c r="C5752" t="str">
        <f>INDEX(nse!D:D,MATCH(B5752,nse!B:B,0))</f>
        <v>EQ</v>
      </c>
      <c r="D5752" t="str">
        <f>INDEX(nse!C:C,MATCH(B5752,nse!B:B,0))</f>
        <v>Ucal Fuel Systems Limited</v>
      </c>
    </row>
    <row r="5753" spans="2:4" hidden="1" x14ac:dyDescent="0.3">
      <c r="B5753" t="s">
        <v>1200</v>
      </c>
      <c r="C5753" t="str">
        <f>INDEX(nse!D:D,MATCH(B5753,nse!B:B,0))</f>
        <v>EQ</v>
      </c>
      <c r="D5753" t="str">
        <f>INDEX(nse!C:C,MATCH(B5753,nse!B:B,0))</f>
        <v>UCO Bank</v>
      </c>
    </row>
    <row r="5754" spans="2:4" hidden="1" x14ac:dyDescent="0.3">
      <c r="B5754" t="s">
        <v>1201</v>
      </c>
      <c r="C5754" t="str">
        <f>INDEX(nse!D:D,MATCH(B5754,nse!B:B,0))</f>
        <v>EQ</v>
      </c>
      <c r="D5754" t="str">
        <f>INDEX(nse!C:C,MATCH(B5754,nse!B:B,0))</f>
        <v>UFLEX Limited</v>
      </c>
    </row>
    <row r="5755" spans="2:4" hidden="1" x14ac:dyDescent="0.3">
      <c r="B5755" t="s">
        <v>4613</v>
      </c>
      <c r="C5755" t="str">
        <f>INDEX(nse!D:D,MATCH(B5755,nse!B:B,0))</f>
        <v>EQ</v>
      </c>
      <c r="D5755" t="str">
        <f>INDEX(nse!C:C,MATCH(B5755,nse!B:B,0))</f>
        <v>UFO Moviez India Limited</v>
      </c>
    </row>
    <row r="5756" spans="2:4" hidden="1" x14ac:dyDescent="0.3">
      <c r="B5756" t="s">
        <v>1202</v>
      </c>
      <c r="C5756" t="str">
        <f>INDEX(nse!D:D,MATCH(B5756,nse!B:B,0))</f>
        <v>EQ</v>
      </c>
      <c r="D5756" t="str">
        <f>INDEX(nse!C:C,MATCH(B5756,nse!B:B,0))</f>
        <v>The Ugar Sugar Works Limited</v>
      </c>
    </row>
    <row r="5757" spans="2:4" hidden="1" x14ac:dyDescent="0.3">
      <c r="B5757" t="s">
        <v>1203</v>
      </c>
      <c r="C5757" t="str">
        <f>INDEX(nse!D:D,MATCH(B5757,nse!B:B,0))</f>
        <v>EQ</v>
      </c>
      <c r="D5757" t="str">
        <f>INDEX(nse!C:C,MATCH(B5757,nse!B:B,0))</f>
        <v>Ujaas Energy Limited</v>
      </c>
    </row>
    <row r="5758" spans="2:4" hidden="1" x14ac:dyDescent="0.3">
      <c r="B5758" t="s">
        <v>4618</v>
      </c>
      <c r="C5758" t="str">
        <f>INDEX(nse!D:D,MATCH(B5758,nse!B:B,0))</f>
        <v>EQ</v>
      </c>
      <c r="D5758" t="str">
        <f>INDEX(nse!C:C,MATCH(B5758,nse!B:B,0))</f>
        <v>Ujjivan Financial Services Limited</v>
      </c>
    </row>
    <row r="5759" spans="2:4" hidden="1" x14ac:dyDescent="0.3">
      <c r="B5759" t="s">
        <v>4618</v>
      </c>
      <c r="C5759" t="str">
        <f>INDEX(nse!D:D,MATCH(B5759,nse!B:B,0))</f>
        <v>EQ</v>
      </c>
      <c r="D5759" t="str">
        <f>INDEX(nse!C:C,MATCH(B5759,nse!B:B,0))</f>
        <v>Ujjivan Financial Services Limited</v>
      </c>
    </row>
    <row r="5760" spans="2:4" hidden="1" x14ac:dyDescent="0.3">
      <c r="B5760" t="s">
        <v>1204</v>
      </c>
      <c r="C5760" t="str">
        <f>INDEX(nse!D:D,MATCH(B5760,nse!B:B,0))</f>
        <v>EQ</v>
      </c>
      <c r="D5760" t="str">
        <f>INDEX(nse!C:C,MATCH(B5760,nse!B:B,0))</f>
        <v>UltraTech Cement Limited</v>
      </c>
    </row>
    <row r="5761" spans="2:4" hidden="1" x14ac:dyDescent="0.3">
      <c r="B5761" t="s">
        <v>4622</v>
      </c>
      <c r="C5761" t="str">
        <f>INDEX(nse!D:D,MATCH(B5761,nse!B:B,0))</f>
        <v>EQ</v>
      </c>
      <c r="D5761" t="str">
        <f>INDEX(nse!C:C,MATCH(B5761,nse!B:B,0))</f>
        <v>Umang Dairies Limited</v>
      </c>
    </row>
    <row r="5762" spans="2:4" hidden="1" x14ac:dyDescent="0.3">
      <c r="B5762" t="s">
        <v>1205</v>
      </c>
      <c r="C5762" t="str">
        <f>INDEX(nse!D:D,MATCH(B5762,nse!B:B,0))</f>
        <v>EQ</v>
      </c>
      <c r="D5762" t="str">
        <f>INDEX(nse!C:C,MATCH(B5762,nse!B:B,0))</f>
        <v>Usha Martin Education &amp; Solutions Limited</v>
      </c>
    </row>
    <row r="5763" spans="2:4" hidden="1" x14ac:dyDescent="0.3">
      <c r="B5763" t="s">
        <v>1206</v>
      </c>
      <c r="C5763" t="str">
        <f>INDEX(nse!D:D,MATCH(B5763,nse!B:B,0))</f>
        <v>EQ</v>
      </c>
      <c r="D5763" t="str">
        <f>INDEX(nse!C:C,MATCH(B5763,nse!B:B,0))</f>
        <v>Unichem Laboratories Limited</v>
      </c>
    </row>
    <row r="5764" spans="2:4" hidden="1" x14ac:dyDescent="0.3">
      <c r="B5764" t="s">
        <v>1207</v>
      </c>
      <c r="C5764" t="str">
        <f>INDEX(nse!D:D,MATCH(B5764,nse!B:B,0))</f>
        <v>EQ</v>
      </c>
      <c r="D5764" t="str">
        <f>INDEX(nse!C:C,MATCH(B5764,nse!B:B,0))</f>
        <v>Uniphos Enterprises Limited</v>
      </c>
    </row>
    <row r="5765" spans="2:4" hidden="1" x14ac:dyDescent="0.3">
      <c r="B5765" t="s">
        <v>105</v>
      </c>
      <c r="C5765" t="str">
        <f>INDEX(nse!D:D,MATCH(B5765,nse!B:B,0))</f>
        <v>EQ</v>
      </c>
      <c r="D5765" t="str">
        <f>INDEX(nse!C:C,MATCH(B5765,nse!B:B,0))</f>
        <v>Union Bank of India</v>
      </c>
    </row>
    <row r="5766" spans="2:4" hidden="1" x14ac:dyDescent="0.3">
      <c r="B5766" t="s">
        <v>1208</v>
      </c>
      <c r="C5766" t="str">
        <f>INDEX(nse!D:D,MATCH(B5766,nse!B:B,0))</f>
        <v>BE</v>
      </c>
      <c r="D5766" t="str">
        <f>INDEX(nse!C:C,MATCH(B5766,nse!B:B,0))</f>
        <v>Uniply Industries Limited</v>
      </c>
    </row>
    <row r="5767" spans="2:4" hidden="1" x14ac:dyDescent="0.3">
      <c r="B5767" t="s">
        <v>106</v>
      </c>
      <c r="C5767" t="str">
        <f>INDEX(nse!D:D,MATCH(B5767,nse!B:B,0))</f>
        <v>EQ</v>
      </c>
      <c r="D5767" t="str">
        <f>INDEX(nse!C:C,MATCH(B5767,nse!B:B,0))</f>
        <v>Unitech Limited</v>
      </c>
    </row>
    <row r="5768" spans="2:4" hidden="1" x14ac:dyDescent="0.3">
      <c r="B5768" t="s">
        <v>1209</v>
      </c>
      <c r="C5768" t="str">
        <f>INDEX(nse!D:D,MATCH(B5768,nse!B:B,0))</f>
        <v>EQ</v>
      </c>
      <c r="D5768" t="str">
        <f>INDEX(nse!C:C,MATCH(B5768,nse!B:B,0))</f>
        <v>United Bank of India</v>
      </c>
    </row>
    <row r="5769" spans="2:4" hidden="1" x14ac:dyDescent="0.3">
      <c r="B5769" t="s">
        <v>4632</v>
      </c>
      <c r="C5769" t="str">
        <f>INDEX(nse!D:D,MATCH(B5769,nse!B:B,0))</f>
        <v>EQ</v>
      </c>
      <c r="D5769" t="str">
        <f>INDEX(nse!C:C,MATCH(B5769,nse!B:B,0))</f>
        <v>The United Nilgiri Tea Estates Company Limited</v>
      </c>
    </row>
    <row r="5770" spans="2:4" hidden="1" x14ac:dyDescent="0.3">
      <c r="B5770" t="s">
        <v>1210</v>
      </c>
      <c r="C5770" t="str">
        <f>INDEX(nse!D:D,MATCH(B5770,nse!B:B,0))</f>
        <v>EQ</v>
      </c>
      <c r="D5770" t="str">
        <f>INDEX(nse!C:C,MATCH(B5770,nse!B:B,0))</f>
        <v>Unity Infraprojects Limited</v>
      </c>
    </row>
    <row r="5771" spans="2:4" hidden="1" x14ac:dyDescent="0.3">
      <c r="B5771" t="s">
        <v>1211</v>
      </c>
      <c r="C5771" t="str">
        <f>INDEX(nse!D:D,MATCH(B5771,nse!B:B,0))</f>
        <v>EQ</v>
      </c>
      <c r="D5771" t="str">
        <f>INDEX(nse!C:C,MATCH(B5771,nse!B:B,0))</f>
        <v>Universal Cables Limited</v>
      </c>
    </row>
    <row r="5772" spans="2:4" hidden="1" x14ac:dyDescent="0.3">
      <c r="B5772" t="s">
        <v>104</v>
      </c>
      <c r="C5772" t="str">
        <f>INDEX(nse!D:D,MATCH(B5772,nse!B:B,0))</f>
        <v>EQ</v>
      </c>
      <c r="D5772" t="str">
        <f>INDEX(nse!C:C,MATCH(B5772,nse!B:B,0))</f>
        <v>UPL Limited</v>
      </c>
    </row>
    <row r="5773" spans="2:4" hidden="1" x14ac:dyDescent="0.3">
      <c r="B5773" t="s">
        <v>4638</v>
      </c>
      <c r="C5773" t="str">
        <f>INDEX(nse!D:D,MATCH(B5773,nse!B:B,0))</f>
        <v>BE</v>
      </c>
      <c r="D5773" t="str">
        <f>INDEX(nse!C:C,MATCH(B5773,nse!B:B,0))</f>
        <v>Urja Global Limited</v>
      </c>
    </row>
    <row r="5774" spans="2:4" hidden="1" x14ac:dyDescent="0.3">
      <c r="B5774" t="s">
        <v>1212</v>
      </c>
      <c r="C5774" t="str">
        <f>INDEX(nse!D:D,MATCH(B5774,nse!B:B,0))</f>
        <v>EQ</v>
      </c>
      <c r="D5774" t="str">
        <f>INDEX(nse!C:C,MATCH(B5774,nse!B:B,0))</f>
        <v>Usha Martin Limited</v>
      </c>
    </row>
    <row r="5775" spans="2:4" hidden="1" x14ac:dyDescent="0.3">
      <c r="B5775" t="s">
        <v>1213</v>
      </c>
      <c r="C5775" t="str">
        <f>INDEX(nse!D:D,MATCH(B5775,nse!B:B,0))</f>
        <v>EQ</v>
      </c>
      <c r="D5775" t="str">
        <f>INDEX(nse!C:C,MATCH(B5775,nse!B:B,0))</f>
        <v>Usher Agro Limited</v>
      </c>
    </row>
    <row r="5776" spans="2:4" hidden="1" x14ac:dyDescent="0.3">
      <c r="B5776" t="s">
        <v>1214</v>
      </c>
      <c r="C5776" t="str">
        <f>INDEX(nse!D:D,MATCH(B5776,nse!B:B,0))</f>
        <v>EQ</v>
      </c>
      <c r="D5776" t="str">
        <f>INDEX(nse!C:C,MATCH(B5776,nse!B:B,0))</f>
        <v>Uttam Galva Steels Limited</v>
      </c>
    </row>
    <row r="5777" spans="2:4" hidden="1" x14ac:dyDescent="0.3">
      <c r="B5777" t="s">
        <v>1215</v>
      </c>
      <c r="C5777" t="str">
        <f>INDEX(nse!D:D,MATCH(B5777,nse!B:B,0))</f>
        <v>EQ</v>
      </c>
      <c r="D5777" t="str">
        <f>INDEX(nse!C:C,MATCH(B5777,nse!B:B,0))</f>
        <v>Uttam Sugar Mills Limited</v>
      </c>
    </row>
    <row r="5778" spans="2:4" hidden="1" x14ac:dyDescent="0.3">
      <c r="B5778" t="s">
        <v>4645</v>
      </c>
      <c r="C5778" t="str">
        <f>INDEX(nse!D:D,MATCH(B5778,nse!B:B,0))</f>
        <v>BE</v>
      </c>
      <c r="D5778" t="str">
        <f>INDEX(nse!C:C,MATCH(B5778,nse!B:B,0))</f>
        <v>Uttam Value Steels Limited</v>
      </c>
    </row>
    <row r="5779" spans="2:4" hidden="1" x14ac:dyDescent="0.3">
      <c r="B5779" t="s">
        <v>1216</v>
      </c>
      <c r="C5779" t="str">
        <f>INDEX(nse!D:D,MATCH(B5779,nse!B:B,0))</f>
        <v>EQ</v>
      </c>
      <c r="D5779" t="str">
        <f>INDEX(nse!C:C,MATCH(B5779,nse!B:B,0))</f>
        <v>V2 Retail Limited</v>
      </c>
    </row>
    <row r="5780" spans="2:4" hidden="1" x14ac:dyDescent="0.3">
      <c r="B5780" t="s">
        <v>1217</v>
      </c>
      <c r="C5780" t="str">
        <f>INDEX(nse!D:D,MATCH(B5780,nse!B:B,0))</f>
        <v>EQ</v>
      </c>
      <c r="D5780" t="str">
        <f>INDEX(nse!C:C,MATCH(B5780,nse!B:B,0))</f>
        <v>Vadilal Industries Limited</v>
      </c>
    </row>
    <row r="5781" spans="2:4" hidden="1" x14ac:dyDescent="0.3">
      <c r="B5781" t="s">
        <v>1218</v>
      </c>
      <c r="C5781" t="str">
        <f>INDEX(nse!D:D,MATCH(B5781,nse!B:B,0))</f>
        <v>BE</v>
      </c>
      <c r="D5781" t="str">
        <f>INDEX(nse!C:C,MATCH(B5781,nse!B:B,0))</f>
        <v>Vaibhav Global Limited</v>
      </c>
    </row>
    <row r="5782" spans="2:4" hidden="1" x14ac:dyDescent="0.3">
      <c r="B5782" t="s">
        <v>1219</v>
      </c>
      <c r="C5782" t="str">
        <f>INDEX(nse!D:D,MATCH(B5782,nse!B:B,0))</f>
        <v>EQ</v>
      </c>
      <c r="D5782" t="str">
        <f>INDEX(nse!C:C,MATCH(B5782,nse!B:B,0))</f>
        <v>Vakrangee Limited</v>
      </c>
    </row>
    <row r="5783" spans="2:4" hidden="1" x14ac:dyDescent="0.3">
      <c r="B5783" t="s">
        <v>1220</v>
      </c>
      <c r="C5783" t="str">
        <f>INDEX(nse!D:D,MATCH(B5783,nse!B:B,0))</f>
        <v>EQ</v>
      </c>
      <c r="D5783" t="str">
        <f>INDEX(nse!C:C,MATCH(B5783,nse!B:B,0))</f>
        <v>Value Industries Limited</v>
      </c>
    </row>
    <row r="5784" spans="2:4" hidden="1" x14ac:dyDescent="0.3">
      <c r="B5784" t="s">
        <v>1221</v>
      </c>
      <c r="C5784" t="str">
        <f>INDEX(nse!D:D,MATCH(B5784,nse!B:B,0))</f>
        <v>EQ</v>
      </c>
      <c r="D5784" t="str">
        <f>INDEX(nse!C:C,MATCH(B5784,nse!B:B,0))</f>
        <v>Vardhman Acrylics Limited</v>
      </c>
    </row>
    <row r="5785" spans="2:4" hidden="1" x14ac:dyDescent="0.3">
      <c r="B5785" t="s">
        <v>1222</v>
      </c>
      <c r="C5785" t="str">
        <f>INDEX(nse!D:D,MATCH(B5785,nse!B:B,0))</f>
        <v>EQ</v>
      </c>
      <c r="D5785" t="str">
        <f>INDEX(nse!C:C,MATCH(B5785,nse!B:B,0))</f>
        <v>Vardhman Polytex Limited</v>
      </c>
    </row>
    <row r="5786" spans="2:4" hidden="1" x14ac:dyDescent="0.3">
      <c r="B5786" t="s">
        <v>1223</v>
      </c>
      <c r="C5786" t="str">
        <f>INDEX(nse!D:D,MATCH(B5786,nse!B:B,0))</f>
        <v>EQ</v>
      </c>
      <c r="D5786" t="str">
        <f>INDEX(nse!C:C,MATCH(B5786,nse!B:B,0))</f>
        <v>Vascon Engineers Limited</v>
      </c>
    </row>
    <row r="5787" spans="2:4" hidden="1" x14ac:dyDescent="0.3">
      <c r="B5787" t="s">
        <v>1224</v>
      </c>
      <c r="C5787" t="str">
        <f>INDEX(nse!D:D,MATCH(B5787,nse!B:B,0))</f>
        <v>EQ</v>
      </c>
      <c r="D5787" t="str">
        <f>INDEX(nse!C:C,MATCH(B5787,nse!B:B,0))</f>
        <v>Vaswani Industries Limited</v>
      </c>
    </row>
    <row r="5788" spans="2:4" hidden="1" x14ac:dyDescent="0.3">
      <c r="B5788" t="s">
        <v>4657</v>
      </c>
      <c r="C5788" t="str">
        <f>INDEX(nse!D:D,MATCH(B5788,nse!B:B,0))</f>
        <v>EQ</v>
      </c>
      <c r="D5788" t="str">
        <f>INDEX(nse!C:C,MATCH(B5788,nse!B:B,0))</f>
        <v>Varun Beverages Limited</v>
      </c>
    </row>
    <row r="5789" spans="2:4" hidden="1" x14ac:dyDescent="0.3">
      <c r="B5789" t="s">
        <v>4660</v>
      </c>
      <c r="C5789" t="str">
        <f>INDEX(nse!D:D,MATCH(B5789,nse!B:B,0))</f>
        <v>EQ</v>
      </c>
      <c r="D5789" t="str">
        <f>INDEX(nse!C:C,MATCH(B5789,nse!B:B,0))</f>
        <v>Vedanta Limited</v>
      </c>
    </row>
    <row r="5790" spans="2:4" hidden="1" x14ac:dyDescent="0.3">
      <c r="B5790" t="s">
        <v>1225</v>
      </c>
      <c r="C5790" t="str">
        <f>INDEX(nse!D:D,MATCH(B5790,nse!B:B,0))</f>
        <v>EQ</v>
      </c>
      <c r="D5790" t="str">
        <f>INDEX(nse!C:C,MATCH(B5790,nse!B:B,0))</f>
        <v>Venky's (India) Limited</v>
      </c>
    </row>
    <row r="5791" spans="2:4" hidden="1" x14ac:dyDescent="0.3">
      <c r="B5791" t="s">
        <v>1226</v>
      </c>
      <c r="C5791" t="str">
        <f>INDEX(nse!D:D,MATCH(B5791,nse!B:B,0))</f>
        <v>EQ</v>
      </c>
      <c r="D5791" t="str">
        <f>INDEX(nse!C:C,MATCH(B5791,nse!B:B,0))</f>
        <v>Venus Remedies Limited</v>
      </c>
    </row>
    <row r="5792" spans="2:4" hidden="1" x14ac:dyDescent="0.3">
      <c r="B5792" t="s">
        <v>1227</v>
      </c>
      <c r="C5792" t="str">
        <f>INDEX(nse!D:D,MATCH(B5792,nse!B:B,0))</f>
        <v>EQ</v>
      </c>
      <c r="D5792" t="str">
        <f>INDEX(nse!C:C,MATCH(B5792,nse!B:B,0))</f>
        <v>Vesuvius India Limited</v>
      </c>
    </row>
    <row r="5793" spans="2:4" hidden="1" x14ac:dyDescent="0.3">
      <c r="B5793" t="s">
        <v>1339</v>
      </c>
      <c r="C5793" t="str">
        <f>INDEX(nse!D:D,MATCH(B5793,nse!B:B,0))</f>
        <v>EQ</v>
      </c>
      <c r="D5793" t="str">
        <f>INDEX(nse!C:C,MATCH(B5793,nse!B:B,0))</f>
        <v>Veto Switchgears And Cables Limited</v>
      </c>
    </row>
    <row r="5794" spans="2:4" hidden="1" x14ac:dyDescent="0.3">
      <c r="B5794" t="s">
        <v>1228</v>
      </c>
      <c r="C5794" t="str">
        <f>INDEX(nse!D:D,MATCH(B5794,nse!B:B,0))</f>
        <v>EQ</v>
      </c>
      <c r="D5794" t="str">
        <f>INDEX(nse!C:C,MATCH(B5794,nse!B:B,0))</f>
        <v>V-Guard Industries Limited</v>
      </c>
    </row>
    <row r="5795" spans="2:4" hidden="1" x14ac:dyDescent="0.3">
      <c r="B5795" t="s">
        <v>1229</v>
      </c>
      <c r="C5795" t="str">
        <f>INDEX(nse!D:D,MATCH(B5795,nse!B:B,0))</f>
        <v>EQ</v>
      </c>
      <c r="D5795" t="str">
        <f>INDEX(nse!C:C,MATCH(B5795,nse!B:B,0))</f>
        <v>Vardhman Holdings Limited</v>
      </c>
    </row>
    <row r="5796" spans="2:4" hidden="1" x14ac:dyDescent="0.3">
      <c r="B5796" t="s">
        <v>1230</v>
      </c>
      <c r="C5796" t="str">
        <f>INDEX(nse!D:D,MATCH(B5796,nse!B:B,0))</f>
        <v>EQ</v>
      </c>
      <c r="D5796" t="str">
        <f>INDEX(nse!C:C,MATCH(B5796,nse!B:B,0))</f>
        <v>Viceroy Hotels Limited</v>
      </c>
    </row>
    <row r="5797" spans="2:4" hidden="1" x14ac:dyDescent="0.3">
      <c r="B5797" t="s">
        <v>1231</v>
      </c>
      <c r="C5797" t="str">
        <f>INDEX(nse!D:D,MATCH(B5797,nse!B:B,0))</f>
        <v>EQ</v>
      </c>
      <c r="D5797" t="str">
        <f>INDEX(nse!C:C,MATCH(B5797,nse!B:B,0))</f>
        <v>Videocon Industries Limited</v>
      </c>
    </row>
    <row r="5798" spans="2:4" hidden="1" x14ac:dyDescent="0.3">
      <c r="B5798" t="s">
        <v>4671</v>
      </c>
      <c r="C5798" t="str">
        <f>INDEX(nse!D:D,MATCH(B5798,nse!B:B,0))</f>
        <v>EQ</v>
      </c>
      <c r="D5798" t="str">
        <f>INDEX(nse!C:C,MATCH(B5798,nse!B:B,0))</f>
        <v>Vidhi Specialty Food Ingredients Limited</v>
      </c>
    </row>
    <row r="5799" spans="2:4" hidden="1" x14ac:dyDescent="0.3">
      <c r="B5799" t="s">
        <v>1232</v>
      </c>
      <c r="C5799" t="str">
        <f>INDEX(nse!D:D,MATCH(B5799,nse!B:B,0))</f>
        <v>EQ</v>
      </c>
      <c r="D5799" t="str">
        <f>INDEX(nse!C:C,MATCH(B5799,nse!B:B,0))</f>
        <v>Vijaya Bank</v>
      </c>
    </row>
    <row r="5800" spans="2:4" hidden="1" x14ac:dyDescent="0.3">
      <c r="B5800" t="s">
        <v>4675</v>
      </c>
      <c r="C5800" t="str">
        <f>INDEX(nse!D:D,MATCH(B5800,nse!B:B,0))</f>
        <v>BE</v>
      </c>
      <c r="D5800" t="str">
        <f>INDEX(nse!C:C,MATCH(B5800,nse!B:B,0))</f>
        <v>Viji Finance Limited</v>
      </c>
    </row>
    <row r="5801" spans="2:4" hidden="1" x14ac:dyDescent="0.3">
      <c r="B5801" t="s">
        <v>1233</v>
      </c>
      <c r="C5801" t="str">
        <f>INDEX(nse!D:D,MATCH(B5801,nse!B:B,0))</f>
        <v>EQ</v>
      </c>
      <c r="D5801" t="str">
        <f>INDEX(nse!C:C,MATCH(B5801,nse!B:B,0))</f>
        <v>Vijay Shanthi Builders Limited</v>
      </c>
    </row>
    <row r="5802" spans="2:4" hidden="1" x14ac:dyDescent="0.3">
      <c r="B5802" t="s">
        <v>4679</v>
      </c>
      <c r="C5802" t="str">
        <f>INDEX(nse!D:D,MATCH(B5802,nse!B:B,0))</f>
        <v>EQ</v>
      </c>
      <c r="D5802" t="str">
        <f>INDEX(nse!C:C,MATCH(B5802,nse!B:B,0))</f>
        <v>Vikas EcoTech Limited</v>
      </c>
    </row>
    <row r="5803" spans="2:4" hidden="1" x14ac:dyDescent="0.3">
      <c r="B5803" t="s">
        <v>1234</v>
      </c>
      <c r="C5803" t="str">
        <f>INDEX(nse!D:D,MATCH(B5803,nse!B:B,0))</f>
        <v>BE</v>
      </c>
      <c r="D5803" t="str">
        <f>INDEX(nse!C:C,MATCH(B5803,nse!B:B,0))</f>
        <v>Vimal Oil &amp; Foods Limited</v>
      </c>
    </row>
    <row r="5804" spans="2:4" hidden="1" x14ac:dyDescent="0.3">
      <c r="B5804" t="s">
        <v>1235</v>
      </c>
      <c r="C5804" t="str">
        <f>INDEX(nse!D:D,MATCH(B5804,nse!B:B,0))</f>
        <v>EQ</v>
      </c>
      <c r="D5804" t="str">
        <f>INDEX(nse!C:C,MATCH(B5804,nse!B:B,0))</f>
        <v>Vimta Labs Limited</v>
      </c>
    </row>
    <row r="5805" spans="2:4" hidden="1" x14ac:dyDescent="0.3">
      <c r="B5805" t="s">
        <v>1236</v>
      </c>
      <c r="C5805" t="str">
        <f>INDEX(nse!D:D,MATCH(B5805,nse!B:B,0))</f>
        <v>EQ</v>
      </c>
      <c r="D5805" t="str">
        <f>INDEX(nse!C:C,MATCH(B5805,nse!B:B,0))</f>
        <v>Vinati Organics Limited</v>
      </c>
    </row>
    <row r="5806" spans="2:4" hidden="1" x14ac:dyDescent="0.3">
      <c r="B5806" t="s">
        <v>1237</v>
      </c>
      <c r="C5806" t="str">
        <f>INDEX(nse!D:D,MATCH(B5806,nse!B:B,0))</f>
        <v>EQ</v>
      </c>
      <c r="D5806" t="str">
        <f>INDEX(nse!C:C,MATCH(B5806,nse!B:B,0))</f>
        <v>Vindhya Telelinks Limited</v>
      </c>
    </row>
    <row r="5807" spans="2:4" hidden="1" x14ac:dyDescent="0.3">
      <c r="B5807" t="s">
        <v>1238</v>
      </c>
      <c r="C5807" t="str">
        <f>INDEX(nse!D:D,MATCH(B5807,nse!B:B,0))</f>
        <v>EQ</v>
      </c>
      <c r="D5807" t="str">
        <f>INDEX(nse!C:C,MATCH(B5807,nse!B:B,0))</f>
        <v>Vinyl Chemicals (India) Limited</v>
      </c>
    </row>
    <row r="5808" spans="2:4" hidden="1" x14ac:dyDescent="0.3">
      <c r="B5808" t="s">
        <v>4687</v>
      </c>
      <c r="C5808" t="str">
        <f>INDEX(nse!D:D,MATCH(B5808,nse!B:B,0))</f>
        <v>EQ</v>
      </c>
      <c r="D5808" t="str">
        <f>INDEX(nse!C:C,MATCH(B5808,nse!B:B,0))</f>
        <v>VIP Clothing Limited</v>
      </c>
    </row>
    <row r="5809" spans="2:4" hidden="1" x14ac:dyDescent="0.3">
      <c r="B5809" t="s">
        <v>1239</v>
      </c>
      <c r="C5809" t="str">
        <f>INDEX(nse!D:D,MATCH(B5809,nse!B:B,0))</f>
        <v>EQ</v>
      </c>
      <c r="D5809" t="str">
        <f>INDEX(nse!C:C,MATCH(B5809,nse!B:B,0))</f>
        <v>VIP Industries Limited</v>
      </c>
    </row>
    <row r="5810" spans="2:4" hidden="1" x14ac:dyDescent="0.3">
      <c r="B5810" t="s">
        <v>4691</v>
      </c>
      <c r="C5810" t="str">
        <f>INDEX(nse!D:D,MATCH(B5810,nse!B:B,0))</f>
        <v>EQ</v>
      </c>
      <c r="D5810" t="str">
        <f>INDEX(nse!C:C,MATCH(B5810,nse!B:B,0))</f>
        <v>Vipul Limited</v>
      </c>
    </row>
    <row r="5811" spans="2:4" hidden="1" x14ac:dyDescent="0.3">
      <c r="B5811" t="s">
        <v>1240</v>
      </c>
      <c r="C5811" t="str">
        <f>INDEX(nse!D:D,MATCH(B5811,nse!B:B,0))</f>
        <v>EQ</v>
      </c>
      <c r="D5811" t="str">
        <f>INDEX(nse!C:C,MATCH(B5811,nse!B:B,0))</f>
        <v>Visaka Industries Limited</v>
      </c>
    </row>
    <row r="5812" spans="2:4" hidden="1" x14ac:dyDescent="0.3">
      <c r="B5812" t="s">
        <v>1241</v>
      </c>
      <c r="C5812" t="str">
        <f>INDEX(nse!D:D,MATCH(B5812,nse!B:B,0))</f>
        <v>EQ</v>
      </c>
      <c r="D5812" t="str">
        <f>INDEX(nse!C:C,MATCH(B5812,nse!B:B,0))</f>
        <v>Visa Steel Limited</v>
      </c>
    </row>
    <row r="5813" spans="2:4" hidden="1" x14ac:dyDescent="0.3">
      <c r="B5813" t="s">
        <v>1242</v>
      </c>
      <c r="C5813" t="str">
        <f>INDEX(nse!D:D,MATCH(B5813,nse!B:B,0))</f>
        <v>BE</v>
      </c>
      <c r="D5813" t="str">
        <f>INDEX(nse!C:C,MATCH(B5813,nse!B:B,0))</f>
        <v>Visesh Infotecnics Limited</v>
      </c>
    </row>
    <row r="5814" spans="2:4" hidden="1" x14ac:dyDescent="0.3">
      <c r="B5814" t="s">
        <v>4697</v>
      </c>
      <c r="C5814" t="str">
        <f>INDEX(nse!D:D,MATCH(B5814,nse!B:B,0))</f>
        <v>EQ</v>
      </c>
      <c r="D5814" t="str">
        <f>INDEX(nse!C:C,MATCH(B5814,nse!B:B,0))</f>
        <v>Vishnu Chemicals Limited</v>
      </c>
    </row>
    <row r="5815" spans="2:4" hidden="1" x14ac:dyDescent="0.3">
      <c r="B5815" t="s">
        <v>1338</v>
      </c>
      <c r="C5815" t="str">
        <f>INDEX(nse!D:D,MATCH(B5815,nse!B:B,0))</f>
        <v>BE</v>
      </c>
      <c r="D5815" t="str">
        <f>INDEX(nse!C:C,MATCH(B5815,nse!B:B,0))</f>
        <v>Visu International Limited</v>
      </c>
    </row>
    <row r="5816" spans="2:4" hidden="1" x14ac:dyDescent="0.3">
      <c r="B5816" t="s">
        <v>1243</v>
      </c>
      <c r="C5816" t="str">
        <f>INDEX(nse!D:D,MATCH(B5816,nse!B:B,0))</f>
        <v>EQ</v>
      </c>
      <c r="D5816" t="str">
        <f>INDEX(nse!C:C,MATCH(B5816,nse!B:B,0))</f>
        <v>Visagar Polytex Limited</v>
      </c>
    </row>
    <row r="5817" spans="2:4" hidden="1" x14ac:dyDescent="0.3">
      <c r="B5817" t="s">
        <v>1244</v>
      </c>
      <c r="C5817" t="str">
        <f>INDEX(nse!D:D,MATCH(B5817,nse!B:B,0))</f>
        <v>EQ</v>
      </c>
      <c r="D5817" t="str">
        <f>INDEX(nse!C:C,MATCH(B5817,nse!B:B,0))</f>
        <v>Vivimed Labs Limited</v>
      </c>
    </row>
    <row r="5818" spans="2:4" hidden="1" x14ac:dyDescent="0.3">
      <c r="B5818" t="s">
        <v>1245</v>
      </c>
      <c r="C5818" t="str">
        <f>INDEX(nse!D:D,MATCH(B5818,nse!B:B,0))</f>
        <v>EQ</v>
      </c>
      <c r="D5818" t="str">
        <f>INDEX(nse!C:C,MATCH(B5818,nse!B:B,0))</f>
        <v>VLS Finance Limited</v>
      </c>
    </row>
    <row r="5819" spans="2:4" hidden="1" x14ac:dyDescent="0.3">
      <c r="B5819" t="s">
        <v>1246</v>
      </c>
      <c r="C5819" t="str">
        <f>INDEX(nse!D:D,MATCH(B5819,nse!B:B,0))</f>
        <v>EQ</v>
      </c>
      <c r="D5819" t="str">
        <f>INDEX(nse!C:C,MATCH(B5819,nse!B:B,0))</f>
        <v>V-Mart Retail Limited</v>
      </c>
    </row>
    <row r="5820" spans="2:4" hidden="1" x14ac:dyDescent="0.3">
      <c r="B5820" t="s">
        <v>1247</v>
      </c>
      <c r="C5820" t="str">
        <f>INDEX(nse!D:D,MATCH(B5820,nse!B:B,0))</f>
        <v>EQ</v>
      </c>
      <c r="D5820" t="str">
        <f>INDEX(nse!C:C,MATCH(B5820,nse!B:B,0))</f>
        <v>Voltamp Transformers Limited</v>
      </c>
    </row>
    <row r="5821" spans="2:4" hidden="1" x14ac:dyDescent="0.3">
      <c r="B5821" t="s">
        <v>1247</v>
      </c>
      <c r="C5821" t="str">
        <f>INDEX(nse!D:D,MATCH(B5821,nse!B:B,0))</f>
        <v>EQ</v>
      </c>
      <c r="D5821" t="str">
        <f>INDEX(nse!C:C,MATCH(B5821,nse!B:B,0))</f>
        <v>Voltamp Transformers Limited</v>
      </c>
    </row>
    <row r="5822" spans="2:4" hidden="1" x14ac:dyDescent="0.3">
      <c r="B5822" t="s">
        <v>108</v>
      </c>
      <c r="C5822" t="str">
        <f>INDEX(nse!D:D,MATCH(B5822,nse!B:B,0))</f>
        <v>EQ</v>
      </c>
      <c r="D5822" t="str">
        <f>INDEX(nse!C:C,MATCH(B5822,nse!B:B,0))</f>
        <v>Voltas Limited</v>
      </c>
    </row>
    <row r="5823" spans="2:4" hidden="1" x14ac:dyDescent="0.3">
      <c r="B5823" t="s">
        <v>4707</v>
      </c>
      <c r="C5823" t="str">
        <f>INDEX(nse!D:D,MATCH(B5823,nse!B:B,0))</f>
        <v>EQ</v>
      </c>
      <c r="D5823" t="str">
        <f>INDEX(nse!C:C,MATCH(B5823,nse!B:B,0))</f>
        <v>VRL Logistics Limited</v>
      </c>
    </row>
    <row r="5824" spans="2:4" hidden="1" x14ac:dyDescent="0.3">
      <c r="B5824" t="s">
        <v>1248</v>
      </c>
      <c r="C5824" t="str">
        <f>INDEX(nse!D:D,MATCH(B5824,nse!B:B,0))</f>
        <v>EQ</v>
      </c>
      <c r="D5824" t="str">
        <f>INDEX(nse!C:C,MATCH(B5824,nse!B:B,0))</f>
        <v>Vardhman Special Steels Limited</v>
      </c>
    </row>
    <row r="5825" spans="2:4" hidden="1" x14ac:dyDescent="0.3">
      <c r="B5825" t="s">
        <v>1249</v>
      </c>
      <c r="C5825" t="str">
        <f>INDEX(nse!D:D,MATCH(B5825,nse!B:B,0))</f>
        <v>EQ</v>
      </c>
      <c r="D5825" t="str">
        <f>INDEX(nse!C:C,MATCH(B5825,nse!B:B,0))</f>
        <v>VST Industries Limited</v>
      </c>
    </row>
    <row r="5826" spans="2:4" hidden="1" x14ac:dyDescent="0.3">
      <c r="B5826" t="s">
        <v>1250</v>
      </c>
      <c r="C5826" t="str">
        <f>INDEX(nse!D:D,MATCH(B5826,nse!B:B,0))</f>
        <v>EQ</v>
      </c>
      <c r="D5826" t="str">
        <f>INDEX(nse!C:C,MATCH(B5826,nse!B:B,0))</f>
        <v>V.S.T Tillers Tractors Limited</v>
      </c>
    </row>
    <row r="5827" spans="2:4" hidden="1" x14ac:dyDescent="0.3">
      <c r="B5827" t="s">
        <v>1251</v>
      </c>
      <c r="C5827" t="str">
        <f>INDEX(nse!D:D,MATCH(B5827,nse!B:B,0))</f>
        <v>EQ</v>
      </c>
      <c r="D5827" t="str">
        <f>INDEX(nse!C:C,MATCH(B5827,nse!B:B,0))</f>
        <v>Vardhman Textiles Limited</v>
      </c>
    </row>
    <row r="5828" spans="2:4" hidden="1" x14ac:dyDescent="0.3">
      <c r="B5828" t="s">
        <v>1252</v>
      </c>
      <c r="C5828" t="str">
        <f>INDEX(nse!D:D,MATCH(B5828,nse!B:B,0))</f>
        <v>EQ</v>
      </c>
      <c r="D5828" t="str">
        <f>INDEX(nse!C:C,MATCH(B5828,nse!B:B,0))</f>
        <v>VA Tech Wabag Limited</v>
      </c>
    </row>
    <row r="5829" spans="2:4" hidden="1" x14ac:dyDescent="0.3">
      <c r="B5829" t="s">
        <v>1253</v>
      </c>
      <c r="C5829" t="str">
        <f>INDEX(nse!D:D,MATCH(B5829,nse!B:B,0))</f>
        <v>EQ</v>
      </c>
      <c r="D5829" t="str">
        <f>INDEX(nse!C:C,MATCH(B5829,nse!B:B,0))</f>
        <v>WABCO India Limited</v>
      </c>
    </row>
    <row r="5830" spans="2:4" hidden="1" x14ac:dyDescent="0.3">
      <c r="B5830" t="s">
        <v>1254</v>
      </c>
      <c r="C5830" t="str">
        <f>INDEX(nse!D:D,MATCH(B5830,nse!B:B,0))</f>
        <v>EQ</v>
      </c>
      <c r="D5830" t="str">
        <f>INDEX(nse!C:C,MATCH(B5830,nse!B:B,0))</f>
        <v>Walchandnagar Industries Limited</v>
      </c>
    </row>
    <row r="5831" spans="2:4" hidden="1" x14ac:dyDescent="0.3">
      <c r="B5831" t="s">
        <v>1255</v>
      </c>
      <c r="C5831" t="str">
        <f>INDEX(nse!D:D,MATCH(B5831,nse!B:B,0))</f>
        <v>BE</v>
      </c>
      <c r="D5831" t="str">
        <f>INDEX(nse!C:C,MATCH(B5831,nse!B:B,0))</f>
        <v>Wanbury Limited</v>
      </c>
    </row>
    <row r="5832" spans="2:4" hidden="1" x14ac:dyDescent="0.3">
      <c r="B5832" t="s">
        <v>1256</v>
      </c>
      <c r="C5832" t="str">
        <f>INDEX(nse!D:D,MATCH(B5832,nse!B:B,0))</f>
        <v>BE</v>
      </c>
      <c r="D5832" t="str">
        <f>INDEX(nse!C:C,MATCH(B5832,nse!B:B,0))</f>
        <v>Websol Energy System Limited</v>
      </c>
    </row>
    <row r="5833" spans="2:4" hidden="1" x14ac:dyDescent="0.3">
      <c r="B5833" t="s">
        <v>1257</v>
      </c>
      <c r="C5833" t="str">
        <f>INDEX(nse!D:D,MATCH(B5833,nse!B:B,0))</f>
        <v>EQ</v>
      </c>
      <c r="D5833" t="str">
        <f>INDEX(nse!C:C,MATCH(B5833,nse!B:B,0))</f>
        <v>Weizmann Forex Limited</v>
      </c>
    </row>
    <row r="5834" spans="2:4" hidden="1" x14ac:dyDescent="0.3">
      <c r="B5834" t="s">
        <v>1258</v>
      </c>
      <c r="C5834" t="str">
        <f>INDEX(nse!D:D,MATCH(B5834,nse!B:B,0))</f>
        <v>EQ</v>
      </c>
      <c r="D5834" t="str">
        <f>INDEX(nse!C:C,MATCH(B5834,nse!B:B,0))</f>
        <v>Weizmann Limited</v>
      </c>
    </row>
    <row r="5835" spans="2:4" hidden="1" x14ac:dyDescent="0.3">
      <c r="B5835" t="s">
        <v>1259</v>
      </c>
      <c r="C5835" t="str">
        <f>INDEX(nse!D:D,MATCH(B5835,nse!B:B,0))</f>
        <v>EQ</v>
      </c>
      <c r="D5835" t="str">
        <f>INDEX(nse!C:C,MATCH(B5835,nse!B:B,0))</f>
        <v>Welspun Corp Limited</v>
      </c>
    </row>
    <row r="5836" spans="2:4" hidden="1" x14ac:dyDescent="0.3">
      <c r="B5836" t="s">
        <v>4722</v>
      </c>
      <c r="C5836" t="str">
        <f>INDEX(nse!D:D,MATCH(B5836,nse!B:B,0))</f>
        <v>EQ</v>
      </c>
      <c r="D5836" t="str">
        <f>INDEX(nse!C:C,MATCH(B5836,nse!B:B,0))</f>
        <v>Welspun Enterprises Limited</v>
      </c>
    </row>
    <row r="5837" spans="2:4" hidden="1" x14ac:dyDescent="0.3">
      <c r="B5837" t="s">
        <v>1260</v>
      </c>
      <c r="C5837" t="str">
        <f>INDEX(nse!D:D,MATCH(B5837,nse!B:B,0))</f>
        <v>EQ</v>
      </c>
      <c r="D5837" t="str">
        <f>INDEX(nse!C:C,MATCH(B5837,nse!B:B,0))</f>
        <v>Welspun Investments and Commercials Limited</v>
      </c>
    </row>
    <row r="5838" spans="2:4" hidden="1" x14ac:dyDescent="0.3">
      <c r="B5838" t="s">
        <v>1261</v>
      </c>
      <c r="C5838" t="str">
        <f>INDEX(nse!D:D,MATCH(B5838,nse!B:B,0))</f>
        <v>EQ</v>
      </c>
      <c r="D5838" t="str">
        <f>INDEX(nse!C:C,MATCH(B5838,nse!B:B,0))</f>
        <v>Welspun India Limited</v>
      </c>
    </row>
    <row r="5839" spans="2:4" hidden="1" x14ac:dyDescent="0.3">
      <c r="B5839" t="s">
        <v>1262</v>
      </c>
      <c r="C5839" t="str">
        <f>INDEX(nse!D:D,MATCH(B5839,nse!B:B,0))</f>
        <v>EQ</v>
      </c>
      <c r="D5839" t="str">
        <f>INDEX(nse!C:C,MATCH(B5839,nse!B:B,0))</f>
        <v>Wendt (India) Limited</v>
      </c>
    </row>
    <row r="5840" spans="2:4" hidden="1" x14ac:dyDescent="0.3">
      <c r="B5840" t="s">
        <v>1263</v>
      </c>
      <c r="C5840" t="str">
        <f>INDEX(nse!D:D,MATCH(B5840,nse!B:B,0))</f>
        <v>EQ</v>
      </c>
      <c r="D5840" t="str">
        <f>INDEX(nse!C:C,MATCH(B5840,nse!B:B,0))</f>
        <v>Wheels India Limited</v>
      </c>
    </row>
    <row r="5841" spans="2:4" hidden="1" x14ac:dyDescent="0.3">
      <c r="B5841" t="s">
        <v>1264</v>
      </c>
      <c r="C5841" t="str">
        <f>INDEX(nse!D:D,MATCH(B5841,nse!B:B,0))</f>
        <v>EQ</v>
      </c>
      <c r="D5841" t="str">
        <f>INDEX(nse!C:C,MATCH(B5841,nse!B:B,0))</f>
        <v>Whirlpool of India Limited</v>
      </c>
    </row>
    <row r="5842" spans="2:4" hidden="1" x14ac:dyDescent="0.3">
      <c r="B5842" t="s">
        <v>1265</v>
      </c>
      <c r="C5842" t="str">
        <f>INDEX(nse!D:D,MATCH(B5842,nse!B:B,0))</f>
        <v>BE</v>
      </c>
      <c r="D5842" t="str">
        <f>INDEX(nse!C:C,MATCH(B5842,nse!B:B,0))</f>
        <v>Williamson Magor &amp; Company Limited</v>
      </c>
    </row>
    <row r="5843" spans="2:4" hidden="1" x14ac:dyDescent="0.3">
      <c r="B5843" t="s">
        <v>1266</v>
      </c>
      <c r="C5843" t="str">
        <f>INDEX(nse!D:D,MATCH(B5843,nse!B:B,0))</f>
        <v>EQ</v>
      </c>
      <c r="D5843" t="str">
        <f>INDEX(nse!C:C,MATCH(B5843,nse!B:B,0))</f>
        <v>Windsor Machines Limited</v>
      </c>
    </row>
    <row r="5844" spans="2:4" hidden="1" x14ac:dyDescent="0.3">
      <c r="B5844" t="s">
        <v>1267</v>
      </c>
      <c r="C5844" t="str">
        <f>INDEX(nse!D:D,MATCH(B5844,nse!B:B,0))</f>
        <v>EQ</v>
      </c>
      <c r="D5844" t="str">
        <f>INDEX(nse!C:C,MATCH(B5844,nse!B:B,0))</f>
        <v>Winsome Yarns Limited</v>
      </c>
    </row>
    <row r="5845" spans="2:4" hidden="1" x14ac:dyDescent="0.3">
      <c r="B5845" t="s">
        <v>4732</v>
      </c>
      <c r="C5845" t="str">
        <f>INDEX(nse!D:D,MATCH(B5845,nse!B:B,0))</f>
        <v>BE</v>
      </c>
      <c r="D5845" t="str">
        <f>INDEX(nse!C:C,MATCH(B5845,nse!B:B,0))</f>
        <v>The Western India Plywoods Limited</v>
      </c>
    </row>
    <row r="5846" spans="2:4" hidden="1" x14ac:dyDescent="0.3">
      <c r="B5846" t="s">
        <v>126</v>
      </c>
      <c r="C5846" t="str">
        <f>INDEX(nse!D:D,MATCH(B5846,nse!B:B,0))</f>
        <v>EQ</v>
      </c>
      <c r="D5846" t="str">
        <f>INDEX(nse!C:C,MATCH(B5846,nse!B:B,0))</f>
        <v>Wipro Limited</v>
      </c>
    </row>
    <row r="5847" spans="2:4" hidden="1" x14ac:dyDescent="0.3">
      <c r="B5847" t="s">
        <v>1268</v>
      </c>
      <c r="C5847" t="str">
        <f>INDEX(nse!D:D,MATCH(B5847,nse!B:B,0))</f>
        <v>EQ</v>
      </c>
      <c r="D5847" t="str">
        <f>INDEX(nse!C:C,MATCH(B5847,nse!B:B,0))</f>
        <v>Wockhardt Limited</v>
      </c>
    </row>
    <row r="5848" spans="2:4" hidden="1" x14ac:dyDescent="0.3">
      <c r="B5848" t="s">
        <v>1269</v>
      </c>
      <c r="C5848" t="str">
        <f>INDEX(nse!D:D,MATCH(B5848,nse!B:B,0))</f>
        <v>EQ</v>
      </c>
      <c r="D5848" t="str">
        <f>INDEX(nse!C:C,MATCH(B5848,nse!B:B,0))</f>
        <v>Wonderla Holidays Limited</v>
      </c>
    </row>
    <row r="5849" spans="2:4" hidden="1" x14ac:dyDescent="0.3">
      <c r="B5849" t="s">
        <v>1270</v>
      </c>
      <c r="C5849" t="str">
        <f>INDEX(nse!D:D,MATCH(B5849,nse!B:B,0))</f>
        <v>EQ</v>
      </c>
      <c r="D5849" t="str">
        <f>INDEX(nse!C:C,MATCH(B5849,nse!B:B,0))</f>
        <v>W S Industries (I) Limited</v>
      </c>
    </row>
    <row r="5850" spans="2:4" hidden="1" x14ac:dyDescent="0.3">
      <c r="B5850" t="s">
        <v>1271</v>
      </c>
      <c r="C5850" t="str">
        <f>INDEX(nse!D:D,MATCH(B5850,nse!B:B,0))</f>
        <v>EQ</v>
      </c>
      <c r="D5850" t="str">
        <f>INDEX(nse!C:C,MATCH(B5850,nse!B:B,0))</f>
        <v>West Coast Paper Mills Limited</v>
      </c>
    </row>
    <row r="5851" spans="2:4" hidden="1" x14ac:dyDescent="0.3">
      <c r="B5851" t="s">
        <v>1272</v>
      </c>
      <c r="C5851" t="str">
        <f>INDEX(nse!D:D,MATCH(B5851,nse!B:B,0))</f>
        <v>EQ</v>
      </c>
      <c r="D5851" t="str">
        <f>INDEX(nse!C:C,MATCH(B5851,nse!B:B,0))</f>
        <v>Xchanging Solutions Limited</v>
      </c>
    </row>
    <row r="5852" spans="2:4" hidden="1" x14ac:dyDescent="0.3">
      <c r="B5852" t="s">
        <v>1273</v>
      </c>
      <c r="C5852" t="str">
        <f>INDEX(nse!D:D,MATCH(B5852,nse!B:B,0))</f>
        <v>EQ</v>
      </c>
      <c r="D5852" t="str">
        <f>INDEX(nse!C:C,MATCH(B5852,nse!B:B,0))</f>
        <v>XL Energy Limited</v>
      </c>
    </row>
    <row r="5853" spans="2:4" hidden="1" x14ac:dyDescent="0.3">
      <c r="B5853" t="s">
        <v>1274</v>
      </c>
      <c r="C5853" t="str">
        <f>INDEX(nse!D:D,MATCH(B5853,nse!B:B,0))</f>
        <v>EQ</v>
      </c>
      <c r="D5853" t="str">
        <f>INDEX(nse!C:C,MATCH(B5853,nse!B:B,0))</f>
        <v>Xpro India Limited</v>
      </c>
    </row>
    <row r="5854" spans="2:4" hidden="1" x14ac:dyDescent="0.3">
      <c r="B5854" t="s">
        <v>1275</v>
      </c>
      <c r="C5854" t="str">
        <f>INDEX(nse!D:D,MATCH(B5854,nse!B:B,0))</f>
        <v>EQ</v>
      </c>
      <c r="D5854" t="str">
        <f>INDEX(nse!C:C,MATCH(B5854,nse!B:B,0))</f>
        <v>Yes Bank Limited</v>
      </c>
    </row>
    <row r="5855" spans="2:4" hidden="1" x14ac:dyDescent="0.3">
      <c r="B5855" t="s">
        <v>1276</v>
      </c>
      <c r="C5855" t="str">
        <f>INDEX(nse!D:D,MATCH(B5855,nse!B:B,0))</f>
        <v>EQ</v>
      </c>
      <c r="D5855" t="str">
        <f>INDEX(nse!C:C,MATCH(B5855,nse!B:B,0))</f>
        <v>Zandu Realty Limited</v>
      </c>
    </row>
    <row r="5856" spans="2:4" hidden="1" x14ac:dyDescent="0.3">
      <c r="B5856" t="s">
        <v>1277</v>
      </c>
      <c r="C5856" t="str">
        <f>INDEX(nse!D:D,MATCH(B5856,nse!B:B,0))</f>
        <v>EQ</v>
      </c>
      <c r="D5856" t="str">
        <f>INDEX(nse!C:C,MATCH(B5856,nse!B:B,0))</f>
        <v>Zee Entertainment Enterprises Limited</v>
      </c>
    </row>
    <row r="5857" spans="2:4" hidden="1" x14ac:dyDescent="0.3">
      <c r="B5857" t="s">
        <v>1278</v>
      </c>
      <c r="C5857" t="str">
        <f>INDEX(nse!D:D,MATCH(B5857,nse!B:B,0))</f>
        <v>EQ</v>
      </c>
      <c r="D5857" t="str">
        <f>INDEX(nse!C:C,MATCH(B5857,nse!B:B,0))</f>
        <v>Zee Learn Limited</v>
      </c>
    </row>
    <row r="5858" spans="2:4" hidden="1" x14ac:dyDescent="0.3">
      <c r="B5858" t="s">
        <v>1279</v>
      </c>
      <c r="C5858" t="str">
        <f>INDEX(nse!D:D,MATCH(B5858,nse!B:B,0))</f>
        <v>EQ</v>
      </c>
      <c r="D5858" t="str">
        <f>INDEX(nse!C:C,MATCH(B5858,nse!B:B,0))</f>
        <v>Zee Media Corporation Limited</v>
      </c>
    </row>
    <row r="5859" spans="2:4" hidden="1" x14ac:dyDescent="0.3">
      <c r="B5859" t="s">
        <v>1280</v>
      </c>
      <c r="C5859" t="str">
        <f>INDEX(nse!D:D,MATCH(B5859,nse!B:B,0))</f>
        <v>EQ</v>
      </c>
      <c r="D5859" t="str">
        <f>INDEX(nse!C:C,MATCH(B5859,nse!B:B,0))</f>
        <v>Zenith Birla (India) Limited</v>
      </c>
    </row>
    <row r="5860" spans="2:4" hidden="1" x14ac:dyDescent="0.3">
      <c r="B5860" t="s">
        <v>1281</v>
      </c>
      <c r="C5860" t="str">
        <f>INDEX(nse!D:D,MATCH(B5860,nse!B:B,0))</f>
        <v>BE</v>
      </c>
      <c r="D5860" t="str">
        <f>INDEX(nse!C:C,MATCH(B5860,nse!B:B,0))</f>
        <v>Zenith Exports Limited</v>
      </c>
    </row>
    <row r="5861" spans="2:4" hidden="1" x14ac:dyDescent="0.3">
      <c r="B5861" t="s">
        <v>1282</v>
      </c>
      <c r="C5861" t="str">
        <f>INDEX(nse!D:D,MATCH(B5861,nse!B:B,0))</f>
        <v>EQ</v>
      </c>
      <c r="D5861" t="str">
        <f>INDEX(nse!C:C,MATCH(B5861,nse!B:B,0))</f>
        <v>Zensar Technologies Limited</v>
      </c>
    </row>
    <row r="5862" spans="2:4" hidden="1" x14ac:dyDescent="0.3">
      <c r="B5862" t="s">
        <v>4751</v>
      </c>
      <c r="C5862" t="str">
        <f>INDEX(nse!D:D,MATCH(B5862,nse!B:B,0))</f>
        <v>EQ</v>
      </c>
      <c r="D5862" t="str">
        <f>INDEX(nse!C:C,MATCH(B5862,nse!B:B,0))</f>
        <v>Zen Technologies Limited</v>
      </c>
    </row>
    <row r="5863" spans="2:4" hidden="1" x14ac:dyDescent="0.3">
      <c r="B5863" t="s">
        <v>1283</v>
      </c>
      <c r="C5863" t="str">
        <f>INDEX(nse!D:D,MATCH(B5863,nse!B:B,0))</f>
        <v>EQ</v>
      </c>
      <c r="D5863" t="str">
        <f>INDEX(nse!C:C,MATCH(B5863,nse!B:B,0))</f>
        <v>Zicom Electronic Security Systems Limited</v>
      </c>
    </row>
    <row r="5864" spans="2:4" hidden="1" x14ac:dyDescent="0.3">
      <c r="B5864" t="s">
        <v>1284</v>
      </c>
      <c r="C5864" t="str">
        <f>INDEX(nse!D:D,MATCH(B5864,nse!B:B,0))</f>
        <v>EQ</v>
      </c>
      <c r="D5864" t="str">
        <f>INDEX(nse!C:C,MATCH(B5864,nse!B:B,0))</f>
        <v>Zodiac Clothing Company Limited</v>
      </c>
    </row>
    <row r="5865" spans="2:4" hidden="1" x14ac:dyDescent="0.3">
      <c r="B5865" t="s">
        <v>1285</v>
      </c>
      <c r="C5865" t="str">
        <f>INDEX(nse!D:D,MATCH(B5865,nse!B:B,0))</f>
        <v>EQ</v>
      </c>
      <c r="D5865" t="str">
        <f>INDEX(nse!C:C,MATCH(B5865,nse!B:B,0))</f>
        <v>Zodiac JRD- MKJ Limited</v>
      </c>
    </row>
    <row r="5866" spans="2:4" hidden="1" x14ac:dyDescent="0.3">
      <c r="B5866" t="s">
        <v>1286</v>
      </c>
      <c r="C5866" t="str">
        <f>INDEX(nse!D:D,MATCH(B5866,nse!B:B,0))</f>
        <v>EQ</v>
      </c>
      <c r="D5866" t="str">
        <f>INDEX(nse!C:C,MATCH(B5866,nse!B:B,0))</f>
        <v>Zuari Agro Chemicals Limited</v>
      </c>
    </row>
    <row r="5867" spans="2:4" hidden="1" x14ac:dyDescent="0.3">
      <c r="B5867" t="s">
        <v>1287</v>
      </c>
      <c r="C5867" t="str">
        <f>INDEX(nse!D:D,MATCH(B5867,nse!B:B,0))</f>
        <v>EQ</v>
      </c>
      <c r="D5867" t="str">
        <f>INDEX(nse!C:C,MATCH(B5867,nse!B:B,0))</f>
        <v>Zuari Global Limited</v>
      </c>
    </row>
    <row r="5868" spans="2:4" hidden="1" x14ac:dyDescent="0.3">
      <c r="B5868" t="s">
        <v>1288</v>
      </c>
      <c r="C5868" t="str">
        <f>INDEX(nse!D:D,MATCH(B5868,nse!B:B,0))</f>
        <v>EQ</v>
      </c>
      <c r="D5868" t="str">
        <f>INDEX(nse!C:C,MATCH(B5868,nse!B:B,0))</f>
        <v>Zydus Wellness Limited</v>
      </c>
    </row>
    <row r="5869" spans="2:4" hidden="1" x14ac:dyDescent="0.3">
      <c r="B5869" t="s">
        <v>1289</v>
      </c>
      <c r="C5869" t="str">
        <f>INDEX(nse!D:D,MATCH(B5869,nse!B:B,0))</f>
        <v>EQ</v>
      </c>
      <c r="D5869" t="str">
        <f>INDEX(nse!C:C,MATCH(B5869,nse!B:B,0))</f>
        <v>Zylog Systems Limited</v>
      </c>
    </row>
    <row r="5870" spans="2:4" hidden="1" x14ac:dyDescent="0.3">
      <c r="B5870" t="s">
        <v>1014</v>
      </c>
      <c r="C5870" t="str">
        <f>INDEX(nse!D:D,MATCH(B5870,nse!B:B,0))</f>
        <v>EQ</v>
      </c>
      <c r="D5870" t="str">
        <f>INDEX(nse!C:C,MATCH(B5870,nse!B:B,0))</f>
        <v>Saregama India Limited</v>
      </c>
    </row>
    <row r="5871" spans="2:4" hidden="1" x14ac:dyDescent="0.3">
      <c r="B5871" t="s">
        <v>1015</v>
      </c>
      <c r="C5871" t="str">
        <f>INDEX(nse!D:D,MATCH(B5871,nse!B:B,0))</f>
        <v>EQ</v>
      </c>
      <c r="D5871" t="str">
        <f>INDEX(nse!C:C,MATCH(B5871,nse!B:B,0))</f>
        <v>Sarla Performance Fibers Limited</v>
      </c>
    </row>
    <row r="5872" spans="2:4" hidden="1" x14ac:dyDescent="0.3">
      <c r="B5872" t="s">
        <v>1016</v>
      </c>
      <c r="C5872" t="str">
        <f>INDEX(nse!D:D,MATCH(B5872,nse!B:B,0))</f>
        <v>EQ</v>
      </c>
      <c r="D5872" t="str">
        <f>INDEX(nse!C:C,MATCH(B5872,nse!B:B,0))</f>
        <v>Sasken Technologies Limited</v>
      </c>
    </row>
    <row r="5873" spans="2:4" hidden="1" x14ac:dyDescent="0.3">
      <c r="B5873" t="s">
        <v>4287</v>
      </c>
      <c r="C5873" t="str">
        <f>INDEX(nse!D:D,MATCH(B5873,nse!B:B,0))</f>
        <v>BE</v>
      </c>
      <c r="D5873" t="str">
        <f>INDEX(nse!C:C,MATCH(B5873,nse!B:B,0))</f>
        <v>Sastasundar Ventures Limited</v>
      </c>
    </row>
    <row r="5874" spans="2:4" hidden="1" x14ac:dyDescent="0.3">
      <c r="B5874" t="s">
        <v>1017</v>
      </c>
      <c r="C5874" t="str">
        <f>INDEX(nse!D:D,MATCH(B5874,nse!B:B,0))</f>
        <v>EQ</v>
      </c>
      <c r="D5874" t="str">
        <f>INDEX(nse!C:C,MATCH(B5874,nse!B:B,0))</f>
        <v>Sathavahana Ispat Limited</v>
      </c>
    </row>
    <row r="5875" spans="2:4" hidden="1" x14ac:dyDescent="0.3">
      <c r="B5875" t="s">
        <v>4291</v>
      </c>
      <c r="C5875" t="str">
        <f>INDEX(nse!D:D,MATCH(B5875,nse!B:B,0))</f>
        <v>EQ</v>
      </c>
      <c r="D5875" t="str">
        <f>INDEX(nse!C:C,MATCH(B5875,nse!B:B,0))</f>
        <v>Satin Creditcare Network Limited</v>
      </c>
    </row>
    <row r="5876" spans="2:4" hidden="1" x14ac:dyDescent="0.3">
      <c r="B5876" t="s">
        <v>1018</v>
      </c>
      <c r="C5876" t="str">
        <f>INDEX(nse!D:D,MATCH(B5876,nse!B:B,0))</f>
        <v>EQ</v>
      </c>
      <c r="D5876" t="str">
        <f>INDEX(nse!C:C,MATCH(B5876,nse!B:B,0))</f>
        <v>State Bank of India</v>
      </c>
    </row>
    <row r="5877" spans="2:4" hidden="1" x14ac:dyDescent="0.3">
      <c r="B5877" t="s">
        <v>4295</v>
      </c>
      <c r="C5877" t="str">
        <f>INDEX(nse!D:D,MATCH(B5877,nse!B:B,0))</f>
        <v>EQ</v>
      </c>
      <c r="D5877" t="str">
        <f>INDEX(nse!C:C,MATCH(B5877,nse!B:B,0))</f>
        <v>S Chand And Company Limited</v>
      </c>
    </row>
    <row r="5878" spans="2:4" hidden="1" x14ac:dyDescent="0.3">
      <c r="B5878" t="s">
        <v>1019</v>
      </c>
      <c r="C5878" t="str">
        <f>INDEX(nse!D:D,MATCH(B5878,nse!B:B,0))</f>
        <v>EQ</v>
      </c>
      <c r="D5878" t="str">
        <f>INDEX(nse!C:C,MATCH(B5878,nse!B:B,0))</f>
        <v>Schneider Electric Infrastructure Limited</v>
      </c>
    </row>
    <row r="5879" spans="2:4" hidden="1" x14ac:dyDescent="0.3">
      <c r="B5879" t="s">
        <v>1020</v>
      </c>
      <c r="C5879" t="str">
        <f>INDEX(nse!D:D,MATCH(B5879,nse!B:B,0))</f>
        <v>EQ</v>
      </c>
      <c r="D5879" t="str">
        <f>INDEX(nse!C:C,MATCH(B5879,nse!B:B,0))</f>
        <v>Shipping Corporation Of India Limited</v>
      </c>
    </row>
    <row r="5880" spans="2:4" hidden="1" x14ac:dyDescent="0.3">
      <c r="B5880" t="s">
        <v>1021</v>
      </c>
      <c r="C5880" t="str">
        <f>INDEX(nse!D:D,MATCH(B5880,nse!B:B,0))</f>
        <v>EQ</v>
      </c>
      <c r="D5880" t="str">
        <f>INDEX(nse!C:C,MATCH(B5880,nse!B:B,0))</f>
        <v>Som Distilleries &amp; Breweries Limited</v>
      </c>
    </row>
    <row r="5881" spans="2:4" hidden="1" x14ac:dyDescent="0.3">
      <c r="B5881" t="s">
        <v>1022</v>
      </c>
      <c r="C5881" t="str">
        <f>INDEX(nse!D:D,MATCH(B5881,nse!B:B,0))</f>
        <v>EQ</v>
      </c>
      <c r="D5881" t="str">
        <f>INDEX(nse!C:C,MATCH(B5881,nse!B:B,0))</f>
        <v>Seamec Limited</v>
      </c>
    </row>
    <row r="5882" spans="2:4" hidden="1" x14ac:dyDescent="0.3">
      <c r="B5882" t="s">
        <v>1023</v>
      </c>
      <c r="C5882" t="str">
        <f>INDEX(nse!D:D,MATCH(B5882,nse!B:B,0))</f>
        <v>EQ</v>
      </c>
      <c r="D5882" t="str">
        <f>INDEX(nse!C:C,MATCH(B5882,nse!B:B,0))</f>
        <v>S.E. Investments Limited</v>
      </c>
    </row>
    <row r="5883" spans="2:4" hidden="1" x14ac:dyDescent="0.3">
      <c r="B5883" t="s">
        <v>1024</v>
      </c>
      <c r="C5883" t="str">
        <f>INDEX(nse!D:D,MATCH(B5883,nse!B:B,0))</f>
        <v>EQ</v>
      </c>
      <c r="D5883" t="str">
        <f>INDEX(nse!C:C,MATCH(B5883,nse!B:B,0))</f>
        <v>Selan Exploration Technology Limited</v>
      </c>
    </row>
    <row r="5884" spans="2:4" hidden="1" x14ac:dyDescent="0.3">
      <c r="B5884" t="s">
        <v>1025</v>
      </c>
      <c r="C5884" t="str">
        <f>INDEX(nse!D:D,MATCH(B5884,nse!B:B,0))</f>
        <v>EQ</v>
      </c>
      <c r="D5884" t="str">
        <f>INDEX(nse!C:C,MATCH(B5884,nse!B:B,0))</f>
        <v>SEL Manufacturing Company Limited</v>
      </c>
    </row>
    <row r="5885" spans="2:4" hidden="1" x14ac:dyDescent="0.3">
      <c r="B5885" t="s">
        <v>1026</v>
      </c>
      <c r="C5885" t="str">
        <f>INDEX(nse!D:D,MATCH(B5885,nse!B:B,0))</f>
        <v>EQ</v>
      </c>
      <c r="D5885" t="str">
        <f>INDEX(nse!C:C,MATCH(B5885,nse!B:B,0))</f>
        <v>S.E. Power Limited</v>
      </c>
    </row>
    <row r="5886" spans="2:4" hidden="1" x14ac:dyDescent="0.3">
      <c r="B5886" t="s">
        <v>4306</v>
      </c>
      <c r="C5886" t="str">
        <f>INDEX(nse!D:D,MATCH(B5886,nse!B:B,0))</f>
        <v>EQ</v>
      </c>
      <c r="D5886" t="str">
        <f>INDEX(nse!C:C,MATCH(B5886,nse!B:B,0))</f>
        <v>Sequent Scientific Limited</v>
      </c>
    </row>
    <row r="5887" spans="2:4" hidden="1" x14ac:dyDescent="0.3">
      <c r="B5887" t="s">
        <v>1027</v>
      </c>
      <c r="C5887" t="str">
        <f>INDEX(nse!D:D,MATCH(B5887,nse!B:B,0))</f>
        <v>EQ</v>
      </c>
      <c r="D5887" t="str">
        <f>INDEX(nse!C:C,MATCH(B5887,nse!B:B,0))</f>
        <v>Servalakshmi Paper Limited</v>
      </c>
    </row>
    <row r="5888" spans="2:4" hidden="1" x14ac:dyDescent="0.3">
      <c r="B5888" t="s">
        <v>1028</v>
      </c>
      <c r="C5888" t="str">
        <f>INDEX(nse!D:D,MATCH(B5888,nse!B:B,0))</f>
        <v>EQ</v>
      </c>
      <c r="D5888" t="str">
        <f>INDEX(nse!C:C,MATCH(B5888,nse!B:B,0))</f>
        <v>Seshasayee Paper and Boards Limited</v>
      </c>
    </row>
    <row r="5889" spans="2:4" hidden="1" x14ac:dyDescent="0.3">
      <c r="B5889" t="s">
        <v>4311</v>
      </c>
      <c r="C5889" t="str">
        <f>INDEX(nse!D:D,MATCH(B5889,nse!B:B,0))</f>
        <v>EQ</v>
      </c>
      <c r="D5889" t="str">
        <f>INDEX(nse!C:C,MATCH(B5889,nse!B:B,0))</f>
        <v>Setco Automotive Limited</v>
      </c>
    </row>
    <row r="5890" spans="2:4" hidden="1" x14ac:dyDescent="0.3">
      <c r="B5890" t="s">
        <v>1029</v>
      </c>
      <c r="C5890" t="str">
        <f>INDEX(nse!D:D,MATCH(B5890,nse!B:B,0))</f>
        <v>BE</v>
      </c>
      <c r="D5890" t="str">
        <f>INDEX(nse!C:C,MATCH(B5890,nse!B:B,0))</f>
        <v>Sezal Glass Limited</v>
      </c>
    </row>
    <row r="5891" spans="2:4" hidden="1" x14ac:dyDescent="0.3">
      <c r="B5891" t="s">
        <v>4315</v>
      </c>
      <c r="C5891" t="str">
        <f>INDEX(nse!D:D,MATCH(B5891,nse!B:B,0))</f>
        <v>EQ</v>
      </c>
      <c r="D5891" t="str">
        <f>INDEX(nse!C:C,MATCH(B5891,nse!B:B,0))</f>
        <v>Sheela Foam Limited</v>
      </c>
    </row>
    <row r="5892" spans="2:4" hidden="1" x14ac:dyDescent="0.3">
      <c r="B5892" t="s">
        <v>1332</v>
      </c>
      <c r="C5892" t="str">
        <f>INDEX(nse!D:D,MATCH(B5892,nse!B:B,0))</f>
        <v>BE</v>
      </c>
      <c r="D5892" t="str">
        <f>INDEX(nse!C:C,MATCH(B5892,nse!B:B,0))</f>
        <v>Shree Ganesh Forgings Limited</v>
      </c>
    </row>
    <row r="5893" spans="2:4" hidden="1" x14ac:dyDescent="0.3">
      <c r="B5893" t="s">
        <v>1333</v>
      </c>
      <c r="C5893" t="str">
        <f>INDEX(nse!D:D,MATCH(B5893,nse!B:B,0))</f>
        <v>EQ</v>
      </c>
      <c r="D5893" t="str">
        <f>INDEX(nse!C:C,MATCH(B5893,nse!B:B,0))</f>
        <v>STL Global Limited</v>
      </c>
    </row>
    <row r="5894" spans="2:4" hidden="1" x14ac:dyDescent="0.3">
      <c r="B5894" t="s">
        <v>1030</v>
      </c>
      <c r="C5894" t="str">
        <f>INDEX(nse!D:D,MATCH(B5894,nse!B:B,0))</f>
        <v>BE</v>
      </c>
      <c r="D5894" t="str">
        <f>INDEX(nse!C:C,MATCH(B5894,nse!B:B,0))</f>
        <v>Shah Alloys Limited</v>
      </c>
    </row>
    <row r="5895" spans="2:4" hidden="1" x14ac:dyDescent="0.3">
      <c r="B5895" t="s">
        <v>4321</v>
      </c>
      <c r="C5895" t="str">
        <f>INDEX(nse!D:D,MATCH(B5895,nse!B:B,0))</f>
        <v>EQ</v>
      </c>
      <c r="D5895" t="str">
        <f>INDEX(nse!C:C,MATCH(B5895,nse!B:B,0))</f>
        <v>Shakti Pumps (India) Limited</v>
      </c>
    </row>
    <row r="5896" spans="2:4" hidden="1" x14ac:dyDescent="0.3">
      <c r="B5896" t="s">
        <v>1031</v>
      </c>
      <c r="C5896" t="str">
        <f>INDEX(nse!D:D,MATCH(B5896,nse!B:B,0))</f>
        <v>EQ</v>
      </c>
      <c r="D5896" t="str">
        <f>INDEX(nse!C:C,MATCH(B5896,nse!B:B,0))</f>
        <v>Shalimar Paints Limited</v>
      </c>
    </row>
    <row r="5897" spans="2:4" hidden="1" x14ac:dyDescent="0.3">
      <c r="B5897" t="s">
        <v>4325</v>
      </c>
      <c r="C5897" t="str">
        <f>INDEX(nse!D:D,MATCH(B5897,nse!B:B,0))</f>
        <v>EQ</v>
      </c>
      <c r="D5897" t="str">
        <f>INDEX(nse!C:C,MATCH(B5897,nse!B:B,0))</f>
        <v>Shankara Building Products Limited</v>
      </c>
    </row>
    <row r="5898" spans="2:4" hidden="1" x14ac:dyDescent="0.3">
      <c r="B5898" t="s">
        <v>1032</v>
      </c>
      <c r="C5898" t="str">
        <f>INDEX(nse!D:D,MATCH(B5898,nse!B:B,0))</f>
        <v>EQ</v>
      </c>
      <c r="D5898" t="str">
        <f>INDEX(nse!C:C,MATCH(B5898,nse!B:B,0))</f>
        <v>Shanthi Gears Limited</v>
      </c>
    </row>
    <row r="5899" spans="2:4" hidden="1" x14ac:dyDescent="0.3">
      <c r="B5899" t="s">
        <v>1033</v>
      </c>
      <c r="C5899" t="str">
        <f>INDEX(nse!D:D,MATCH(B5899,nse!B:B,0))</f>
        <v>EQ</v>
      </c>
      <c r="D5899" t="str">
        <f>INDEX(nse!C:C,MATCH(B5899,nse!B:B,0))</f>
        <v>Sharda Cropchem Limited</v>
      </c>
    </row>
    <row r="5900" spans="2:4" hidden="1" x14ac:dyDescent="0.3">
      <c r="B5900" t="s">
        <v>4330</v>
      </c>
      <c r="C5900" t="str">
        <f>INDEX(nse!D:D,MATCH(B5900,nse!B:B,0))</f>
        <v>EQ</v>
      </c>
      <c r="D5900" t="str">
        <f>INDEX(nse!C:C,MATCH(B5900,nse!B:B,0))</f>
        <v>Sharda Motor Industries Limited</v>
      </c>
    </row>
    <row r="5901" spans="2:4" hidden="1" x14ac:dyDescent="0.3">
      <c r="B5901" t="s">
        <v>1034</v>
      </c>
      <c r="C5901" t="str">
        <f>INDEX(nse!D:D,MATCH(B5901,nse!B:B,0))</f>
        <v>EQ</v>
      </c>
      <c r="D5901" t="str">
        <f>INDEX(nse!C:C,MATCH(B5901,nse!B:B,0))</f>
        <v>Sharon Bio-Medicine Limited</v>
      </c>
    </row>
    <row r="5902" spans="2:4" hidden="1" x14ac:dyDescent="0.3">
      <c r="B5902" t="s">
        <v>1035</v>
      </c>
      <c r="C5902" t="str">
        <f>INDEX(nse!D:D,MATCH(B5902,nse!B:B,0))</f>
        <v>EQ</v>
      </c>
      <c r="D5902" t="str">
        <f>INDEX(nse!C:C,MATCH(B5902,nse!B:B,0))</f>
        <v>Shemaroo Entertainment Limited</v>
      </c>
    </row>
    <row r="5903" spans="2:4" hidden="1" x14ac:dyDescent="0.3">
      <c r="B5903" t="s">
        <v>1036</v>
      </c>
      <c r="C5903" t="str">
        <f>INDEX(nse!D:D,MATCH(B5903,nse!B:B,0))</f>
        <v>EQ</v>
      </c>
      <c r="D5903" t="str">
        <f>INDEX(nse!C:C,MATCH(B5903,nse!B:B,0))</f>
        <v>Shilpa Medicare Limited</v>
      </c>
    </row>
    <row r="5904" spans="2:4" hidden="1" x14ac:dyDescent="0.3">
      <c r="B5904" t="s">
        <v>1037</v>
      </c>
      <c r="C5904" t="str">
        <f>INDEX(nse!D:D,MATCH(B5904,nse!B:B,0))</f>
        <v>EQ</v>
      </c>
      <c r="D5904" t="str">
        <f>INDEX(nse!C:C,MATCH(B5904,nse!B:B,0))</f>
        <v>Shilpi Cable Technologies Limited</v>
      </c>
    </row>
    <row r="5905" spans="2:4" hidden="1" x14ac:dyDescent="0.3">
      <c r="B5905" t="s">
        <v>1038</v>
      </c>
      <c r="C5905" t="str">
        <f>INDEX(nse!D:D,MATCH(B5905,nse!B:B,0))</f>
        <v>EQ</v>
      </c>
      <c r="D5905" t="str">
        <f>INDEX(nse!C:C,MATCH(B5905,nse!B:B,0))</f>
        <v>Shirpur Gold Refinery Limited</v>
      </c>
    </row>
    <row r="5906" spans="2:4" hidden="1" x14ac:dyDescent="0.3">
      <c r="B5906" t="s">
        <v>1039</v>
      </c>
      <c r="C5906" t="str">
        <f>INDEX(nse!D:D,MATCH(B5906,nse!B:B,0))</f>
        <v>EQ</v>
      </c>
      <c r="D5906" t="str">
        <f>INDEX(nse!C:C,MATCH(B5906,nse!B:B,0))</f>
        <v>Shivam Autotech Limited</v>
      </c>
    </row>
    <row r="5907" spans="2:4" hidden="1" x14ac:dyDescent="0.3">
      <c r="B5907" t="s">
        <v>1040</v>
      </c>
      <c r="C5907" t="str">
        <f>INDEX(nse!D:D,MATCH(B5907,nse!B:B,0))</f>
        <v>EQ</v>
      </c>
      <c r="D5907" t="str">
        <f>INDEX(nse!C:C,MATCH(B5907,nse!B:B,0))</f>
        <v>Shiva Texyarn Limited</v>
      </c>
    </row>
    <row r="5908" spans="2:4" hidden="1" x14ac:dyDescent="0.3">
      <c r="B5908" t="s">
        <v>4340</v>
      </c>
      <c r="C5908" t="str">
        <f>INDEX(nse!D:D,MATCH(B5908,nse!B:B,0))</f>
        <v>EQ</v>
      </c>
      <c r="D5908" t="str">
        <f>INDEX(nse!C:C,MATCH(B5908,nse!B:B,0))</f>
        <v>S H Kelkar and Company Limited</v>
      </c>
    </row>
    <row r="5909" spans="2:4" hidden="1" x14ac:dyDescent="0.3">
      <c r="B5909" t="s">
        <v>1041</v>
      </c>
      <c r="C5909" t="str">
        <f>INDEX(nse!D:D,MATCH(B5909,nse!B:B,0))</f>
        <v>EQ</v>
      </c>
      <c r="D5909" t="str">
        <f>INDEX(nse!C:C,MATCH(B5909,nse!B:B,0))</f>
        <v>Shoppers Stop Limited</v>
      </c>
    </row>
    <row r="5910" spans="2:4" hidden="1" x14ac:dyDescent="0.3">
      <c r="B5910" t="s">
        <v>91</v>
      </c>
      <c r="C5910" t="str">
        <f>INDEX(nse!D:D,MATCH(B5910,nse!B:B,0))</f>
        <v>EQ</v>
      </c>
      <c r="D5910" t="str">
        <f>INDEX(nse!C:C,MATCH(B5910,nse!B:B,0))</f>
        <v>Shree Cements Limited</v>
      </c>
    </row>
    <row r="5911" spans="2:4" hidden="1" x14ac:dyDescent="0.3">
      <c r="B5911" t="s">
        <v>4345</v>
      </c>
      <c r="C5911" t="str">
        <f>INDEX(nse!D:D,MATCH(B5911,nse!B:B,0))</f>
        <v>EQ</v>
      </c>
      <c r="D5911" t="str">
        <f>INDEX(nse!C:C,MATCH(B5911,nse!B:B,0))</f>
        <v>Shree Pushkar Chemicals &amp; Fertilisers Limited</v>
      </c>
    </row>
    <row r="5912" spans="2:4" hidden="1" x14ac:dyDescent="0.3">
      <c r="B5912" t="s">
        <v>1042</v>
      </c>
      <c r="C5912" t="str">
        <f>INDEX(nse!D:D,MATCH(B5912,nse!B:B,0))</f>
        <v>EQ</v>
      </c>
      <c r="D5912" t="str">
        <f>INDEX(nse!C:C,MATCH(B5912,nse!B:B,0))</f>
        <v>Shree Rama Multi-Tech Limited</v>
      </c>
    </row>
    <row r="5913" spans="2:4" hidden="1" x14ac:dyDescent="0.3">
      <c r="B5913" t="s">
        <v>1043</v>
      </c>
      <c r="C5913" t="str">
        <f>INDEX(nse!D:D,MATCH(B5913,nse!B:B,0))</f>
        <v>EQ</v>
      </c>
      <c r="D5913" t="str">
        <f>INDEX(nse!C:C,MATCH(B5913,nse!B:B,0))</f>
        <v>Shreyans Industries Limited</v>
      </c>
    </row>
    <row r="5914" spans="2:4" hidden="1" x14ac:dyDescent="0.3">
      <c r="B5914" t="s">
        <v>1044</v>
      </c>
      <c r="C5914" t="str">
        <f>INDEX(nse!D:D,MATCH(B5914,nse!B:B,0))</f>
        <v>EQ</v>
      </c>
      <c r="D5914" t="str">
        <f>INDEX(nse!C:C,MATCH(B5914,nse!B:B,0))</f>
        <v>Shreyas Shipping &amp; Logistics Limited</v>
      </c>
    </row>
    <row r="5915" spans="2:4" hidden="1" x14ac:dyDescent="0.3">
      <c r="B5915" t="s">
        <v>4351</v>
      </c>
      <c r="C5915" t="str">
        <f>INDEX(nse!D:D,MATCH(B5915,nse!B:B,0))</f>
        <v>BE</v>
      </c>
      <c r="D5915" t="str">
        <f>INDEX(nse!C:C,MATCH(B5915,nse!B:B,0))</f>
        <v>Shriram Pistons &amp; Rings Limited</v>
      </c>
    </row>
    <row r="5916" spans="2:4" hidden="1" x14ac:dyDescent="0.3">
      <c r="B5916" t="s">
        <v>1045</v>
      </c>
      <c r="C5916" t="str">
        <f>INDEX(nse!D:D,MATCH(B5916,nse!B:B,0))</f>
        <v>EQ</v>
      </c>
      <c r="D5916" t="str">
        <f>INDEX(nse!C:C,MATCH(B5916,nse!B:B,0))</f>
        <v>Shriram City Union Finance Limited</v>
      </c>
    </row>
    <row r="5917" spans="2:4" hidden="1" x14ac:dyDescent="0.3">
      <c r="B5917" t="s">
        <v>1046</v>
      </c>
      <c r="C5917" t="str">
        <f>INDEX(nse!D:D,MATCH(B5917,nse!B:B,0))</f>
        <v>EQ</v>
      </c>
      <c r="D5917" t="str">
        <f>INDEX(nse!C:C,MATCH(B5917,nse!B:B,0))</f>
        <v>Shriram EPC Limited</v>
      </c>
    </row>
    <row r="5918" spans="2:4" hidden="1" x14ac:dyDescent="0.3">
      <c r="B5918" t="s">
        <v>4356</v>
      </c>
      <c r="C5918" t="str">
        <f>INDEX(nse!D:D,MATCH(B5918,nse!B:B,0))</f>
        <v>EQ</v>
      </c>
      <c r="D5918" t="str">
        <f>INDEX(nse!C:C,MATCH(B5918,nse!B:B,0))</f>
        <v>Shyam Century Ferrous Limited</v>
      </c>
    </row>
    <row r="5919" spans="2:4" hidden="1" x14ac:dyDescent="0.3">
      <c r="B5919" t="s">
        <v>1047</v>
      </c>
      <c r="C5919" t="str">
        <f>INDEX(nse!D:D,MATCH(B5919,nse!B:B,0))</f>
        <v>EQ</v>
      </c>
      <c r="D5919" t="str">
        <f>INDEX(nse!C:C,MATCH(B5919,nse!B:B,0))</f>
        <v>Shyam Telecom Limited</v>
      </c>
    </row>
    <row r="5920" spans="2:4" hidden="1" x14ac:dyDescent="0.3">
      <c r="B5920" t="s">
        <v>1048</v>
      </c>
      <c r="C5920" t="str">
        <f>INDEX(nse!D:D,MATCH(B5920,nse!B:B,0))</f>
        <v>EQ</v>
      </c>
      <c r="D5920" t="str">
        <f>INDEX(nse!C:C,MATCH(B5920,nse!B:B,0))</f>
        <v>Sicagen India Limited</v>
      </c>
    </row>
    <row r="5921" spans="2:4" hidden="1" x14ac:dyDescent="0.3">
      <c r="B5921" t="s">
        <v>1049</v>
      </c>
      <c r="C5921" t="str">
        <f>INDEX(nse!D:D,MATCH(B5921,nse!B:B,0))</f>
        <v>EQ</v>
      </c>
      <c r="D5921" t="str">
        <f>INDEX(nse!C:C,MATCH(B5921,nse!B:B,0))</f>
        <v>Sical Logistics Limited</v>
      </c>
    </row>
    <row r="5922" spans="2:4" hidden="1" x14ac:dyDescent="0.3">
      <c r="B5922" t="s">
        <v>92</v>
      </c>
      <c r="C5922" t="str">
        <f>INDEX(nse!D:D,MATCH(B5922,nse!B:B,0))</f>
        <v>EQ</v>
      </c>
      <c r="D5922" t="str">
        <f>INDEX(nse!C:C,MATCH(B5922,nse!B:B,0))</f>
        <v>Siemens Limited</v>
      </c>
    </row>
    <row r="5923" spans="2:4" hidden="1" x14ac:dyDescent="0.3">
      <c r="B5923" t="s">
        <v>4363</v>
      </c>
      <c r="C5923" t="str">
        <f>INDEX(nse!D:D,MATCH(B5923,nse!B:B,0))</f>
        <v>EQ</v>
      </c>
      <c r="D5923" t="str">
        <f>INDEX(nse!C:C,MATCH(B5923,nse!B:B,0))</f>
        <v>Signet Industries Limited</v>
      </c>
    </row>
    <row r="5924" spans="2:4" hidden="1" x14ac:dyDescent="0.3">
      <c r="B5924" t="s">
        <v>1050</v>
      </c>
      <c r="C5924" t="str">
        <f>INDEX(nse!D:D,MATCH(B5924,nse!B:B,0))</f>
        <v>BE</v>
      </c>
      <c r="D5924" t="str">
        <f>INDEX(nse!C:C,MATCH(B5924,nse!B:B,0))</f>
        <v>Standard Industries Limited</v>
      </c>
    </row>
    <row r="5925" spans="2:4" hidden="1" x14ac:dyDescent="0.3">
      <c r="B5925" t="s">
        <v>1051</v>
      </c>
      <c r="C5925" t="str">
        <f>INDEX(nse!D:D,MATCH(B5925,nse!B:B,0))</f>
        <v>EQ</v>
      </c>
      <c r="D5925" t="str">
        <f>INDEX(nse!C:C,MATCH(B5925,nse!B:B,0))</f>
        <v>SIL Investments Limited</v>
      </c>
    </row>
    <row r="5926" spans="2:4" hidden="1" x14ac:dyDescent="0.3">
      <c r="B5926" t="s">
        <v>4368</v>
      </c>
      <c r="C5926" t="str">
        <f>INDEX(nse!D:D,MATCH(B5926,nse!B:B,0))</f>
        <v>EQ</v>
      </c>
      <c r="D5926" t="str">
        <f>INDEX(nse!C:C,MATCH(B5926,nse!B:B,0))</f>
        <v>Simbhaoli Sugars Limited</v>
      </c>
    </row>
    <row r="5927" spans="2:4" hidden="1" x14ac:dyDescent="0.3">
      <c r="B5927" t="s">
        <v>1052</v>
      </c>
      <c r="C5927" t="str">
        <f>INDEX(nse!D:D,MATCH(B5927,nse!B:B,0))</f>
        <v>BE</v>
      </c>
      <c r="D5927" t="str">
        <f>INDEX(nse!C:C,MATCH(B5927,nse!B:B,0))</f>
        <v>Simplex Projects Limited</v>
      </c>
    </row>
    <row r="5928" spans="2:4" hidden="1" x14ac:dyDescent="0.3">
      <c r="B5928" t="s">
        <v>1053</v>
      </c>
      <c r="C5928" t="str">
        <f>INDEX(nse!D:D,MATCH(B5928,nse!B:B,0))</f>
        <v>EQ</v>
      </c>
      <c r="D5928" t="str">
        <f>INDEX(nse!C:C,MATCH(B5928,nse!B:B,0))</f>
        <v>Simplex Infrastructures Limited</v>
      </c>
    </row>
    <row r="5929" spans="2:4" hidden="1" x14ac:dyDescent="0.3">
      <c r="B5929" t="s">
        <v>1054</v>
      </c>
      <c r="C5929" t="str">
        <f>INDEX(nse!D:D,MATCH(B5929,nse!B:B,0))</f>
        <v>EQ</v>
      </c>
      <c r="D5929" t="str">
        <f>INDEX(nse!C:C,MATCH(B5929,nse!B:B,0))</f>
        <v>Sintex Industries Limited</v>
      </c>
    </row>
    <row r="5930" spans="2:4" hidden="1" x14ac:dyDescent="0.3">
      <c r="B5930" t="s">
        <v>1055</v>
      </c>
      <c r="C5930" t="str">
        <f>INDEX(nse!D:D,MATCH(B5930,nse!B:B,0))</f>
        <v>EQ</v>
      </c>
      <c r="D5930" t="str">
        <f>INDEX(nse!C:C,MATCH(B5930,nse!B:B,0))</f>
        <v>Sita Shree Food Products Limited</v>
      </c>
    </row>
    <row r="5931" spans="2:4" hidden="1" x14ac:dyDescent="0.3">
      <c r="B5931" t="s">
        <v>4374</v>
      </c>
      <c r="C5931" t="str">
        <f>INDEX(nse!D:D,MATCH(B5931,nse!B:B,0))</f>
        <v>EQ</v>
      </c>
      <c r="D5931" t="str">
        <f>INDEX(nse!C:C,MATCH(B5931,nse!B:B,0))</f>
        <v>Siti Networks Limited</v>
      </c>
    </row>
    <row r="5932" spans="2:4" hidden="1" x14ac:dyDescent="0.3">
      <c r="B5932" t="s">
        <v>1056</v>
      </c>
      <c r="C5932" t="str">
        <f>INDEX(nse!D:D,MATCH(B5932,nse!B:B,0))</f>
        <v>EQ</v>
      </c>
      <c r="D5932" t="str">
        <f>INDEX(nse!C:C,MATCH(B5932,nse!B:B,0))</f>
        <v>Siyaram Silk Mills Limited</v>
      </c>
    </row>
    <row r="5933" spans="2:4" hidden="1" x14ac:dyDescent="0.3">
      <c r="B5933" t="s">
        <v>1057</v>
      </c>
      <c r="C5933" t="str">
        <f>INDEX(nse!D:D,MATCH(B5933,nse!B:B,0))</f>
        <v>EQ</v>
      </c>
      <c r="D5933" t="str">
        <f>INDEX(nse!C:C,MATCH(B5933,nse!B:B,0))</f>
        <v>SJVN Limited</v>
      </c>
    </row>
    <row r="5934" spans="2:4" hidden="1" x14ac:dyDescent="0.3">
      <c r="B5934" t="s">
        <v>1058</v>
      </c>
      <c r="C5934" t="str">
        <f>INDEX(nse!D:D,MATCH(B5934,nse!B:B,0))</f>
        <v>EQ</v>
      </c>
      <c r="D5934" t="str">
        <f>INDEX(nse!C:C,MATCH(B5934,nse!B:B,0))</f>
        <v>SKF India Limited</v>
      </c>
    </row>
    <row r="5935" spans="2:4" hidden="1" x14ac:dyDescent="0.3">
      <c r="B5935" t="s">
        <v>1059</v>
      </c>
      <c r="C5935" t="str">
        <f>INDEX(nse!D:D,MATCH(B5935,nse!B:B,0))</f>
        <v>EQ</v>
      </c>
      <c r="D5935" t="str">
        <f>INDEX(nse!C:C,MATCH(B5935,nse!B:B,0))</f>
        <v>SKIL Infrastructure Limited</v>
      </c>
    </row>
    <row r="5936" spans="2:4" hidden="1" x14ac:dyDescent="0.3">
      <c r="B5936" t="s">
        <v>4381</v>
      </c>
      <c r="C5936" t="str">
        <f>INDEX(nse!D:D,MATCH(B5936,nse!B:B,0))</f>
        <v>EQ</v>
      </c>
      <c r="D5936" t="str">
        <f>INDEX(nse!C:C,MATCH(B5936,nse!B:B,0))</f>
        <v>Skipper Limited</v>
      </c>
    </row>
    <row r="5937" spans="2:4" hidden="1" x14ac:dyDescent="0.3">
      <c r="B5937" t="s">
        <v>1060</v>
      </c>
      <c r="C5937" t="str">
        <f>INDEX(nse!D:D,MATCH(B5937,nse!B:B,0))</f>
        <v>BE</v>
      </c>
      <c r="D5937" t="str">
        <f>INDEX(nse!C:C,MATCH(B5937,nse!B:B,0))</f>
        <v>SKM Egg Products Export (India) Limited</v>
      </c>
    </row>
    <row r="5938" spans="2:4" hidden="1" x14ac:dyDescent="0.3">
      <c r="B5938" t="s">
        <v>1061</v>
      </c>
      <c r="C5938" t="str">
        <f>INDEX(nse!D:D,MATCH(B5938,nse!B:B,0))</f>
        <v>EQ</v>
      </c>
      <c r="D5938" t="str">
        <f>INDEX(nse!C:C,MATCH(B5938,nse!B:B,0))</f>
        <v>Smartlink Network Systems Limited</v>
      </c>
    </row>
    <row r="5939" spans="2:4" hidden="1" x14ac:dyDescent="0.3">
      <c r="B5939" t="s">
        <v>1062</v>
      </c>
      <c r="C5939" t="str">
        <f>INDEX(nse!D:D,MATCH(B5939,nse!B:B,0))</f>
        <v>EQ</v>
      </c>
      <c r="D5939" t="str">
        <f>INDEX(nse!C:C,MATCH(B5939,nse!B:B,0))</f>
        <v>SML Isuzu Limited</v>
      </c>
    </row>
    <row r="5940" spans="2:4" hidden="1" x14ac:dyDescent="0.3">
      <c r="B5940" t="s">
        <v>1063</v>
      </c>
      <c r="C5940" t="str">
        <f>INDEX(nse!D:D,MATCH(B5940,nse!B:B,0))</f>
        <v>EQ</v>
      </c>
      <c r="D5940" t="str">
        <f>INDEX(nse!C:C,MATCH(B5940,nse!B:B,0))</f>
        <v>Splendid Metal Products Limited</v>
      </c>
    </row>
    <row r="5941" spans="2:4" hidden="1" x14ac:dyDescent="0.3">
      <c r="B5941" t="s">
        <v>1064</v>
      </c>
      <c r="C5941" t="str">
        <f>INDEX(nse!D:D,MATCH(B5941,nse!B:B,0))</f>
        <v>EQ</v>
      </c>
      <c r="D5941" t="str">
        <f>INDEX(nse!C:C,MATCH(B5941,nse!B:B,0))</f>
        <v>SMS Pharmaceuticals Limited</v>
      </c>
    </row>
    <row r="5942" spans="2:4" hidden="1" x14ac:dyDescent="0.3">
      <c r="B5942" t="s">
        <v>1065</v>
      </c>
      <c r="C5942" t="str">
        <f>INDEX(nse!D:D,MATCH(B5942,nse!B:B,0))</f>
        <v>EQ</v>
      </c>
      <c r="D5942" t="str">
        <f>INDEX(nse!C:C,MATCH(B5942,nse!B:B,0))</f>
        <v>Snowman Logistics Limited</v>
      </c>
    </row>
    <row r="5943" spans="2:4" hidden="1" x14ac:dyDescent="0.3">
      <c r="B5943" t="s">
        <v>1066</v>
      </c>
      <c r="C5943" t="str">
        <f>INDEX(nse!D:D,MATCH(B5943,nse!B:B,0))</f>
        <v>EQ</v>
      </c>
      <c r="D5943" t="str">
        <f>INDEX(nse!C:C,MATCH(B5943,nse!B:B,0))</f>
        <v>Sobha Limited</v>
      </c>
    </row>
    <row r="5944" spans="2:4" hidden="1" x14ac:dyDescent="0.3">
      <c r="B5944" t="s">
        <v>1334</v>
      </c>
      <c r="C5944" t="str">
        <f>INDEX(nse!D:D,MATCH(B5944,nse!B:B,0))</f>
        <v>EQ</v>
      </c>
      <c r="D5944" t="str">
        <f>INDEX(nse!C:C,MATCH(B5944,nse!B:B,0))</f>
        <v>Software Technology Group International Limited</v>
      </c>
    </row>
    <row r="5945" spans="2:4" hidden="1" x14ac:dyDescent="0.3">
      <c r="B5945" t="s">
        <v>1067</v>
      </c>
      <c r="C5945" t="str">
        <f>INDEX(nse!D:D,MATCH(B5945,nse!B:B,0))</f>
        <v>EQ</v>
      </c>
      <c r="D5945" t="str">
        <f>INDEX(nse!C:C,MATCH(B5945,nse!B:B,0))</f>
        <v>Solar Industries India Limited</v>
      </c>
    </row>
    <row r="5946" spans="2:4" hidden="1" x14ac:dyDescent="0.3">
      <c r="B5946" t="s">
        <v>1068</v>
      </c>
      <c r="C5946" t="str">
        <f>INDEX(nse!D:D,MATCH(B5946,nse!B:B,0))</f>
        <v>EQ</v>
      </c>
      <c r="D5946" t="str">
        <f>INDEX(nse!C:C,MATCH(B5946,nse!B:B,0))</f>
        <v>Somany Ceramics Limited</v>
      </c>
    </row>
    <row r="5947" spans="2:4" hidden="1" x14ac:dyDescent="0.3">
      <c r="B5947" t="s">
        <v>1069</v>
      </c>
      <c r="C5947" t="str">
        <f>INDEX(nse!D:D,MATCH(B5947,nse!B:B,0))</f>
        <v>BE</v>
      </c>
      <c r="D5947" t="str">
        <f>INDEX(nse!C:C,MATCH(B5947,nse!B:B,0))</f>
        <v>Soma Textiles &amp; Industries Limited</v>
      </c>
    </row>
    <row r="5948" spans="2:4" hidden="1" x14ac:dyDescent="0.3">
      <c r="B5948" t="s">
        <v>4396</v>
      </c>
      <c r="C5948" t="str">
        <f>INDEX(nse!D:D,MATCH(B5948,nse!B:B,0))</f>
        <v>EQ</v>
      </c>
      <c r="D5948" t="str">
        <f>INDEX(nse!C:C,MATCH(B5948,nse!B:B,0))</f>
        <v>Somi Conveyor Beltings Limited</v>
      </c>
    </row>
    <row r="5949" spans="2:4" hidden="1" x14ac:dyDescent="0.3">
      <c r="B5949" t="s">
        <v>1070</v>
      </c>
      <c r="C5949" t="str">
        <f>INDEX(nse!D:D,MATCH(B5949,nse!B:B,0))</f>
        <v>EQ</v>
      </c>
      <c r="D5949" t="str">
        <f>INDEX(nse!C:C,MATCH(B5949,nse!B:B,0))</f>
        <v>Sona Koyo Steering Systems Limited</v>
      </c>
    </row>
    <row r="5950" spans="2:4" hidden="1" x14ac:dyDescent="0.3">
      <c r="B5950" t="s">
        <v>1071</v>
      </c>
      <c r="C5950" t="str">
        <f>INDEX(nse!D:D,MATCH(B5950,nse!B:B,0))</f>
        <v>EQ</v>
      </c>
      <c r="D5950" t="str">
        <f>INDEX(nse!C:C,MATCH(B5950,nse!B:B,0))</f>
        <v>Sonata Software Limited</v>
      </c>
    </row>
    <row r="5951" spans="2:4" hidden="1" x14ac:dyDescent="0.3">
      <c r="B5951" t="s">
        <v>4401</v>
      </c>
      <c r="C5951" t="str">
        <f>INDEX(nse!D:D,MATCH(B5951,nse!B:B,0))</f>
        <v>EQ</v>
      </c>
      <c r="D5951" t="str">
        <f>INDEX(nse!C:C,MATCH(B5951,nse!B:B,0))</f>
        <v>SORIL Holdings and Ventures Limited</v>
      </c>
    </row>
    <row r="5952" spans="2:4" hidden="1" x14ac:dyDescent="0.3">
      <c r="B5952" t="s">
        <v>4404</v>
      </c>
      <c r="C5952" t="str">
        <f>INDEX(nse!D:D,MATCH(B5952,nse!B:B,0))</f>
        <v>EQ</v>
      </c>
      <c r="D5952" t="str">
        <f>INDEX(nse!C:C,MATCH(B5952,nse!B:B,0))</f>
        <v>SORIL Infra Resources Limited</v>
      </c>
    </row>
    <row r="5953" spans="2:4" hidden="1" x14ac:dyDescent="0.3">
      <c r="B5953" t="s">
        <v>1072</v>
      </c>
      <c r="C5953" t="str">
        <f>INDEX(nse!D:D,MATCH(B5953,nse!B:B,0))</f>
        <v>EQ</v>
      </c>
      <c r="D5953" t="str">
        <f>INDEX(nse!C:C,MATCH(B5953,nse!B:B,0))</f>
        <v>Savita Oil Technologies Limited</v>
      </c>
    </row>
    <row r="5954" spans="2:4" hidden="1" x14ac:dyDescent="0.3">
      <c r="B5954" t="s">
        <v>93</v>
      </c>
      <c r="C5954" t="str">
        <f>INDEX(nse!D:D,MATCH(B5954,nse!B:B,0))</f>
        <v>EQ</v>
      </c>
      <c r="D5954" t="str">
        <f>INDEX(nse!C:C,MATCH(B5954,nse!B:B,0))</f>
        <v>The South Indian Bank Limited</v>
      </c>
    </row>
    <row r="5955" spans="2:4" hidden="1" x14ac:dyDescent="0.3">
      <c r="B5955" t="s">
        <v>4409</v>
      </c>
      <c r="C5955" t="str">
        <f>INDEX(nse!D:D,MATCH(B5955,nse!B:B,0))</f>
        <v>EQ</v>
      </c>
      <c r="D5955" t="str">
        <f>INDEX(nse!C:C,MATCH(B5955,nse!B:B,0))</f>
        <v>S. P. Apparels Limited</v>
      </c>
    </row>
    <row r="5956" spans="2:4" hidden="1" x14ac:dyDescent="0.3">
      <c r="B5956" t="s">
        <v>1073</v>
      </c>
      <c r="C5956" t="str">
        <f>INDEX(nse!D:D,MATCH(B5956,nse!B:B,0))</f>
        <v>EQ</v>
      </c>
      <c r="D5956" t="str">
        <f>INDEX(nse!C:C,MATCH(B5956,nse!B:B,0))</f>
        <v>Sun Pharma Advanced Research Company Limited</v>
      </c>
    </row>
    <row r="5957" spans="2:4" hidden="1" x14ac:dyDescent="0.3">
      <c r="B5957" t="s">
        <v>4413</v>
      </c>
      <c r="C5957" t="str">
        <f>INDEX(nse!D:D,MATCH(B5957,nse!B:B,0))</f>
        <v>EQ</v>
      </c>
      <c r="D5957" t="str">
        <f>INDEX(nse!C:C,MATCH(B5957,nse!B:B,0))</f>
        <v>Spacenet Enterprises India Limited</v>
      </c>
    </row>
    <row r="5958" spans="2:4" hidden="1" x14ac:dyDescent="0.3">
      <c r="B5958" t="s">
        <v>1074</v>
      </c>
      <c r="C5958" t="str">
        <f>INDEX(nse!D:D,MATCH(B5958,nse!B:B,0))</f>
        <v>BE</v>
      </c>
      <c r="D5958" t="str">
        <f>INDEX(nse!C:C,MATCH(B5958,nse!B:B,0))</f>
        <v>Speciality Restaurants Limited</v>
      </c>
    </row>
    <row r="5959" spans="2:4" hidden="1" x14ac:dyDescent="0.3">
      <c r="B5959" t="s">
        <v>1075</v>
      </c>
      <c r="C5959" t="str">
        <f>INDEX(nse!D:D,MATCH(B5959,nse!B:B,0))</f>
        <v>EQ</v>
      </c>
      <c r="D5959" t="str">
        <f>INDEX(nse!C:C,MATCH(B5959,nse!B:B,0))</f>
        <v>Spentex Industries Limited</v>
      </c>
    </row>
    <row r="5960" spans="2:4" hidden="1" x14ac:dyDescent="0.3">
      <c r="B5960" t="s">
        <v>4418</v>
      </c>
      <c r="C5960" t="str">
        <f>INDEX(nse!D:D,MATCH(B5960,nse!B:B,0))</f>
        <v>EQ</v>
      </c>
      <c r="D5960" t="str">
        <f>INDEX(nse!C:C,MATCH(B5960,nse!B:B,0))</f>
        <v>Sphere Global Services Limited</v>
      </c>
    </row>
    <row r="5961" spans="2:4" hidden="1" x14ac:dyDescent="0.3">
      <c r="B5961" t="s">
        <v>1076</v>
      </c>
      <c r="C5961" t="str">
        <f>INDEX(nse!D:D,MATCH(B5961,nse!B:B,0))</f>
        <v>EQ</v>
      </c>
      <c r="D5961" t="str">
        <f>INDEX(nse!C:C,MATCH(B5961,nse!B:B,0))</f>
        <v>Southern Petrochemicals Industries Corporation  Limited</v>
      </c>
    </row>
    <row r="5962" spans="2:4" hidden="1" x14ac:dyDescent="0.3">
      <c r="B5962" t="s">
        <v>115</v>
      </c>
      <c r="C5962" t="str">
        <f>INDEX(nse!D:D,MATCH(B5962,nse!B:B,0))</f>
        <v>EQ</v>
      </c>
      <c r="D5962" t="str">
        <f>INDEX(nse!C:C,MATCH(B5962,nse!B:B,0))</f>
        <v>Spice Mobility Limited</v>
      </c>
    </row>
    <row r="5963" spans="2:4" hidden="1" x14ac:dyDescent="0.3">
      <c r="B5963" t="s">
        <v>1077</v>
      </c>
      <c r="C5963" t="str">
        <f>INDEX(nse!D:D,MATCH(B5963,nse!B:B,0))</f>
        <v>EQ</v>
      </c>
      <c r="D5963" t="str">
        <f>INDEX(nse!C:C,MATCH(B5963,nse!B:B,0))</f>
        <v>SPL Industries Limited</v>
      </c>
    </row>
    <row r="5964" spans="2:4" hidden="1" x14ac:dyDescent="0.3">
      <c r="B5964" t="s">
        <v>1078</v>
      </c>
      <c r="C5964" t="str">
        <f>INDEX(nse!D:D,MATCH(B5964,nse!B:B,0))</f>
        <v>BE</v>
      </c>
      <c r="D5964" t="str">
        <f>INDEX(nse!C:C,MATCH(B5964,nse!B:B,0))</f>
        <v>SPML Infra Limited</v>
      </c>
    </row>
    <row r="5965" spans="2:4" hidden="1" x14ac:dyDescent="0.3">
      <c r="B5965" t="s">
        <v>1079</v>
      </c>
      <c r="C5965" t="str">
        <f>INDEX(nse!D:D,MATCH(B5965,nse!B:B,0))</f>
        <v>EQ</v>
      </c>
      <c r="D5965" t="str">
        <f>INDEX(nse!C:C,MATCH(B5965,nse!B:B,0))</f>
        <v>Shekhawati Poly-Yarn Limited</v>
      </c>
    </row>
    <row r="5966" spans="2:4" hidden="1" x14ac:dyDescent="0.3">
      <c r="B5966" t="s">
        <v>4426</v>
      </c>
      <c r="C5966" t="str">
        <f>INDEX(nse!D:D,MATCH(B5966,nse!B:B,0))</f>
        <v>EQ</v>
      </c>
      <c r="D5966" t="str">
        <f>INDEX(nse!C:C,MATCH(B5966,nse!B:B,0))</f>
        <v>SQS India BFSI Limited</v>
      </c>
    </row>
    <row r="5967" spans="2:4" hidden="1" x14ac:dyDescent="0.3">
      <c r="B5967" t="s">
        <v>1335</v>
      </c>
      <c r="C5967" t="str">
        <f>INDEX(nse!D:D,MATCH(B5967,nse!B:B,0))</f>
        <v>EQ</v>
      </c>
      <c r="D5967" t="str">
        <f>INDEX(nse!C:C,MATCH(B5967,nse!B:B,0))</f>
        <v>Sreeleathers Limited</v>
      </c>
    </row>
    <row r="5968" spans="2:4" hidden="1" x14ac:dyDescent="0.3">
      <c r="B5968" t="s">
        <v>1080</v>
      </c>
      <c r="C5968" t="str">
        <f>INDEX(nse!D:D,MATCH(B5968,nse!B:B,0))</f>
        <v>EQ</v>
      </c>
      <c r="D5968" t="str">
        <f>INDEX(nse!C:C,MATCH(B5968,nse!B:B,0))</f>
        <v>SREI Infrastructure Finance Limited</v>
      </c>
    </row>
    <row r="5969" spans="2:4" hidden="1" x14ac:dyDescent="0.3">
      <c r="B5969" t="s">
        <v>1081</v>
      </c>
      <c r="C5969" t="str">
        <f>INDEX(nse!D:D,MATCH(B5969,nse!B:B,0))</f>
        <v>EQ</v>
      </c>
      <c r="D5969" t="str">
        <f>INDEX(nse!C:C,MATCH(B5969,nse!B:B,0))</f>
        <v>SRF Limited</v>
      </c>
    </row>
    <row r="5970" spans="2:4" hidden="1" x14ac:dyDescent="0.3">
      <c r="B5970" t="s">
        <v>1082</v>
      </c>
      <c r="C5970" t="str">
        <f>INDEX(nse!D:D,MATCH(B5970,nse!B:B,0))</f>
        <v>BE</v>
      </c>
      <c r="D5970" t="str">
        <f>INDEX(nse!C:C,MATCH(B5970,nse!B:B,0))</f>
        <v>SRG Infotec (India) Limited</v>
      </c>
    </row>
    <row r="5971" spans="2:4" hidden="1" x14ac:dyDescent="0.3">
      <c r="B5971" t="s">
        <v>1083</v>
      </c>
      <c r="C5971" t="str">
        <f>INDEX(nse!D:D,MATCH(B5971,nse!B:B,0))</f>
        <v>EQ</v>
      </c>
      <c r="D5971" t="str">
        <f>INDEX(nse!C:C,MATCH(B5971,nse!B:B,0))</f>
        <v>Sree Rayalaseema Hi-Strength Hypo Limited</v>
      </c>
    </row>
    <row r="5972" spans="2:4" hidden="1" x14ac:dyDescent="0.3">
      <c r="B5972" t="s">
        <v>4434</v>
      </c>
      <c r="C5972" t="str">
        <f>INDEX(nse!D:D,MATCH(B5972,nse!B:B,0))</f>
        <v>EQ</v>
      </c>
      <c r="D5972" t="str">
        <f>INDEX(nse!C:C,MATCH(B5972,nse!B:B,0))</f>
        <v>Srikalahasthi Pipes Limited</v>
      </c>
    </row>
    <row r="5973" spans="2:4" hidden="1" x14ac:dyDescent="0.3">
      <c r="B5973" t="s">
        <v>109</v>
      </c>
      <c r="C5973" t="str">
        <f>INDEX(nse!D:D,MATCH(B5973,nse!B:B,0))</f>
        <v>EQ</v>
      </c>
      <c r="D5973" t="str">
        <f>INDEX(nse!C:C,MATCH(B5973,nse!B:B,0))</f>
        <v>SRS Limited</v>
      </c>
    </row>
    <row r="5974" spans="2:4" hidden="1" x14ac:dyDescent="0.3">
      <c r="B5974" t="s">
        <v>1084</v>
      </c>
      <c r="C5974" t="str">
        <f>INDEX(nse!D:D,MATCH(B5974,nse!B:B,0))</f>
        <v>EQ</v>
      </c>
      <c r="D5974" t="str">
        <f>INDEX(nse!C:C,MATCH(B5974,nse!B:B,0))</f>
        <v>Shriram Transport Finance Company Limited</v>
      </c>
    </row>
    <row r="5975" spans="2:4" hidden="1" x14ac:dyDescent="0.3">
      <c r="B5975" t="s">
        <v>1085</v>
      </c>
      <c r="C5975" t="str">
        <f>INDEX(nse!D:D,MATCH(B5975,nse!B:B,0))</f>
        <v>EQ</v>
      </c>
      <c r="D5975" t="str">
        <f>INDEX(nse!C:C,MATCH(B5975,nse!B:B,0))</f>
        <v>Steel Strips Wheels Limited</v>
      </c>
    </row>
    <row r="5976" spans="2:4" hidden="1" x14ac:dyDescent="0.3">
      <c r="B5976" t="s">
        <v>4440</v>
      </c>
      <c r="C5976" t="str">
        <f>INDEX(nse!D:D,MATCH(B5976,nse!B:B,0))</f>
        <v>EQ</v>
      </c>
      <c r="D5976" t="str">
        <f>INDEX(nse!C:C,MATCH(B5976,nse!B:B,0))</f>
        <v>Stampede Capital Limited</v>
      </c>
    </row>
    <row r="5977" spans="2:4" hidden="1" x14ac:dyDescent="0.3">
      <c r="B5977" t="s">
        <v>94</v>
      </c>
      <c r="C5977" t="str">
        <f>INDEX(nse!D:D,MATCH(B5977,nse!B:B,0))</f>
        <v>EQ</v>
      </c>
      <c r="D5977" t="str">
        <f>INDEX(nse!C:C,MATCH(B5977,nse!B:B,0))</f>
        <v>Strides Shasun Limited</v>
      </c>
    </row>
    <row r="5978" spans="2:4" hidden="1" x14ac:dyDescent="0.3">
      <c r="B5978" t="s">
        <v>1086</v>
      </c>
      <c r="C5978" t="str">
        <f>INDEX(nse!D:D,MATCH(B5978,nse!B:B,0))</f>
        <v>EQ</v>
      </c>
      <c r="D5978" t="str">
        <f>INDEX(nse!C:C,MATCH(B5978,nse!B:B,0))</f>
        <v>Star Paper Mills Limited</v>
      </c>
    </row>
    <row r="5979" spans="2:4" hidden="1" x14ac:dyDescent="0.3">
      <c r="B5979" t="s">
        <v>1087</v>
      </c>
      <c r="C5979" t="str">
        <f>INDEX(nse!D:D,MATCH(B5979,nse!B:B,0))</f>
        <v>EQ</v>
      </c>
      <c r="D5979" t="str">
        <f>INDEX(nse!C:C,MATCH(B5979,nse!B:B,0))</f>
        <v>The State Trading Corporation of India Limited</v>
      </c>
    </row>
    <row r="5980" spans="2:4" hidden="1" x14ac:dyDescent="0.3">
      <c r="B5980" t="s">
        <v>1088</v>
      </c>
      <c r="C5980" t="str">
        <f>INDEX(nse!D:D,MATCH(B5980,nse!B:B,0))</f>
        <v>EQ</v>
      </c>
      <c r="D5980" t="str">
        <f>INDEX(nse!C:C,MATCH(B5980,nse!B:B,0))</f>
        <v>Stel Holdings Limited</v>
      </c>
    </row>
    <row r="5981" spans="2:4" hidden="1" x14ac:dyDescent="0.3">
      <c r="B5981" t="s">
        <v>1089</v>
      </c>
      <c r="C5981" t="str">
        <f>INDEX(nse!D:D,MATCH(B5981,nse!B:B,0))</f>
        <v>EQ</v>
      </c>
      <c r="D5981" t="str">
        <f>INDEX(nse!C:C,MATCH(B5981,nse!B:B,0))</f>
        <v>Sterling Biotech Limited</v>
      </c>
    </row>
    <row r="5982" spans="2:4" hidden="1" x14ac:dyDescent="0.3">
      <c r="B5982" t="s">
        <v>1090</v>
      </c>
      <c r="C5982" t="str">
        <f>INDEX(nse!D:D,MATCH(B5982,nse!B:B,0))</f>
        <v>EQ</v>
      </c>
      <c r="D5982" t="str">
        <f>INDEX(nse!C:C,MATCH(B5982,nse!B:B,0))</f>
        <v>Sterling Tools Limited</v>
      </c>
    </row>
    <row r="5983" spans="2:4" hidden="1" x14ac:dyDescent="0.3">
      <c r="B5983" t="s">
        <v>1091</v>
      </c>
      <c r="C5983" t="str">
        <f>INDEX(nse!D:D,MATCH(B5983,nse!B:B,0))</f>
        <v>EQ</v>
      </c>
      <c r="D5983" t="str">
        <f>INDEX(nse!C:C,MATCH(B5983,nse!B:B,0))</f>
        <v>STI India Limited</v>
      </c>
    </row>
    <row r="5984" spans="2:4" hidden="1" x14ac:dyDescent="0.3">
      <c r="B5984" t="s">
        <v>1092</v>
      </c>
      <c r="C5984" t="str">
        <f>INDEX(nse!D:D,MATCH(B5984,nse!B:B,0))</f>
        <v>EQ</v>
      </c>
      <c r="D5984" t="str">
        <f>INDEX(nse!C:C,MATCH(B5984,nse!B:B,0))</f>
        <v>Sterlite Technologies Limited</v>
      </c>
    </row>
    <row r="5985" spans="2:4" hidden="1" x14ac:dyDescent="0.3">
      <c r="B5985" t="s">
        <v>1093</v>
      </c>
      <c r="C5985" t="str">
        <f>INDEX(nse!D:D,MATCH(B5985,nse!B:B,0))</f>
        <v>EQ</v>
      </c>
      <c r="D5985" t="str">
        <f>INDEX(nse!C:C,MATCH(B5985,nse!B:B,0))</f>
        <v>Subex Limited</v>
      </c>
    </row>
    <row r="5986" spans="2:4" hidden="1" x14ac:dyDescent="0.3">
      <c r="B5986" t="s">
        <v>1094</v>
      </c>
      <c r="C5986" t="str">
        <f>INDEX(nse!D:D,MATCH(B5986,nse!B:B,0))</f>
        <v>EQ</v>
      </c>
      <c r="D5986" t="str">
        <f>INDEX(nse!C:C,MATCH(B5986,nse!B:B,0))</f>
        <v>Subros Limited</v>
      </c>
    </row>
    <row r="5987" spans="2:4" hidden="1" x14ac:dyDescent="0.3">
      <c r="B5987" t="s">
        <v>1095</v>
      </c>
      <c r="C5987" t="str">
        <f>INDEX(nse!D:D,MATCH(B5987,nse!B:B,0))</f>
        <v>EQ</v>
      </c>
      <c r="D5987" t="str">
        <f>INDEX(nse!C:C,MATCH(B5987,nse!B:B,0))</f>
        <v>Sudarshan Chemical Industries Limited</v>
      </c>
    </row>
    <row r="5988" spans="2:4" hidden="1" x14ac:dyDescent="0.3">
      <c r="B5988" t="s">
        <v>1096</v>
      </c>
      <c r="C5988" t="str">
        <f>INDEX(nse!D:D,MATCH(B5988,nse!B:B,0))</f>
        <v>EQ</v>
      </c>
      <c r="D5988" t="str">
        <f>INDEX(nse!C:C,MATCH(B5988,nse!B:B,0))</f>
        <v>Sujana Universal Industries Limited</v>
      </c>
    </row>
    <row r="5989" spans="2:4" hidden="1" x14ac:dyDescent="0.3">
      <c r="B5989" t="s">
        <v>1097</v>
      </c>
      <c r="C5989" t="str">
        <f>INDEX(nse!D:D,MATCH(B5989,nse!B:B,0))</f>
        <v>EQ</v>
      </c>
      <c r="D5989" t="str">
        <f>INDEX(nse!C:C,MATCH(B5989,nse!B:B,0))</f>
        <v>Sumeet Industries Limited</v>
      </c>
    </row>
    <row r="5990" spans="2:4" hidden="1" x14ac:dyDescent="0.3">
      <c r="B5990" t="s">
        <v>1098</v>
      </c>
      <c r="C5990" t="str">
        <f>INDEX(nse!D:D,MATCH(B5990,nse!B:B,0))</f>
        <v>EQ</v>
      </c>
      <c r="D5990" t="str">
        <f>INDEX(nse!C:C,MATCH(B5990,nse!B:B,0))</f>
        <v>Summit Securities Limited</v>
      </c>
    </row>
    <row r="5991" spans="2:4" hidden="1" x14ac:dyDescent="0.3">
      <c r="B5991" t="s">
        <v>1099</v>
      </c>
      <c r="C5991" t="str">
        <f>INDEX(nse!D:D,MATCH(B5991,nse!B:B,0))</f>
        <v>EQ</v>
      </c>
      <c r="D5991" t="str">
        <f>INDEX(nse!C:C,MATCH(B5991,nse!B:B,0))</f>
        <v>Sundaram Clayton Limited</v>
      </c>
    </row>
    <row r="5992" spans="2:4" hidden="1" x14ac:dyDescent="0.3">
      <c r="B5992" t="s">
        <v>1100</v>
      </c>
      <c r="C5992" t="str">
        <f>INDEX(nse!D:D,MATCH(B5992,nse!B:B,0))</f>
        <v>EQ</v>
      </c>
      <c r="D5992" t="str">
        <f>INDEX(nse!C:C,MATCH(B5992,nse!B:B,0))</f>
        <v>Sundaram Multi Pap Limited</v>
      </c>
    </row>
    <row r="5993" spans="2:4" hidden="1" x14ac:dyDescent="0.3">
      <c r="B5993" t="s">
        <v>1101</v>
      </c>
      <c r="C5993" t="str">
        <f>INDEX(nse!D:D,MATCH(B5993,nse!B:B,0))</f>
        <v>EQ</v>
      </c>
      <c r="D5993" t="str">
        <f>INDEX(nse!C:C,MATCH(B5993,nse!B:B,0))</f>
        <v>Sundaram Finance Limited</v>
      </c>
    </row>
    <row r="5994" spans="2:4" hidden="1" x14ac:dyDescent="0.3">
      <c r="B5994" t="s">
        <v>1102</v>
      </c>
      <c r="C5994" t="str">
        <f>INDEX(nse!D:D,MATCH(B5994,nse!B:B,0))</f>
        <v>EQ</v>
      </c>
      <c r="D5994" t="str">
        <f>INDEX(nse!C:C,MATCH(B5994,nse!B:B,0))</f>
        <v>Sundaram Brake Linings Limited</v>
      </c>
    </row>
    <row r="5995" spans="2:4" hidden="1" x14ac:dyDescent="0.3">
      <c r="B5995" t="s">
        <v>1103</v>
      </c>
      <c r="C5995" t="str">
        <f>INDEX(nse!D:D,MATCH(B5995,nse!B:B,0))</f>
        <v>EQ</v>
      </c>
      <c r="D5995" t="str">
        <f>INDEX(nse!C:C,MATCH(B5995,nse!B:B,0))</f>
        <v>Sundram Fasteners Limited</v>
      </c>
    </row>
    <row r="5996" spans="2:4" hidden="1" x14ac:dyDescent="0.3">
      <c r="B5996" t="s">
        <v>1104</v>
      </c>
      <c r="C5996" t="str">
        <f>INDEX(nse!D:D,MATCH(B5996,nse!B:B,0))</f>
        <v>EQ</v>
      </c>
      <c r="D5996" t="str">
        <f>INDEX(nse!C:C,MATCH(B5996,nse!B:B,0))</f>
        <v>Sunflag Iron And Steel Company Limited</v>
      </c>
    </row>
    <row r="5997" spans="2:4" hidden="1" x14ac:dyDescent="0.3">
      <c r="B5997" t="s">
        <v>1105</v>
      </c>
      <c r="C5997" t="str">
        <f>INDEX(nse!D:D,MATCH(B5997,nse!B:B,0))</f>
        <v>EQ</v>
      </c>
      <c r="D5997" t="str">
        <f>INDEX(nse!C:C,MATCH(B5997,nse!B:B,0))</f>
        <v>Sunil Hitech Engineers Limited</v>
      </c>
    </row>
    <row r="5998" spans="2:4" hidden="1" x14ac:dyDescent="0.3">
      <c r="B5998" t="s">
        <v>1106</v>
      </c>
      <c r="C5998" t="str">
        <f>INDEX(nse!D:D,MATCH(B5998,nse!B:B,0))</f>
        <v>EQ</v>
      </c>
      <c r="D5998" t="str">
        <f>INDEX(nse!C:C,MATCH(B5998,nse!B:B,0))</f>
        <v>Sun Pharmaceutical Industries Limited</v>
      </c>
    </row>
    <row r="5999" spans="2:4" hidden="1" x14ac:dyDescent="0.3">
      <c r="B5999" t="s">
        <v>1107</v>
      </c>
      <c r="C5999" t="str">
        <f>INDEX(nse!D:D,MATCH(B5999,nse!B:B,0))</f>
        <v>EQ</v>
      </c>
      <c r="D5999" t="str">
        <f>INDEX(nse!C:C,MATCH(B5999,nse!B:B,0))</f>
        <v>Sunteck Realty Limited</v>
      </c>
    </row>
    <row r="6000" spans="2:4" hidden="1" x14ac:dyDescent="0.3">
      <c r="B6000" t="s">
        <v>27</v>
      </c>
      <c r="C6000" t="str">
        <f>INDEX(nse!D:D,MATCH(B6000,nse!B:B,0))</f>
        <v>EQ</v>
      </c>
      <c r="D6000" t="str">
        <f>INDEX(nse!C:C,MATCH(B6000,nse!B:B,0))</f>
        <v>Sun TV Network Limited</v>
      </c>
    </row>
    <row r="6001" spans="2:4" hidden="1" x14ac:dyDescent="0.3">
      <c r="B6001" t="s">
        <v>1108</v>
      </c>
      <c r="C6001" t="str">
        <f>INDEX(nse!D:D,MATCH(B6001,nse!B:B,0))</f>
        <v>EQ</v>
      </c>
      <c r="D6001" t="str">
        <f>INDEX(nse!C:C,MATCH(B6001,nse!B:B,0))</f>
        <v>Superhouse Limited</v>
      </c>
    </row>
    <row r="6002" spans="2:4" hidden="1" x14ac:dyDescent="0.3">
      <c r="B6002" t="s">
        <v>1109</v>
      </c>
      <c r="C6002" t="str">
        <f>INDEX(nse!D:D,MATCH(B6002,nse!B:B,0))</f>
        <v>EQ</v>
      </c>
      <c r="D6002" t="str">
        <f>INDEX(nse!C:C,MATCH(B6002,nse!B:B,0))</f>
        <v>Super Spinning Mills Limited</v>
      </c>
    </row>
    <row r="6003" spans="2:4" hidden="1" x14ac:dyDescent="0.3">
      <c r="B6003" t="s">
        <v>1110</v>
      </c>
      <c r="C6003" t="str">
        <f>INDEX(nse!D:D,MATCH(B6003,nse!B:B,0))</f>
        <v>EQ</v>
      </c>
      <c r="D6003" t="str">
        <f>INDEX(nse!C:C,MATCH(B6003,nse!B:B,0))</f>
        <v>Supreme Petrochem Limited</v>
      </c>
    </row>
    <row r="6004" spans="2:4" hidden="1" x14ac:dyDescent="0.3">
      <c r="B6004" t="s">
        <v>116</v>
      </c>
      <c r="C6004" t="str">
        <f>INDEX(nse!D:D,MATCH(B6004,nse!B:B,0))</f>
        <v>EQ</v>
      </c>
      <c r="D6004" t="str">
        <f>INDEX(nse!C:C,MATCH(B6004,nse!B:B,0))</f>
        <v>Suprajit Engineering Limited</v>
      </c>
    </row>
    <row r="6005" spans="2:4" hidden="1" x14ac:dyDescent="0.3">
      <c r="B6005" t="s">
        <v>1111</v>
      </c>
      <c r="C6005" t="str">
        <f>INDEX(nse!D:D,MATCH(B6005,nse!B:B,0))</f>
        <v>EQ</v>
      </c>
      <c r="D6005" t="str">
        <f>INDEX(nse!C:C,MATCH(B6005,nse!B:B,0))</f>
        <v>Supreme Industries Limited</v>
      </c>
    </row>
    <row r="6006" spans="2:4" hidden="1" x14ac:dyDescent="0.3">
      <c r="B6006" t="s">
        <v>1112</v>
      </c>
      <c r="C6006" t="str">
        <f>INDEX(nse!D:D,MATCH(B6006,nse!B:B,0))</f>
        <v>EQ</v>
      </c>
      <c r="D6006" t="str">
        <f>INDEX(nse!C:C,MATCH(B6006,nse!B:B,0))</f>
        <v>Supreme Infrastructure India Limited</v>
      </c>
    </row>
    <row r="6007" spans="2:4" hidden="1" x14ac:dyDescent="0.3">
      <c r="B6007" t="s">
        <v>1113</v>
      </c>
      <c r="C6007" t="str">
        <f>INDEX(nse!D:D,MATCH(B6007,nse!B:B,0))</f>
        <v>EQ</v>
      </c>
      <c r="D6007" t="str">
        <f>INDEX(nse!C:C,MATCH(B6007,nse!B:B,0))</f>
        <v>Supreme Tex Mart Limited</v>
      </c>
    </row>
    <row r="6008" spans="2:4" hidden="1" x14ac:dyDescent="0.3">
      <c r="B6008" t="s">
        <v>1114</v>
      </c>
      <c r="C6008" t="str">
        <f>INDEX(nse!D:D,MATCH(B6008,nse!B:B,0))</f>
        <v>EQ</v>
      </c>
      <c r="D6008" t="str">
        <f>INDEX(nse!C:C,MATCH(B6008,nse!B:B,0))</f>
        <v>Surana Corporation Limited</v>
      </c>
    </row>
    <row r="6009" spans="2:4" hidden="1" x14ac:dyDescent="0.3">
      <c r="B6009" t="s">
        <v>1115</v>
      </c>
      <c r="C6009" t="str">
        <f>INDEX(nse!D:D,MATCH(B6009,nse!B:B,0))</f>
        <v>BE</v>
      </c>
      <c r="D6009" t="str">
        <f>INDEX(nse!C:C,MATCH(B6009,nse!B:B,0))</f>
        <v>Surana Industries Limited</v>
      </c>
    </row>
    <row r="6010" spans="2:4" hidden="1" x14ac:dyDescent="0.3">
      <c r="B6010" t="s">
        <v>1116</v>
      </c>
      <c r="C6010" t="str">
        <f>INDEX(nse!D:D,MATCH(B6010,nse!B:B,0))</f>
        <v>EQ</v>
      </c>
      <c r="D6010" t="str">
        <f>INDEX(nse!C:C,MATCH(B6010,nse!B:B,0))</f>
        <v>Surana Solar Limited</v>
      </c>
    </row>
    <row r="6011" spans="2:4" hidden="1" x14ac:dyDescent="0.3">
      <c r="B6011" t="s">
        <v>1117</v>
      </c>
      <c r="C6011" t="str">
        <f>INDEX(nse!D:D,MATCH(B6011,nse!B:B,0))</f>
        <v>EQ</v>
      </c>
      <c r="D6011" t="str">
        <f>INDEX(nse!C:C,MATCH(B6011,nse!B:B,0))</f>
        <v>Surana Telecom and Power Limited</v>
      </c>
    </row>
    <row r="6012" spans="2:4" hidden="1" x14ac:dyDescent="0.3">
      <c r="B6012" t="s">
        <v>1118</v>
      </c>
      <c r="C6012" t="str">
        <f>INDEX(nse!D:D,MATCH(B6012,nse!B:B,0))</f>
        <v>EQ</v>
      </c>
      <c r="D6012" t="str">
        <f>INDEX(nse!C:C,MATCH(B6012,nse!B:B,0))</f>
        <v>Suryalakshmi Cotton Mills Limited</v>
      </c>
    </row>
    <row r="6013" spans="2:4" hidden="1" x14ac:dyDescent="0.3">
      <c r="B6013" t="s">
        <v>1119</v>
      </c>
      <c r="C6013" t="str">
        <f>INDEX(nse!D:D,MATCH(B6013,nse!B:B,0))</f>
        <v>EQ</v>
      </c>
      <c r="D6013" t="str">
        <f>INDEX(nse!C:C,MATCH(B6013,nse!B:B,0))</f>
        <v>Surya Roshni Limited</v>
      </c>
    </row>
    <row r="6014" spans="2:4" hidden="1" x14ac:dyDescent="0.3">
      <c r="B6014" t="s">
        <v>1120</v>
      </c>
      <c r="C6014" t="str">
        <f>INDEX(nse!D:D,MATCH(B6014,nse!B:B,0))</f>
        <v>EQ</v>
      </c>
      <c r="D6014" t="str">
        <f>INDEX(nse!C:C,MATCH(B6014,nse!B:B,0))</f>
        <v>Sutlej Textiles and Industries Limited</v>
      </c>
    </row>
    <row r="6015" spans="2:4" hidden="1" x14ac:dyDescent="0.3">
      <c r="B6015" t="s">
        <v>1121</v>
      </c>
      <c r="C6015" t="str">
        <f>INDEX(nse!D:D,MATCH(B6015,nse!B:B,0))</f>
        <v>EQ</v>
      </c>
      <c r="D6015" t="str">
        <f>INDEX(nse!C:C,MATCH(B6015,nse!B:B,0))</f>
        <v>Suven Life Sciences Limited</v>
      </c>
    </row>
    <row r="6016" spans="2:4" hidden="1" x14ac:dyDescent="0.3">
      <c r="B6016" t="s">
        <v>1122</v>
      </c>
      <c r="C6016" t="str">
        <f>INDEX(nse!D:D,MATCH(B6016,nse!B:B,0))</f>
        <v>EQ</v>
      </c>
      <c r="D6016" t="str">
        <f>INDEX(nse!C:C,MATCH(B6016,nse!B:B,0))</f>
        <v>Suzlon Energy Limited</v>
      </c>
    </row>
    <row r="6017" spans="2:4" hidden="1" x14ac:dyDescent="0.3">
      <c r="B6017" t="s">
        <v>1123</v>
      </c>
      <c r="C6017" t="str">
        <f>INDEX(nse!D:D,MATCH(B6017,nse!B:B,0))</f>
        <v>EQ</v>
      </c>
      <c r="D6017" t="str">
        <f>INDEX(nse!C:C,MATCH(B6017,nse!B:B,0))</f>
        <v>Swan Energy Limited</v>
      </c>
    </row>
    <row r="6018" spans="2:4" hidden="1" x14ac:dyDescent="0.3">
      <c r="B6018" t="s">
        <v>1124</v>
      </c>
      <c r="C6018" t="str">
        <f>INDEX(nse!D:D,MATCH(B6018,nse!B:B,0))</f>
        <v>EQ</v>
      </c>
      <c r="D6018" t="str">
        <f>INDEX(nse!C:C,MATCH(B6018,nse!B:B,0))</f>
        <v>Swaraj Engines Limited</v>
      </c>
    </row>
    <row r="6019" spans="2:4" hidden="1" x14ac:dyDescent="0.3">
      <c r="B6019" t="s">
        <v>1125</v>
      </c>
      <c r="C6019" t="str">
        <f>INDEX(nse!D:D,MATCH(B6019,nse!B:B,0))</f>
        <v>EQ</v>
      </c>
      <c r="D6019" t="str">
        <f>INDEX(nse!C:C,MATCH(B6019,nse!B:B,0))</f>
        <v>Swelect Energy Systems Limited</v>
      </c>
    </row>
    <row r="6020" spans="2:4" hidden="1" x14ac:dyDescent="0.3">
      <c r="B6020" t="s">
        <v>1126</v>
      </c>
      <c r="C6020" t="str">
        <f>INDEX(nse!D:D,MATCH(B6020,nse!B:B,0))</f>
        <v>EQ</v>
      </c>
      <c r="D6020" t="str">
        <f>INDEX(nse!C:C,MATCH(B6020,nse!B:B,0))</f>
        <v>Symphony Limited</v>
      </c>
    </row>
    <row r="6021" spans="2:4" hidden="1" x14ac:dyDescent="0.3">
      <c r="B6021" t="s">
        <v>1127</v>
      </c>
      <c r="C6021" t="str">
        <f>INDEX(nse!D:D,MATCH(B6021,nse!B:B,0))</f>
        <v>EQ</v>
      </c>
      <c r="D6021" t="str">
        <f>INDEX(nse!C:C,MATCH(B6021,nse!B:B,0))</f>
        <v>Syncom Healthcare Limited</v>
      </c>
    </row>
    <row r="6022" spans="2:4" hidden="1" x14ac:dyDescent="0.3">
      <c r="B6022" t="s">
        <v>95</v>
      </c>
      <c r="C6022" t="str">
        <f>INDEX(nse!D:D,MATCH(B6022,nse!B:B,0))</f>
        <v>EQ</v>
      </c>
      <c r="D6022" t="str">
        <f>INDEX(nse!C:C,MATCH(B6022,nse!B:B,0))</f>
        <v>Syndicate Bank</v>
      </c>
    </row>
    <row r="6023" spans="2:4" hidden="1" x14ac:dyDescent="0.3">
      <c r="B6023" t="s">
        <v>4492</v>
      </c>
      <c r="C6023" t="str">
        <f>INDEX(nse!D:D,MATCH(B6023,nse!B:B,0))</f>
        <v>EQ</v>
      </c>
      <c r="D6023" t="str">
        <f>INDEX(nse!C:C,MATCH(B6023,nse!B:B,0))</f>
        <v>Syngene International Limited</v>
      </c>
    </row>
    <row r="6024" spans="2:4" hidden="1" x14ac:dyDescent="0.3">
      <c r="B6024" t="s">
        <v>1128</v>
      </c>
      <c r="C6024" t="str">
        <f>INDEX(nse!D:D,MATCH(B6024,nse!B:B,0))</f>
        <v>EQ</v>
      </c>
      <c r="D6024" t="str">
        <f>INDEX(nse!C:C,MATCH(B6024,nse!B:B,0))</f>
        <v>Tainwala Chemical and Plastic (I) Limited</v>
      </c>
    </row>
    <row r="6025" spans="2:4" hidden="1" x14ac:dyDescent="0.3">
      <c r="B6025" t="s">
        <v>1129</v>
      </c>
      <c r="C6025" t="str">
        <f>INDEX(nse!D:D,MATCH(B6025,nse!B:B,0))</f>
        <v>EQ</v>
      </c>
      <c r="D6025" t="str">
        <f>INDEX(nse!C:C,MATCH(B6025,nse!B:B,0))</f>
        <v>Taj GVK Hotels &amp; Resorts Limited</v>
      </c>
    </row>
    <row r="6026" spans="2:4" hidden="1" x14ac:dyDescent="0.3">
      <c r="B6026" t="s">
        <v>1130</v>
      </c>
      <c r="C6026" t="str">
        <f>INDEX(nse!D:D,MATCH(B6026,nse!B:B,0))</f>
        <v>EQ</v>
      </c>
      <c r="D6026" t="str">
        <f>INDEX(nse!C:C,MATCH(B6026,nse!B:B,0))</f>
        <v>Take Solutions Limited</v>
      </c>
    </row>
    <row r="6027" spans="2:4" hidden="1" x14ac:dyDescent="0.3">
      <c r="B6027" t="s">
        <v>1131</v>
      </c>
      <c r="C6027" t="str">
        <f>INDEX(nse!D:D,MATCH(B6027,nse!B:B,0))</f>
        <v>EQ</v>
      </c>
      <c r="D6027" t="str">
        <f>INDEX(nse!C:C,MATCH(B6027,nse!B:B,0))</f>
        <v>Talbros Automotive Components Limited</v>
      </c>
    </row>
    <row r="6028" spans="2:4" hidden="1" x14ac:dyDescent="0.3">
      <c r="B6028" t="s">
        <v>1132</v>
      </c>
      <c r="C6028" t="str">
        <f>INDEX(nse!D:D,MATCH(B6028,nse!B:B,0))</f>
        <v>EQ</v>
      </c>
      <c r="D6028" t="str">
        <f>INDEX(nse!C:C,MATCH(B6028,nse!B:B,0))</f>
        <v>Talwalkars Better Value Fitness Limited</v>
      </c>
    </row>
    <row r="6029" spans="2:4" hidden="1" x14ac:dyDescent="0.3">
      <c r="B6029" t="s">
        <v>1133</v>
      </c>
      <c r="C6029" t="str">
        <f>INDEX(nse!D:D,MATCH(B6029,nse!B:B,0))</f>
        <v>EQ</v>
      </c>
      <c r="D6029" t="str">
        <f>INDEX(nse!C:C,MATCH(B6029,nse!B:B,0))</f>
        <v>Tanla Solutions Limited</v>
      </c>
    </row>
    <row r="6030" spans="2:4" hidden="1" x14ac:dyDescent="0.3">
      <c r="B6030" t="s">
        <v>1134</v>
      </c>
      <c r="C6030" t="str">
        <f>INDEX(nse!D:D,MATCH(B6030,nse!B:B,0))</f>
        <v>BE</v>
      </c>
      <c r="D6030" t="str">
        <f>INDEX(nse!C:C,MATCH(B6030,nse!B:B,0))</f>
        <v>Tantia Constructions Limited</v>
      </c>
    </row>
    <row r="6031" spans="2:4" hidden="1" x14ac:dyDescent="0.3">
      <c r="B6031" t="s">
        <v>1135</v>
      </c>
      <c r="C6031" t="str">
        <f>INDEX(nse!D:D,MATCH(B6031,nse!B:B,0))</f>
        <v>EQ</v>
      </c>
      <c r="D6031" t="str">
        <f>INDEX(nse!C:C,MATCH(B6031,nse!B:B,0))</f>
        <v>Tara Jewels Limited</v>
      </c>
    </row>
    <row r="6032" spans="2:4" hidden="1" x14ac:dyDescent="0.3">
      <c r="B6032" t="s">
        <v>1136</v>
      </c>
      <c r="C6032" t="str">
        <f>INDEX(nse!D:D,MATCH(B6032,nse!B:B,0))</f>
        <v>BE</v>
      </c>
      <c r="D6032" t="str">
        <f>INDEX(nse!C:C,MATCH(B6032,nse!B:B,0))</f>
        <v>Tarapur Transformers Limited</v>
      </c>
    </row>
    <row r="6033" spans="2:4" hidden="1" x14ac:dyDescent="0.3">
      <c r="B6033" t="s">
        <v>1137</v>
      </c>
      <c r="C6033" t="str">
        <f>INDEX(nse!D:D,MATCH(B6033,nse!B:B,0))</f>
        <v>BE</v>
      </c>
      <c r="D6033" t="str">
        <f>INDEX(nse!C:C,MATCH(B6033,nse!B:B,0))</f>
        <v>Tarmat Limited</v>
      </c>
    </row>
    <row r="6034" spans="2:4" hidden="1" x14ac:dyDescent="0.3">
      <c r="B6034" t="s">
        <v>4505</v>
      </c>
      <c r="C6034" t="str">
        <f>INDEX(nse!D:D,MATCH(B6034,nse!B:B,0))</f>
        <v>EQ</v>
      </c>
      <c r="D6034" t="str">
        <f>INDEX(nse!C:C,MATCH(B6034,nse!B:B,0))</f>
        <v>Tasty Bite Eatables Limited</v>
      </c>
    </row>
    <row r="6035" spans="2:4" hidden="1" x14ac:dyDescent="0.3">
      <c r="B6035" t="s">
        <v>97</v>
      </c>
      <c r="C6035" t="str">
        <f>INDEX(nse!D:D,MATCH(B6035,nse!B:B,0))</f>
        <v>EQ</v>
      </c>
      <c r="D6035" t="str">
        <f>INDEX(nse!C:C,MATCH(B6035,nse!B:B,0))</f>
        <v>Tata Chemicals Limited</v>
      </c>
    </row>
    <row r="6036" spans="2:4" hidden="1" x14ac:dyDescent="0.3">
      <c r="B6036" t="s">
        <v>97</v>
      </c>
      <c r="C6036" t="str">
        <f>INDEX(nse!D:D,MATCH(B6036,nse!B:B,0))</f>
        <v>EQ</v>
      </c>
      <c r="D6036" t="str">
        <f>INDEX(nse!C:C,MATCH(B6036,nse!B:B,0))</f>
        <v>Tata Chemicals Limited</v>
      </c>
    </row>
    <row r="6037" spans="2:4" hidden="1" x14ac:dyDescent="0.3">
      <c r="B6037" t="s">
        <v>1138</v>
      </c>
      <c r="C6037" t="str">
        <f>INDEX(nse!D:D,MATCH(B6037,nse!B:B,0))</f>
        <v>EQ</v>
      </c>
      <c r="D6037" t="str">
        <f>INDEX(nse!C:C,MATCH(B6037,nse!B:B,0))</f>
        <v>Tata Coffee Limited</v>
      </c>
    </row>
    <row r="6038" spans="2:4" hidden="1" x14ac:dyDescent="0.3">
      <c r="B6038" t="s">
        <v>98</v>
      </c>
      <c r="C6038" t="str">
        <f>INDEX(nse!D:D,MATCH(B6038,nse!B:B,0))</f>
        <v>EQ</v>
      </c>
      <c r="D6038" t="str">
        <f>INDEX(nse!C:C,MATCH(B6038,nse!B:B,0))</f>
        <v>Tata Communications Limited</v>
      </c>
    </row>
    <row r="6039" spans="2:4" hidden="1" x14ac:dyDescent="0.3">
      <c r="B6039" t="s">
        <v>1139</v>
      </c>
      <c r="C6039" t="str">
        <f>INDEX(nse!D:D,MATCH(B6039,nse!B:B,0))</f>
        <v>EQ</v>
      </c>
      <c r="D6039" t="str">
        <f>INDEX(nse!C:C,MATCH(B6039,nse!B:B,0))</f>
        <v>Tata Elxsi Limited</v>
      </c>
    </row>
    <row r="6040" spans="2:4" hidden="1" x14ac:dyDescent="0.3">
      <c r="B6040" t="s">
        <v>99</v>
      </c>
      <c r="C6040" t="str">
        <f>INDEX(nse!D:D,MATCH(B6040,nse!B:B,0))</f>
        <v>EQ</v>
      </c>
      <c r="D6040" t="str">
        <f>INDEX(nse!C:C,MATCH(B6040,nse!B:B,0))</f>
        <v>Tata Global Beverages Limited</v>
      </c>
    </row>
    <row r="6041" spans="2:4" hidden="1" x14ac:dyDescent="0.3">
      <c r="B6041" t="s">
        <v>1140</v>
      </c>
      <c r="C6041" t="str">
        <f>INDEX(nse!D:D,MATCH(B6041,nse!B:B,0))</f>
        <v>EQ</v>
      </c>
      <c r="D6041" t="str">
        <f>INDEX(nse!C:C,MATCH(B6041,nse!B:B,0))</f>
        <v>Tata Investment Corporation Limited</v>
      </c>
    </row>
    <row r="6042" spans="2:4" hidden="1" x14ac:dyDescent="0.3">
      <c r="B6042" t="s">
        <v>1141</v>
      </c>
      <c r="C6042" t="str">
        <f>INDEX(nse!D:D,MATCH(B6042,nse!B:B,0))</f>
        <v>EQ</v>
      </c>
      <c r="D6042" t="str">
        <f>INDEX(nse!C:C,MATCH(B6042,nse!B:B,0))</f>
        <v>Tata Metaliks Limited</v>
      </c>
    </row>
    <row r="6043" spans="2:4" hidden="1" x14ac:dyDescent="0.3">
      <c r="B6043" t="s">
        <v>1142</v>
      </c>
      <c r="C6043" t="str">
        <f>INDEX(nse!D:D,MATCH(B6043,nse!B:B,0))</f>
        <v>EQ</v>
      </c>
      <c r="D6043" t="str">
        <f>INDEX(nse!C:C,MATCH(B6043,nse!B:B,0))</f>
        <v>Tata Motors Limited</v>
      </c>
    </row>
    <row r="6044" spans="2:4" hidden="1" x14ac:dyDescent="0.3">
      <c r="B6044" t="s">
        <v>4517</v>
      </c>
      <c r="C6044" t="str">
        <f>INDEX(nse!D:D,MATCH(B6044,nse!B:B,0))</f>
        <v>EQ</v>
      </c>
      <c r="D6044" t="str">
        <f>INDEX(nse!C:C,MATCH(B6044,nse!B:B,0))</f>
        <v>Tata Motors Limited</v>
      </c>
    </row>
    <row r="6045" spans="2:4" hidden="1" x14ac:dyDescent="0.3">
      <c r="B6045" t="s">
        <v>1143</v>
      </c>
      <c r="C6045" t="str">
        <f>INDEX(nse!D:D,MATCH(B6045,nse!B:B,0))</f>
        <v>EQ</v>
      </c>
      <c r="D6045" t="str">
        <f>INDEX(nse!C:C,MATCH(B6045,nse!B:B,0))</f>
        <v>Tata Power Company Limited</v>
      </c>
    </row>
    <row r="6046" spans="2:4" hidden="1" x14ac:dyDescent="0.3">
      <c r="B6046" t="s">
        <v>1144</v>
      </c>
      <c r="C6046" t="str">
        <f>INDEX(nse!D:D,MATCH(B6046,nse!B:B,0))</f>
        <v>EQ</v>
      </c>
      <c r="D6046" t="str">
        <f>INDEX(nse!C:C,MATCH(B6046,nse!B:B,0))</f>
        <v>Tata Sponge Iron Limited</v>
      </c>
    </row>
    <row r="6047" spans="2:4" hidden="1" x14ac:dyDescent="0.3">
      <c r="B6047" t="s">
        <v>117</v>
      </c>
      <c r="C6047" t="str">
        <f>INDEX(nse!D:D,MATCH(B6047,nse!B:B,0))</f>
        <v>EQ</v>
      </c>
      <c r="D6047" t="str">
        <f>INDEX(nse!C:C,MATCH(B6047,nse!B:B,0))</f>
        <v>Tata Steel Limited</v>
      </c>
    </row>
    <row r="6048" spans="2:4" hidden="1" x14ac:dyDescent="0.3">
      <c r="B6048" t="s">
        <v>1145</v>
      </c>
      <c r="C6048" t="str">
        <f>INDEX(nse!D:D,MATCH(B6048,nse!B:B,0))</f>
        <v>EQ</v>
      </c>
      <c r="D6048" t="str">
        <f>INDEX(nse!C:C,MATCH(B6048,nse!B:B,0))</f>
        <v>Tribhovandas Bhimji Zaveri Limited</v>
      </c>
    </row>
    <row r="6049" spans="2:4" hidden="1" x14ac:dyDescent="0.3">
      <c r="B6049" t="s">
        <v>1146</v>
      </c>
      <c r="C6049" t="str">
        <f>INDEX(nse!D:D,MATCH(B6049,nse!B:B,0))</f>
        <v>EQ</v>
      </c>
      <c r="D6049" t="str">
        <f>INDEX(nse!C:C,MATCH(B6049,nse!B:B,0))</f>
        <v>Transport Corporation of India Limited</v>
      </c>
    </row>
    <row r="6050" spans="2:4" hidden="1" x14ac:dyDescent="0.3">
      <c r="B6050" t="s">
        <v>1147</v>
      </c>
      <c r="C6050" t="str">
        <f>INDEX(nse!D:D,MATCH(B6050,nse!B:B,0))</f>
        <v>EQ</v>
      </c>
      <c r="D6050" t="str">
        <f>INDEX(nse!C:C,MATCH(B6050,nse!B:B,0))</f>
        <v>TCI Developers Limited</v>
      </c>
    </row>
    <row r="6051" spans="2:4" hidden="1" x14ac:dyDescent="0.3">
      <c r="B6051" t="s">
        <v>4525</v>
      </c>
      <c r="C6051" t="str">
        <f>INDEX(nse!D:D,MATCH(B6051,nse!B:B,0))</f>
        <v>EQ</v>
      </c>
      <c r="D6051" t="str">
        <f>INDEX(nse!C:C,MATCH(B6051,nse!B:B,0))</f>
        <v>TCI Express Limited</v>
      </c>
    </row>
    <row r="6052" spans="2:4" hidden="1" x14ac:dyDescent="0.3">
      <c r="B6052" t="s">
        <v>1148</v>
      </c>
      <c r="C6052" t="str">
        <f>INDEX(nse!D:D,MATCH(B6052,nse!B:B,0))</f>
        <v>EQ</v>
      </c>
      <c r="D6052" t="str">
        <f>INDEX(nse!C:C,MATCH(B6052,nse!B:B,0))</f>
        <v>TCI Finance Limited</v>
      </c>
    </row>
    <row r="6053" spans="2:4" hidden="1" x14ac:dyDescent="0.3">
      <c r="B6053" t="s">
        <v>1149</v>
      </c>
      <c r="C6053" t="str">
        <f>INDEX(nse!D:D,MATCH(B6053,nse!B:B,0))</f>
        <v>EQ</v>
      </c>
      <c r="D6053" t="str">
        <f>INDEX(nse!C:C,MATCH(B6053,nse!B:B,0))</f>
        <v>Tata Consultancy Services Limited</v>
      </c>
    </row>
    <row r="6054" spans="2:4" hidden="1" x14ac:dyDescent="0.3">
      <c r="B6054" t="s">
        <v>1150</v>
      </c>
      <c r="C6054" t="str">
        <f>INDEX(nse!D:D,MATCH(B6054,nse!B:B,0))</f>
        <v>EQ</v>
      </c>
      <c r="D6054" t="str">
        <f>INDEX(nse!C:C,MATCH(B6054,nse!B:B,0))</f>
        <v>TD Power Systems Limited</v>
      </c>
    </row>
    <row r="6055" spans="2:4" hidden="1" x14ac:dyDescent="0.3">
      <c r="B6055" t="s">
        <v>4531</v>
      </c>
      <c r="C6055" t="str">
        <f>INDEX(nse!D:D,MATCH(B6055,nse!B:B,0))</f>
        <v>EQ</v>
      </c>
      <c r="D6055" t="str">
        <f>INDEX(nse!C:C,MATCH(B6055,nse!B:B,0))</f>
        <v>Teamlease Services Limited</v>
      </c>
    </row>
    <row r="6056" spans="2:4" hidden="1" x14ac:dyDescent="0.3">
      <c r="B6056" t="s">
        <v>1151</v>
      </c>
      <c r="C6056" t="str">
        <f>INDEX(nse!D:D,MATCH(B6056,nse!B:B,0))</f>
        <v>BE</v>
      </c>
      <c r="D6056" t="str">
        <f>INDEX(nse!C:C,MATCH(B6056,nse!B:B,0))</f>
        <v>Techindia Nirman Limited</v>
      </c>
    </row>
    <row r="6057" spans="2:4" hidden="1" x14ac:dyDescent="0.3">
      <c r="B6057" t="s">
        <v>1152</v>
      </c>
      <c r="C6057" t="str">
        <f>INDEX(nse!D:D,MATCH(B6057,nse!B:B,0))</f>
        <v>EQ</v>
      </c>
      <c r="D6057" t="str">
        <f>INDEX(nse!C:C,MATCH(B6057,nse!B:B,0))</f>
        <v>Tech Mahindra Limited</v>
      </c>
    </row>
    <row r="6058" spans="2:4" hidden="1" x14ac:dyDescent="0.3">
      <c r="B6058" t="s">
        <v>1153</v>
      </c>
      <c r="C6058" t="str">
        <f>INDEX(nse!D:D,MATCH(B6058,nse!B:B,0))</f>
        <v>EQ</v>
      </c>
      <c r="D6058" t="str">
        <f>INDEX(nse!C:C,MATCH(B6058,nse!B:B,0))</f>
        <v>Techno Electric &amp; Engineering Company Limited</v>
      </c>
    </row>
    <row r="6059" spans="2:4" hidden="1" x14ac:dyDescent="0.3">
      <c r="B6059" t="s">
        <v>1154</v>
      </c>
      <c r="C6059" t="str">
        <f>INDEX(nse!D:D,MATCH(B6059,nse!B:B,0))</f>
        <v>EQ</v>
      </c>
      <c r="D6059" t="str">
        <f>INDEX(nse!C:C,MATCH(B6059,nse!B:B,0))</f>
        <v>Technofab Engineering Limited</v>
      </c>
    </row>
    <row r="6060" spans="2:4" hidden="1" x14ac:dyDescent="0.3">
      <c r="B6060" t="s">
        <v>4539</v>
      </c>
      <c r="C6060" t="str">
        <f>INDEX(nse!D:D,MATCH(B6060,nse!B:B,0))</f>
        <v>EQ</v>
      </c>
      <c r="D6060" t="str">
        <f>INDEX(nse!C:C,MATCH(B6060,nse!B:B,0))</f>
        <v>Tera Software Limited</v>
      </c>
    </row>
    <row r="6061" spans="2:4" hidden="1" x14ac:dyDescent="0.3">
      <c r="B6061" t="s">
        <v>1155</v>
      </c>
      <c r="C6061" t="str">
        <f>INDEX(nse!D:D,MATCH(B6061,nse!B:B,0))</f>
        <v>EQ</v>
      </c>
      <c r="D6061" t="str">
        <f>INDEX(nse!C:C,MATCH(B6061,nse!B:B,0))</f>
        <v>Texmaco Infrastructure &amp; Holdings Limited</v>
      </c>
    </row>
    <row r="6062" spans="2:4" hidden="1" x14ac:dyDescent="0.3">
      <c r="B6062" t="s">
        <v>1156</v>
      </c>
      <c r="C6062" t="str">
        <f>INDEX(nse!D:D,MATCH(B6062,nse!B:B,0))</f>
        <v>BE</v>
      </c>
      <c r="D6062" t="str">
        <f>INDEX(nse!C:C,MATCH(B6062,nse!B:B,0))</f>
        <v>Texmo Pipes and Products Limited</v>
      </c>
    </row>
    <row r="6063" spans="2:4" hidden="1" x14ac:dyDescent="0.3">
      <c r="B6063" t="s">
        <v>1157</v>
      </c>
      <c r="C6063" t="str">
        <f>INDEX(nse!D:D,MATCH(B6063,nse!B:B,0))</f>
        <v>EQ</v>
      </c>
      <c r="D6063" t="str">
        <f>INDEX(nse!C:C,MATCH(B6063,nse!B:B,0))</f>
        <v>Texmaco Rail &amp; Engineering Limited</v>
      </c>
    </row>
    <row r="6064" spans="2:4" hidden="1" x14ac:dyDescent="0.3">
      <c r="B6064" t="s">
        <v>1158</v>
      </c>
      <c r="C6064" t="str">
        <f>INDEX(nse!D:D,MATCH(B6064,nse!B:B,0))</f>
        <v>EQ</v>
      </c>
      <c r="D6064" t="str">
        <f>INDEX(nse!C:C,MATCH(B6064,nse!B:B,0))</f>
        <v>Tourism Finance Corporation of India Limited</v>
      </c>
    </row>
    <row r="6065" spans="2:4" hidden="1" x14ac:dyDescent="0.3">
      <c r="B6065" t="s">
        <v>1159</v>
      </c>
      <c r="C6065" t="str">
        <f>INDEX(nse!D:D,MATCH(B6065,nse!B:B,0))</f>
        <v>BE</v>
      </c>
      <c r="D6065" t="str">
        <f>INDEX(nse!C:C,MATCH(B6065,nse!B:B,0))</f>
        <v>Transwarranty Finance Limited</v>
      </c>
    </row>
    <row r="6066" spans="2:4" hidden="1" x14ac:dyDescent="0.3">
      <c r="B6066" t="s">
        <v>1160</v>
      </c>
      <c r="C6066" t="str">
        <f>INDEX(nse!D:D,MATCH(B6066,nse!B:B,0))</f>
        <v>EQ</v>
      </c>
      <c r="D6066" t="str">
        <f>INDEX(nse!C:C,MATCH(B6066,nse!B:B,0))</f>
        <v>TGB Banquets And Hotels Limited</v>
      </c>
    </row>
    <row r="6067" spans="2:4" hidden="1" x14ac:dyDescent="0.3">
      <c r="B6067" t="s">
        <v>1161</v>
      </c>
      <c r="C6067" t="str">
        <f>INDEX(nse!D:D,MATCH(B6067,nse!B:B,0))</f>
        <v>EQ</v>
      </c>
      <c r="D6067" t="str">
        <f>INDEX(nse!C:C,MATCH(B6067,nse!B:B,0))</f>
        <v>Thangamayil Jewellery Limited</v>
      </c>
    </row>
    <row r="6068" spans="2:4" hidden="1" x14ac:dyDescent="0.3">
      <c r="B6068" t="s">
        <v>1162</v>
      </c>
      <c r="C6068" t="str">
        <f>INDEX(nse!D:D,MATCH(B6068,nse!B:B,0))</f>
        <v>EQ</v>
      </c>
      <c r="D6068" t="str">
        <f>INDEX(nse!C:C,MATCH(B6068,nse!B:B,0))</f>
        <v>Themis Medicare Limited</v>
      </c>
    </row>
    <row r="6069" spans="2:4" hidden="1" x14ac:dyDescent="0.3">
      <c r="B6069" t="s">
        <v>101</v>
      </c>
      <c r="C6069" t="str">
        <f>INDEX(nse!D:D,MATCH(B6069,nse!B:B,0))</f>
        <v>EQ</v>
      </c>
      <c r="D6069" t="str">
        <f>INDEX(nse!C:C,MATCH(B6069,nse!B:B,0))</f>
        <v>Thermax Limited</v>
      </c>
    </row>
    <row r="6070" spans="2:4" hidden="1" x14ac:dyDescent="0.3">
      <c r="B6070" t="s">
        <v>1163</v>
      </c>
      <c r="C6070" t="str">
        <f>INDEX(nse!D:D,MATCH(B6070,nse!B:B,0))</f>
        <v>EQ</v>
      </c>
      <c r="D6070" t="str">
        <f>INDEX(nse!C:C,MATCH(B6070,nse!B:B,0))</f>
        <v>Thiru Arooran Sugars Limited</v>
      </c>
    </row>
    <row r="6071" spans="2:4" hidden="1" x14ac:dyDescent="0.3">
      <c r="B6071" t="s">
        <v>1164</v>
      </c>
      <c r="C6071" t="str">
        <f>INDEX(nse!D:D,MATCH(B6071,nse!B:B,0))</f>
        <v>EQ</v>
      </c>
      <c r="D6071" t="str">
        <f>INDEX(nse!C:C,MATCH(B6071,nse!B:B,0))</f>
        <v>Thomas Cook  (India)  Limited</v>
      </c>
    </row>
    <row r="6072" spans="2:4" hidden="1" x14ac:dyDescent="0.3">
      <c r="B6072" t="s">
        <v>1165</v>
      </c>
      <c r="C6072" t="str">
        <f>INDEX(nse!D:D,MATCH(B6072,nse!B:B,0))</f>
        <v>BE</v>
      </c>
      <c r="D6072" t="str">
        <f>INDEX(nse!C:C,MATCH(B6072,nse!B:B,0))</f>
        <v>Thomas Scott (India) Limited</v>
      </c>
    </row>
    <row r="6073" spans="2:4" hidden="1" x14ac:dyDescent="0.3">
      <c r="B6073" t="s">
        <v>4555</v>
      </c>
      <c r="C6073" t="str">
        <f>INDEX(nse!D:D,MATCH(B6073,nse!B:B,0))</f>
        <v>EQ</v>
      </c>
      <c r="D6073" t="str">
        <f>INDEX(nse!C:C,MATCH(B6073,nse!B:B,0))</f>
        <v>Thyrocare Technologies Limited</v>
      </c>
    </row>
    <row r="6074" spans="2:4" hidden="1" x14ac:dyDescent="0.3">
      <c r="B6074" t="s">
        <v>1166</v>
      </c>
      <c r="C6074" t="str">
        <f>INDEX(nse!D:D,MATCH(B6074,nse!B:B,0))</f>
        <v>EQ</v>
      </c>
      <c r="D6074" t="str">
        <f>INDEX(nse!C:C,MATCH(B6074,nse!B:B,0))</f>
        <v>Tilaknagar Industries Limited</v>
      </c>
    </row>
    <row r="6075" spans="2:4" hidden="1" x14ac:dyDescent="0.3">
      <c r="B6075" t="s">
        <v>1167</v>
      </c>
      <c r="C6075" t="str">
        <f>INDEX(nse!D:D,MATCH(B6075,nse!B:B,0))</f>
        <v>EQ</v>
      </c>
      <c r="D6075" t="str">
        <f>INDEX(nse!C:C,MATCH(B6075,nse!B:B,0))</f>
        <v>Tide Water Oil Company (India) Limited</v>
      </c>
    </row>
    <row r="6076" spans="2:4" hidden="1" x14ac:dyDescent="0.3">
      <c r="B6076" t="s">
        <v>1168</v>
      </c>
      <c r="C6076" t="str">
        <f>INDEX(nse!D:D,MATCH(B6076,nse!B:B,0))</f>
        <v>EQ</v>
      </c>
      <c r="D6076" t="str">
        <f>INDEX(nse!C:C,MATCH(B6076,nse!B:B,0))</f>
        <v>Technocraft Industries (India) Limited</v>
      </c>
    </row>
    <row r="6077" spans="2:4" hidden="1" x14ac:dyDescent="0.3">
      <c r="B6077" t="s">
        <v>1336</v>
      </c>
      <c r="C6077" t="str">
        <f>INDEX(nse!D:D,MATCH(B6077,nse!B:B,0))</f>
        <v>BE</v>
      </c>
      <c r="D6077" t="str">
        <f>INDEX(nse!C:C,MATCH(B6077,nse!B:B,0))</f>
        <v>Tijaria Polypipes Limited</v>
      </c>
    </row>
    <row r="6078" spans="2:4" hidden="1" x14ac:dyDescent="0.3">
      <c r="B6078" t="s">
        <v>1169</v>
      </c>
      <c r="C6078" t="str">
        <f>INDEX(nse!D:D,MATCH(B6078,nse!B:B,0))</f>
        <v>EQ</v>
      </c>
      <c r="D6078" t="str">
        <f>INDEX(nse!C:C,MATCH(B6078,nse!B:B,0))</f>
        <v>TIL Limited</v>
      </c>
    </row>
    <row r="6079" spans="2:4" hidden="1" x14ac:dyDescent="0.3">
      <c r="B6079" t="s">
        <v>1170</v>
      </c>
      <c r="C6079" t="str">
        <f>INDEX(nse!D:D,MATCH(B6079,nse!B:B,0))</f>
        <v>BE</v>
      </c>
      <c r="D6079" t="str">
        <f>INDEX(nse!C:C,MATCH(B6079,nse!B:B,0))</f>
        <v>Times Guaranty Limited</v>
      </c>
    </row>
    <row r="6080" spans="2:4" hidden="1" x14ac:dyDescent="0.3">
      <c r="B6080" t="s">
        <v>1171</v>
      </c>
      <c r="C6080" t="str">
        <f>INDEX(nse!D:D,MATCH(B6080,nse!B:B,0))</f>
        <v>EQ</v>
      </c>
      <c r="D6080" t="str">
        <f>INDEX(nse!C:C,MATCH(B6080,nse!B:B,0))</f>
        <v>Time Technoplast Limited</v>
      </c>
    </row>
    <row r="6081" spans="2:4" hidden="1" x14ac:dyDescent="0.3">
      <c r="B6081" t="s">
        <v>1172</v>
      </c>
      <c r="C6081" t="str">
        <f>INDEX(nse!D:D,MATCH(B6081,nse!B:B,0))</f>
        <v>EQ</v>
      </c>
      <c r="D6081" t="str">
        <f>INDEX(nse!C:C,MATCH(B6081,nse!B:B,0))</f>
        <v>Timken India Limited</v>
      </c>
    </row>
    <row r="6082" spans="2:4" hidden="1" x14ac:dyDescent="0.3">
      <c r="B6082" t="s">
        <v>1173</v>
      </c>
      <c r="C6082" t="str">
        <f>INDEX(nse!D:D,MATCH(B6082,nse!B:B,0))</f>
        <v>EQ</v>
      </c>
      <c r="D6082" t="str">
        <f>INDEX(nse!C:C,MATCH(B6082,nse!B:B,0))</f>
        <v>The Tinplate Company of India Limited</v>
      </c>
    </row>
    <row r="6083" spans="2:4" hidden="1" x14ac:dyDescent="0.3">
      <c r="B6083" t="s">
        <v>1174</v>
      </c>
      <c r="C6083" t="str">
        <f>INDEX(nse!D:D,MATCH(B6083,nse!B:B,0))</f>
        <v>EQ</v>
      </c>
      <c r="D6083" t="str">
        <f>INDEX(nse!C:C,MATCH(B6083,nse!B:B,0))</f>
        <v>TIPS Industries Limited</v>
      </c>
    </row>
    <row r="6084" spans="2:4" hidden="1" x14ac:dyDescent="0.3">
      <c r="B6084" t="s">
        <v>1175</v>
      </c>
      <c r="C6084" t="str">
        <f>INDEX(nse!D:D,MATCH(B6084,nse!B:B,0))</f>
        <v>EQ</v>
      </c>
      <c r="D6084" t="str">
        <f>INDEX(nse!C:C,MATCH(B6084,nse!B:B,0))</f>
        <v>Thirumalai Chemicals Limited</v>
      </c>
    </row>
    <row r="6085" spans="2:4" hidden="1" x14ac:dyDescent="0.3">
      <c r="B6085" t="s">
        <v>1176</v>
      </c>
      <c r="C6085" t="str">
        <f>INDEX(nse!D:D,MATCH(B6085,nse!B:B,0))</f>
        <v>EQ</v>
      </c>
      <c r="D6085" t="str">
        <f>INDEX(nse!C:C,MATCH(B6085,nse!B:B,0))</f>
        <v>Titan Company Limited</v>
      </c>
    </row>
    <row r="6086" spans="2:4" hidden="1" x14ac:dyDescent="0.3">
      <c r="B6086" t="s">
        <v>4570</v>
      </c>
      <c r="C6086" t="str">
        <f>INDEX(nse!D:D,MATCH(B6086,nse!B:B,0))</f>
        <v>EQ</v>
      </c>
      <c r="D6086" t="str">
        <f>INDEX(nse!C:C,MATCH(B6086,nse!B:B,0))</f>
        <v>The Mandhana Retail Ventures Limited</v>
      </c>
    </row>
    <row r="6087" spans="2:4" hidden="1" x14ac:dyDescent="0.3">
      <c r="B6087" t="s">
        <v>1177</v>
      </c>
      <c r="C6087" t="str">
        <f>INDEX(nse!D:D,MATCH(B6087,nse!B:B,0))</f>
        <v>EQ</v>
      </c>
      <c r="D6087" t="str">
        <f>INDEX(nse!C:C,MATCH(B6087,nse!B:B,0))</f>
        <v>Tamilnadu PetroProducts Limited</v>
      </c>
    </row>
    <row r="6088" spans="2:4" hidden="1" x14ac:dyDescent="0.3">
      <c r="B6088" t="s">
        <v>1178</v>
      </c>
      <c r="C6088" t="str">
        <f>INDEX(nse!D:D,MATCH(B6088,nse!B:B,0))</f>
        <v>EQ</v>
      </c>
      <c r="D6088" t="str">
        <f>INDEX(nse!C:C,MATCH(B6088,nse!B:B,0))</f>
        <v>Tamil Nadu Newsprint &amp; Papers Limited</v>
      </c>
    </row>
    <row r="6089" spans="2:4" hidden="1" x14ac:dyDescent="0.3">
      <c r="B6089" t="s">
        <v>1179</v>
      </c>
      <c r="C6089" t="str">
        <f>INDEX(nse!D:D,MATCH(B6089,nse!B:B,0))</f>
        <v>BE</v>
      </c>
      <c r="D6089" t="str">
        <f>INDEX(nse!C:C,MATCH(B6089,nse!B:B,0))</f>
        <v>Tamilnadu Telecommunication Limited</v>
      </c>
    </row>
    <row r="6090" spans="2:4" hidden="1" x14ac:dyDescent="0.3">
      <c r="B6090" t="s">
        <v>1337</v>
      </c>
      <c r="C6090" t="str">
        <f>INDEX(nse!D:D,MATCH(B6090,nse!B:B,0))</f>
        <v>BE</v>
      </c>
      <c r="D6090" t="str">
        <f>INDEX(nse!C:C,MATCH(B6090,nse!B:B,0))</f>
        <v>Todays Writing Instruments Limited</v>
      </c>
    </row>
    <row r="6091" spans="2:4" hidden="1" x14ac:dyDescent="0.3">
      <c r="B6091" t="s">
        <v>1180</v>
      </c>
      <c r="C6091" t="str">
        <f>INDEX(nse!D:D,MATCH(B6091,nse!B:B,0))</f>
        <v>EQ</v>
      </c>
      <c r="D6091" t="str">
        <f>INDEX(nse!C:C,MATCH(B6091,nse!B:B,0))</f>
        <v>Tokyo Plast International Limited</v>
      </c>
    </row>
    <row r="6092" spans="2:4" hidden="1" x14ac:dyDescent="0.3">
      <c r="B6092" t="s">
        <v>102</v>
      </c>
      <c r="C6092" t="str">
        <f>INDEX(nse!D:D,MATCH(B6092,nse!B:B,0))</f>
        <v>EQ</v>
      </c>
      <c r="D6092" t="str">
        <f>INDEX(nse!C:C,MATCH(B6092,nse!B:B,0))</f>
        <v>Torrent Pharmaceuticals Limited</v>
      </c>
    </row>
    <row r="6093" spans="2:4" hidden="1" x14ac:dyDescent="0.3">
      <c r="B6093" t="s">
        <v>103</v>
      </c>
      <c r="C6093" t="str">
        <f>INDEX(nse!D:D,MATCH(B6093,nse!B:B,0))</f>
        <v>EQ</v>
      </c>
      <c r="D6093" t="str">
        <f>INDEX(nse!C:C,MATCH(B6093,nse!B:B,0))</f>
        <v>Torrent Power Limited</v>
      </c>
    </row>
    <row r="6094" spans="2:4" hidden="1" x14ac:dyDescent="0.3">
      <c r="B6094" t="s">
        <v>4580</v>
      </c>
      <c r="C6094" t="str">
        <f>INDEX(nse!D:D,MATCH(B6094,nse!B:B,0))</f>
        <v>EQ</v>
      </c>
      <c r="D6094" t="str">
        <f>INDEX(nse!C:C,MATCH(B6094,nse!B:B,0))</f>
        <v>TPL Plastech Limited</v>
      </c>
    </row>
    <row r="6095" spans="2:4" hidden="1" x14ac:dyDescent="0.3">
      <c r="B6095" t="s">
        <v>1181</v>
      </c>
      <c r="C6095" t="str">
        <f>INDEX(nse!D:D,MATCH(B6095,nse!B:B,0))</f>
        <v>EQ</v>
      </c>
      <c r="D6095" t="str">
        <f>INDEX(nse!C:C,MATCH(B6095,nse!B:B,0))</f>
        <v>Tree House Education &amp; Accessories Limited</v>
      </c>
    </row>
    <row r="6096" spans="2:4" hidden="1" x14ac:dyDescent="0.3">
      <c r="B6096" t="s">
        <v>1182</v>
      </c>
      <c r="C6096" t="str">
        <f>INDEX(nse!D:D,MATCH(B6096,nse!B:B,0))</f>
        <v>EQ</v>
      </c>
      <c r="D6096" t="str">
        <f>INDEX(nse!C:C,MATCH(B6096,nse!B:B,0))</f>
        <v>Trent Limited</v>
      </c>
    </row>
    <row r="6097" spans="2:4" hidden="1" x14ac:dyDescent="0.3">
      <c r="B6097" t="s">
        <v>1182</v>
      </c>
      <c r="C6097" t="str">
        <f>INDEX(nse!D:D,MATCH(B6097,nse!B:B,0))</f>
        <v>EQ</v>
      </c>
      <c r="D6097" t="str">
        <f>INDEX(nse!C:C,MATCH(B6097,nse!B:B,0))</f>
        <v>Trent Limited</v>
      </c>
    </row>
    <row r="6098" spans="2:4" hidden="1" x14ac:dyDescent="0.3">
      <c r="B6098" t="s">
        <v>1183</v>
      </c>
      <c r="C6098" t="str">
        <f>INDEX(nse!D:D,MATCH(B6098,nse!B:B,0))</f>
        <v>EQ</v>
      </c>
      <c r="D6098" t="str">
        <f>INDEX(nse!C:C,MATCH(B6098,nse!B:B,0))</f>
        <v>TRF Limited</v>
      </c>
    </row>
    <row r="6099" spans="2:4" hidden="1" x14ac:dyDescent="0.3">
      <c r="B6099" t="s">
        <v>125</v>
      </c>
      <c r="C6099" t="str">
        <f>INDEX(nse!D:D,MATCH(B6099,nse!B:B,0))</f>
        <v>EQ</v>
      </c>
      <c r="D6099" t="str">
        <f>INDEX(nse!C:C,MATCH(B6099,nse!B:B,0))</f>
        <v>Trident Limited</v>
      </c>
    </row>
    <row r="6100" spans="2:4" hidden="1" x14ac:dyDescent="0.3">
      <c r="B6100" t="s">
        <v>1184</v>
      </c>
      <c r="C6100" t="str">
        <f>INDEX(nse!D:D,MATCH(B6100,nse!B:B,0))</f>
        <v>EQ</v>
      </c>
      <c r="D6100" t="str">
        <f>INDEX(nse!C:C,MATCH(B6100,nse!B:B,0))</f>
        <v>Trigyn Technologies Limited</v>
      </c>
    </row>
    <row r="6101" spans="2:4" hidden="1" x14ac:dyDescent="0.3">
      <c r="B6101" t="s">
        <v>1185</v>
      </c>
      <c r="C6101" t="str">
        <f>INDEX(nse!D:D,MATCH(B6101,nse!B:B,0))</f>
        <v>EQ</v>
      </c>
      <c r="D6101" t="str">
        <f>INDEX(nse!C:C,MATCH(B6101,nse!B:B,0))</f>
        <v>Transformers And Rectifiers (India) Limited</v>
      </c>
    </row>
    <row r="6102" spans="2:4" hidden="1" x14ac:dyDescent="0.3">
      <c r="B6102" t="s">
        <v>1186</v>
      </c>
      <c r="C6102" t="str">
        <f>INDEX(nse!D:D,MATCH(B6102,nse!B:B,0))</f>
        <v>EQ</v>
      </c>
      <c r="D6102" t="str">
        <f>INDEX(nse!C:C,MATCH(B6102,nse!B:B,0))</f>
        <v>Triveni Turbine Limited</v>
      </c>
    </row>
    <row r="6103" spans="2:4" hidden="1" x14ac:dyDescent="0.3">
      <c r="B6103" t="s">
        <v>1187</v>
      </c>
      <c r="C6103" t="str">
        <f>INDEX(nse!D:D,MATCH(B6103,nse!B:B,0))</f>
        <v>EQ</v>
      </c>
      <c r="D6103" t="str">
        <f>INDEX(nse!C:C,MATCH(B6103,nse!B:B,0))</f>
        <v>Triveni Engineering &amp; Industries Limited</v>
      </c>
    </row>
    <row r="6104" spans="2:4" hidden="1" x14ac:dyDescent="0.3">
      <c r="B6104" t="s">
        <v>4591</v>
      </c>
      <c r="C6104" t="str">
        <f>INDEX(nse!D:D,MATCH(B6104,nse!B:B,0))</f>
        <v>EQ</v>
      </c>
      <c r="D6104" t="str">
        <f>INDEX(nse!C:C,MATCH(B6104,nse!B:B,0))</f>
        <v>TTK Healthcare Limited</v>
      </c>
    </row>
    <row r="6105" spans="2:4" hidden="1" x14ac:dyDescent="0.3">
      <c r="B6105" t="s">
        <v>1188</v>
      </c>
      <c r="C6105" t="str">
        <f>INDEX(nse!D:D,MATCH(B6105,nse!B:B,0))</f>
        <v>EQ</v>
      </c>
      <c r="D6105" t="str">
        <f>INDEX(nse!C:C,MATCH(B6105,nse!B:B,0))</f>
        <v>TTK Prestige Limited</v>
      </c>
    </row>
    <row r="6106" spans="2:4" hidden="1" x14ac:dyDescent="0.3">
      <c r="B6106" t="s">
        <v>1189</v>
      </c>
      <c r="C6106" t="str">
        <f>INDEX(nse!D:D,MATCH(B6106,nse!B:B,0))</f>
        <v>EQ</v>
      </c>
      <c r="D6106" t="str">
        <f>INDEX(nse!C:C,MATCH(B6106,nse!B:B,0))</f>
        <v>T T Limited</v>
      </c>
    </row>
    <row r="6107" spans="2:4" hidden="1" x14ac:dyDescent="0.3">
      <c r="B6107" t="s">
        <v>1190</v>
      </c>
      <c r="C6107" t="str">
        <f>INDEX(nse!D:D,MATCH(B6107,nse!B:B,0))</f>
        <v>EQ</v>
      </c>
      <c r="D6107" t="str">
        <f>INDEX(nse!C:C,MATCH(B6107,nse!B:B,0))</f>
        <v>Tata Teleservices (Maharashtra) Limited</v>
      </c>
    </row>
    <row r="6108" spans="2:4" hidden="1" x14ac:dyDescent="0.3">
      <c r="B6108" t="s">
        <v>1191</v>
      </c>
      <c r="C6108" t="str">
        <f>INDEX(nse!D:D,MATCH(B6108,nse!B:B,0))</f>
        <v>EQ</v>
      </c>
      <c r="D6108" t="str">
        <f>INDEX(nse!C:C,MATCH(B6108,nse!B:B,0))</f>
        <v>Tube Investments of India Limited</v>
      </c>
    </row>
    <row r="6109" spans="2:4" hidden="1" x14ac:dyDescent="0.3">
      <c r="B6109" t="s">
        <v>1192</v>
      </c>
      <c r="C6109" t="str">
        <f>INDEX(nse!D:D,MATCH(B6109,nse!B:B,0))</f>
        <v>EQ</v>
      </c>
      <c r="D6109" t="str">
        <f>INDEX(nse!C:C,MATCH(B6109,nse!B:B,0))</f>
        <v>Tulsi Extrusions Limited</v>
      </c>
    </row>
    <row r="6110" spans="2:4" hidden="1" x14ac:dyDescent="0.3">
      <c r="B6110" t="s">
        <v>96</v>
      </c>
      <c r="C6110" t="str">
        <f>INDEX(nse!D:D,MATCH(B6110,nse!B:B,0))</f>
        <v>EQ</v>
      </c>
      <c r="D6110" t="str">
        <f>INDEX(nse!C:C,MATCH(B6110,nse!B:B,0))</f>
        <v>TV18 Broadcast Limited</v>
      </c>
    </row>
    <row r="6111" spans="2:4" hidden="1" x14ac:dyDescent="0.3">
      <c r="B6111" t="s">
        <v>1193</v>
      </c>
      <c r="C6111" t="str">
        <f>INDEX(nse!D:D,MATCH(B6111,nse!B:B,0))</f>
        <v>EQ</v>
      </c>
      <c r="D6111" t="str">
        <f>INDEX(nse!C:C,MATCH(B6111,nse!B:B,0))</f>
        <v>TVS Electronics Limited</v>
      </c>
    </row>
    <row r="6112" spans="2:4" hidden="1" x14ac:dyDescent="0.3">
      <c r="B6112" t="s">
        <v>1194</v>
      </c>
      <c r="C6112" t="str">
        <f>INDEX(nse!D:D,MATCH(B6112,nse!B:B,0))</f>
        <v>EQ</v>
      </c>
      <c r="D6112" t="str">
        <f>INDEX(nse!C:C,MATCH(B6112,nse!B:B,0))</f>
        <v>TVS Motor Company Limited</v>
      </c>
    </row>
    <row r="6113" spans="2:4" hidden="1" x14ac:dyDescent="0.3">
      <c r="B6113" t="s">
        <v>1195</v>
      </c>
      <c r="C6113" t="str">
        <f>INDEX(nse!D:D,MATCH(B6113,nse!B:B,0))</f>
        <v>EQ</v>
      </c>
      <c r="D6113" t="str">
        <f>INDEX(nse!C:C,MATCH(B6113,nse!B:B,0))</f>
        <v>TVS Srichakra Limited</v>
      </c>
    </row>
    <row r="6114" spans="2:4" hidden="1" x14ac:dyDescent="0.3">
      <c r="B6114" t="s">
        <v>1196</v>
      </c>
      <c r="C6114" t="str">
        <f>INDEX(nse!D:D,MATCH(B6114,nse!B:B,0))</f>
        <v>EQ</v>
      </c>
      <c r="D6114" t="str">
        <f>INDEX(nse!C:C,MATCH(B6114,nse!B:B,0))</f>
        <v>TV Today Network Limited</v>
      </c>
    </row>
    <row r="6115" spans="2:4" hidden="1" x14ac:dyDescent="0.3">
      <c r="B6115" t="s">
        <v>4604</v>
      </c>
      <c r="C6115" t="str">
        <f>INDEX(nse!D:D,MATCH(B6115,nse!B:B,0))</f>
        <v>EQ</v>
      </c>
      <c r="D6115" t="str">
        <f>INDEX(nse!C:C,MATCH(B6115,nse!B:B,0))</f>
        <v>TV Vision Limited</v>
      </c>
    </row>
    <row r="6116" spans="2:4" hidden="1" x14ac:dyDescent="0.3">
      <c r="B6116" t="s">
        <v>1197</v>
      </c>
      <c r="C6116" t="str">
        <f>INDEX(nse!D:D,MATCH(B6116,nse!B:B,0))</f>
        <v>EQ</v>
      </c>
      <c r="D6116" t="str">
        <f>INDEX(nse!C:C,MATCH(B6116,nse!B:B,0))</f>
        <v>Titagarh Wagons Limited</v>
      </c>
    </row>
    <row r="6117" spans="2:4" hidden="1" x14ac:dyDescent="0.3">
      <c r="B6117" t="s">
        <v>1198</v>
      </c>
      <c r="C6117" t="str">
        <f>INDEX(nse!D:D,MATCH(B6117,nse!B:B,0))</f>
        <v>BE</v>
      </c>
      <c r="D6117" t="str">
        <f>INDEX(nse!C:C,MATCH(B6117,nse!B:B,0))</f>
        <v>United Breweries (Holdings) Limited</v>
      </c>
    </row>
    <row r="6118" spans="2:4" hidden="1" x14ac:dyDescent="0.3">
      <c r="B6118" t="s">
        <v>107</v>
      </c>
      <c r="C6118" t="str">
        <f>INDEX(nse!D:D,MATCH(B6118,nse!B:B,0))</f>
        <v>EQ</v>
      </c>
      <c r="D6118" t="str">
        <f>INDEX(nse!C:C,MATCH(B6118,nse!B:B,0))</f>
        <v>United Breweries Limited</v>
      </c>
    </row>
    <row r="6119" spans="2:4" hidden="1" x14ac:dyDescent="0.3">
      <c r="B6119" t="s">
        <v>1199</v>
      </c>
      <c r="C6119" t="str">
        <f>INDEX(nse!D:D,MATCH(B6119,nse!B:B,0))</f>
        <v>EQ</v>
      </c>
      <c r="D6119" t="str">
        <f>INDEX(nse!C:C,MATCH(B6119,nse!B:B,0))</f>
        <v>Ucal Fuel Systems Limited</v>
      </c>
    </row>
    <row r="6120" spans="2:4" hidden="1" x14ac:dyDescent="0.3">
      <c r="B6120" t="s">
        <v>1200</v>
      </c>
      <c r="C6120" t="str">
        <f>INDEX(nse!D:D,MATCH(B6120,nse!B:B,0))</f>
        <v>EQ</v>
      </c>
      <c r="D6120" t="str">
        <f>INDEX(nse!C:C,MATCH(B6120,nse!B:B,0))</f>
        <v>UCO Bank</v>
      </c>
    </row>
    <row r="6121" spans="2:4" hidden="1" x14ac:dyDescent="0.3">
      <c r="B6121" t="s">
        <v>1201</v>
      </c>
      <c r="C6121" t="str">
        <f>INDEX(nse!D:D,MATCH(B6121,nse!B:B,0))</f>
        <v>EQ</v>
      </c>
      <c r="D6121" t="str">
        <f>INDEX(nse!C:C,MATCH(B6121,nse!B:B,0))</f>
        <v>UFLEX Limited</v>
      </c>
    </row>
    <row r="6122" spans="2:4" hidden="1" x14ac:dyDescent="0.3">
      <c r="B6122" t="s">
        <v>4613</v>
      </c>
      <c r="C6122" t="str">
        <f>INDEX(nse!D:D,MATCH(B6122,nse!B:B,0))</f>
        <v>EQ</v>
      </c>
      <c r="D6122" t="str">
        <f>INDEX(nse!C:C,MATCH(B6122,nse!B:B,0))</f>
        <v>UFO Moviez India Limited</v>
      </c>
    </row>
    <row r="6123" spans="2:4" hidden="1" x14ac:dyDescent="0.3">
      <c r="B6123" t="s">
        <v>1202</v>
      </c>
      <c r="C6123" t="str">
        <f>INDEX(nse!D:D,MATCH(B6123,nse!B:B,0))</f>
        <v>EQ</v>
      </c>
      <c r="D6123" t="str">
        <f>INDEX(nse!C:C,MATCH(B6123,nse!B:B,0))</f>
        <v>The Ugar Sugar Works Limited</v>
      </c>
    </row>
    <row r="6124" spans="2:4" hidden="1" x14ac:dyDescent="0.3">
      <c r="B6124" t="s">
        <v>1203</v>
      </c>
      <c r="C6124" t="str">
        <f>INDEX(nse!D:D,MATCH(B6124,nse!B:B,0))</f>
        <v>EQ</v>
      </c>
      <c r="D6124" t="str">
        <f>INDEX(nse!C:C,MATCH(B6124,nse!B:B,0))</f>
        <v>Ujaas Energy Limited</v>
      </c>
    </row>
    <row r="6125" spans="2:4" hidden="1" x14ac:dyDescent="0.3">
      <c r="B6125" t="s">
        <v>4618</v>
      </c>
      <c r="C6125" t="str">
        <f>INDEX(nse!D:D,MATCH(B6125,nse!B:B,0))</f>
        <v>EQ</v>
      </c>
      <c r="D6125" t="str">
        <f>INDEX(nse!C:C,MATCH(B6125,nse!B:B,0))</f>
        <v>Ujjivan Financial Services Limited</v>
      </c>
    </row>
    <row r="6126" spans="2:4" hidden="1" x14ac:dyDescent="0.3">
      <c r="B6126" t="s">
        <v>4618</v>
      </c>
      <c r="C6126" t="str">
        <f>INDEX(nse!D:D,MATCH(B6126,nse!B:B,0))</f>
        <v>EQ</v>
      </c>
      <c r="D6126" t="str">
        <f>INDEX(nse!C:C,MATCH(B6126,nse!B:B,0))</f>
        <v>Ujjivan Financial Services Limited</v>
      </c>
    </row>
    <row r="6127" spans="2:4" hidden="1" x14ac:dyDescent="0.3">
      <c r="B6127" t="s">
        <v>1204</v>
      </c>
      <c r="C6127" t="str">
        <f>INDEX(nse!D:D,MATCH(B6127,nse!B:B,0))</f>
        <v>EQ</v>
      </c>
      <c r="D6127" t="str">
        <f>INDEX(nse!C:C,MATCH(B6127,nse!B:B,0))</f>
        <v>UltraTech Cement Limited</v>
      </c>
    </row>
    <row r="6128" spans="2:4" hidden="1" x14ac:dyDescent="0.3">
      <c r="B6128" t="s">
        <v>4622</v>
      </c>
      <c r="C6128" t="str">
        <f>INDEX(nse!D:D,MATCH(B6128,nse!B:B,0))</f>
        <v>EQ</v>
      </c>
      <c r="D6128" t="str">
        <f>INDEX(nse!C:C,MATCH(B6128,nse!B:B,0))</f>
        <v>Umang Dairies Limited</v>
      </c>
    </row>
    <row r="6129" spans="2:4" hidden="1" x14ac:dyDescent="0.3">
      <c r="B6129" t="s">
        <v>1205</v>
      </c>
      <c r="C6129" t="str">
        <f>INDEX(nse!D:D,MATCH(B6129,nse!B:B,0))</f>
        <v>EQ</v>
      </c>
      <c r="D6129" t="str">
        <f>INDEX(nse!C:C,MATCH(B6129,nse!B:B,0))</f>
        <v>Usha Martin Education &amp; Solutions Limited</v>
      </c>
    </row>
    <row r="6130" spans="2:4" hidden="1" x14ac:dyDescent="0.3">
      <c r="B6130" t="s">
        <v>1206</v>
      </c>
      <c r="C6130" t="str">
        <f>INDEX(nse!D:D,MATCH(B6130,nse!B:B,0))</f>
        <v>EQ</v>
      </c>
      <c r="D6130" t="str">
        <f>INDEX(nse!C:C,MATCH(B6130,nse!B:B,0))</f>
        <v>Unichem Laboratories Limited</v>
      </c>
    </row>
    <row r="6131" spans="2:4" hidden="1" x14ac:dyDescent="0.3">
      <c r="B6131" t="s">
        <v>1207</v>
      </c>
      <c r="C6131" t="str">
        <f>INDEX(nse!D:D,MATCH(B6131,nse!B:B,0))</f>
        <v>EQ</v>
      </c>
      <c r="D6131" t="str">
        <f>INDEX(nse!C:C,MATCH(B6131,nse!B:B,0))</f>
        <v>Uniphos Enterprises Limited</v>
      </c>
    </row>
    <row r="6132" spans="2:4" hidden="1" x14ac:dyDescent="0.3">
      <c r="B6132" t="s">
        <v>105</v>
      </c>
      <c r="C6132" t="str">
        <f>INDEX(nse!D:D,MATCH(B6132,nse!B:B,0))</f>
        <v>EQ</v>
      </c>
      <c r="D6132" t="str">
        <f>INDEX(nse!C:C,MATCH(B6132,nse!B:B,0))</f>
        <v>Union Bank of India</v>
      </c>
    </row>
    <row r="6133" spans="2:4" hidden="1" x14ac:dyDescent="0.3">
      <c r="B6133" t="s">
        <v>1208</v>
      </c>
      <c r="C6133" t="str">
        <f>INDEX(nse!D:D,MATCH(B6133,nse!B:B,0))</f>
        <v>BE</v>
      </c>
      <c r="D6133" t="str">
        <f>INDEX(nse!C:C,MATCH(B6133,nse!B:B,0))</f>
        <v>Uniply Industries Limited</v>
      </c>
    </row>
    <row r="6134" spans="2:4" hidden="1" x14ac:dyDescent="0.3">
      <c r="B6134" t="s">
        <v>106</v>
      </c>
      <c r="C6134" t="str">
        <f>INDEX(nse!D:D,MATCH(B6134,nse!B:B,0))</f>
        <v>EQ</v>
      </c>
      <c r="D6134" t="str">
        <f>INDEX(nse!C:C,MATCH(B6134,nse!B:B,0))</f>
        <v>Unitech Limited</v>
      </c>
    </row>
    <row r="6135" spans="2:4" hidden="1" x14ac:dyDescent="0.3">
      <c r="B6135" t="s">
        <v>1209</v>
      </c>
      <c r="C6135" t="str">
        <f>INDEX(nse!D:D,MATCH(B6135,nse!B:B,0))</f>
        <v>EQ</v>
      </c>
      <c r="D6135" t="str">
        <f>INDEX(nse!C:C,MATCH(B6135,nse!B:B,0))</f>
        <v>United Bank of India</v>
      </c>
    </row>
    <row r="6136" spans="2:4" hidden="1" x14ac:dyDescent="0.3">
      <c r="B6136" t="s">
        <v>4632</v>
      </c>
      <c r="C6136" t="str">
        <f>INDEX(nse!D:D,MATCH(B6136,nse!B:B,0))</f>
        <v>EQ</v>
      </c>
      <c r="D6136" t="str">
        <f>INDEX(nse!C:C,MATCH(B6136,nse!B:B,0))</f>
        <v>The United Nilgiri Tea Estates Company Limited</v>
      </c>
    </row>
    <row r="6137" spans="2:4" hidden="1" x14ac:dyDescent="0.3">
      <c r="B6137" t="s">
        <v>1210</v>
      </c>
      <c r="C6137" t="str">
        <f>INDEX(nse!D:D,MATCH(B6137,nse!B:B,0))</f>
        <v>EQ</v>
      </c>
      <c r="D6137" t="str">
        <f>INDEX(nse!C:C,MATCH(B6137,nse!B:B,0))</f>
        <v>Unity Infraprojects Limited</v>
      </c>
    </row>
    <row r="6138" spans="2:4" hidden="1" x14ac:dyDescent="0.3">
      <c r="B6138" t="s">
        <v>1211</v>
      </c>
      <c r="C6138" t="str">
        <f>INDEX(nse!D:D,MATCH(B6138,nse!B:B,0))</f>
        <v>EQ</v>
      </c>
      <c r="D6138" t="str">
        <f>INDEX(nse!C:C,MATCH(B6138,nse!B:B,0))</f>
        <v>Universal Cables Limited</v>
      </c>
    </row>
    <row r="6139" spans="2:4" hidden="1" x14ac:dyDescent="0.3">
      <c r="B6139" t="s">
        <v>104</v>
      </c>
      <c r="C6139" t="str">
        <f>INDEX(nse!D:D,MATCH(B6139,nse!B:B,0))</f>
        <v>EQ</v>
      </c>
      <c r="D6139" t="str">
        <f>INDEX(nse!C:C,MATCH(B6139,nse!B:B,0))</f>
        <v>UPL Limited</v>
      </c>
    </row>
    <row r="6140" spans="2:4" hidden="1" x14ac:dyDescent="0.3">
      <c r="B6140" t="s">
        <v>4638</v>
      </c>
      <c r="C6140" t="str">
        <f>INDEX(nse!D:D,MATCH(B6140,nse!B:B,0))</f>
        <v>BE</v>
      </c>
      <c r="D6140" t="str">
        <f>INDEX(nse!C:C,MATCH(B6140,nse!B:B,0))</f>
        <v>Urja Global Limited</v>
      </c>
    </row>
    <row r="6141" spans="2:4" hidden="1" x14ac:dyDescent="0.3">
      <c r="B6141" t="s">
        <v>1212</v>
      </c>
      <c r="C6141" t="str">
        <f>INDEX(nse!D:D,MATCH(B6141,nse!B:B,0))</f>
        <v>EQ</v>
      </c>
      <c r="D6141" t="str">
        <f>INDEX(nse!C:C,MATCH(B6141,nse!B:B,0))</f>
        <v>Usha Martin Limited</v>
      </c>
    </row>
    <row r="6142" spans="2:4" hidden="1" x14ac:dyDescent="0.3">
      <c r="B6142" t="s">
        <v>1213</v>
      </c>
      <c r="C6142" t="str">
        <f>INDEX(nse!D:D,MATCH(B6142,nse!B:B,0))</f>
        <v>EQ</v>
      </c>
      <c r="D6142" t="str">
        <f>INDEX(nse!C:C,MATCH(B6142,nse!B:B,0))</f>
        <v>Usher Agro Limited</v>
      </c>
    </row>
    <row r="6143" spans="2:4" hidden="1" x14ac:dyDescent="0.3">
      <c r="B6143" t="s">
        <v>1214</v>
      </c>
      <c r="C6143" t="str">
        <f>INDEX(nse!D:D,MATCH(B6143,nse!B:B,0))</f>
        <v>EQ</v>
      </c>
      <c r="D6143" t="str">
        <f>INDEX(nse!C:C,MATCH(B6143,nse!B:B,0))</f>
        <v>Uttam Galva Steels Limited</v>
      </c>
    </row>
    <row r="6144" spans="2:4" hidden="1" x14ac:dyDescent="0.3">
      <c r="B6144" t="s">
        <v>1215</v>
      </c>
      <c r="C6144" t="str">
        <f>INDEX(nse!D:D,MATCH(B6144,nse!B:B,0))</f>
        <v>EQ</v>
      </c>
      <c r="D6144" t="str">
        <f>INDEX(nse!C:C,MATCH(B6144,nse!B:B,0))</f>
        <v>Uttam Sugar Mills Limited</v>
      </c>
    </row>
    <row r="6145" spans="2:4" hidden="1" x14ac:dyDescent="0.3">
      <c r="B6145" t="s">
        <v>4645</v>
      </c>
      <c r="C6145" t="str">
        <f>INDEX(nse!D:D,MATCH(B6145,nse!B:B,0))</f>
        <v>BE</v>
      </c>
      <c r="D6145" t="str">
        <f>INDEX(nse!C:C,MATCH(B6145,nse!B:B,0))</f>
        <v>Uttam Value Steels Limited</v>
      </c>
    </row>
    <row r="6146" spans="2:4" hidden="1" x14ac:dyDescent="0.3">
      <c r="B6146" t="s">
        <v>1216</v>
      </c>
      <c r="C6146" t="str">
        <f>INDEX(nse!D:D,MATCH(B6146,nse!B:B,0))</f>
        <v>EQ</v>
      </c>
      <c r="D6146" t="str">
        <f>INDEX(nse!C:C,MATCH(B6146,nse!B:B,0))</f>
        <v>V2 Retail Limited</v>
      </c>
    </row>
    <row r="6147" spans="2:4" hidden="1" x14ac:dyDescent="0.3">
      <c r="B6147" t="s">
        <v>1217</v>
      </c>
      <c r="C6147" t="str">
        <f>INDEX(nse!D:D,MATCH(B6147,nse!B:B,0))</f>
        <v>EQ</v>
      </c>
      <c r="D6147" t="str">
        <f>INDEX(nse!C:C,MATCH(B6147,nse!B:B,0))</f>
        <v>Vadilal Industries Limited</v>
      </c>
    </row>
    <row r="6148" spans="2:4" hidden="1" x14ac:dyDescent="0.3">
      <c r="B6148" t="s">
        <v>1218</v>
      </c>
      <c r="C6148" t="str">
        <f>INDEX(nse!D:D,MATCH(B6148,nse!B:B,0))</f>
        <v>BE</v>
      </c>
      <c r="D6148" t="str">
        <f>INDEX(nse!C:C,MATCH(B6148,nse!B:B,0))</f>
        <v>Vaibhav Global Limited</v>
      </c>
    </row>
    <row r="6149" spans="2:4" hidden="1" x14ac:dyDescent="0.3">
      <c r="B6149" t="s">
        <v>1219</v>
      </c>
      <c r="C6149" t="str">
        <f>INDEX(nse!D:D,MATCH(B6149,nse!B:B,0))</f>
        <v>EQ</v>
      </c>
      <c r="D6149" t="str">
        <f>INDEX(nse!C:C,MATCH(B6149,nse!B:B,0))</f>
        <v>Vakrangee Limited</v>
      </c>
    </row>
    <row r="6150" spans="2:4" hidden="1" x14ac:dyDescent="0.3">
      <c r="B6150" t="s">
        <v>1220</v>
      </c>
      <c r="C6150" t="str">
        <f>INDEX(nse!D:D,MATCH(B6150,nse!B:B,0))</f>
        <v>EQ</v>
      </c>
      <c r="D6150" t="str">
        <f>INDEX(nse!C:C,MATCH(B6150,nse!B:B,0))</f>
        <v>Value Industries Limited</v>
      </c>
    </row>
    <row r="6151" spans="2:4" hidden="1" x14ac:dyDescent="0.3">
      <c r="B6151" t="s">
        <v>1221</v>
      </c>
      <c r="C6151" t="str">
        <f>INDEX(nse!D:D,MATCH(B6151,nse!B:B,0))</f>
        <v>EQ</v>
      </c>
      <c r="D6151" t="str">
        <f>INDEX(nse!C:C,MATCH(B6151,nse!B:B,0))</f>
        <v>Vardhman Acrylics Limited</v>
      </c>
    </row>
    <row r="6152" spans="2:4" hidden="1" x14ac:dyDescent="0.3">
      <c r="B6152" t="s">
        <v>1222</v>
      </c>
      <c r="C6152" t="str">
        <f>INDEX(nse!D:D,MATCH(B6152,nse!B:B,0))</f>
        <v>EQ</v>
      </c>
      <c r="D6152" t="str">
        <f>INDEX(nse!C:C,MATCH(B6152,nse!B:B,0))</f>
        <v>Vardhman Polytex Limited</v>
      </c>
    </row>
    <row r="6153" spans="2:4" hidden="1" x14ac:dyDescent="0.3">
      <c r="B6153" t="s">
        <v>1223</v>
      </c>
      <c r="C6153" t="str">
        <f>INDEX(nse!D:D,MATCH(B6153,nse!B:B,0))</f>
        <v>EQ</v>
      </c>
      <c r="D6153" t="str">
        <f>INDEX(nse!C:C,MATCH(B6153,nse!B:B,0))</f>
        <v>Vascon Engineers Limited</v>
      </c>
    </row>
    <row r="6154" spans="2:4" hidden="1" x14ac:dyDescent="0.3">
      <c r="B6154" t="s">
        <v>1224</v>
      </c>
      <c r="C6154" t="str">
        <f>INDEX(nse!D:D,MATCH(B6154,nse!B:B,0))</f>
        <v>EQ</v>
      </c>
      <c r="D6154" t="str">
        <f>INDEX(nse!C:C,MATCH(B6154,nse!B:B,0))</f>
        <v>Vaswani Industries Limited</v>
      </c>
    </row>
    <row r="6155" spans="2:4" hidden="1" x14ac:dyDescent="0.3">
      <c r="B6155" t="s">
        <v>4657</v>
      </c>
      <c r="C6155" t="str">
        <f>INDEX(nse!D:D,MATCH(B6155,nse!B:B,0))</f>
        <v>EQ</v>
      </c>
      <c r="D6155" t="str">
        <f>INDEX(nse!C:C,MATCH(B6155,nse!B:B,0))</f>
        <v>Varun Beverages Limited</v>
      </c>
    </row>
    <row r="6156" spans="2:4" hidden="1" x14ac:dyDescent="0.3">
      <c r="B6156" t="s">
        <v>4660</v>
      </c>
      <c r="C6156" t="str">
        <f>INDEX(nse!D:D,MATCH(B6156,nse!B:B,0))</f>
        <v>EQ</v>
      </c>
      <c r="D6156" t="str">
        <f>INDEX(nse!C:C,MATCH(B6156,nse!B:B,0))</f>
        <v>Vedanta Limited</v>
      </c>
    </row>
    <row r="6157" spans="2:4" hidden="1" x14ac:dyDescent="0.3">
      <c r="B6157" t="s">
        <v>1225</v>
      </c>
      <c r="C6157" t="str">
        <f>INDEX(nse!D:D,MATCH(B6157,nse!B:B,0))</f>
        <v>EQ</v>
      </c>
      <c r="D6157" t="str">
        <f>INDEX(nse!C:C,MATCH(B6157,nse!B:B,0))</f>
        <v>Venky's (India) Limited</v>
      </c>
    </row>
    <row r="6158" spans="2:4" hidden="1" x14ac:dyDescent="0.3">
      <c r="B6158" t="s">
        <v>1226</v>
      </c>
      <c r="C6158" t="str">
        <f>INDEX(nse!D:D,MATCH(B6158,nse!B:B,0))</f>
        <v>EQ</v>
      </c>
      <c r="D6158" t="str">
        <f>INDEX(nse!C:C,MATCH(B6158,nse!B:B,0))</f>
        <v>Venus Remedies Limited</v>
      </c>
    </row>
    <row r="6159" spans="2:4" hidden="1" x14ac:dyDescent="0.3">
      <c r="B6159" t="s">
        <v>1227</v>
      </c>
      <c r="C6159" t="str">
        <f>INDEX(nse!D:D,MATCH(B6159,nse!B:B,0))</f>
        <v>EQ</v>
      </c>
      <c r="D6159" t="str">
        <f>INDEX(nse!C:C,MATCH(B6159,nse!B:B,0))</f>
        <v>Vesuvius India Limited</v>
      </c>
    </row>
    <row r="6160" spans="2:4" hidden="1" x14ac:dyDescent="0.3">
      <c r="B6160" t="s">
        <v>1339</v>
      </c>
      <c r="C6160" t="str">
        <f>INDEX(nse!D:D,MATCH(B6160,nse!B:B,0))</f>
        <v>EQ</v>
      </c>
      <c r="D6160" t="str">
        <f>INDEX(nse!C:C,MATCH(B6160,nse!B:B,0))</f>
        <v>Veto Switchgears And Cables Limited</v>
      </c>
    </row>
    <row r="6161" spans="2:4" hidden="1" x14ac:dyDescent="0.3">
      <c r="B6161" t="s">
        <v>1228</v>
      </c>
      <c r="C6161" t="str">
        <f>INDEX(nse!D:D,MATCH(B6161,nse!B:B,0))</f>
        <v>EQ</v>
      </c>
      <c r="D6161" t="str">
        <f>INDEX(nse!C:C,MATCH(B6161,nse!B:B,0))</f>
        <v>V-Guard Industries Limited</v>
      </c>
    </row>
    <row r="6162" spans="2:4" hidden="1" x14ac:dyDescent="0.3">
      <c r="B6162" t="s">
        <v>1229</v>
      </c>
      <c r="C6162" t="str">
        <f>INDEX(nse!D:D,MATCH(B6162,nse!B:B,0))</f>
        <v>EQ</v>
      </c>
      <c r="D6162" t="str">
        <f>INDEX(nse!C:C,MATCH(B6162,nse!B:B,0))</f>
        <v>Vardhman Holdings Limited</v>
      </c>
    </row>
    <row r="6163" spans="2:4" hidden="1" x14ac:dyDescent="0.3">
      <c r="B6163" t="s">
        <v>1230</v>
      </c>
      <c r="C6163" t="str">
        <f>INDEX(nse!D:D,MATCH(B6163,nse!B:B,0))</f>
        <v>EQ</v>
      </c>
      <c r="D6163" t="str">
        <f>INDEX(nse!C:C,MATCH(B6163,nse!B:B,0))</f>
        <v>Viceroy Hotels Limited</v>
      </c>
    </row>
    <row r="6164" spans="2:4" hidden="1" x14ac:dyDescent="0.3">
      <c r="B6164" t="s">
        <v>1231</v>
      </c>
      <c r="C6164" t="str">
        <f>INDEX(nse!D:D,MATCH(B6164,nse!B:B,0))</f>
        <v>EQ</v>
      </c>
      <c r="D6164" t="str">
        <f>INDEX(nse!C:C,MATCH(B6164,nse!B:B,0))</f>
        <v>Videocon Industries Limited</v>
      </c>
    </row>
    <row r="6165" spans="2:4" hidden="1" x14ac:dyDescent="0.3">
      <c r="B6165" t="s">
        <v>4671</v>
      </c>
      <c r="C6165" t="str">
        <f>INDEX(nse!D:D,MATCH(B6165,nse!B:B,0))</f>
        <v>EQ</v>
      </c>
      <c r="D6165" t="str">
        <f>INDEX(nse!C:C,MATCH(B6165,nse!B:B,0))</f>
        <v>Vidhi Specialty Food Ingredients Limited</v>
      </c>
    </row>
    <row r="6166" spans="2:4" hidden="1" x14ac:dyDescent="0.3">
      <c r="B6166" t="s">
        <v>1232</v>
      </c>
      <c r="C6166" t="str">
        <f>INDEX(nse!D:D,MATCH(B6166,nse!B:B,0))</f>
        <v>EQ</v>
      </c>
      <c r="D6166" t="str">
        <f>INDEX(nse!C:C,MATCH(B6166,nse!B:B,0))</f>
        <v>Vijaya Bank</v>
      </c>
    </row>
    <row r="6167" spans="2:4" hidden="1" x14ac:dyDescent="0.3">
      <c r="B6167" t="s">
        <v>4675</v>
      </c>
      <c r="C6167" t="str">
        <f>INDEX(nse!D:D,MATCH(B6167,nse!B:B,0))</f>
        <v>BE</v>
      </c>
      <c r="D6167" t="str">
        <f>INDEX(nse!C:C,MATCH(B6167,nse!B:B,0))</f>
        <v>Viji Finance Limited</v>
      </c>
    </row>
    <row r="6168" spans="2:4" hidden="1" x14ac:dyDescent="0.3">
      <c r="B6168" t="s">
        <v>1233</v>
      </c>
      <c r="C6168" t="str">
        <f>INDEX(nse!D:D,MATCH(B6168,nse!B:B,0))</f>
        <v>EQ</v>
      </c>
      <c r="D6168" t="str">
        <f>INDEX(nse!C:C,MATCH(B6168,nse!B:B,0))</f>
        <v>Vijay Shanthi Builders Limited</v>
      </c>
    </row>
    <row r="6169" spans="2:4" hidden="1" x14ac:dyDescent="0.3">
      <c r="B6169" t="s">
        <v>4679</v>
      </c>
      <c r="C6169" t="str">
        <f>INDEX(nse!D:D,MATCH(B6169,nse!B:B,0))</f>
        <v>EQ</v>
      </c>
      <c r="D6169" t="str">
        <f>INDEX(nse!C:C,MATCH(B6169,nse!B:B,0))</f>
        <v>Vikas EcoTech Limited</v>
      </c>
    </row>
    <row r="6170" spans="2:4" hidden="1" x14ac:dyDescent="0.3">
      <c r="B6170" t="s">
        <v>1234</v>
      </c>
      <c r="C6170" t="str">
        <f>INDEX(nse!D:D,MATCH(B6170,nse!B:B,0))</f>
        <v>BE</v>
      </c>
      <c r="D6170" t="str">
        <f>INDEX(nse!C:C,MATCH(B6170,nse!B:B,0))</f>
        <v>Vimal Oil &amp; Foods Limited</v>
      </c>
    </row>
    <row r="6171" spans="2:4" hidden="1" x14ac:dyDescent="0.3">
      <c r="B6171" t="s">
        <v>1235</v>
      </c>
      <c r="C6171" t="str">
        <f>INDEX(nse!D:D,MATCH(B6171,nse!B:B,0))</f>
        <v>EQ</v>
      </c>
      <c r="D6171" t="str">
        <f>INDEX(nse!C:C,MATCH(B6171,nse!B:B,0))</f>
        <v>Vimta Labs Limited</v>
      </c>
    </row>
    <row r="6172" spans="2:4" hidden="1" x14ac:dyDescent="0.3">
      <c r="B6172" t="s">
        <v>1236</v>
      </c>
      <c r="C6172" t="str">
        <f>INDEX(nse!D:D,MATCH(B6172,nse!B:B,0))</f>
        <v>EQ</v>
      </c>
      <c r="D6172" t="str">
        <f>INDEX(nse!C:C,MATCH(B6172,nse!B:B,0))</f>
        <v>Vinati Organics Limited</v>
      </c>
    </row>
    <row r="6173" spans="2:4" hidden="1" x14ac:dyDescent="0.3">
      <c r="B6173" t="s">
        <v>1237</v>
      </c>
      <c r="C6173" t="str">
        <f>INDEX(nse!D:D,MATCH(B6173,nse!B:B,0))</f>
        <v>EQ</v>
      </c>
      <c r="D6173" t="str">
        <f>INDEX(nse!C:C,MATCH(B6173,nse!B:B,0))</f>
        <v>Vindhya Telelinks Limited</v>
      </c>
    </row>
    <row r="6174" spans="2:4" hidden="1" x14ac:dyDescent="0.3">
      <c r="B6174" t="s">
        <v>1238</v>
      </c>
      <c r="C6174" t="str">
        <f>INDEX(nse!D:D,MATCH(B6174,nse!B:B,0))</f>
        <v>EQ</v>
      </c>
      <c r="D6174" t="str">
        <f>INDEX(nse!C:C,MATCH(B6174,nse!B:B,0))</f>
        <v>Vinyl Chemicals (India) Limited</v>
      </c>
    </row>
    <row r="6175" spans="2:4" hidden="1" x14ac:dyDescent="0.3">
      <c r="B6175" t="s">
        <v>4687</v>
      </c>
      <c r="C6175" t="str">
        <f>INDEX(nse!D:D,MATCH(B6175,nse!B:B,0))</f>
        <v>EQ</v>
      </c>
      <c r="D6175" t="str">
        <f>INDEX(nse!C:C,MATCH(B6175,nse!B:B,0))</f>
        <v>VIP Clothing Limited</v>
      </c>
    </row>
    <row r="6176" spans="2:4" hidden="1" x14ac:dyDescent="0.3">
      <c r="B6176" t="s">
        <v>1239</v>
      </c>
      <c r="C6176" t="str">
        <f>INDEX(nse!D:D,MATCH(B6176,nse!B:B,0))</f>
        <v>EQ</v>
      </c>
      <c r="D6176" t="str">
        <f>INDEX(nse!C:C,MATCH(B6176,nse!B:B,0))</f>
        <v>VIP Industries Limited</v>
      </c>
    </row>
    <row r="6177" spans="2:4" hidden="1" x14ac:dyDescent="0.3">
      <c r="B6177" t="s">
        <v>4691</v>
      </c>
      <c r="C6177" t="str">
        <f>INDEX(nse!D:D,MATCH(B6177,nse!B:B,0))</f>
        <v>EQ</v>
      </c>
      <c r="D6177" t="str">
        <f>INDEX(nse!C:C,MATCH(B6177,nse!B:B,0))</f>
        <v>Vipul Limited</v>
      </c>
    </row>
    <row r="6178" spans="2:4" hidden="1" x14ac:dyDescent="0.3">
      <c r="B6178" t="s">
        <v>1240</v>
      </c>
      <c r="C6178" t="str">
        <f>INDEX(nse!D:D,MATCH(B6178,nse!B:B,0))</f>
        <v>EQ</v>
      </c>
      <c r="D6178" t="str">
        <f>INDEX(nse!C:C,MATCH(B6178,nse!B:B,0))</f>
        <v>Visaka Industries Limited</v>
      </c>
    </row>
    <row r="6179" spans="2:4" hidden="1" x14ac:dyDescent="0.3">
      <c r="B6179" t="s">
        <v>1241</v>
      </c>
      <c r="C6179" t="str">
        <f>INDEX(nse!D:D,MATCH(B6179,nse!B:B,0))</f>
        <v>EQ</v>
      </c>
      <c r="D6179" t="str">
        <f>INDEX(nse!C:C,MATCH(B6179,nse!B:B,0))</f>
        <v>Visa Steel Limited</v>
      </c>
    </row>
    <row r="6180" spans="2:4" hidden="1" x14ac:dyDescent="0.3">
      <c r="B6180" t="s">
        <v>1242</v>
      </c>
      <c r="C6180" t="str">
        <f>INDEX(nse!D:D,MATCH(B6180,nse!B:B,0))</f>
        <v>BE</v>
      </c>
      <c r="D6180" t="str">
        <f>INDEX(nse!C:C,MATCH(B6180,nse!B:B,0))</f>
        <v>Visesh Infotecnics Limited</v>
      </c>
    </row>
    <row r="6181" spans="2:4" hidden="1" x14ac:dyDescent="0.3">
      <c r="B6181" t="s">
        <v>4697</v>
      </c>
      <c r="C6181" t="str">
        <f>INDEX(nse!D:D,MATCH(B6181,nse!B:B,0))</f>
        <v>EQ</v>
      </c>
      <c r="D6181" t="str">
        <f>INDEX(nse!C:C,MATCH(B6181,nse!B:B,0))</f>
        <v>Vishnu Chemicals Limited</v>
      </c>
    </row>
    <row r="6182" spans="2:4" hidden="1" x14ac:dyDescent="0.3">
      <c r="B6182" t="s">
        <v>1338</v>
      </c>
      <c r="C6182" t="str">
        <f>INDEX(nse!D:D,MATCH(B6182,nse!B:B,0))</f>
        <v>BE</v>
      </c>
      <c r="D6182" t="str">
        <f>INDEX(nse!C:C,MATCH(B6182,nse!B:B,0))</f>
        <v>Visu International Limited</v>
      </c>
    </row>
    <row r="6183" spans="2:4" hidden="1" x14ac:dyDescent="0.3">
      <c r="B6183" t="s">
        <v>1243</v>
      </c>
      <c r="C6183" t="str">
        <f>INDEX(nse!D:D,MATCH(B6183,nse!B:B,0))</f>
        <v>EQ</v>
      </c>
      <c r="D6183" t="str">
        <f>INDEX(nse!C:C,MATCH(B6183,nse!B:B,0))</f>
        <v>Visagar Polytex Limited</v>
      </c>
    </row>
    <row r="6184" spans="2:4" hidden="1" x14ac:dyDescent="0.3">
      <c r="B6184" t="s">
        <v>1244</v>
      </c>
      <c r="C6184" t="str">
        <f>INDEX(nse!D:D,MATCH(B6184,nse!B:B,0))</f>
        <v>EQ</v>
      </c>
      <c r="D6184" t="str">
        <f>INDEX(nse!C:C,MATCH(B6184,nse!B:B,0))</f>
        <v>Vivimed Labs Limited</v>
      </c>
    </row>
    <row r="6185" spans="2:4" hidden="1" x14ac:dyDescent="0.3">
      <c r="B6185" t="s">
        <v>1245</v>
      </c>
      <c r="C6185" t="str">
        <f>INDEX(nse!D:D,MATCH(B6185,nse!B:B,0))</f>
        <v>EQ</v>
      </c>
      <c r="D6185" t="str">
        <f>INDEX(nse!C:C,MATCH(B6185,nse!B:B,0))</f>
        <v>VLS Finance Limited</v>
      </c>
    </row>
    <row r="6186" spans="2:4" hidden="1" x14ac:dyDescent="0.3">
      <c r="B6186" t="s">
        <v>1246</v>
      </c>
      <c r="C6186" t="str">
        <f>INDEX(nse!D:D,MATCH(B6186,nse!B:B,0))</f>
        <v>EQ</v>
      </c>
      <c r="D6186" t="str">
        <f>INDEX(nse!C:C,MATCH(B6186,nse!B:B,0))</f>
        <v>V-Mart Retail Limited</v>
      </c>
    </row>
    <row r="6187" spans="2:4" hidden="1" x14ac:dyDescent="0.3">
      <c r="B6187" t="s">
        <v>1247</v>
      </c>
      <c r="C6187" t="str">
        <f>INDEX(nse!D:D,MATCH(B6187,nse!B:B,0))</f>
        <v>EQ</v>
      </c>
      <c r="D6187" t="str">
        <f>INDEX(nse!C:C,MATCH(B6187,nse!B:B,0))</f>
        <v>Voltamp Transformers Limited</v>
      </c>
    </row>
    <row r="6188" spans="2:4" hidden="1" x14ac:dyDescent="0.3">
      <c r="B6188" t="s">
        <v>1247</v>
      </c>
      <c r="C6188" t="str">
        <f>INDEX(nse!D:D,MATCH(B6188,nse!B:B,0))</f>
        <v>EQ</v>
      </c>
      <c r="D6188" t="str">
        <f>INDEX(nse!C:C,MATCH(B6188,nse!B:B,0))</f>
        <v>Voltamp Transformers Limited</v>
      </c>
    </row>
    <row r="6189" spans="2:4" hidden="1" x14ac:dyDescent="0.3">
      <c r="B6189" t="s">
        <v>108</v>
      </c>
      <c r="C6189" t="str">
        <f>INDEX(nse!D:D,MATCH(B6189,nse!B:B,0))</f>
        <v>EQ</v>
      </c>
      <c r="D6189" t="str">
        <f>INDEX(nse!C:C,MATCH(B6189,nse!B:B,0))</f>
        <v>Voltas Limited</v>
      </c>
    </row>
    <row r="6190" spans="2:4" hidden="1" x14ac:dyDescent="0.3">
      <c r="B6190" t="s">
        <v>4707</v>
      </c>
      <c r="C6190" t="str">
        <f>INDEX(nse!D:D,MATCH(B6190,nse!B:B,0))</f>
        <v>EQ</v>
      </c>
      <c r="D6190" t="str">
        <f>INDEX(nse!C:C,MATCH(B6190,nse!B:B,0))</f>
        <v>VRL Logistics Limited</v>
      </c>
    </row>
    <row r="6191" spans="2:4" hidden="1" x14ac:dyDescent="0.3">
      <c r="B6191" t="s">
        <v>1248</v>
      </c>
      <c r="C6191" t="str">
        <f>INDEX(nse!D:D,MATCH(B6191,nse!B:B,0))</f>
        <v>EQ</v>
      </c>
      <c r="D6191" t="str">
        <f>INDEX(nse!C:C,MATCH(B6191,nse!B:B,0))</f>
        <v>Vardhman Special Steels Limited</v>
      </c>
    </row>
    <row r="6192" spans="2:4" hidden="1" x14ac:dyDescent="0.3">
      <c r="B6192" t="s">
        <v>1249</v>
      </c>
      <c r="C6192" t="str">
        <f>INDEX(nse!D:D,MATCH(B6192,nse!B:B,0))</f>
        <v>EQ</v>
      </c>
      <c r="D6192" t="str">
        <f>INDEX(nse!C:C,MATCH(B6192,nse!B:B,0))</f>
        <v>VST Industries Limited</v>
      </c>
    </row>
    <row r="6193" spans="2:4" hidden="1" x14ac:dyDescent="0.3">
      <c r="B6193" t="s">
        <v>1250</v>
      </c>
      <c r="C6193" t="str">
        <f>INDEX(nse!D:D,MATCH(B6193,nse!B:B,0))</f>
        <v>EQ</v>
      </c>
      <c r="D6193" t="str">
        <f>INDEX(nse!C:C,MATCH(B6193,nse!B:B,0))</f>
        <v>V.S.T Tillers Tractors Limited</v>
      </c>
    </row>
    <row r="6194" spans="2:4" hidden="1" x14ac:dyDescent="0.3">
      <c r="B6194" t="s">
        <v>1251</v>
      </c>
      <c r="C6194" t="str">
        <f>INDEX(nse!D:D,MATCH(B6194,nse!B:B,0))</f>
        <v>EQ</v>
      </c>
      <c r="D6194" t="str">
        <f>INDEX(nse!C:C,MATCH(B6194,nse!B:B,0))</f>
        <v>Vardhman Textiles Limited</v>
      </c>
    </row>
    <row r="6195" spans="2:4" hidden="1" x14ac:dyDescent="0.3">
      <c r="B6195" t="s">
        <v>1252</v>
      </c>
      <c r="C6195" t="str">
        <f>INDEX(nse!D:D,MATCH(B6195,nse!B:B,0))</f>
        <v>EQ</v>
      </c>
      <c r="D6195" t="str">
        <f>INDEX(nse!C:C,MATCH(B6195,nse!B:B,0))</f>
        <v>VA Tech Wabag Limited</v>
      </c>
    </row>
    <row r="6196" spans="2:4" hidden="1" x14ac:dyDescent="0.3">
      <c r="B6196" t="s">
        <v>1253</v>
      </c>
      <c r="C6196" t="str">
        <f>INDEX(nse!D:D,MATCH(B6196,nse!B:B,0))</f>
        <v>EQ</v>
      </c>
      <c r="D6196" t="str">
        <f>INDEX(nse!C:C,MATCH(B6196,nse!B:B,0))</f>
        <v>WABCO India Limited</v>
      </c>
    </row>
    <row r="6197" spans="2:4" hidden="1" x14ac:dyDescent="0.3">
      <c r="B6197" t="s">
        <v>1254</v>
      </c>
      <c r="C6197" t="str">
        <f>INDEX(nse!D:D,MATCH(B6197,nse!B:B,0))</f>
        <v>EQ</v>
      </c>
      <c r="D6197" t="str">
        <f>INDEX(nse!C:C,MATCH(B6197,nse!B:B,0))</f>
        <v>Walchandnagar Industries Limited</v>
      </c>
    </row>
    <row r="6198" spans="2:4" hidden="1" x14ac:dyDescent="0.3">
      <c r="B6198" t="s">
        <v>1255</v>
      </c>
      <c r="C6198" t="str">
        <f>INDEX(nse!D:D,MATCH(B6198,nse!B:B,0))</f>
        <v>BE</v>
      </c>
      <c r="D6198" t="str">
        <f>INDEX(nse!C:C,MATCH(B6198,nse!B:B,0))</f>
        <v>Wanbury Limited</v>
      </c>
    </row>
    <row r="6199" spans="2:4" hidden="1" x14ac:dyDescent="0.3">
      <c r="B6199" t="s">
        <v>1256</v>
      </c>
      <c r="C6199" t="str">
        <f>INDEX(nse!D:D,MATCH(B6199,nse!B:B,0))</f>
        <v>BE</v>
      </c>
      <c r="D6199" t="str">
        <f>INDEX(nse!C:C,MATCH(B6199,nse!B:B,0))</f>
        <v>Websol Energy System Limited</v>
      </c>
    </row>
    <row r="6200" spans="2:4" hidden="1" x14ac:dyDescent="0.3">
      <c r="B6200" t="s">
        <v>1257</v>
      </c>
      <c r="C6200" t="str">
        <f>INDEX(nse!D:D,MATCH(B6200,nse!B:B,0))</f>
        <v>EQ</v>
      </c>
      <c r="D6200" t="str">
        <f>INDEX(nse!C:C,MATCH(B6200,nse!B:B,0))</f>
        <v>Weizmann Forex Limited</v>
      </c>
    </row>
    <row r="6201" spans="2:4" hidden="1" x14ac:dyDescent="0.3">
      <c r="B6201" t="s">
        <v>1258</v>
      </c>
      <c r="C6201" t="str">
        <f>INDEX(nse!D:D,MATCH(B6201,nse!B:B,0))</f>
        <v>EQ</v>
      </c>
      <c r="D6201" t="str">
        <f>INDEX(nse!C:C,MATCH(B6201,nse!B:B,0))</f>
        <v>Weizmann Limited</v>
      </c>
    </row>
    <row r="6202" spans="2:4" hidden="1" x14ac:dyDescent="0.3">
      <c r="B6202" t="s">
        <v>1259</v>
      </c>
      <c r="C6202" t="str">
        <f>INDEX(nse!D:D,MATCH(B6202,nse!B:B,0))</f>
        <v>EQ</v>
      </c>
      <c r="D6202" t="str">
        <f>INDEX(nse!C:C,MATCH(B6202,nse!B:B,0))</f>
        <v>Welspun Corp Limited</v>
      </c>
    </row>
    <row r="6203" spans="2:4" hidden="1" x14ac:dyDescent="0.3">
      <c r="B6203" t="s">
        <v>4722</v>
      </c>
      <c r="C6203" t="str">
        <f>INDEX(nse!D:D,MATCH(B6203,nse!B:B,0))</f>
        <v>EQ</v>
      </c>
      <c r="D6203" t="str">
        <f>INDEX(nse!C:C,MATCH(B6203,nse!B:B,0))</f>
        <v>Welspun Enterprises Limited</v>
      </c>
    </row>
    <row r="6204" spans="2:4" hidden="1" x14ac:dyDescent="0.3">
      <c r="B6204" t="s">
        <v>1260</v>
      </c>
      <c r="C6204" t="str">
        <f>INDEX(nse!D:D,MATCH(B6204,nse!B:B,0))</f>
        <v>EQ</v>
      </c>
      <c r="D6204" t="str">
        <f>INDEX(nse!C:C,MATCH(B6204,nse!B:B,0))</f>
        <v>Welspun Investments and Commercials Limited</v>
      </c>
    </row>
    <row r="6205" spans="2:4" hidden="1" x14ac:dyDescent="0.3">
      <c r="B6205" t="s">
        <v>1261</v>
      </c>
      <c r="C6205" t="str">
        <f>INDEX(nse!D:D,MATCH(B6205,nse!B:B,0))</f>
        <v>EQ</v>
      </c>
      <c r="D6205" t="str">
        <f>INDEX(nse!C:C,MATCH(B6205,nse!B:B,0))</f>
        <v>Welspun India Limited</v>
      </c>
    </row>
    <row r="6206" spans="2:4" hidden="1" x14ac:dyDescent="0.3">
      <c r="B6206" t="s">
        <v>1262</v>
      </c>
      <c r="C6206" t="str">
        <f>INDEX(nse!D:D,MATCH(B6206,nse!B:B,0))</f>
        <v>EQ</v>
      </c>
      <c r="D6206" t="str">
        <f>INDEX(nse!C:C,MATCH(B6206,nse!B:B,0))</f>
        <v>Wendt (India) Limited</v>
      </c>
    </row>
    <row r="6207" spans="2:4" hidden="1" x14ac:dyDescent="0.3">
      <c r="B6207" t="s">
        <v>1263</v>
      </c>
      <c r="C6207" t="str">
        <f>INDEX(nse!D:D,MATCH(B6207,nse!B:B,0))</f>
        <v>EQ</v>
      </c>
      <c r="D6207" t="str">
        <f>INDEX(nse!C:C,MATCH(B6207,nse!B:B,0))</f>
        <v>Wheels India Limited</v>
      </c>
    </row>
    <row r="6208" spans="2:4" hidden="1" x14ac:dyDescent="0.3">
      <c r="B6208" t="s">
        <v>1264</v>
      </c>
      <c r="C6208" t="str">
        <f>INDEX(nse!D:D,MATCH(B6208,nse!B:B,0))</f>
        <v>EQ</v>
      </c>
      <c r="D6208" t="str">
        <f>INDEX(nse!C:C,MATCH(B6208,nse!B:B,0))</f>
        <v>Whirlpool of India Limited</v>
      </c>
    </row>
    <row r="6209" spans="2:4" hidden="1" x14ac:dyDescent="0.3">
      <c r="B6209" t="s">
        <v>1265</v>
      </c>
      <c r="C6209" t="str">
        <f>INDEX(nse!D:D,MATCH(B6209,nse!B:B,0))</f>
        <v>BE</v>
      </c>
      <c r="D6209" t="str">
        <f>INDEX(nse!C:C,MATCH(B6209,nse!B:B,0))</f>
        <v>Williamson Magor &amp; Company Limited</v>
      </c>
    </row>
    <row r="6210" spans="2:4" hidden="1" x14ac:dyDescent="0.3">
      <c r="B6210" t="s">
        <v>1266</v>
      </c>
      <c r="C6210" t="str">
        <f>INDEX(nse!D:D,MATCH(B6210,nse!B:B,0))</f>
        <v>EQ</v>
      </c>
      <c r="D6210" t="str">
        <f>INDEX(nse!C:C,MATCH(B6210,nse!B:B,0))</f>
        <v>Windsor Machines Limited</v>
      </c>
    </row>
    <row r="6211" spans="2:4" hidden="1" x14ac:dyDescent="0.3">
      <c r="B6211" t="s">
        <v>1267</v>
      </c>
      <c r="C6211" t="str">
        <f>INDEX(nse!D:D,MATCH(B6211,nse!B:B,0))</f>
        <v>EQ</v>
      </c>
      <c r="D6211" t="str">
        <f>INDEX(nse!C:C,MATCH(B6211,nse!B:B,0))</f>
        <v>Winsome Yarns Limited</v>
      </c>
    </row>
    <row r="6212" spans="2:4" hidden="1" x14ac:dyDescent="0.3">
      <c r="B6212" t="s">
        <v>4732</v>
      </c>
      <c r="C6212" t="str">
        <f>INDEX(nse!D:D,MATCH(B6212,nse!B:B,0))</f>
        <v>BE</v>
      </c>
      <c r="D6212" t="str">
        <f>INDEX(nse!C:C,MATCH(B6212,nse!B:B,0))</f>
        <v>The Western India Plywoods Limited</v>
      </c>
    </row>
    <row r="6213" spans="2:4" hidden="1" x14ac:dyDescent="0.3">
      <c r="B6213" t="s">
        <v>126</v>
      </c>
      <c r="C6213" t="str">
        <f>INDEX(nse!D:D,MATCH(B6213,nse!B:B,0))</f>
        <v>EQ</v>
      </c>
      <c r="D6213" t="str">
        <f>INDEX(nse!C:C,MATCH(B6213,nse!B:B,0))</f>
        <v>Wipro Limited</v>
      </c>
    </row>
    <row r="6214" spans="2:4" hidden="1" x14ac:dyDescent="0.3">
      <c r="B6214" t="s">
        <v>1268</v>
      </c>
      <c r="C6214" t="str">
        <f>INDEX(nse!D:D,MATCH(B6214,nse!B:B,0))</f>
        <v>EQ</v>
      </c>
      <c r="D6214" t="str">
        <f>INDEX(nse!C:C,MATCH(B6214,nse!B:B,0))</f>
        <v>Wockhardt Limited</v>
      </c>
    </row>
    <row r="6215" spans="2:4" hidden="1" x14ac:dyDescent="0.3">
      <c r="B6215" t="s">
        <v>1269</v>
      </c>
      <c r="C6215" t="str">
        <f>INDEX(nse!D:D,MATCH(B6215,nse!B:B,0))</f>
        <v>EQ</v>
      </c>
      <c r="D6215" t="str">
        <f>INDEX(nse!C:C,MATCH(B6215,nse!B:B,0))</f>
        <v>Wonderla Holidays Limited</v>
      </c>
    </row>
    <row r="6216" spans="2:4" hidden="1" x14ac:dyDescent="0.3">
      <c r="B6216" t="s">
        <v>1270</v>
      </c>
      <c r="C6216" t="str">
        <f>INDEX(nse!D:D,MATCH(B6216,nse!B:B,0))</f>
        <v>EQ</v>
      </c>
      <c r="D6216" t="str">
        <f>INDEX(nse!C:C,MATCH(B6216,nse!B:B,0))</f>
        <v>W S Industries (I) Limited</v>
      </c>
    </row>
    <row r="6217" spans="2:4" hidden="1" x14ac:dyDescent="0.3">
      <c r="B6217" t="s">
        <v>1271</v>
      </c>
      <c r="C6217" t="str">
        <f>INDEX(nse!D:D,MATCH(B6217,nse!B:B,0))</f>
        <v>EQ</v>
      </c>
      <c r="D6217" t="str">
        <f>INDEX(nse!C:C,MATCH(B6217,nse!B:B,0))</f>
        <v>West Coast Paper Mills Limited</v>
      </c>
    </row>
    <row r="6218" spans="2:4" hidden="1" x14ac:dyDescent="0.3">
      <c r="B6218" t="s">
        <v>1272</v>
      </c>
      <c r="C6218" t="str">
        <f>INDEX(nse!D:D,MATCH(B6218,nse!B:B,0))</f>
        <v>EQ</v>
      </c>
      <c r="D6218" t="str">
        <f>INDEX(nse!C:C,MATCH(B6218,nse!B:B,0))</f>
        <v>Xchanging Solutions Limited</v>
      </c>
    </row>
    <row r="6219" spans="2:4" hidden="1" x14ac:dyDescent="0.3">
      <c r="B6219" t="s">
        <v>1273</v>
      </c>
      <c r="C6219" t="str">
        <f>INDEX(nse!D:D,MATCH(B6219,nse!B:B,0))</f>
        <v>EQ</v>
      </c>
      <c r="D6219" t="str">
        <f>INDEX(nse!C:C,MATCH(B6219,nse!B:B,0))</f>
        <v>XL Energy Limited</v>
      </c>
    </row>
    <row r="6220" spans="2:4" hidden="1" x14ac:dyDescent="0.3">
      <c r="B6220" t="s">
        <v>1274</v>
      </c>
      <c r="C6220" t="str">
        <f>INDEX(nse!D:D,MATCH(B6220,nse!B:B,0))</f>
        <v>EQ</v>
      </c>
      <c r="D6220" t="str">
        <f>INDEX(nse!C:C,MATCH(B6220,nse!B:B,0))</f>
        <v>Xpro India Limited</v>
      </c>
    </row>
    <row r="6221" spans="2:4" hidden="1" x14ac:dyDescent="0.3">
      <c r="B6221" t="s">
        <v>1275</v>
      </c>
      <c r="C6221" t="str">
        <f>INDEX(nse!D:D,MATCH(B6221,nse!B:B,0))</f>
        <v>EQ</v>
      </c>
      <c r="D6221" t="str">
        <f>INDEX(nse!C:C,MATCH(B6221,nse!B:B,0))</f>
        <v>Yes Bank Limited</v>
      </c>
    </row>
    <row r="6222" spans="2:4" hidden="1" x14ac:dyDescent="0.3">
      <c r="B6222" t="s">
        <v>1276</v>
      </c>
      <c r="C6222" t="str">
        <f>INDEX(nse!D:D,MATCH(B6222,nse!B:B,0))</f>
        <v>EQ</v>
      </c>
      <c r="D6222" t="str">
        <f>INDEX(nse!C:C,MATCH(B6222,nse!B:B,0))</f>
        <v>Zandu Realty Limited</v>
      </c>
    </row>
    <row r="6223" spans="2:4" hidden="1" x14ac:dyDescent="0.3">
      <c r="B6223" t="s">
        <v>1277</v>
      </c>
      <c r="C6223" t="str">
        <f>INDEX(nse!D:D,MATCH(B6223,nse!B:B,0))</f>
        <v>EQ</v>
      </c>
      <c r="D6223" t="str">
        <f>INDEX(nse!C:C,MATCH(B6223,nse!B:B,0))</f>
        <v>Zee Entertainment Enterprises Limited</v>
      </c>
    </row>
    <row r="6224" spans="2:4" hidden="1" x14ac:dyDescent="0.3">
      <c r="B6224" t="s">
        <v>1278</v>
      </c>
      <c r="C6224" t="str">
        <f>INDEX(nse!D:D,MATCH(B6224,nse!B:B,0))</f>
        <v>EQ</v>
      </c>
      <c r="D6224" t="str">
        <f>INDEX(nse!C:C,MATCH(B6224,nse!B:B,0))</f>
        <v>Zee Learn Limited</v>
      </c>
    </row>
    <row r="6225" spans="2:4" hidden="1" x14ac:dyDescent="0.3">
      <c r="B6225" t="s">
        <v>1279</v>
      </c>
      <c r="C6225" t="str">
        <f>INDEX(nse!D:D,MATCH(B6225,nse!B:B,0))</f>
        <v>EQ</v>
      </c>
      <c r="D6225" t="str">
        <f>INDEX(nse!C:C,MATCH(B6225,nse!B:B,0))</f>
        <v>Zee Media Corporation Limited</v>
      </c>
    </row>
    <row r="6226" spans="2:4" hidden="1" x14ac:dyDescent="0.3">
      <c r="B6226" t="s">
        <v>1280</v>
      </c>
      <c r="C6226" t="str">
        <f>INDEX(nse!D:D,MATCH(B6226,nse!B:B,0))</f>
        <v>EQ</v>
      </c>
      <c r="D6226" t="str">
        <f>INDEX(nse!C:C,MATCH(B6226,nse!B:B,0))</f>
        <v>Zenith Birla (India) Limited</v>
      </c>
    </row>
    <row r="6227" spans="2:4" hidden="1" x14ac:dyDescent="0.3">
      <c r="B6227" t="s">
        <v>1281</v>
      </c>
      <c r="C6227" t="str">
        <f>INDEX(nse!D:D,MATCH(B6227,nse!B:B,0))</f>
        <v>BE</v>
      </c>
      <c r="D6227" t="str">
        <f>INDEX(nse!C:C,MATCH(B6227,nse!B:B,0))</f>
        <v>Zenith Exports Limited</v>
      </c>
    </row>
    <row r="6228" spans="2:4" hidden="1" x14ac:dyDescent="0.3">
      <c r="B6228" t="s">
        <v>1282</v>
      </c>
      <c r="C6228" t="str">
        <f>INDEX(nse!D:D,MATCH(B6228,nse!B:B,0))</f>
        <v>EQ</v>
      </c>
      <c r="D6228" t="str">
        <f>INDEX(nse!C:C,MATCH(B6228,nse!B:B,0))</f>
        <v>Zensar Technologies Limited</v>
      </c>
    </row>
    <row r="6229" spans="2:4" hidden="1" x14ac:dyDescent="0.3">
      <c r="B6229" t="s">
        <v>4751</v>
      </c>
      <c r="C6229" t="str">
        <f>INDEX(nse!D:D,MATCH(B6229,nse!B:B,0))</f>
        <v>EQ</v>
      </c>
      <c r="D6229" t="str">
        <f>INDEX(nse!C:C,MATCH(B6229,nse!B:B,0))</f>
        <v>Zen Technologies Limited</v>
      </c>
    </row>
    <row r="6230" spans="2:4" hidden="1" x14ac:dyDescent="0.3">
      <c r="B6230" t="s">
        <v>1283</v>
      </c>
      <c r="C6230" t="str">
        <f>INDEX(nse!D:D,MATCH(B6230,nse!B:B,0))</f>
        <v>EQ</v>
      </c>
      <c r="D6230" t="str">
        <f>INDEX(nse!C:C,MATCH(B6230,nse!B:B,0))</f>
        <v>Zicom Electronic Security Systems Limited</v>
      </c>
    </row>
    <row r="6231" spans="2:4" hidden="1" x14ac:dyDescent="0.3">
      <c r="B6231" t="s">
        <v>1284</v>
      </c>
      <c r="C6231" t="str">
        <f>INDEX(nse!D:D,MATCH(B6231,nse!B:B,0))</f>
        <v>EQ</v>
      </c>
      <c r="D6231" t="str">
        <f>INDEX(nse!C:C,MATCH(B6231,nse!B:B,0))</f>
        <v>Zodiac Clothing Company Limited</v>
      </c>
    </row>
    <row r="6232" spans="2:4" hidden="1" x14ac:dyDescent="0.3">
      <c r="B6232" t="s">
        <v>1285</v>
      </c>
      <c r="C6232" t="str">
        <f>INDEX(nse!D:D,MATCH(B6232,nse!B:B,0))</f>
        <v>EQ</v>
      </c>
      <c r="D6232" t="str">
        <f>INDEX(nse!C:C,MATCH(B6232,nse!B:B,0))</f>
        <v>Zodiac JRD- MKJ Limited</v>
      </c>
    </row>
    <row r="6233" spans="2:4" hidden="1" x14ac:dyDescent="0.3">
      <c r="B6233" t="s">
        <v>1286</v>
      </c>
      <c r="C6233" t="str">
        <f>INDEX(nse!D:D,MATCH(B6233,nse!B:B,0))</f>
        <v>EQ</v>
      </c>
      <c r="D6233" t="str">
        <f>INDEX(nse!C:C,MATCH(B6233,nse!B:B,0))</f>
        <v>Zuari Agro Chemicals Limited</v>
      </c>
    </row>
    <row r="6234" spans="2:4" hidden="1" x14ac:dyDescent="0.3">
      <c r="B6234" t="s">
        <v>1287</v>
      </c>
      <c r="C6234" t="str">
        <f>INDEX(nse!D:D,MATCH(B6234,nse!B:B,0))</f>
        <v>EQ</v>
      </c>
      <c r="D6234" t="str">
        <f>INDEX(nse!C:C,MATCH(B6234,nse!B:B,0))</f>
        <v>Zuari Global Limited</v>
      </c>
    </row>
    <row r="6235" spans="2:4" hidden="1" x14ac:dyDescent="0.3">
      <c r="B6235" t="s">
        <v>1288</v>
      </c>
      <c r="C6235" t="str">
        <f>INDEX(nse!D:D,MATCH(B6235,nse!B:B,0))</f>
        <v>EQ</v>
      </c>
      <c r="D6235" t="str">
        <f>INDEX(nse!C:C,MATCH(B6235,nse!B:B,0))</f>
        <v>Zydus Wellness Limited</v>
      </c>
    </row>
    <row r="6236" spans="2:4" hidden="1" x14ac:dyDescent="0.3">
      <c r="B6236" t="s">
        <v>1289</v>
      </c>
      <c r="C6236" t="str">
        <f>INDEX(nse!D:D,MATCH(B6236,nse!B:B,0))</f>
        <v>EQ</v>
      </c>
      <c r="D6236" t="str">
        <f>INDEX(nse!C:C,MATCH(B6236,nse!B:B,0))</f>
        <v>Zylog Systems Limited</v>
      </c>
    </row>
  </sheetData>
  <conditionalFormatting sqref="E5:E465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{C367CBD4-1224-46FF-B549-F7FCEA8DDCF5}</x14:id>
        </ext>
      </extLst>
    </cfRule>
  </conditionalFormatting>
  <conditionalFormatting sqref="G5:G465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67CBD4-1224-46FF-B549-F7FCEA8DDCF5}">
            <x14:dataBar minLength="0" maxLength="100" negativeBarColorSameAsPositive="1" axisPosition="none">
              <x14:cfvo type="min"/>
              <x14:cfvo type="max"/>
            </x14:dataBar>
          </x14:cfRule>
          <xm:sqref>E5:E4656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1591"/>
  <sheetViews>
    <sheetView workbookViewId="0"/>
  </sheetViews>
  <sheetFormatPr defaultRowHeight="14.4" x14ac:dyDescent="0.3"/>
  <cols>
    <col min="2" max="9" width="10.44140625" customWidth="1"/>
  </cols>
  <sheetData>
    <row r="1" spans="2:9" x14ac:dyDescent="0.3">
      <c r="B1" t="s">
        <v>2650</v>
      </c>
      <c r="C1" t="s">
        <v>2651</v>
      </c>
      <c r="D1" t="s">
        <v>2652</v>
      </c>
      <c r="E1" t="s">
        <v>2653</v>
      </c>
      <c r="F1" t="s">
        <v>2654</v>
      </c>
      <c r="G1" t="s">
        <v>2655</v>
      </c>
      <c r="H1" t="s">
        <v>2656</v>
      </c>
      <c r="I1" t="s">
        <v>2657</v>
      </c>
    </row>
    <row r="2" spans="2:9" x14ac:dyDescent="0.3">
      <c r="B2" t="s">
        <v>129</v>
      </c>
      <c r="C2" t="s">
        <v>1341</v>
      </c>
      <c r="D2" t="s">
        <v>2658</v>
      </c>
      <c r="E2" s="24">
        <v>39727</v>
      </c>
      <c r="F2">
        <v>5</v>
      </c>
      <c r="G2">
        <v>1</v>
      </c>
      <c r="H2" t="s">
        <v>2659</v>
      </c>
      <c r="I2">
        <v>5</v>
      </c>
    </row>
    <row r="3" spans="2:9" x14ac:dyDescent="0.3">
      <c r="B3" t="s">
        <v>130</v>
      </c>
      <c r="C3" t="s">
        <v>1342</v>
      </c>
      <c r="D3" t="s">
        <v>2658</v>
      </c>
      <c r="E3" s="24">
        <v>38464</v>
      </c>
      <c r="F3">
        <v>10</v>
      </c>
      <c r="G3">
        <v>1</v>
      </c>
      <c r="H3" t="s">
        <v>2660</v>
      </c>
      <c r="I3">
        <v>10</v>
      </c>
    </row>
    <row r="4" spans="2:9" x14ac:dyDescent="0.3">
      <c r="B4" t="s">
        <v>131</v>
      </c>
      <c r="C4" t="s">
        <v>1343</v>
      </c>
      <c r="D4" t="s">
        <v>2658</v>
      </c>
      <c r="E4" s="24">
        <v>38212</v>
      </c>
      <c r="F4">
        <v>10</v>
      </c>
      <c r="G4">
        <v>1</v>
      </c>
      <c r="H4" t="s">
        <v>2661</v>
      </c>
      <c r="I4">
        <v>10</v>
      </c>
    </row>
    <row r="5" spans="2:9" x14ac:dyDescent="0.3">
      <c r="B5" t="s">
        <v>2662</v>
      </c>
      <c r="C5" t="s">
        <v>2663</v>
      </c>
      <c r="D5" t="s">
        <v>2658</v>
      </c>
      <c r="E5" s="24">
        <v>38523</v>
      </c>
      <c r="F5">
        <v>2</v>
      </c>
      <c r="G5">
        <v>1</v>
      </c>
      <c r="H5" t="s">
        <v>2664</v>
      </c>
      <c r="I5">
        <v>2</v>
      </c>
    </row>
    <row r="6" spans="2:9" x14ac:dyDescent="0.3">
      <c r="B6" t="s">
        <v>132</v>
      </c>
      <c r="C6" t="s">
        <v>1344</v>
      </c>
      <c r="D6" t="s">
        <v>2658</v>
      </c>
      <c r="E6" s="24">
        <v>41668</v>
      </c>
      <c r="F6">
        <v>5</v>
      </c>
      <c r="G6">
        <v>1</v>
      </c>
      <c r="H6" t="s">
        <v>2665</v>
      </c>
      <c r="I6">
        <v>5</v>
      </c>
    </row>
    <row r="7" spans="2:9" x14ac:dyDescent="0.3">
      <c r="B7" t="s">
        <v>2666</v>
      </c>
      <c r="C7" t="s">
        <v>2667</v>
      </c>
      <c r="D7" t="s">
        <v>2658</v>
      </c>
      <c r="E7" s="24">
        <v>40535</v>
      </c>
      <c r="F7">
        <v>10</v>
      </c>
      <c r="G7">
        <v>1</v>
      </c>
      <c r="H7" t="s">
        <v>2668</v>
      </c>
      <c r="I7">
        <v>10</v>
      </c>
    </row>
    <row r="8" spans="2:9" x14ac:dyDescent="0.3">
      <c r="B8" t="s">
        <v>133</v>
      </c>
      <c r="C8" t="s">
        <v>1345</v>
      </c>
      <c r="D8" t="s">
        <v>2658</v>
      </c>
      <c r="E8" s="24">
        <v>37883</v>
      </c>
      <c r="F8">
        <v>10</v>
      </c>
      <c r="G8">
        <v>1</v>
      </c>
      <c r="H8" t="s">
        <v>2669</v>
      </c>
      <c r="I8">
        <v>10</v>
      </c>
    </row>
    <row r="9" spans="2:9" x14ac:dyDescent="0.3">
      <c r="B9" t="s">
        <v>134</v>
      </c>
      <c r="C9" t="s">
        <v>1346</v>
      </c>
      <c r="D9" t="s">
        <v>2658</v>
      </c>
      <c r="E9" s="24">
        <v>34738</v>
      </c>
      <c r="F9">
        <v>5</v>
      </c>
      <c r="G9">
        <v>1</v>
      </c>
      <c r="H9" t="s">
        <v>2670</v>
      </c>
      <c r="I9">
        <v>5</v>
      </c>
    </row>
    <row r="10" spans="2:9" x14ac:dyDescent="0.3">
      <c r="B10" t="s">
        <v>135</v>
      </c>
      <c r="C10" t="s">
        <v>1347</v>
      </c>
      <c r="D10" t="s">
        <v>2658</v>
      </c>
      <c r="E10" s="24">
        <v>39042</v>
      </c>
      <c r="F10">
        <v>10</v>
      </c>
      <c r="G10">
        <v>1</v>
      </c>
      <c r="H10" t="s">
        <v>2671</v>
      </c>
      <c r="I10">
        <v>10</v>
      </c>
    </row>
    <row r="11" spans="2:9" x14ac:dyDescent="0.3">
      <c r="B11" t="s">
        <v>136</v>
      </c>
      <c r="C11" t="s">
        <v>1348</v>
      </c>
      <c r="D11" t="s">
        <v>2658</v>
      </c>
      <c r="E11" s="24">
        <v>34787</v>
      </c>
      <c r="F11">
        <v>2</v>
      </c>
      <c r="G11">
        <v>1</v>
      </c>
      <c r="H11" t="s">
        <v>2672</v>
      </c>
      <c r="I11">
        <v>2</v>
      </c>
    </row>
    <row r="12" spans="2:9" x14ac:dyDescent="0.3">
      <c r="B12" t="s">
        <v>13</v>
      </c>
      <c r="C12" t="s">
        <v>2673</v>
      </c>
      <c r="D12" t="s">
        <v>2658</v>
      </c>
      <c r="E12" s="24">
        <v>34738</v>
      </c>
      <c r="F12">
        <v>2</v>
      </c>
      <c r="G12">
        <v>1</v>
      </c>
      <c r="H12" t="s">
        <v>2674</v>
      </c>
      <c r="I12">
        <v>2</v>
      </c>
    </row>
    <row r="13" spans="2:9" x14ac:dyDescent="0.3">
      <c r="B13" t="s">
        <v>2675</v>
      </c>
      <c r="C13" t="s">
        <v>2676</v>
      </c>
      <c r="D13" t="s">
        <v>2658</v>
      </c>
      <c r="E13" s="24">
        <v>40186</v>
      </c>
      <c r="F13">
        <v>10</v>
      </c>
      <c r="G13">
        <v>1</v>
      </c>
      <c r="H13" t="s">
        <v>2677</v>
      </c>
      <c r="I13">
        <v>10</v>
      </c>
    </row>
    <row r="14" spans="2:9" x14ac:dyDescent="0.3">
      <c r="B14" t="s">
        <v>2678</v>
      </c>
      <c r="C14" t="s">
        <v>2679</v>
      </c>
      <c r="D14" t="s">
        <v>2658</v>
      </c>
      <c r="E14" s="24">
        <v>41472</v>
      </c>
      <c r="F14">
        <v>10</v>
      </c>
      <c r="G14">
        <v>1</v>
      </c>
      <c r="H14" t="s">
        <v>2680</v>
      </c>
      <c r="I14">
        <v>10</v>
      </c>
    </row>
    <row r="15" spans="2:9" x14ac:dyDescent="0.3">
      <c r="B15" t="s">
        <v>137</v>
      </c>
      <c r="C15" t="s">
        <v>1349</v>
      </c>
      <c r="D15" t="s">
        <v>2681</v>
      </c>
      <c r="E15" s="24">
        <v>39183</v>
      </c>
      <c r="F15">
        <v>10</v>
      </c>
      <c r="G15">
        <v>1</v>
      </c>
      <c r="H15" t="s">
        <v>2682</v>
      </c>
      <c r="I15">
        <v>10</v>
      </c>
    </row>
    <row r="16" spans="2:9" x14ac:dyDescent="0.3">
      <c r="B16" t="s">
        <v>28</v>
      </c>
      <c r="C16" t="s">
        <v>1350</v>
      </c>
      <c r="D16" t="s">
        <v>2658</v>
      </c>
      <c r="E16" s="24">
        <v>34955</v>
      </c>
      <c r="F16">
        <v>10</v>
      </c>
      <c r="G16">
        <v>1</v>
      </c>
      <c r="H16" t="s">
        <v>2683</v>
      </c>
      <c r="I16">
        <v>10</v>
      </c>
    </row>
    <row r="17" spans="2:9" x14ac:dyDescent="0.3">
      <c r="B17" t="s">
        <v>2684</v>
      </c>
      <c r="C17" t="s">
        <v>2685</v>
      </c>
      <c r="D17" t="s">
        <v>2686</v>
      </c>
      <c r="E17" s="24">
        <v>42535</v>
      </c>
      <c r="F17">
        <v>10</v>
      </c>
      <c r="G17">
        <v>1</v>
      </c>
      <c r="H17" t="s">
        <v>2687</v>
      </c>
      <c r="I17">
        <v>10</v>
      </c>
    </row>
    <row r="18" spans="2:9" x14ac:dyDescent="0.3">
      <c r="B18" t="s">
        <v>138</v>
      </c>
      <c r="C18" t="s">
        <v>1351</v>
      </c>
      <c r="D18" t="s">
        <v>2658</v>
      </c>
      <c r="E18" s="24">
        <v>35389</v>
      </c>
      <c r="F18">
        <v>10</v>
      </c>
      <c r="G18">
        <v>1</v>
      </c>
      <c r="H18" t="s">
        <v>2688</v>
      </c>
      <c r="I18">
        <v>10</v>
      </c>
    </row>
    <row r="19" spans="2:9" x14ac:dyDescent="0.3">
      <c r="B19" t="s">
        <v>139</v>
      </c>
      <c r="C19" t="s">
        <v>1352</v>
      </c>
      <c r="D19" t="s">
        <v>2658</v>
      </c>
      <c r="E19" s="24">
        <v>36495</v>
      </c>
      <c r="F19">
        <v>10</v>
      </c>
      <c r="G19">
        <v>1</v>
      </c>
      <c r="H19" t="s">
        <v>2689</v>
      </c>
      <c r="I19">
        <v>10</v>
      </c>
    </row>
    <row r="20" spans="2:9" x14ac:dyDescent="0.3">
      <c r="B20" t="s">
        <v>140</v>
      </c>
      <c r="C20" t="s">
        <v>1353</v>
      </c>
      <c r="D20" t="s">
        <v>2658</v>
      </c>
      <c r="E20" s="24">
        <v>38986</v>
      </c>
      <c r="F20">
        <v>2</v>
      </c>
      <c r="G20">
        <v>1</v>
      </c>
      <c r="H20" t="s">
        <v>2690</v>
      </c>
      <c r="I20">
        <v>2</v>
      </c>
    </row>
    <row r="21" spans="2:9" x14ac:dyDescent="0.3">
      <c r="B21" t="s">
        <v>141</v>
      </c>
      <c r="C21" t="s">
        <v>1354</v>
      </c>
      <c r="D21" t="s">
        <v>2658</v>
      </c>
      <c r="E21" s="24">
        <v>35585</v>
      </c>
      <c r="F21">
        <v>1</v>
      </c>
      <c r="G21">
        <v>1</v>
      </c>
      <c r="H21" t="s">
        <v>2691</v>
      </c>
      <c r="I21">
        <v>1</v>
      </c>
    </row>
    <row r="22" spans="2:9" x14ac:dyDescent="0.3">
      <c r="B22" t="s">
        <v>142</v>
      </c>
      <c r="C22" t="s">
        <v>1355</v>
      </c>
      <c r="D22" t="s">
        <v>2658</v>
      </c>
      <c r="E22" s="24">
        <v>39413</v>
      </c>
      <c r="F22">
        <v>2</v>
      </c>
      <c r="G22">
        <v>1</v>
      </c>
      <c r="H22" t="s">
        <v>2692</v>
      </c>
      <c r="I22">
        <v>2</v>
      </c>
    </row>
    <row r="23" spans="2:9" x14ac:dyDescent="0.3">
      <c r="B23" t="s">
        <v>143</v>
      </c>
      <c r="C23" t="s">
        <v>1356</v>
      </c>
      <c r="D23" t="s">
        <v>2658</v>
      </c>
      <c r="E23" s="24">
        <v>40045</v>
      </c>
      <c r="F23">
        <v>10</v>
      </c>
      <c r="G23">
        <v>1</v>
      </c>
      <c r="H23" t="s">
        <v>2693</v>
      </c>
      <c r="I23">
        <v>10</v>
      </c>
    </row>
    <row r="24" spans="2:9" x14ac:dyDescent="0.3">
      <c r="B24" t="s">
        <v>2694</v>
      </c>
      <c r="C24" t="s">
        <v>2695</v>
      </c>
      <c r="D24" t="s">
        <v>2658</v>
      </c>
      <c r="E24" s="24">
        <v>42216</v>
      </c>
      <c r="F24">
        <v>10</v>
      </c>
      <c r="G24">
        <v>1</v>
      </c>
      <c r="H24" t="s">
        <v>2696</v>
      </c>
      <c r="I24">
        <v>10</v>
      </c>
    </row>
    <row r="25" spans="2:9" x14ac:dyDescent="0.3">
      <c r="B25" t="s">
        <v>144</v>
      </c>
      <c r="C25" t="s">
        <v>1357</v>
      </c>
      <c r="D25" t="s">
        <v>2658</v>
      </c>
      <c r="E25" s="24">
        <v>40436</v>
      </c>
      <c r="F25">
        <v>10</v>
      </c>
      <c r="G25">
        <v>1</v>
      </c>
      <c r="H25" t="s">
        <v>2697</v>
      </c>
      <c r="I25">
        <v>10</v>
      </c>
    </row>
    <row r="26" spans="2:9" x14ac:dyDescent="0.3">
      <c r="B26" t="s">
        <v>145</v>
      </c>
      <c r="C26" t="s">
        <v>1358</v>
      </c>
      <c r="D26" t="s">
        <v>2658</v>
      </c>
      <c r="E26" s="24">
        <v>38812</v>
      </c>
      <c r="F26">
        <v>10</v>
      </c>
      <c r="G26">
        <v>1</v>
      </c>
      <c r="H26" t="s">
        <v>2698</v>
      </c>
      <c r="I26">
        <v>10</v>
      </c>
    </row>
    <row r="27" spans="2:9" x14ac:dyDescent="0.3">
      <c r="B27" t="s">
        <v>2699</v>
      </c>
      <c r="C27" t="s">
        <v>2700</v>
      </c>
      <c r="D27" t="s">
        <v>2658</v>
      </c>
      <c r="E27" s="24">
        <v>42552</v>
      </c>
      <c r="F27">
        <v>10</v>
      </c>
      <c r="G27">
        <v>1</v>
      </c>
      <c r="H27" t="s">
        <v>2701</v>
      </c>
      <c r="I27">
        <v>10</v>
      </c>
    </row>
    <row r="28" spans="2:9" x14ac:dyDescent="0.3">
      <c r="B28" t="s">
        <v>2702</v>
      </c>
      <c r="C28" t="s">
        <v>2703</v>
      </c>
      <c r="D28" t="s">
        <v>2658</v>
      </c>
      <c r="E28" s="24">
        <v>42100</v>
      </c>
      <c r="F28">
        <v>10</v>
      </c>
      <c r="G28">
        <v>1</v>
      </c>
      <c r="H28" t="s">
        <v>2704</v>
      </c>
      <c r="I28">
        <v>10</v>
      </c>
    </row>
    <row r="29" spans="2:9" x14ac:dyDescent="0.3">
      <c r="B29" t="s">
        <v>146</v>
      </c>
      <c r="C29" t="s">
        <v>1359</v>
      </c>
      <c r="D29" t="s">
        <v>2658</v>
      </c>
      <c r="E29" s="24">
        <v>34829</v>
      </c>
      <c r="F29">
        <v>10</v>
      </c>
      <c r="G29">
        <v>1</v>
      </c>
      <c r="H29" t="s">
        <v>2705</v>
      </c>
      <c r="I29">
        <v>10</v>
      </c>
    </row>
    <row r="30" spans="2:9" x14ac:dyDescent="0.3">
      <c r="B30" t="s">
        <v>147</v>
      </c>
      <c r="C30" t="s">
        <v>1360</v>
      </c>
      <c r="D30" t="s">
        <v>2686</v>
      </c>
      <c r="E30" s="24">
        <v>39288</v>
      </c>
      <c r="F30">
        <v>5</v>
      </c>
      <c r="G30">
        <v>1</v>
      </c>
      <c r="H30" t="s">
        <v>2706</v>
      </c>
      <c r="I30">
        <v>5</v>
      </c>
    </row>
    <row r="31" spans="2:9" x14ac:dyDescent="0.3">
      <c r="B31" t="s">
        <v>148</v>
      </c>
      <c r="C31" t="s">
        <v>1361</v>
      </c>
      <c r="D31" t="s">
        <v>2658</v>
      </c>
      <c r="E31" s="24">
        <v>39258</v>
      </c>
      <c r="F31">
        <v>2</v>
      </c>
      <c r="G31">
        <v>1</v>
      </c>
      <c r="H31" t="s">
        <v>2707</v>
      </c>
      <c r="I31">
        <v>2</v>
      </c>
    </row>
    <row r="32" spans="2:9" x14ac:dyDescent="0.3">
      <c r="B32" t="s">
        <v>2708</v>
      </c>
      <c r="C32" t="s">
        <v>2709</v>
      </c>
      <c r="D32" t="s">
        <v>2658</v>
      </c>
      <c r="E32" s="24">
        <v>42583</v>
      </c>
      <c r="F32">
        <v>2</v>
      </c>
      <c r="G32">
        <v>1</v>
      </c>
      <c r="H32" t="s">
        <v>2710</v>
      </c>
      <c r="I32">
        <v>2</v>
      </c>
    </row>
    <row r="33" spans="2:9" x14ac:dyDescent="0.3">
      <c r="B33" t="s">
        <v>149</v>
      </c>
      <c r="C33" t="s">
        <v>1362</v>
      </c>
      <c r="D33" t="s">
        <v>2658</v>
      </c>
      <c r="E33" s="24">
        <v>35158</v>
      </c>
      <c r="F33">
        <v>1</v>
      </c>
      <c r="G33">
        <v>1</v>
      </c>
      <c r="H33" t="s">
        <v>2711</v>
      </c>
      <c r="I33">
        <v>1</v>
      </c>
    </row>
    <row r="34" spans="2:9" x14ac:dyDescent="0.3">
      <c r="B34" t="s">
        <v>150</v>
      </c>
      <c r="C34" t="s">
        <v>1363</v>
      </c>
      <c r="D34" t="s">
        <v>2686</v>
      </c>
      <c r="E34" s="24">
        <v>39020</v>
      </c>
      <c r="F34">
        <v>10</v>
      </c>
      <c r="G34">
        <v>1</v>
      </c>
      <c r="H34" t="s">
        <v>2712</v>
      </c>
      <c r="I34">
        <v>10</v>
      </c>
    </row>
    <row r="35" spans="2:9" x14ac:dyDescent="0.3">
      <c r="B35" t="s">
        <v>151</v>
      </c>
      <c r="C35" t="s">
        <v>1364</v>
      </c>
      <c r="D35" t="s">
        <v>2686</v>
      </c>
      <c r="E35" s="24">
        <v>41785</v>
      </c>
      <c r="F35">
        <v>10</v>
      </c>
      <c r="G35">
        <v>1</v>
      </c>
      <c r="H35" t="s">
        <v>2713</v>
      </c>
      <c r="I35">
        <v>10</v>
      </c>
    </row>
    <row r="36" spans="2:9" x14ac:dyDescent="0.3">
      <c r="B36" t="s">
        <v>152</v>
      </c>
      <c r="C36" t="s">
        <v>1365</v>
      </c>
      <c r="D36" t="s">
        <v>2658</v>
      </c>
      <c r="E36" s="24">
        <v>37824</v>
      </c>
      <c r="F36">
        <v>10</v>
      </c>
      <c r="G36">
        <v>1</v>
      </c>
      <c r="H36" t="s">
        <v>2714</v>
      </c>
      <c r="I36">
        <v>10</v>
      </c>
    </row>
    <row r="37" spans="2:9" x14ac:dyDescent="0.3">
      <c r="B37" t="s">
        <v>153</v>
      </c>
      <c r="C37" t="s">
        <v>1366</v>
      </c>
      <c r="D37" t="s">
        <v>2658</v>
      </c>
      <c r="E37" s="24">
        <v>41667</v>
      </c>
      <c r="F37">
        <v>10</v>
      </c>
      <c r="G37">
        <v>1</v>
      </c>
      <c r="H37" t="s">
        <v>2715</v>
      </c>
      <c r="I37">
        <v>10</v>
      </c>
    </row>
    <row r="38" spans="2:9" x14ac:dyDescent="0.3">
      <c r="B38" t="s">
        <v>154</v>
      </c>
      <c r="C38" t="s">
        <v>1367</v>
      </c>
      <c r="D38" t="s">
        <v>2658</v>
      </c>
      <c r="E38" s="24">
        <v>40401</v>
      </c>
      <c r="F38">
        <v>10</v>
      </c>
      <c r="G38">
        <v>1</v>
      </c>
      <c r="H38" t="s">
        <v>2716</v>
      </c>
      <c r="I38">
        <v>10</v>
      </c>
    </row>
    <row r="39" spans="2:9" x14ac:dyDescent="0.3">
      <c r="B39" t="s">
        <v>155</v>
      </c>
      <c r="C39" t="s">
        <v>1368</v>
      </c>
      <c r="D39" t="s">
        <v>2658</v>
      </c>
      <c r="E39" s="24">
        <v>40161</v>
      </c>
      <c r="F39">
        <v>2</v>
      </c>
      <c r="G39">
        <v>1</v>
      </c>
      <c r="H39" t="s">
        <v>2717</v>
      </c>
      <c r="I39">
        <v>2</v>
      </c>
    </row>
    <row r="40" spans="2:9" x14ac:dyDescent="0.3">
      <c r="B40" t="s">
        <v>156</v>
      </c>
      <c r="C40" t="s">
        <v>1369</v>
      </c>
      <c r="D40" t="s">
        <v>2658</v>
      </c>
      <c r="E40" s="24">
        <v>40395</v>
      </c>
      <c r="F40">
        <v>10</v>
      </c>
      <c r="G40">
        <v>1</v>
      </c>
      <c r="H40" t="s">
        <v>2718</v>
      </c>
      <c r="I40">
        <v>10</v>
      </c>
    </row>
    <row r="41" spans="2:9" x14ac:dyDescent="0.3">
      <c r="B41" t="s">
        <v>157</v>
      </c>
      <c r="C41" t="s">
        <v>1370</v>
      </c>
      <c r="D41" t="s">
        <v>2658</v>
      </c>
      <c r="E41" s="24">
        <v>38700</v>
      </c>
      <c r="F41">
        <v>2</v>
      </c>
      <c r="G41">
        <v>1</v>
      </c>
      <c r="H41" t="s">
        <v>2719</v>
      </c>
      <c r="I41">
        <v>2</v>
      </c>
    </row>
    <row r="42" spans="2:9" x14ac:dyDescent="0.3">
      <c r="B42" t="s">
        <v>1290</v>
      </c>
      <c r="C42" t="s">
        <v>1371</v>
      </c>
      <c r="D42" t="s">
        <v>2686</v>
      </c>
      <c r="E42" s="24">
        <v>39127</v>
      </c>
      <c r="F42">
        <v>5</v>
      </c>
      <c r="G42">
        <v>1</v>
      </c>
      <c r="H42" t="s">
        <v>2720</v>
      </c>
      <c r="I42">
        <v>5</v>
      </c>
    </row>
    <row r="43" spans="2:9" x14ac:dyDescent="0.3">
      <c r="B43" t="s">
        <v>2721</v>
      </c>
      <c r="C43" t="s">
        <v>2722</v>
      </c>
      <c r="D43" t="s">
        <v>2658</v>
      </c>
      <c r="E43" s="24">
        <v>42340</v>
      </c>
      <c r="F43">
        <v>10</v>
      </c>
      <c r="G43">
        <v>1</v>
      </c>
      <c r="H43" t="s">
        <v>2723</v>
      </c>
      <c r="I43">
        <v>10</v>
      </c>
    </row>
    <row r="44" spans="2:9" x14ac:dyDescent="0.3">
      <c r="B44" t="s">
        <v>158</v>
      </c>
      <c r="C44" t="s">
        <v>1372</v>
      </c>
      <c r="D44" t="s">
        <v>2658</v>
      </c>
      <c r="E44" s="24">
        <v>36675</v>
      </c>
      <c r="F44">
        <v>2</v>
      </c>
      <c r="G44">
        <v>1</v>
      </c>
      <c r="H44" t="s">
        <v>2724</v>
      </c>
      <c r="I44">
        <v>2</v>
      </c>
    </row>
    <row r="45" spans="2:9" x14ac:dyDescent="0.3">
      <c r="B45" t="s">
        <v>159</v>
      </c>
      <c r="C45" t="s">
        <v>1373</v>
      </c>
      <c r="D45" t="s">
        <v>2658</v>
      </c>
      <c r="E45" s="24">
        <v>39980</v>
      </c>
      <c r="F45">
        <v>10</v>
      </c>
      <c r="G45">
        <v>1</v>
      </c>
      <c r="H45" t="s">
        <v>2725</v>
      </c>
      <c r="I45">
        <v>10</v>
      </c>
    </row>
    <row r="46" spans="2:9" x14ac:dyDescent="0.3">
      <c r="B46" t="s">
        <v>2726</v>
      </c>
      <c r="C46" t="s">
        <v>2727</v>
      </c>
      <c r="D46" t="s">
        <v>2658</v>
      </c>
      <c r="E46" s="24">
        <v>42822</v>
      </c>
      <c r="F46">
        <v>10</v>
      </c>
      <c r="G46">
        <v>1</v>
      </c>
      <c r="H46" t="s">
        <v>2728</v>
      </c>
      <c r="I46">
        <v>10</v>
      </c>
    </row>
    <row r="47" spans="2:9" x14ac:dyDescent="0.3">
      <c r="B47" t="s">
        <v>160</v>
      </c>
      <c r="C47" t="s">
        <v>1374</v>
      </c>
      <c r="D47" t="s">
        <v>2658</v>
      </c>
      <c r="E47" s="24">
        <v>36756</v>
      </c>
      <c r="F47">
        <v>5</v>
      </c>
      <c r="G47">
        <v>1</v>
      </c>
      <c r="H47" t="s">
        <v>2729</v>
      </c>
      <c r="I47">
        <v>5</v>
      </c>
    </row>
    <row r="48" spans="2:9" x14ac:dyDescent="0.3">
      <c r="B48" t="s">
        <v>161</v>
      </c>
      <c r="C48" t="s">
        <v>1375</v>
      </c>
      <c r="D48" t="s">
        <v>2658</v>
      </c>
      <c r="E48" s="24">
        <v>37070</v>
      </c>
      <c r="F48">
        <v>10</v>
      </c>
      <c r="G48">
        <v>1</v>
      </c>
      <c r="H48" t="s">
        <v>2730</v>
      </c>
      <c r="I48">
        <v>10</v>
      </c>
    </row>
    <row r="49" spans="2:9" x14ac:dyDescent="0.3">
      <c r="B49" t="s">
        <v>2731</v>
      </c>
      <c r="C49" t="s">
        <v>2732</v>
      </c>
      <c r="D49" t="s">
        <v>2658</v>
      </c>
      <c r="E49" s="24">
        <v>42185</v>
      </c>
      <c r="F49">
        <v>1</v>
      </c>
      <c r="G49">
        <v>1</v>
      </c>
      <c r="H49" t="s">
        <v>2733</v>
      </c>
      <c r="I49">
        <v>1</v>
      </c>
    </row>
    <row r="50" spans="2:9" x14ac:dyDescent="0.3">
      <c r="B50" t="s">
        <v>2734</v>
      </c>
      <c r="C50" t="s">
        <v>2735</v>
      </c>
      <c r="D50" t="s">
        <v>2658</v>
      </c>
      <c r="E50" s="24">
        <v>42535</v>
      </c>
      <c r="F50">
        <v>10</v>
      </c>
      <c r="G50">
        <v>1</v>
      </c>
      <c r="H50" t="s">
        <v>2736</v>
      </c>
      <c r="I50">
        <v>10</v>
      </c>
    </row>
    <row r="51" spans="2:9" x14ac:dyDescent="0.3">
      <c r="B51" t="s">
        <v>14</v>
      </c>
      <c r="C51" t="s">
        <v>1376</v>
      </c>
      <c r="D51" t="s">
        <v>2658</v>
      </c>
      <c r="E51" s="24">
        <v>37589</v>
      </c>
      <c r="F51">
        <v>10</v>
      </c>
      <c r="G51">
        <v>1</v>
      </c>
      <c r="H51" t="s">
        <v>2737</v>
      </c>
      <c r="I51">
        <v>10</v>
      </c>
    </row>
    <row r="52" spans="2:9" x14ac:dyDescent="0.3">
      <c r="B52" t="s">
        <v>162</v>
      </c>
      <c r="C52" t="s">
        <v>1377</v>
      </c>
      <c r="D52" t="s">
        <v>2658</v>
      </c>
      <c r="E52" s="24">
        <v>39294</v>
      </c>
      <c r="F52">
        <v>10</v>
      </c>
      <c r="G52">
        <v>1</v>
      </c>
      <c r="H52" t="s">
        <v>2738</v>
      </c>
      <c r="I52">
        <v>10</v>
      </c>
    </row>
    <row r="53" spans="2:9" x14ac:dyDescent="0.3">
      <c r="B53" t="s">
        <v>163</v>
      </c>
      <c r="C53" t="s">
        <v>1378</v>
      </c>
      <c r="D53" t="s">
        <v>2658</v>
      </c>
      <c r="E53" s="24">
        <v>36425</v>
      </c>
      <c r="F53">
        <v>2</v>
      </c>
      <c r="G53">
        <v>1</v>
      </c>
      <c r="H53" t="s">
        <v>2739</v>
      </c>
      <c r="I53">
        <v>2</v>
      </c>
    </row>
    <row r="54" spans="2:9" x14ac:dyDescent="0.3">
      <c r="B54" t="s">
        <v>164</v>
      </c>
      <c r="C54" t="s">
        <v>1379</v>
      </c>
      <c r="D54" t="s">
        <v>2658</v>
      </c>
      <c r="E54" s="24">
        <v>38989</v>
      </c>
      <c r="F54">
        <v>5</v>
      </c>
      <c r="G54">
        <v>1</v>
      </c>
      <c r="H54" t="s">
        <v>2740</v>
      </c>
      <c r="I54">
        <v>5</v>
      </c>
    </row>
    <row r="55" spans="2:9" x14ac:dyDescent="0.3">
      <c r="B55" t="s">
        <v>165</v>
      </c>
      <c r="C55" t="s">
        <v>1380</v>
      </c>
      <c r="D55" t="s">
        <v>2658</v>
      </c>
      <c r="E55" s="24">
        <v>39758</v>
      </c>
      <c r="F55">
        <v>10</v>
      </c>
      <c r="G55">
        <v>1</v>
      </c>
      <c r="H55" t="s">
        <v>2741</v>
      </c>
      <c r="I55">
        <v>10</v>
      </c>
    </row>
    <row r="56" spans="2:9" x14ac:dyDescent="0.3">
      <c r="B56" t="s">
        <v>2742</v>
      </c>
      <c r="C56" t="s">
        <v>2743</v>
      </c>
      <c r="D56" t="s">
        <v>2658</v>
      </c>
      <c r="E56" s="24">
        <v>42361</v>
      </c>
      <c r="F56">
        <v>2</v>
      </c>
      <c r="G56">
        <v>1</v>
      </c>
      <c r="H56" t="s">
        <v>2744</v>
      </c>
      <c r="I56">
        <v>2</v>
      </c>
    </row>
    <row r="57" spans="2:9" x14ac:dyDescent="0.3">
      <c r="B57" t="s">
        <v>166</v>
      </c>
      <c r="C57" t="s">
        <v>1381</v>
      </c>
      <c r="D57" t="s">
        <v>2658</v>
      </c>
      <c r="E57" s="24">
        <v>39412</v>
      </c>
      <c r="F57">
        <v>5</v>
      </c>
      <c r="G57">
        <v>1</v>
      </c>
      <c r="H57" t="s">
        <v>2745</v>
      </c>
      <c r="I57">
        <v>5</v>
      </c>
    </row>
    <row r="58" spans="2:9" x14ac:dyDescent="0.3">
      <c r="B58" t="s">
        <v>167</v>
      </c>
      <c r="C58" t="s">
        <v>1382</v>
      </c>
      <c r="D58" t="s">
        <v>2658</v>
      </c>
      <c r="E58" s="24">
        <v>38891</v>
      </c>
      <c r="F58">
        <v>2</v>
      </c>
      <c r="G58">
        <v>1</v>
      </c>
      <c r="H58" t="s">
        <v>2746</v>
      </c>
      <c r="I58">
        <v>2</v>
      </c>
    </row>
    <row r="59" spans="2:9" x14ac:dyDescent="0.3">
      <c r="B59" t="s">
        <v>168</v>
      </c>
      <c r="C59" t="s">
        <v>1383</v>
      </c>
      <c r="D59" t="s">
        <v>2658</v>
      </c>
      <c r="E59" s="24">
        <v>38481</v>
      </c>
      <c r="F59">
        <v>10</v>
      </c>
      <c r="G59">
        <v>1</v>
      </c>
      <c r="H59" t="s">
        <v>2747</v>
      </c>
      <c r="I59">
        <v>10</v>
      </c>
    </row>
    <row r="60" spans="2:9" x14ac:dyDescent="0.3">
      <c r="B60" t="s">
        <v>169</v>
      </c>
      <c r="C60" t="s">
        <v>1384</v>
      </c>
      <c r="D60" t="s">
        <v>2658</v>
      </c>
      <c r="E60" s="24">
        <v>39615</v>
      </c>
      <c r="F60">
        <v>6</v>
      </c>
      <c r="G60">
        <v>1</v>
      </c>
      <c r="H60" t="s">
        <v>2748</v>
      </c>
      <c r="I60">
        <v>6</v>
      </c>
    </row>
    <row r="61" spans="2:9" x14ac:dyDescent="0.3">
      <c r="B61" t="s">
        <v>170</v>
      </c>
      <c r="C61" t="s">
        <v>1385</v>
      </c>
      <c r="D61" t="s">
        <v>2658</v>
      </c>
      <c r="E61" s="24">
        <v>35165</v>
      </c>
      <c r="F61">
        <v>10</v>
      </c>
      <c r="G61">
        <v>1</v>
      </c>
      <c r="H61" t="s">
        <v>2749</v>
      </c>
      <c r="I61">
        <v>10</v>
      </c>
    </row>
    <row r="62" spans="2:9" x14ac:dyDescent="0.3">
      <c r="B62" t="s">
        <v>171</v>
      </c>
      <c r="C62" t="s">
        <v>1386</v>
      </c>
      <c r="D62" t="s">
        <v>2686</v>
      </c>
      <c r="E62" s="24">
        <v>39300</v>
      </c>
      <c r="F62">
        <v>10</v>
      </c>
      <c r="G62">
        <v>1</v>
      </c>
      <c r="H62" t="s">
        <v>2750</v>
      </c>
      <c r="I62">
        <v>10</v>
      </c>
    </row>
    <row r="63" spans="2:9" x14ac:dyDescent="0.3">
      <c r="B63" t="s">
        <v>172</v>
      </c>
      <c r="C63" t="s">
        <v>1387</v>
      </c>
      <c r="D63" t="s">
        <v>2658</v>
      </c>
      <c r="E63" s="24">
        <v>39213</v>
      </c>
      <c r="F63">
        <v>10</v>
      </c>
      <c r="G63">
        <v>1</v>
      </c>
      <c r="H63" t="s">
        <v>2751</v>
      </c>
      <c r="I63">
        <v>10</v>
      </c>
    </row>
    <row r="64" spans="2:9" x14ac:dyDescent="0.3">
      <c r="B64" t="s">
        <v>1291</v>
      </c>
      <c r="C64" t="s">
        <v>1388</v>
      </c>
      <c r="D64" t="s">
        <v>2658</v>
      </c>
      <c r="E64" s="24">
        <v>35179</v>
      </c>
      <c r="F64">
        <v>10</v>
      </c>
      <c r="G64">
        <v>1</v>
      </c>
      <c r="H64" t="s">
        <v>2752</v>
      </c>
      <c r="I64">
        <v>10</v>
      </c>
    </row>
    <row r="65" spans="2:9" x14ac:dyDescent="0.3">
      <c r="B65" t="s">
        <v>29</v>
      </c>
      <c r="C65" t="s">
        <v>1389</v>
      </c>
      <c r="D65" t="s">
        <v>2658</v>
      </c>
      <c r="E65" s="24">
        <v>37869</v>
      </c>
      <c r="F65">
        <v>1</v>
      </c>
      <c r="G65">
        <v>1</v>
      </c>
      <c r="H65" t="s">
        <v>2753</v>
      </c>
      <c r="I65">
        <v>1</v>
      </c>
    </row>
    <row r="66" spans="2:9" x14ac:dyDescent="0.3">
      <c r="B66" t="s">
        <v>173</v>
      </c>
      <c r="C66" t="s">
        <v>1390</v>
      </c>
      <c r="D66" t="s">
        <v>2658</v>
      </c>
      <c r="E66" s="24">
        <v>39476</v>
      </c>
      <c r="F66">
        <v>10</v>
      </c>
      <c r="G66">
        <v>1</v>
      </c>
      <c r="H66" t="s">
        <v>2754</v>
      </c>
      <c r="I66">
        <v>10</v>
      </c>
    </row>
    <row r="67" spans="2:9" x14ac:dyDescent="0.3">
      <c r="B67" t="s">
        <v>174</v>
      </c>
      <c r="C67" t="s">
        <v>1391</v>
      </c>
      <c r="D67" t="s">
        <v>2658</v>
      </c>
      <c r="E67" s="24">
        <v>35844</v>
      </c>
      <c r="F67">
        <v>2</v>
      </c>
      <c r="G67">
        <v>1</v>
      </c>
      <c r="H67" t="s">
        <v>2755</v>
      </c>
      <c r="I67">
        <v>2</v>
      </c>
    </row>
    <row r="68" spans="2:9" x14ac:dyDescent="0.3">
      <c r="B68" t="s">
        <v>175</v>
      </c>
      <c r="C68" t="s">
        <v>1392</v>
      </c>
      <c r="D68" t="s">
        <v>2658</v>
      </c>
      <c r="E68" s="24">
        <v>39160</v>
      </c>
      <c r="F68">
        <v>10</v>
      </c>
      <c r="G68">
        <v>1</v>
      </c>
      <c r="H68" t="s">
        <v>2756</v>
      </c>
      <c r="I68">
        <v>10</v>
      </c>
    </row>
    <row r="69" spans="2:9" x14ac:dyDescent="0.3">
      <c r="B69" t="s">
        <v>2757</v>
      </c>
      <c r="C69" t="s">
        <v>2758</v>
      </c>
      <c r="D69" t="s">
        <v>2658</v>
      </c>
      <c r="E69" s="24">
        <v>42006</v>
      </c>
      <c r="F69">
        <v>2</v>
      </c>
      <c r="G69">
        <v>1</v>
      </c>
      <c r="H69" t="s">
        <v>2759</v>
      </c>
      <c r="I69">
        <v>2</v>
      </c>
    </row>
    <row r="70" spans="2:9" x14ac:dyDescent="0.3">
      <c r="B70" t="s">
        <v>176</v>
      </c>
      <c r="C70" t="s">
        <v>1393</v>
      </c>
      <c r="D70" t="s">
        <v>2658</v>
      </c>
      <c r="E70" s="24">
        <v>38413</v>
      </c>
      <c r="F70">
        <v>2</v>
      </c>
      <c r="G70">
        <v>1</v>
      </c>
      <c r="H70" t="s">
        <v>2760</v>
      </c>
      <c r="I70">
        <v>2</v>
      </c>
    </row>
    <row r="71" spans="2:9" x14ac:dyDescent="0.3">
      <c r="B71" t="s">
        <v>2761</v>
      </c>
      <c r="C71" t="s">
        <v>2762</v>
      </c>
      <c r="D71" t="s">
        <v>2658</v>
      </c>
      <c r="E71" s="24">
        <v>42338</v>
      </c>
      <c r="F71">
        <v>10</v>
      </c>
      <c r="G71">
        <v>1</v>
      </c>
      <c r="H71" t="s">
        <v>2763</v>
      </c>
      <c r="I71">
        <v>10</v>
      </c>
    </row>
    <row r="72" spans="2:9" x14ac:dyDescent="0.3">
      <c r="B72" t="s">
        <v>177</v>
      </c>
      <c r="C72" t="s">
        <v>1394</v>
      </c>
      <c r="D72" t="s">
        <v>2658</v>
      </c>
      <c r="E72" s="24">
        <v>38987</v>
      </c>
      <c r="F72">
        <v>2</v>
      </c>
      <c r="G72">
        <v>1</v>
      </c>
      <c r="H72" t="s">
        <v>2764</v>
      </c>
      <c r="I72">
        <v>2</v>
      </c>
    </row>
    <row r="73" spans="2:9" x14ac:dyDescent="0.3">
      <c r="B73" t="s">
        <v>178</v>
      </c>
      <c r="C73" t="s">
        <v>1395</v>
      </c>
      <c r="D73" t="s">
        <v>2658</v>
      </c>
      <c r="E73" s="24">
        <v>36985</v>
      </c>
      <c r="F73">
        <v>10</v>
      </c>
      <c r="G73">
        <v>1</v>
      </c>
      <c r="H73" t="s">
        <v>2765</v>
      </c>
      <c r="I73">
        <v>10</v>
      </c>
    </row>
    <row r="74" spans="2:9" x14ac:dyDescent="0.3">
      <c r="B74" t="s">
        <v>179</v>
      </c>
      <c r="C74" t="s">
        <v>1396</v>
      </c>
      <c r="D74" t="s">
        <v>2686</v>
      </c>
      <c r="E74" s="24">
        <v>40490</v>
      </c>
      <c r="F74">
        <v>10</v>
      </c>
      <c r="G74">
        <v>1</v>
      </c>
      <c r="H74" t="s">
        <v>2766</v>
      </c>
      <c r="I74">
        <v>10</v>
      </c>
    </row>
    <row r="75" spans="2:9" x14ac:dyDescent="0.3">
      <c r="B75" t="s">
        <v>180</v>
      </c>
      <c r="C75" t="s">
        <v>1397</v>
      </c>
      <c r="D75" t="s">
        <v>2658</v>
      </c>
      <c r="E75" s="24">
        <v>35004</v>
      </c>
      <c r="F75">
        <v>10</v>
      </c>
      <c r="G75">
        <v>1</v>
      </c>
      <c r="H75" t="s">
        <v>2767</v>
      </c>
      <c r="I75">
        <v>10</v>
      </c>
    </row>
    <row r="76" spans="2:9" x14ac:dyDescent="0.3">
      <c r="B76" t="s">
        <v>181</v>
      </c>
      <c r="C76" t="s">
        <v>1398</v>
      </c>
      <c r="D76" t="s">
        <v>2658</v>
      </c>
      <c r="E76" s="24">
        <v>39125</v>
      </c>
      <c r="F76">
        <v>10</v>
      </c>
      <c r="G76">
        <v>1</v>
      </c>
      <c r="H76" t="s">
        <v>2768</v>
      </c>
      <c r="I76">
        <v>10</v>
      </c>
    </row>
    <row r="77" spans="2:9" x14ac:dyDescent="0.3">
      <c r="B77" t="s">
        <v>182</v>
      </c>
      <c r="C77" t="s">
        <v>1399</v>
      </c>
      <c r="D77" t="s">
        <v>2686</v>
      </c>
      <c r="E77" s="24">
        <v>39589</v>
      </c>
      <c r="F77">
        <v>10</v>
      </c>
      <c r="G77">
        <v>1</v>
      </c>
      <c r="H77" t="s">
        <v>2769</v>
      </c>
      <c r="I77">
        <v>10</v>
      </c>
    </row>
    <row r="78" spans="2:9" x14ac:dyDescent="0.3">
      <c r="B78" t="s">
        <v>183</v>
      </c>
      <c r="C78" t="s">
        <v>1400</v>
      </c>
      <c r="D78" t="s">
        <v>2658</v>
      </c>
      <c r="E78" s="24">
        <v>41347</v>
      </c>
      <c r="F78">
        <v>10</v>
      </c>
      <c r="G78">
        <v>1</v>
      </c>
      <c r="H78" t="s">
        <v>2770</v>
      </c>
      <c r="I78">
        <v>10</v>
      </c>
    </row>
    <row r="79" spans="2:9" x14ac:dyDescent="0.3">
      <c r="B79" t="s">
        <v>184</v>
      </c>
      <c r="C79" t="s">
        <v>1401</v>
      </c>
      <c r="D79" t="s">
        <v>2658</v>
      </c>
      <c r="E79" s="24">
        <v>38744</v>
      </c>
      <c r="F79">
        <v>5</v>
      </c>
      <c r="G79">
        <v>1</v>
      </c>
      <c r="H79" t="s">
        <v>2771</v>
      </c>
      <c r="I79">
        <v>5</v>
      </c>
    </row>
    <row r="80" spans="2:9" x14ac:dyDescent="0.3">
      <c r="B80" t="s">
        <v>185</v>
      </c>
      <c r="C80" t="s">
        <v>1402</v>
      </c>
      <c r="D80" t="s">
        <v>2658</v>
      </c>
      <c r="E80" s="24">
        <v>38996</v>
      </c>
      <c r="F80">
        <v>10</v>
      </c>
      <c r="G80">
        <v>1</v>
      </c>
      <c r="H80" t="s">
        <v>2772</v>
      </c>
      <c r="I80">
        <v>10</v>
      </c>
    </row>
    <row r="81" spans="2:9" x14ac:dyDescent="0.3">
      <c r="B81" t="s">
        <v>186</v>
      </c>
      <c r="C81" t="s">
        <v>1403</v>
      </c>
      <c r="D81" t="s">
        <v>2686</v>
      </c>
      <c r="E81" s="24">
        <v>36691</v>
      </c>
      <c r="F81">
        <v>1</v>
      </c>
      <c r="G81">
        <v>1</v>
      </c>
      <c r="H81" t="s">
        <v>2773</v>
      </c>
      <c r="I81">
        <v>1</v>
      </c>
    </row>
    <row r="82" spans="2:9" x14ac:dyDescent="0.3">
      <c r="B82" t="s">
        <v>187</v>
      </c>
      <c r="C82" t="s">
        <v>1404</v>
      </c>
      <c r="D82" t="s">
        <v>2658</v>
      </c>
      <c r="E82" s="24">
        <v>38180</v>
      </c>
      <c r="F82">
        <v>10</v>
      </c>
      <c r="G82">
        <v>1</v>
      </c>
      <c r="H82" t="s">
        <v>2774</v>
      </c>
      <c r="I82">
        <v>10</v>
      </c>
    </row>
    <row r="83" spans="2:9" x14ac:dyDescent="0.3">
      <c r="B83" t="s">
        <v>2775</v>
      </c>
      <c r="C83" t="s">
        <v>2776</v>
      </c>
      <c r="D83" t="s">
        <v>2658</v>
      </c>
      <c r="E83" s="24">
        <v>42835</v>
      </c>
      <c r="F83">
        <v>10</v>
      </c>
      <c r="G83">
        <v>1</v>
      </c>
      <c r="H83" t="s">
        <v>2777</v>
      </c>
      <c r="I83">
        <v>10</v>
      </c>
    </row>
    <row r="84" spans="2:9" x14ac:dyDescent="0.3">
      <c r="B84" t="s">
        <v>188</v>
      </c>
      <c r="C84" t="s">
        <v>1405</v>
      </c>
      <c r="D84" t="s">
        <v>2658</v>
      </c>
      <c r="E84" s="24">
        <v>34948</v>
      </c>
      <c r="F84">
        <v>5</v>
      </c>
      <c r="G84">
        <v>1</v>
      </c>
      <c r="H84" t="s">
        <v>2778</v>
      </c>
      <c r="I84">
        <v>5</v>
      </c>
    </row>
    <row r="85" spans="2:9" x14ac:dyDescent="0.3">
      <c r="B85" t="s">
        <v>189</v>
      </c>
      <c r="C85" t="s">
        <v>1406</v>
      </c>
      <c r="D85" t="s">
        <v>2658</v>
      </c>
      <c r="E85" s="24">
        <v>40891</v>
      </c>
      <c r="F85">
        <v>10</v>
      </c>
      <c r="G85">
        <v>1</v>
      </c>
      <c r="H85" t="s">
        <v>2779</v>
      </c>
      <c r="I85">
        <v>10</v>
      </c>
    </row>
    <row r="86" spans="2:9" x14ac:dyDescent="0.3">
      <c r="B86" t="s">
        <v>190</v>
      </c>
      <c r="C86" t="s">
        <v>1407</v>
      </c>
      <c r="D86" t="s">
        <v>2658</v>
      </c>
      <c r="E86" s="24">
        <v>40806</v>
      </c>
      <c r="F86">
        <v>2</v>
      </c>
      <c r="G86">
        <v>1</v>
      </c>
      <c r="H86" t="s">
        <v>2780</v>
      </c>
      <c r="I86">
        <v>2</v>
      </c>
    </row>
    <row r="87" spans="2:9" x14ac:dyDescent="0.3">
      <c r="B87" t="s">
        <v>30</v>
      </c>
      <c r="C87" t="s">
        <v>1408</v>
      </c>
      <c r="D87" t="s">
        <v>2658</v>
      </c>
      <c r="E87" s="24">
        <v>35074</v>
      </c>
      <c r="F87">
        <v>5</v>
      </c>
      <c r="G87">
        <v>1</v>
      </c>
      <c r="H87" t="s">
        <v>2781</v>
      </c>
      <c r="I87">
        <v>5</v>
      </c>
    </row>
    <row r="88" spans="2:9" x14ac:dyDescent="0.3">
      <c r="B88" t="s">
        <v>31</v>
      </c>
      <c r="C88" t="s">
        <v>1409</v>
      </c>
      <c r="D88" t="s">
        <v>2658</v>
      </c>
      <c r="E88" s="24">
        <v>34850</v>
      </c>
      <c r="F88">
        <v>1</v>
      </c>
      <c r="G88">
        <v>1</v>
      </c>
      <c r="H88" t="s">
        <v>2782</v>
      </c>
      <c r="I88">
        <v>1</v>
      </c>
    </row>
    <row r="89" spans="2:9" x14ac:dyDescent="0.3">
      <c r="B89" t="s">
        <v>2783</v>
      </c>
      <c r="C89" t="s">
        <v>2784</v>
      </c>
      <c r="D89" t="s">
        <v>2686</v>
      </c>
      <c r="E89" s="24">
        <v>42032</v>
      </c>
      <c r="F89">
        <v>10</v>
      </c>
      <c r="G89">
        <v>1</v>
      </c>
      <c r="H89" t="s">
        <v>2785</v>
      </c>
      <c r="I89">
        <v>10</v>
      </c>
    </row>
    <row r="90" spans="2:9" x14ac:dyDescent="0.3">
      <c r="B90" t="s">
        <v>191</v>
      </c>
      <c r="C90" t="s">
        <v>1410</v>
      </c>
      <c r="D90" t="s">
        <v>2658</v>
      </c>
      <c r="E90" s="24">
        <v>37526</v>
      </c>
      <c r="F90">
        <v>10</v>
      </c>
      <c r="G90">
        <v>1</v>
      </c>
      <c r="H90" t="s">
        <v>2786</v>
      </c>
      <c r="I90">
        <v>10</v>
      </c>
    </row>
    <row r="91" spans="2:9" x14ac:dyDescent="0.3">
      <c r="B91" t="s">
        <v>192</v>
      </c>
      <c r="C91" t="s">
        <v>1411</v>
      </c>
      <c r="D91" t="s">
        <v>2658</v>
      </c>
      <c r="E91" s="24">
        <v>39633</v>
      </c>
      <c r="F91">
        <v>10</v>
      </c>
      <c r="G91">
        <v>1</v>
      </c>
      <c r="H91" t="s">
        <v>2787</v>
      </c>
      <c r="I91">
        <v>10</v>
      </c>
    </row>
    <row r="92" spans="2:9" x14ac:dyDescent="0.3">
      <c r="B92" t="s">
        <v>193</v>
      </c>
      <c r="C92" t="s">
        <v>1412</v>
      </c>
      <c r="D92" t="s">
        <v>2658</v>
      </c>
      <c r="E92" s="24">
        <v>36040</v>
      </c>
      <c r="F92">
        <v>2</v>
      </c>
      <c r="G92">
        <v>1</v>
      </c>
      <c r="H92" t="s">
        <v>2788</v>
      </c>
      <c r="I92">
        <v>2</v>
      </c>
    </row>
    <row r="93" spans="2:9" x14ac:dyDescent="0.3">
      <c r="B93" t="s">
        <v>194</v>
      </c>
      <c r="C93" t="s">
        <v>1413</v>
      </c>
      <c r="D93" t="s">
        <v>2658</v>
      </c>
      <c r="E93" s="24">
        <v>41745</v>
      </c>
      <c r="F93">
        <v>10</v>
      </c>
      <c r="G93">
        <v>1</v>
      </c>
      <c r="H93" t="s">
        <v>2789</v>
      </c>
      <c r="I93">
        <v>10</v>
      </c>
    </row>
    <row r="94" spans="2:9" x14ac:dyDescent="0.3">
      <c r="B94" t="s">
        <v>195</v>
      </c>
      <c r="C94" t="s">
        <v>1414</v>
      </c>
      <c r="D94" t="s">
        <v>2658</v>
      </c>
      <c r="E94" s="24">
        <v>39458</v>
      </c>
      <c r="F94">
        <v>10</v>
      </c>
      <c r="G94">
        <v>1</v>
      </c>
      <c r="H94" t="s">
        <v>2790</v>
      </c>
      <c r="I94">
        <v>10</v>
      </c>
    </row>
    <row r="95" spans="2:9" x14ac:dyDescent="0.3">
      <c r="B95" t="s">
        <v>196</v>
      </c>
      <c r="C95" t="s">
        <v>1415</v>
      </c>
      <c r="D95" t="s">
        <v>2686</v>
      </c>
      <c r="E95" s="24">
        <v>39077</v>
      </c>
      <c r="F95">
        <v>10</v>
      </c>
      <c r="G95">
        <v>1</v>
      </c>
      <c r="H95" t="s">
        <v>2791</v>
      </c>
      <c r="I95">
        <v>10</v>
      </c>
    </row>
    <row r="96" spans="2:9" x14ac:dyDescent="0.3">
      <c r="B96" t="s">
        <v>2792</v>
      </c>
      <c r="C96" t="s">
        <v>2793</v>
      </c>
      <c r="D96" t="s">
        <v>2658</v>
      </c>
      <c r="E96" s="24">
        <v>42822</v>
      </c>
      <c r="F96">
        <v>10</v>
      </c>
      <c r="G96">
        <v>1</v>
      </c>
      <c r="H96" t="s">
        <v>2794</v>
      </c>
      <c r="I96">
        <v>10</v>
      </c>
    </row>
    <row r="97" spans="2:9" x14ac:dyDescent="0.3">
      <c r="B97" t="s">
        <v>2795</v>
      </c>
      <c r="C97" t="s">
        <v>2796</v>
      </c>
      <c r="D97" t="s">
        <v>2658</v>
      </c>
      <c r="E97" s="24">
        <v>42535</v>
      </c>
      <c r="F97">
        <v>10</v>
      </c>
      <c r="G97">
        <v>1</v>
      </c>
      <c r="H97" t="s">
        <v>2797</v>
      </c>
      <c r="I97">
        <v>10</v>
      </c>
    </row>
    <row r="98" spans="2:9" x14ac:dyDescent="0.3">
      <c r="B98" t="s">
        <v>197</v>
      </c>
      <c r="C98" t="s">
        <v>1416</v>
      </c>
      <c r="D98" t="s">
        <v>2658</v>
      </c>
      <c r="E98" s="24">
        <v>39196</v>
      </c>
      <c r="F98">
        <v>10</v>
      </c>
      <c r="G98">
        <v>1</v>
      </c>
      <c r="H98" t="s">
        <v>2798</v>
      </c>
      <c r="I98">
        <v>10</v>
      </c>
    </row>
    <row r="99" spans="2:9" x14ac:dyDescent="0.3">
      <c r="B99" t="s">
        <v>2799</v>
      </c>
      <c r="C99" t="s">
        <v>2800</v>
      </c>
      <c r="D99" t="s">
        <v>2658</v>
      </c>
      <c r="E99" s="24">
        <v>42145</v>
      </c>
      <c r="F99">
        <v>10</v>
      </c>
      <c r="G99">
        <v>1</v>
      </c>
      <c r="H99" t="s">
        <v>2801</v>
      </c>
      <c r="I99">
        <v>10</v>
      </c>
    </row>
    <row r="100" spans="2:9" x14ac:dyDescent="0.3">
      <c r="B100" t="s">
        <v>198</v>
      </c>
      <c r="C100" t="s">
        <v>1417</v>
      </c>
      <c r="D100" t="s">
        <v>2658</v>
      </c>
      <c r="E100" s="24">
        <v>39944</v>
      </c>
      <c r="F100">
        <v>10</v>
      </c>
      <c r="G100">
        <v>1</v>
      </c>
      <c r="H100" t="s">
        <v>2802</v>
      </c>
      <c r="I100">
        <v>10</v>
      </c>
    </row>
    <row r="101" spans="2:9" x14ac:dyDescent="0.3">
      <c r="B101" t="s">
        <v>199</v>
      </c>
      <c r="C101" t="s">
        <v>1418</v>
      </c>
      <c r="D101" t="s">
        <v>2686</v>
      </c>
      <c r="E101" s="24">
        <v>40161</v>
      </c>
      <c r="F101">
        <v>2</v>
      </c>
      <c r="G101">
        <v>1</v>
      </c>
      <c r="H101" t="s">
        <v>2803</v>
      </c>
      <c r="I101">
        <v>2</v>
      </c>
    </row>
    <row r="102" spans="2:9" x14ac:dyDescent="0.3">
      <c r="B102" t="s">
        <v>200</v>
      </c>
      <c r="C102" t="s">
        <v>1419</v>
      </c>
      <c r="D102" t="s">
        <v>2658</v>
      </c>
      <c r="E102" s="24">
        <v>40240</v>
      </c>
      <c r="F102">
        <v>10</v>
      </c>
      <c r="G102">
        <v>1</v>
      </c>
      <c r="H102" t="s">
        <v>2804</v>
      </c>
      <c r="I102">
        <v>10</v>
      </c>
    </row>
    <row r="103" spans="2:9" x14ac:dyDescent="0.3">
      <c r="B103" t="s">
        <v>32</v>
      </c>
      <c r="C103" t="s">
        <v>1420</v>
      </c>
      <c r="D103" t="s">
        <v>2658</v>
      </c>
      <c r="E103" s="24">
        <v>34738</v>
      </c>
      <c r="F103">
        <v>10</v>
      </c>
      <c r="G103">
        <v>1</v>
      </c>
      <c r="H103" t="s">
        <v>2805</v>
      </c>
      <c r="I103">
        <v>10</v>
      </c>
    </row>
    <row r="104" spans="2:9" x14ac:dyDescent="0.3">
      <c r="B104" t="s">
        <v>2806</v>
      </c>
      <c r="C104" t="s">
        <v>2807</v>
      </c>
      <c r="D104" t="s">
        <v>2658</v>
      </c>
      <c r="E104" s="24">
        <v>42242</v>
      </c>
      <c r="F104">
        <v>10</v>
      </c>
      <c r="G104">
        <v>1</v>
      </c>
      <c r="H104" t="s">
        <v>2808</v>
      </c>
      <c r="I104">
        <v>10</v>
      </c>
    </row>
    <row r="105" spans="2:9" x14ac:dyDescent="0.3">
      <c r="B105" t="s">
        <v>201</v>
      </c>
      <c r="C105" t="s">
        <v>1421</v>
      </c>
      <c r="D105" t="s">
        <v>2658</v>
      </c>
      <c r="E105" s="24">
        <v>35872</v>
      </c>
      <c r="F105">
        <v>1</v>
      </c>
      <c r="G105">
        <v>1</v>
      </c>
      <c r="H105" t="s">
        <v>2809</v>
      </c>
      <c r="I105">
        <v>1</v>
      </c>
    </row>
    <row r="106" spans="2:9" x14ac:dyDescent="0.3">
      <c r="B106" t="s">
        <v>202</v>
      </c>
      <c r="C106" t="s">
        <v>1422</v>
      </c>
      <c r="D106" t="s">
        <v>2658</v>
      </c>
      <c r="E106" s="24">
        <v>40784</v>
      </c>
      <c r="F106">
        <v>10</v>
      </c>
      <c r="G106">
        <v>1</v>
      </c>
      <c r="H106" t="s">
        <v>2810</v>
      </c>
      <c r="I106">
        <v>10</v>
      </c>
    </row>
    <row r="107" spans="2:9" x14ac:dyDescent="0.3">
      <c r="B107" t="s">
        <v>203</v>
      </c>
      <c r="C107" t="s">
        <v>1423</v>
      </c>
      <c r="D107" t="s">
        <v>2658</v>
      </c>
      <c r="E107" s="24">
        <v>37327</v>
      </c>
      <c r="F107">
        <v>10</v>
      </c>
      <c r="G107">
        <v>1</v>
      </c>
      <c r="H107" t="s">
        <v>2811</v>
      </c>
      <c r="I107">
        <v>10</v>
      </c>
    </row>
    <row r="108" spans="2:9" x14ac:dyDescent="0.3">
      <c r="B108" t="s">
        <v>204</v>
      </c>
      <c r="C108" t="s">
        <v>1424</v>
      </c>
      <c r="D108" t="s">
        <v>2658</v>
      </c>
      <c r="E108" s="24">
        <v>34962</v>
      </c>
      <c r="F108">
        <v>2</v>
      </c>
      <c r="G108">
        <v>1</v>
      </c>
      <c r="H108" t="s">
        <v>2812</v>
      </c>
      <c r="I108">
        <v>2</v>
      </c>
    </row>
    <row r="109" spans="2:9" x14ac:dyDescent="0.3">
      <c r="B109" t="s">
        <v>205</v>
      </c>
      <c r="C109" t="s">
        <v>1425</v>
      </c>
      <c r="D109" t="s">
        <v>2658</v>
      </c>
      <c r="E109" s="24">
        <v>40723</v>
      </c>
      <c r="F109">
        <v>2</v>
      </c>
      <c r="G109">
        <v>1</v>
      </c>
      <c r="H109" t="s">
        <v>2813</v>
      </c>
      <c r="I109">
        <v>2</v>
      </c>
    </row>
    <row r="110" spans="2:9" x14ac:dyDescent="0.3">
      <c r="B110" t="s">
        <v>206</v>
      </c>
      <c r="C110" t="s">
        <v>1426</v>
      </c>
      <c r="D110" t="s">
        <v>2658</v>
      </c>
      <c r="E110" s="24">
        <v>34907</v>
      </c>
      <c r="F110">
        <v>10</v>
      </c>
      <c r="G110">
        <v>1</v>
      </c>
      <c r="H110" t="s">
        <v>2814</v>
      </c>
      <c r="I110">
        <v>10</v>
      </c>
    </row>
    <row r="111" spans="2:9" x14ac:dyDescent="0.3">
      <c r="B111" t="s">
        <v>207</v>
      </c>
      <c r="C111" t="s">
        <v>1427</v>
      </c>
      <c r="D111" t="s">
        <v>2658</v>
      </c>
      <c r="E111" s="24">
        <v>40465</v>
      </c>
      <c r="F111">
        <v>5</v>
      </c>
      <c r="G111">
        <v>1</v>
      </c>
      <c r="H111" t="s">
        <v>2815</v>
      </c>
      <c r="I111">
        <v>5</v>
      </c>
    </row>
    <row r="112" spans="2:9" x14ac:dyDescent="0.3">
      <c r="B112" t="s">
        <v>33</v>
      </c>
      <c r="C112" t="s">
        <v>1428</v>
      </c>
      <c r="D112" t="s">
        <v>2658</v>
      </c>
      <c r="E112" s="24">
        <v>34844</v>
      </c>
      <c r="F112">
        <v>1</v>
      </c>
      <c r="G112">
        <v>1</v>
      </c>
      <c r="H112" t="s">
        <v>2816</v>
      </c>
      <c r="I112">
        <v>1</v>
      </c>
    </row>
    <row r="113" spans="2:9" x14ac:dyDescent="0.3">
      <c r="B113" t="s">
        <v>208</v>
      </c>
      <c r="C113" t="s">
        <v>1429</v>
      </c>
      <c r="D113" t="s">
        <v>2658</v>
      </c>
      <c r="E113" s="24">
        <v>40275</v>
      </c>
      <c r="F113">
        <v>10</v>
      </c>
      <c r="G113">
        <v>1</v>
      </c>
      <c r="H113" t="s">
        <v>2817</v>
      </c>
      <c r="I113">
        <v>10</v>
      </c>
    </row>
    <row r="114" spans="2:9" x14ac:dyDescent="0.3">
      <c r="B114" t="s">
        <v>209</v>
      </c>
      <c r="C114" t="s">
        <v>1430</v>
      </c>
      <c r="D114" t="s">
        <v>2658</v>
      </c>
      <c r="E114" s="24">
        <v>34850</v>
      </c>
      <c r="F114">
        <v>1</v>
      </c>
      <c r="G114">
        <v>1</v>
      </c>
      <c r="H114" t="s">
        <v>2818</v>
      </c>
      <c r="I114">
        <v>1</v>
      </c>
    </row>
    <row r="115" spans="2:9" x14ac:dyDescent="0.3">
      <c r="B115" t="s">
        <v>210</v>
      </c>
      <c r="C115" t="s">
        <v>1431</v>
      </c>
      <c r="D115" t="s">
        <v>2658</v>
      </c>
      <c r="E115" s="24">
        <v>39317</v>
      </c>
      <c r="F115">
        <v>10</v>
      </c>
      <c r="G115">
        <v>1</v>
      </c>
      <c r="H115" t="s">
        <v>2819</v>
      </c>
      <c r="I115">
        <v>10</v>
      </c>
    </row>
    <row r="116" spans="2:9" x14ac:dyDescent="0.3">
      <c r="B116" t="s">
        <v>1292</v>
      </c>
      <c r="C116" t="s">
        <v>1432</v>
      </c>
      <c r="D116" t="s">
        <v>2686</v>
      </c>
      <c r="E116" s="24">
        <v>38642</v>
      </c>
      <c r="F116">
        <v>5</v>
      </c>
      <c r="G116">
        <v>1</v>
      </c>
      <c r="H116" t="s">
        <v>2820</v>
      </c>
      <c r="I116">
        <v>5</v>
      </c>
    </row>
    <row r="117" spans="2:9" x14ac:dyDescent="0.3">
      <c r="B117" t="s">
        <v>2821</v>
      </c>
      <c r="C117" t="s">
        <v>2822</v>
      </c>
      <c r="D117" t="s">
        <v>2686</v>
      </c>
      <c r="E117" s="24">
        <v>42535</v>
      </c>
      <c r="F117">
        <v>10</v>
      </c>
      <c r="G117">
        <v>1</v>
      </c>
      <c r="H117" t="s">
        <v>2823</v>
      </c>
      <c r="I117">
        <v>10</v>
      </c>
    </row>
    <row r="118" spans="2:9" x14ac:dyDescent="0.3">
      <c r="B118" t="s">
        <v>211</v>
      </c>
      <c r="C118" t="s">
        <v>1433</v>
      </c>
      <c r="D118" t="s">
        <v>2658</v>
      </c>
      <c r="E118" s="24">
        <v>38989</v>
      </c>
      <c r="F118">
        <v>1</v>
      </c>
      <c r="G118">
        <v>1</v>
      </c>
      <c r="H118" t="s">
        <v>2824</v>
      </c>
      <c r="I118">
        <v>1</v>
      </c>
    </row>
    <row r="119" spans="2:9" x14ac:dyDescent="0.3">
      <c r="B119" t="s">
        <v>212</v>
      </c>
      <c r="C119" t="s">
        <v>1434</v>
      </c>
      <c r="D119" t="s">
        <v>2658</v>
      </c>
      <c r="E119" s="24">
        <v>40142</v>
      </c>
      <c r="F119">
        <v>10</v>
      </c>
      <c r="G119">
        <v>1</v>
      </c>
      <c r="H119" t="s">
        <v>2825</v>
      </c>
      <c r="I119">
        <v>10</v>
      </c>
    </row>
    <row r="120" spans="2:9" x14ac:dyDescent="0.3">
      <c r="B120" t="s">
        <v>213</v>
      </c>
      <c r="C120" t="s">
        <v>1435</v>
      </c>
      <c r="D120" t="s">
        <v>2658</v>
      </c>
      <c r="E120" s="24">
        <v>39161</v>
      </c>
      <c r="F120">
        <v>1</v>
      </c>
      <c r="G120">
        <v>1</v>
      </c>
      <c r="H120" t="s">
        <v>2826</v>
      </c>
      <c r="I120">
        <v>1</v>
      </c>
    </row>
    <row r="121" spans="2:9" x14ac:dyDescent="0.3">
      <c r="B121" t="s">
        <v>214</v>
      </c>
      <c r="C121" t="s">
        <v>1436</v>
      </c>
      <c r="D121" t="s">
        <v>2658</v>
      </c>
      <c r="E121" s="24">
        <v>38292</v>
      </c>
      <c r="F121">
        <v>2</v>
      </c>
      <c r="G121">
        <v>1</v>
      </c>
      <c r="H121" t="s">
        <v>2827</v>
      </c>
      <c r="I121">
        <v>2</v>
      </c>
    </row>
    <row r="122" spans="2:9" x14ac:dyDescent="0.3">
      <c r="B122" t="s">
        <v>215</v>
      </c>
      <c r="C122" t="s">
        <v>1437</v>
      </c>
      <c r="D122" t="s">
        <v>2658</v>
      </c>
      <c r="E122" s="24">
        <v>37015</v>
      </c>
      <c r="F122">
        <v>2</v>
      </c>
      <c r="G122">
        <v>1</v>
      </c>
      <c r="H122" t="s">
        <v>2828</v>
      </c>
      <c r="I122">
        <v>2</v>
      </c>
    </row>
    <row r="123" spans="2:9" x14ac:dyDescent="0.3">
      <c r="B123" t="s">
        <v>216</v>
      </c>
      <c r="C123" t="s">
        <v>1438</v>
      </c>
      <c r="D123" t="s">
        <v>2658</v>
      </c>
      <c r="E123" s="24">
        <v>37596</v>
      </c>
      <c r="F123">
        <v>10</v>
      </c>
      <c r="G123">
        <v>1</v>
      </c>
      <c r="H123" t="s">
        <v>2829</v>
      </c>
      <c r="I123">
        <v>10</v>
      </c>
    </row>
    <row r="124" spans="2:9" x14ac:dyDescent="0.3">
      <c r="B124" t="s">
        <v>217</v>
      </c>
      <c r="C124" t="s">
        <v>1439</v>
      </c>
      <c r="D124" t="s">
        <v>2658</v>
      </c>
      <c r="E124" s="24">
        <v>38985</v>
      </c>
      <c r="F124">
        <v>2</v>
      </c>
      <c r="G124">
        <v>1</v>
      </c>
      <c r="H124" t="s">
        <v>2830</v>
      </c>
      <c r="I124">
        <v>2</v>
      </c>
    </row>
    <row r="125" spans="2:9" x14ac:dyDescent="0.3">
      <c r="B125" t="s">
        <v>218</v>
      </c>
      <c r="C125" t="s">
        <v>1440</v>
      </c>
      <c r="D125" t="s">
        <v>2686</v>
      </c>
      <c r="E125" s="24">
        <v>36642</v>
      </c>
      <c r="F125">
        <v>10</v>
      </c>
      <c r="G125">
        <v>1</v>
      </c>
      <c r="H125" t="s">
        <v>2831</v>
      </c>
      <c r="I125">
        <v>10</v>
      </c>
    </row>
    <row r="126" spans="2:9" x14ac:dyDescent="0.3">
      <c r="B126" t="s">
        <v>1293</v>
      </c>
      <c r="C126" t="s">
        <v>1441</v>
      </c>
      <c r="D126" t="s">
        <v>2686</v>
      </c>
      <c r="E126" s="24">
        <v>38961</v>
      </c>
      <c r="F126">
        <v>4</v>
      </c>
      <c r="G126">
        <v>1</v>
      </c>
      <c r="H126" t="s">
        <v>2832</v>
      </c>
      <c r="I126">
        <v>4</v>
      </c>
    </row>
    <row r="127" spans="2:9" x14ac:dyDescent="0.3">
      <c r="B127" t="s">
        <v>219</v>
      </c>
      <c r="C127" t="s">
        <v>1442</v>
      </c>
      <c r="D127" t="s">
        <v>2658</v>
      </c>
      <c r="E127" s="24">
        <v>35921</v>
      </c>
      <c r="F127">
        <v>10</v>
      </c>
      <c r="G127">
        <v>1</v>
      </c>
      <c r="H127" t="s">
        <v>2833</v>
      </c>
      <c r="I127">
        <v>10</v>
      </c>
    </row>
    <row r="128" spans="2:9" x14ac:dyDescent="0.3">
      <c r="B128" t="s">
        <v>220</v>
      </c>
      <c r="C128" t="s">
        <v>1443</v>
      </c>
      <c r="D128" t="s">
        <v>2658</v>
      </c>
      <c r="E128" s="24">
        <v>41451</v>
      </c>
      <c r="F128">
        <v>5</v>
      </c>
      <c r="G128">
        <v>1</v>
      </c>
      <c r="H128" t="s">
        <v>2834</v>
      </c>
      <c r="I128">
        <v>5</v>
      </c>
    </row>
    <row r="129" spans="2:9" x14ac:dyDescent="0.3">
      <c r="B129" t="s">
        <v>221</v>
      </c>
      <c r="C129" t="s">
        <v>1444</v>
      </c>
      <c r="D129" t="s">
        <v>2658</v>
      </c>
      <c r="E129" s="24">
        <v>38650</v>
      </c>
      <c r="F129">
        <v>10</v>
      </c>
      <c r="G129">
        <v>1</v>
      </c>
      <c r="H129" t="s">
        <v>2835</v>
      </c>
      <c r="I129">
        <v>10</v>
      </c>
    </row>
    <row r="130" spans="2:9" x14ac:dyDescent="0.3">
      <c r="B130" t="s">
        <v>34</v>
      </c>
      <c r="C130" t="s">
        <v>1445</v>
      </c>
      <c r="D130" t="s">
        <v>2658</v>
      </c>
      <c r="E130" s="24">
        <v>36726</v>
      </c>
      <c r="F130">
        <v>1</v>
      </c>
      <c r="G130">
        <v>1</v>
      </c>
      <c r="H130" t="s">
        <v>2836</v>
      </c>
      <c r="I130">
        <v>1</v>
      </c>
    </row>
    <row r="131" spans="2:9" x14ac:dyDescent="0.3">
      <c r="B131" t="s">
        <v>1294</v>
      </c>
      <c r="C131" t="s">
        <v>1446</v>
      </c>
      <c r="D131" t="s">
        <v>2658</v>
      </c>
      <c r="E131" s="24">
        <v>35172</v>
      </c>
      <c r="F131">
        <v>10</v>
      </c>
      <c r="G131">
        <v>1</v>
      </c>
      <c r="H131" t="s">
        <v>2837</v>
      </c>
      <c r="I131">
        <v>10</v>
      </c>
    </row>
    <row r="132" spans="2:9" x14ac:dyDescent="0.3">
      <c r="B132" t="s">
        <v>222</v>
      </c>
      <c r="C132" t="s">
        <v>1447</v>
      </c>
      <c r="D132" t="s">
        <v>2686</v>
      </c>
      <c r="E132" s="24">
        <v>39695</v>
      </c>
      <c r="F132">
        <v>1</v>
      </c>
      <c r="G132">
        <v>1</v>
      </c>
      <c r="H132" t="s">
        <v>2838</v>
      </c>
      <c r="I132">
        <v>1</v>
      </c>
    </row>
    <row r="133" spans="2:9" x14ac:dyDescent="0.3">
      <c r="B133" t="s">
        <v>223</v>
      </c>
      <c r="C133" t="s">
        <v>1448</v>
      </c>
      <c r="D133" t="s">
        <v>2658</v>
      </c>
      <c r="E133" s="24">
        <v>37770</v>
      </c>
      <c r="F133">
        <v>10</v>
      </c>
      <c r="G133">
        <v>1</v>
      </c>
      <c r="H133" t="s">
        <v>2839</v>
      </c>
      <c r="I133">
        <v>10</v>
      </c>
    </row>
    <row r="134" spans="2:9" x14ac:dyDescent="0.3">
      <c r="B134" t="s">
        <v>224</v>
      </c>
      <c r="C134" t="s">
        <v>1449</v>
      </c>
      <c r="D134" t="s">
        <v>2658</v>
      </c>
      <c r="E134" s="24">
        <v>39113</v>
      </c>
      <c r="F134">
        <v>10</v>
      </c>
      <c r="G134">
        <v>1</v>
      </c>
      <c r="H134" t="s">
        <v>2840</v>
      </c>
      <c r="I134">
        <v>10</v>
      </c>
    </row>
    <row r="135" spans="2:9" x14ac:dyDescent="0.3">
      <c r="B135" t="s">
        <v>225</v>
      </c>
      <c r="C135" t="s">
        <v>1450</v>
      </c>
      <c r="D135" t="s">
        <v>2658</v>
      </c>
      <c r="E135" s="24">
        <v>34850</v>
      </c>
      <c r="F135">
        <v>10</v>
      </c>
      <c r="G135">
        <v>1</v>
      </c>
      <c r="H135" t="s">
        <v>2841</v>
      </c>
      <c r="I135">
        <v>10</v>
      </c>
    </row>
    <row r="136" spans="2:9" x14ac:dyDescent="0.3">
      <c r="B136" t="s">
        <v>2842</v>
      </c>
      <c r="C136" t="s">
        <v>2843</v>
      </c>
      <c r="D136" t="s">
        <v>2658</v>
      </c>
      <c r="E136" s="24">
        <v>42109</v>
      </c>
      <c r="F136">
        <v>2</v>
      </c>
      <c r="G136">
        <v>1</v>
      </c>
      <c r="H136" t="s">
        <v>2844</v>
      </c>
      <c r="I136">
        <v>2</v>
      </c>
    </row>
    <row r="137" spans="2:9" x14ac:dyDescent="0.3">
      <c r="B137" t="s">
        <v>226</v>
      </c>
      <c r="C137" t="s">
        <v>1451</v>
      </c>
      <c r="D137" t="s">
        <v>2658</v>
      </c>
      <c r="E137" s="24">
        <v>39092</v>
      </c>
      <c r="F137">
        <v>1</v>
      </c>
      <c r="G137">
        <v>1</v>
      </c>
      <c r="H137" t="s">
        <v>2845</v>
      </c>
      <c r="I137">
        <v>1</v>
      </c>
    </row>
    <row r="138" spans="2:9" x14ac:dyDescent="0.3">
      <c r="B138" t="s">
        <v>227</v>
      </c>
      <c r="C138" t="s">
        <v>1452</v>
      </c>
      <c r="D138" t="s">
        <v>2658</v>
      </c>
      <c r="E138" s="24">
        <v>36115</v>
      </c>
      <c r="F138">
        <v>2</v>
      </c>
      <c r="G138">
        <v>1</v>
      </c>
      <c r="H138" t="s">
        <v>2846</v>
      </c>
      <c r="I138">
        <v>2</v>
      </c>
    </row>
    <row r="139" spans="2:9" x14ac:dyDescent="0.3">
      <c r="B139" t="s">
        <v>228</v>
      </c>
      <c r="C139" t="s">
        <v>1453</v>
      </c>
      <c r="D139" t="s">
        <v>2658</v>
      </c>
      <c r="E139" s="24">
        <v>36881</v>
      </c>
      <c r="F139">
        <v>5</v>
      </c>
      <c r="G139">
        <v>1</v>
      </c>
      <c r="H139" t="s">
        <v>2847</v>
      </c>
      <c r="I139">
        <v>5</v>
      </c>
    </row>
    <row r="140" spans="2:9" x14ac:dyDescent="0.3">
      <c r="B140" t="s">
        <v>2848</v>
      </c>
      <c r="C140" t="s">
        <v>2849</v>
      </c>
      <c r="D140" t="s">
        <v>2658</v>
      </c>
      <c r="E140" s="24">
        <v>42230</v>
      </c>
      <c r="F140">
        <v>10</v>
      </c>
      <c r="G140">
        <v>1</v>
      </c>
      <c r="H140" t="s">
        <v>2850</v>
      </c>
      <c r="I140">
        <v>10</v>
      </c>
    </row>
    <row r="141" spans="2:9" x14ac:dyDescent="0.3">
      <c r="B141" t="s">
        <v>229</v>
      </c>
      <c r="C141" t="s">
        <v>1454</v>
      </c>
      <c r="D141" t="s">
        <v>2658</v>
      </c>
      <c r="E141" s="24">
        <v>41225</v>
      </c>
      <c r="F141">
        <v>10</v>
      </c>
      <c r="G141">
        <v>1</v>
      </c>
      <c r="H141" t="s">
        <v>2851</v>
      </c>
      <c r="I141">
        <v>10</v>
      </c>
    </row>
    <row r="142" spans="2:9" x14ac:dyDescent="0.3">
      <c r="B142" t="s">
        <v>230</v>
      </c>
      <c r="C142" t="s">
        <v>1455</v>
      </c>
      <c r="D142" t="s">
        <v>2658</v>
      </c>
      <c r="E142" s="24">
        <v>37911</v>
      </c>
      <c r="F142">
        <v>2</v>
      </c>
      <c r="G142">
        <v>1</v>
      </c>
      <c r="H142" t="s">
        <v>2852</v>
      </c>
      <c r="I142">
        <v>2</v>
      </c>
    </row>
    <row r="143" spans="2:9" x14ac:dyDescent="0.3">
      <c r="B143" t="s">
        <v>231</v>
      </c>
      <c r="C143" t="s">
        <v>1456</v>
      </c>
      <c r="D143" t="s">
        <v>2658</v>
      </c>
      <c r="E143" s="24">
        <v>39594</v>
      </c>
      <c r="F143">
        <v>10</v>
      </c>
      <c r="G143">
        <v>1</v>
      </c>
      <c r="H143" t="s">
        <v>2853</v>
      </c>
      <c r="I143">
        <v>10</v>
      </c>
    </row>
    <row r="144" spans="2:9" x14ac:dyDescent="0.3">
      <c r="B144" t="s">
        <v>232</v>
      </c>
      <c r="C144" t="s">
        <v>1457</v>
      </c>
      <c r="D144" t="s">
        <v>2658</v>
      </c>
      <c r="E144" s="24">
        <v>40408</v>
      </c>
      <c r="F144">
        <v>1</v>
      </c>
      <c r="G144">
        <v>1</v>
      </c>
      <c r="H144" t="s">
        <v>2854</v>
      </c>
      <c r="I144">
        <v>1</v>
      </c>
    </row>
    <row r="145" spans="2:9" x14ac:dyDescent="0.3">
      <c r="B145" t="s">
        <v>233</v>
      </c>
      <c r="C145" t="s">
        <v>1458</v>
      </c>
      <c r="D145" t="s">
        <v>2658</v>
      </c>
      <c r="E145" s="24">
        <v>39388</v>
      </c>
      <c r="F145">
        <v>2</v>
      </c>
      <c r="G145">
        <v>1</v>
      </c>
      <c r="H145" t="s">
        <v>2855</v>
      </c>
      <c r="I145">
        <v>2</v>
      </c>
    </row>
    <row r="146" spans="2:9" x14ac:dyDescent="0.3">
      <c r="B146" t="s">
        <v>36</v>
      </c>
      <c r="C146" t="s">
        <v>1459</v>
      </c>
      <c r="D146" t="s">
        <v>2658</v>
      </c>
      <c r="E146" s="24">
        <v>39594</v>
      </c>
      <c r="F146">
        <v>5</v>
      </c>
      <c r="G146">
        <v>1</v>
      </c>
      <c r="H146" t="s">
        <v>2856</v>
      </c>
      <c r="I146">
        <v>5</v>
      </c>
    </row>
    <row r="147" spans="2:9" x14ac:dyDescent="0.3">
      <c r="B147" t="s">
        <v>234</v>
      </c>
      <c r="C147" t="s">
        <v>2857</v>
      </c>
      <c r="D147" t="s">
        <v>2658</v>
      </c>
      <c r="E147" s="24">
        <v>34829</v>
      </c>
      <c r="F147">
        <v>1</v>
      </c>
      <c r="G147">
        <v>1</v>
      </c>
      <c r="H147" t="s">
        <v>2858</v>
      </c>
      <c r="I147">
        <v>1</v>
      </c>
    </row>
    <row r="148" spans="2:9" x14ac:dyDescent="0.3">
      <c r="B148" t="s">
        <v>235</v>
      </c>
      <c r="C148" t="s">
        <v>1460</v>
      </c>
      <c r="D148" t="s">
        <v>2658</v>
      </c>
      <c r="E148" s="24">
        <v>34773</v>
      </c>
      <c r="F148">
        <v>10</v>
      </c>
      <c r="G148">
        <v>1</v>
      </c>
      <c r="H148" t="s">
        <v>2859</v>
      </c>
      <c r="I148">
        <v>10</v>
      </c>
    </row>
    <row r="149" spans="2:9" x14ac:dyDescent="0.3">
      <c r="B149" t="s">
        <v>35</v>
      </c>
      <c r="C149" t="s">
        <v>1461</v>
      </c>
      <c r="D149" t="s">
        <v>2658</v>
      </c>
      <c r="E149" s="24">
        <v>37712</v>
      </c>
      <c r="F149">
        <v>2</v>
      </c>
      <c r="G149">
        <v>1</v>
      </c>
      <c r="H149" t="s">
        <v>2860</v>
      </c>
      <c r="I149">
        <v>2</v>
      </c>
    </row>
    <row r="150" spans="2:9" x14ac:dyDescent="0.3">
      <c r="B150" t="s">
        <v>236</v>
      </c>
      <c r="C150" t="s">
        <v>1462</v>
      </c>
      <c r="D150" t="s">
        <v>2658</v>
      </c>
      <c r="E150" s="24">
        <v>36852</v>
      </c>
      <c r="F150">
        <v>2</v>
      </c>
      <c r="G150">
        <v>1</v>
      </c>
      <c r="H150" t="s">
        <v>2861</v>
      </c>
      <c r="I150">
        <v>2</v>
      </c>
    </row>
    <row r="151" spans="2:9" x14ac:dyDescent="0.3">
      <c r="B151" t="s">
        <v>237</v>
      </c>
      <c r="C151" t="s">
        <v>1463</v>
      </c>
      <c r="D151" t="s">
        <v>2658</v>
      </c>
      <c r="E151" s="24">
        <v>39177</v>
      </c>
      <c r="F151">
        <v>2</v>
      </c>
      <c r="G151">
        <v>1</v>
      </c>
      <c r="H151" t="s">
        <v>2862</v>
      </c>
      <c r="I151">
        <v>2</v>
      </c>
    </row>
    <row r="152" spans="2:9" x14ac:dyDescent="0.3">
      <c r="B152" t="s">
        <v>2863</v>
      </c>
      <c r="C152" t="s">
        <v>2864</v>
      </c>
      <c r="D152" t="s">
        <v>2658</v>
      </c>
      <c r="E152" s="24">
        <v>42213</v>
      </c>
      <c r="F152">
        <v>10</v>
      </c>
      <c r="G152">
        <v>1</v>
      </c>
      <c r="H152" t="s">
        <v>2865</v>
      </c>
      <c r="I152">
        <v>10</v>
      </c>
    </row>
    <row r="153" spans="2:9" x14ac:dyDescent="0.3">
      <c r="B153" t="s">
        <v>238</v>
      </c>
      <c r="C153" t="s">
        <v>1464</v>
      </c>
      <c r="D153" t="s">
        <v>2658</v>
      </c>
      <c r="E153" s="24">
        <v>38744</v>
      </c>
      <c r="F153">
        <v>2</v>
      </c>
      <c r="G153">
        <v>1</v>
      </c>
      <c r="H153" t="s">
        <v>2866</v>
      </c>
      <c r="I153">
        <v>2</v>
      </c>
    </row>
    <row r="154" spans="2:9" x14ac:dyDescent="0.3">
      <c r="B154" t="s">
        <v>239</v>
      </c>
      <c r="C154" t="s">
        <v>1465</v>
      </c>
      <c r="D154" t="s">
        <v>2658</v>
      </c>
      <c r="E154" s="24">
        <v>39538</v>
      </c>
      <c r="F154">
        <v>2</v>
      </c>
      <c r="G154">
        <v>1</v>
      </c>
      <c r="H154" t="s">
        <v>2867</v>
      </c>
      <c r="I154">
        <v>2</v>
      </c>
    </row>
    <row r="155" spans="2:9" x14ac:dyDescent="0.3">
      <c r="B155" t="s">
        <v>240</v>
      </c>
      <c r="C155" t="s">
        <v>1466</v>
      </c>
      <c r="D155" t="s">
        <v>2658</v>
      </c>
      <c r="E155" s="24">
        <v>34886</v>
      </c>
      <c r="F155">
        <v>10</v>
      </c>
      <c r="G155">
        <v>1</v>
      </c>
      <c r="H155" t="s">
        <v>2868</v>
      </c>
      <c r="I155">
        <v>10</v>
      </c>
    </row>
    <row r="156" spans="2:9" x14ac:dyDescent="0.3">
      <c r="B156" t="s">
        <v>241</v>
      </c>
      <c r="C156" t="s">
        <v>1467</v>
      </c>
      <c r="D156" t="s">
        <v>2658</v>
      </c>
      <c r="E156" s="24">
        <v>38845</v>
      </c>
      <c r="F156">
        <v>10</v>
      </c>
      <c r="G156">
        <v>1</v>
      </c>
      <c r="H156" t="s">
        <v>2869</v>
      </c>
      <c r="I156">
        <v>10</v>
      </c>
    </row>
    <row r="157" spans="2:9" x14ac:dyDescent="0.3">
      <c r="B157" t="s">
        <v>242</v>
      </c>
      <c r="C157" t="s">
        <v>1468</v>
      </c>
      <c r="D157" t="s">
        <v>2658</v>
      </c>
      <c r="E157" s="24">
        <v>34738</v>
      </c>
      <c r="F157">
        <v>1</v>
      </c>
      <c r="G157">
        <v>1</v>
      </c>
      <c r="H157" t="s">
        <v>2870</v>
      </c>
      <c r="I157">
        <v>1</v>
      </c>
    </row>
    <row r="158" spans="2:9" x14ac:dyDescent="0.3">
      <c r="B158" t="s">
        <v>243</v>
      </c>
      <c r="C158" t="s">
        <v>1469</v>
      </c>
      <c r="D158" t="s">
        <v>2686</v>
      </c>
      <c r="E158" s="24">
        <v>36922</v>
      </c>
      <c r="F158">
        <v>10</v>
      </c>
      <c r="G158">
        <v>1</v>
      </c>
      <c r="H158" t="s">
        <v>2871</v>
      </c>
      <c r="I158">
        <v>10</v>
      </c>
    </row>
    <row r="159" spans="2:9" x14ac:dyDescent="0.3">
      <c r="B159" t="s">
        <v>244</v>
      </c>
      <c r="C159" t="s">
        <v>1470</v>
      </c>
      <c r="D159" t="s">
        <v>2658</v>
      </c>
      <c r="E159" s="24">
        <v>37769</v>
      </c>
      <c r="F159">
        <v>10</v>
      </c>
      <c r="G159">
        <v>1</v>
      </c>
      <c r="H159" t="s">
        <v>2872</v>
      </c>
      <c r="I159">
        <v>10</v>
      </c>
    </row>
    <row r="160" spans="2:9" x14ac:dyDescent="0.3">
      <c r="B160" t="s">
        <v>245</v>
      </c>
      <c r="C160" t="s">
        <v>1471</v>
      </c>
      <c r="D160" t="s">
        <v>2658</v>
      </c>
      <c r="E160" s="24">
        <v>39073</v>
      </c>
      <c r="F160">
        <v>2</v>
      </c>
      <c r="G160">
        <v>1</v>
      </c>
      <c r="H160" t="s">
        <v>2873</v>
      </c>
      <c r="I160">
        <v>2</v>
      </c>
    </row>
    <row r="161" spans="2:9" x14ac:dyDescent="0.3">
      <c r="B161" t="s">
        <v>246</v>
      </c>
      <c r="C161" t="s">
        <v>1472</v>
      </c>
      <c r="D161" t="s">
        <v>2686</v>
      </c>
      <c r="E161" s="24">
        <v>39498</v>
      </c>
      <c r="F161">
        <v>10</v>
      </c>
      <c r="G161">
        <v>1</v>
      </c>
      <c r="H161" t="s">
        <v>2874</v>
      </c>
      <c r="I161">
        <v>10</v>
      </c>
    </row>
    <row r="162" spans="2:9" x14ac:dyDescent="0.3">
      <c r="B162" t="s">
        <v>247</v>
      </c>
      <c r="C162" t="s">
        <v>1473</v>
      </c>
      <c r="D162" t="s">
        <v>2658</v>
      </c>
      <c r="E162" s="24">
        <v>35480</v>
      </c>
      <c r="F162">
        <v>2</v>
      </c>
      <c r="G162">
        <v>1</v>
      </c>
      <c r="H162" t="s">
        <v>2875</v>
      </c>
      <c r="I162">
        <v>2</v>
      </c>
    </row>
    <row r="163" spans="2:9" x14ac:dyDescent="0.3">
      <c r="B163" t="s">
        <v>37</v>
      </c>
      <c r="C163" t="s">
        <v>1474</v>
      </c>
      <c r="D163" t="s">
        <v>2658</v>
      </c>
      <c r="E163" s="24">
        <v>35550</v>
      </c>
      <c r="F163">
        <v>10</v>
      </c>
      <c r="G163">
        <v>1</v>
      </c>
      <c r="H163" t="s">
        <v>2876</v>
      </c>
      <c r="I163">
        <v>10</v>
      </c>
    </row>
    <row r="164" spans="2:9" x14ac:dyDescent="0.3">
      <c r="B164" t="s">
        <v>248</v>
      </c>
      <c r="C164" t="s">
        <v>1475</v>
      </c>
      <c r="D164" t="s">
        <v>2658</v>
      </c>
      <c r="E164" s="24">
        <v>39183</v>
      </c>
      <c r="F164">
        <v>10</v>
      </c>
      <c r="G164">
        <v>1</v>
      </c>
      <c r="H164" t="s">
        <v>2877</v>
      </c>
      <c r="I164">
        <v>10</v>
      </c>
    </row>
    <row r="165" spans="2:9" x14ac:dyDescent="0.3">
      <c r="B165" t="s">
        <v>249</v>
      </c>
      <c r="C165" t="s">
        <v>1476</v>
      </c>
      <c r="D165" t="s">
        <v>2658</v>
      </c>
      <c r="E165" s="24">
        <v>38729</v>
      </c>
      <c r="F165">
        <v>10</v>
      </c>
      <c r="G165">
        <v>1</v>
      </c>
      <c r="H165" t="s">
        <v>2878</v>
      </c>
      <c r="I165">
        <v>10</v>
      </c>
    </row>
    <row r="166" spans="2:9" x14ac:dyDescent="0.3">
      <c r="B166" t="s">
        <v>250</v>
      </c>
      <c r="C166" t="s">
        <v>1477</v>
      </c>
      <c r="D166" t="s">
        <v>2658</v>
      </c>
      <c r="E166" s="24">
        <v>34836</v>
      </c>
      <c r="F166">
        <v>10</v>
      </c>
      <c r="G166">
        <v>1</v>
      </c>
      <c r="H166" t="s">
        <v>2879</v>
      </c>
      <c r="I166">
        <v>10</v>
      </c>
    </row>
    <row r="167" spans="2:9" x14ac:dyDescent="0.3">
      <c r="B167" t="s">
        <v>251</v>
      </c>
      <c r="C167" t="s">
        <v>1478</v>
      </c>
      <c r="D167" t="s">
        <v>2658</v>
      </c>
      <c r="E167" s="24">
        <v>38670</v>
      </c>
      <c r="F167">
        <v>10</v>
      </c>
      <c r="G167">
        <v>1</v>
      </c>
      <c r="H167" t="s">
        <v>2880</v>
      </c>
      <c r="I167">
        <v>10</v>
      </c>
    </row>
    <row r="168" spans="2:9" x14ac:dyDescent="0.3">
      <c r="B168" t="s">
        <v>38</v>
      </c>
      <c r="C168" t="s">
        <v>1479</v>
      </c>
      <c r="D168" t="s">
        <v>2658</v>
      </c>
      <c r="E168" s="24">
        <v>37790</v>
      </c>
      <c r="F168">
        <v>5</v>
      </c>
      <c r="G168">
        <v>1</v>
      </c>
      <c r="H168" t="s">
        <v>2881</v>
      </c>
      <c r="I168">
        <v>5</v>
      </c>
    </row>
    <row r="169" spans="2:9" x14ac:dyDescent="0.3">
      <c r="B169" t="s">
        <v>2882</v>
      </c>
      <c r="C169" t="s">
        <v>2883</v>
      </c>
      <c r="D169" t="s">
        <v>2658</v>
      </c>
      <c r="E169" s="24">
        <v>40186</v>
      </c>
      <c r="F169">
        <v>10</v>
      </c>
      <c r="G169">
        <v>1</v>
      </c>
      <c r="H169" t="s">
        <v>2884</v>
      </c>
      <c r="I169">
        <v>10</v>
      </c>
    </row>
    <row r="170" spans="2:9" x14ac:dyDescent="0.3">
      <c r="B170" t="s">
        <v>252</v>
      </c>
      <c r="C170" t="s">
        <v>1480</v>
      </c>
      <c r="D170" t="s">
        <v>2658</v>
      </c>
      <c r="E170" s="24">
        <v>39042</v>
      </c>
      <c r="F170">
        <v>10</v>
      </c>
      <c r="G170">
        <v>1</v>
      </c>
      <c r="H170" t="s">
        <v>2885</v>
      </c>
      <c r="I170">
        <v>10</v>
      </c>
    </row>
    <row r="171" spans="2:9" x14ac:dyDescent="0.3">
      <c r="B171" t="s">
        <v>253</v>
      </c>
      <c r="C171" t="s">
        <v>1481</v>
      </c>
      <c r="D171" t="s">
        <v>2658</v>
      </c>
      <c r="E171" s="24">
        <v>35158</v>
      </c>
      <c r="F171">
        <v>2</v>
      </c>
      <c r="G171">
        <v>1</v>
      </c>
      <c r="H171" t="s">
        <v>2886</v>
      </c>
      <c r="I171">
        <v>2</v>
      </c>
    </row>
    <row r="172" spans="2:9" x14ac:dyDescent="0.3">
      <c r="B172" t="s">
        <v>2887</v>
      </c>
      <c r="C172" t="s">
        <v>2888</v>
      </c>
      <c r="D172" t="s">
        <v>2686</v>
      </c>
      <c r="E172" s="24">
        <v>42017</v>
      </c>
      <c r="F172">
        <v>2</v>
      </c>
      <c r="G172">
        <v>1</v>
      </c>
      <c r="H172" t="s">
        <v>2889</v>
      </c>
      <c r="I172">
        <v>2</v>
      </c>
    </row>
    <row r="173" spans="2:9" x14ac:dyDescent="0.3">
      <c r="B173" t="s">
        <v>254</v>
      </c>
      <c r="C173" t="s">
        <v>1482</v>
      </c>
      <c r="D173" t="s">
        <v>2658</v>
      </c>
      <c r="E173" s="24">
        <v>40465</v>
      </c>
      <c r="F173">
        <v>10</v>
      </c>
      <c r="G173">
        <v>1</v>
      </c>
      <c r="H173" t="s">
        <v>2890</v>
      </c>
      <c r="I173">
        <v>10</v>
      </c>
    </row>
    <row r="174" spans="2:9" x14ac:dyDescent="0.3">
      <c r="B174" t="s">
        <v>39</v>
      </c>
      <c r="C174" t="s">
        <v>1483</v>
      </c>
      <c r="D174" t="s">
        <v>2658</v>
      </c>
      <c r="E174" s="24">
        <v>36726</v>
      </c>
      <c r="F174">
        <v>1</v>
      </c>
      <c r="G174">
        <v>1</v>
      </c>
      <c r="H174" t="s">
        <v>2891</v>
      </c>
      <c r="I174">
        <v>1</v>
      </c>
    </row>
    <row r="175" spans="2:9" x14ac:dyDescent="0.3">
      <c r="B175" t="s">
        <v>255</v>
      </c>
      <c r="C175" t="s">
        <v>1484</v>
      </c>
      <c r="D175" t="s">
        <v>2658</v>
      </c>
      <c r="E175" s="24">
        <v>37930</v>
      </c>
      <c r="F175">
        <v>10</v>
      </c>
      <c r="G175">
        <v>1</v>
      </c>
      <c r="H175" t="s">
        <v>2892</v>
      </c>
      <c r="I175">
        <v>10</v>
      </c>
    </row>
    <row r="176" spans="2:9" x14ac:dyDescent="0.3">
      <c r="B176" t="s">
        <v>256</v>
      </c>
      <c r="C176" t="s">
        <v>1485</v>
      </c>
      <c r="D176" t="s">
        <v>2658</v>
      </c>
      <c r="E176" s="24">
        <v>38432</v>
      </c>
      <c r="F176">
        <v>1</v>
      </c>
      <c r="G176">
        <v>1</v>
      </c>
      <c r="H176" t="s">
        <v>2893</v>
      </c>
      <c r="I176">
        <v>1</v>
      </c>
    </row>
    <row r="177" spans="2:9" x14ac:dyDescent="0.3">
      <c r="B177" t="s">
        <v>257</v>
      </c>
      <c r="C177" t="s">
        <v>1486</v>
      </c>
      <c r="D177" t="s">
        <v>2658</v>
      </c>
      <c r="E177" s="24">
        <v>36488</v>
      </c>
      <c r="F177">
        <v>1</v>
      </c>
      <c r="G177">
        <v>1</v>
      </c>
      <c r="H177" t="s">
        <v>2894</v>
      </c>
      <c r="I177">
        <v>1</v>
      </c>
    </row>
    <row r="178" spans="2:9" x14ac:dyDescent="0.3">
      <c r="B178" t="s">
        <v>258</v>
      </c>
      <c r="C178" t="s">
        <v>1487</v>
      </c>
      <c r="D178" t="s">
        <v>2658</v>
      </c>
      <c r="E178" s="24">
        <v>40557</v>
      </c>
      <c r="F178">
        <v>5</v>
      </c>
      <c r="G178">
        <v>1</v>
      </c>
      <c r="H178" t="s">
        <v>2895</v>
      </c>
      <c r="I178">
        <v>5</v>
      </c>
    </row>
    <row r="179" spans="2:9" x14ac:dyDescent="0.3">
      <c r="B179" t="s">
        <v>259</v>
      </c>
      <c r="C179" t="s">
        <v>1488</v>
      </c>
      <c r="D179" t="s">
        <v>2658</v>
      </c>
      <c r="E179" s="24">
        <v>39205</v>
      </c>
      <c r="F179">
        <v>5</v>
      </c>
      <c r="G179">
        <v>1</v>
      </c>
      <c r="H179" t="s">
        <v>2896</v>
      </c>
      <c r="I179">
        <v>5</v>
      </c>
    </row>
    <row r="180" spans="2:9" x14ac:dyDescent="0.3">
      <c r="B180" t="s">
        <v>260</v>
      </c>
      <c r="C180" t="s">
        <v>1489</v>
      </c>
      <c r="D180" t="s">
        <v>2686</v>
      </c>
      <c r="E180" s="24">
        <v>40752</v>
      </c>
      <c r="F180">
        <v>10</v>
      </c>
      <c r="G180">
        <v>1</v>
      </c>
      <c r="H180" t="s">
        <v>2897</v>
      </c>
      <c r="I180">
        <v>10</v>
      </c>
    </row>
    <row r="181" spans="2:9" x14ac:dyDescent="0.3">
      <c r="B181" t="s">
        <v>261</v>
      </c>
      <c r="C181" t="s">
        <v>1490</v>
      </c>
      <c r="D181" t="s">
        <v>2658</v>
      </c>
      <c r="E181" s="24">
        <v>39450</v>
      </c>
      <c r="F181">
        <v>10</v>
      </c>
      <c r="G181">
        <v>1</v>
      </c>
      <c r="H181" t="s">
        <v>2898</v>
      </c>
      <c r="I181">
        <v>10</v>
      </c>
    </row>
    <row r="182" spans="2:9" x14ac:dyDescent="0.3">
      <c r="B182" t="s">
        <v>2899</v>
      </c>
      <c r="C182" t="s">
        <v>2900</v>
      </c>
      <c r="D182" t="s">
        <v>2658</v>
      </c>
      <c r="E182" s="24">
        <v>42431</v>
      </c>
      <c r="F182">
        <v>5</v>
      </c>
      <c r="G182">
        <v>1</v>
      </c>
      <c r="H182" t="s">
        <v>2901</v>
      </c>
      <c r="I182">
        <v>5</v>
      </c>
    </row>
    <row r="183" spans="2:9" x14ac:dyDescent="0.3">
      <c r="B183" t="s">
        <v>2902</v>
      </c>
      <c r="C183" t="s">
        <v>1491</v>
      </c>
      <c r="D183" t="s">
        <v>2686</v>
      </c>
      <c r="E183" s="24">
        <v>42872</v>
      </c>
      <c r="F183">
        <v>2</v>
      </c>
      <c r="G183">
        <v>1</v>
      </c>
      <c r="H183" t="s">
        <v>2903</v>
      </c>
      <c r="I183">
        <v>2</v>
      </c>
    </row>
    <row r="184" spans="2:9" x14ac:dyDescent="0.3">
      <c r="B184" t="s">
        <v>2904</v>
      </c>
      <c r="C184" t="s">
        <v>2905</v>
      </c>
      <c r="D184" t="s">
        <v>2658</v>
      </c>
      <c r="E184" s="24">
        <v>42765</v>
      </c>
      <c r="F184">
        <v>1</v>
      </c>
      <c r="G184">
        <v>1</v>
      </c>
      <c r="H184" t="s">
        <v>2906</v>
      </c>
      <c r="I184">
        <v>1</v>
      </c>
    </row>
    <row r="185" spans="2:9" x14ac:dyDescent="0.3">
      <c r="B185" t="s">
        <v>2907</v>
      </c>
      <c r="C185" t="s">
        <v>2908</v>
      </c>
      <c r="D185" t="s">
        <v>2658</v>
      </c>
      <c r="E185" s="24">
        <v>40406</v>
      </c>
      <c r="F185">
        <v>10</v>
      </c>
      <c r="G185">
        <v>1</v>
      </c>
      <c r="H185" t="s">
        <v>2909</v>
      </c>
      <c r="I185">
        <v>10</v>
      </c>
    </row>
    <row r="186" spans="2:9" x14ac:dyDescent="0.3">
      <c r="B186" t="s">
        <v>40</v>
      </c>
      <c r="C186" t="s">
        <v>1492</v>
      </c>
      <c r="D186" t="s">
        <v>2658</v>
      </c>
      <c r="E186" s="24">
        <v>37715</v>
      </c>
      <c r="F186">
        <v>2</v>
      </c>
      <c r="G186">
        <v>1</v>
      </c>
      <c r="H186" t="s">
        <v>2910</v>
      </c>
      <c r="I186">
        <v>2</v>
      </c>
    </row>
    <row r="187" spans="2:9" x14ac:dyDescent="0.3">
      <c r="B187" t="s">
        <v>262</v>
      </c>
      <c r="C187" t="s">
        <v>1493</v>
      </c>
      <c r="D187" t="s">
        <v>2658</v>
      </c>
      <c r="E187" s="24">
        <v>35158</v>
      </c>
      <c r="F187">
        <v>10</v>
      </c>
      <c r="G187">
        <v>1</v>
      </c>
      <c r="H187" t="s">
        <v>2911</v>
      </c>
      <c r="I187">
        <v>10</v>
      </c>
    </row>
    <row r="188" spans="2:9" x14ac:dyDescent="0.3">
      <c r="B188" t="s">
        <v>2912</v>
      </c>
      <c r="C188" t="s">
        <v>2913</v>
      </c>
      <c r="D188" t="s">
        <v>2658</v>
      </c>
      <c r="E188" s="24">
        <v>38351</v>
      </c>
      <c r="F188">
        <v>10</v>
      </c>
      <c r="G188">
        <v>1</v>
      </c>
      <c r="H188" t="s">
        <v>2914</v>
      </c>
      <c r="I188">
        <v>10</v>
      </c>
    </row>
    <row r="189" spans="2:9" x14ac:dyDescent="0.3">
      <c r="B189" t="s">
        <v>263</v>
      </c>
      <c r="C189" t="s">
        <v>1494</v>
      </c>
      <c r="D189" t="s">
        <v>2658</v>
      </c>
      <c r="E189" s="24">
        <v>34983</v>
      </c>
      <c r="F189">
        <v>10</v>
      </c>
      <c r="G189">
        <v>1</v>
      </c>
      <c r="H189" t="s">
        <v>2915</v>
      </c>
      <c r="I189">
        <v>10</v>
      </c>
    </row>
    <row r="190" spans="2:9" x14ac:dyDescent="0.3">
      <c r="B190" t="s">
        <v>2916</v>
      </c>
      <c r="C190" t="s">
        <v>2917</v>
      </c>
      <c r="D190" t="s">
        <v>2658</v>
      </c>
      <c r="E190" s="24">
        <v>42461</v>
      </c>
      <c r="F190">
        <v>10</v>
      </c>
      <c r="G190">
        <v>1</v>
      </c>
      <c r="H190" t="s">
        <v>2918</v>
      </c>
      <c r="I190">
        <v>10</v>
      </c>
    </row>
    <row r="191" spans="2:9" x14ac:dyDescent="0.3">
      <c r="B191" t="s">
        <v>264</v>
      </c>
      <c r="C191" t="s">
        <v>1495</v>
      </c>
      <c r="D191" t="s">
        <v>2658</v>
      </c>
      <c r="E191" s="24">
        <v>37302</v>
      </c>
      <c r="F191">
        <v>5</v>
      </c>
      <c r="G191">
        <v>1</v>
      </c>
      <c r="H191" t="s">
        <v>2919</v>
      </c>
      <c r="I191">
        <v>5</v>
      </c>
    </row>
    <row r="192" spans="2:9" x14ac:dyDescent="0.3">
      <c r="B192" t="s">
        <v>128</v>
      </c>
      <c r="C192" t="s">
        <v>1496</v>
      </c>
      <c r="D192" t="s">
        <v>2658</v>
      </c>
      <c r="E192" s="24">
        <v>37936</v>
      </c>
      <c r="F192">
        <v>2</v>
      </c>
      <c r="G192">
        <v>1</v>
      </c>
      <c r="H192" t="s">
        <v>2920</v>
      </c>
      <c r="I192">
        <v>2</v>
      </c>
    </row>
    <row r="193" spans="2:9" x14ac:dyDescent="0.3">
      <c r="B193" t="s">
        <v>42</v>
      </c>
      <c r="C193" t="s">
        <v>1497</v>
      </c>
      <c r="D193" t="s">
        <v>2658</v>
      </c>
      <c r="E193" s="24">
        <v>37946</v>
      </c>
      <c r="F193">
        <v>2</v>
      </c>
      <c r="G193">
        <v>1</v>
      </c>
      <c r="H193" t="s">
        <v>2921</v>
      </c>
      <c r="I193">
        <v>2</v>
      </c>
    </row>
    <row r="194" spans="2:9" x14ac:dyDescent="0.3">
      <c r="B194" t="s">
        <v>2922</v>
      </c>
      <c r="C194" t="s">
        <v>2923</v>
      </c>
      <c r="D194" t="s">
        <v>2658</v>
      </c>
      <c r="E194" s="24">
        <v>42615</v>
      </c>
      <c r="F194">
        <v>10</v>
      </c>
      <c r="G194">
        <v>1</v>
      </c>
      <c r="H194" t="s">
        <v>2924</v>
      </c>
      <c r="I194">
        <v>10</v>
      </c>
    </row>
    <row r="195" spans="2:9" x14ac:dyDescent="0.3">
      <c r="B195" t="s">
        <v>265</v>
      </c>
      <c r="C195" t="s">
        <v>1498</v>
      </c>
      <c r="D195" t="s">
        <v>2658</v>
      </c>
      <c r="E195" s="24">
        <v>36628</v>
      </c>
      <c r="F195">
        <v>10</v>
      </c>
      <c r="G195">
        <v>1</v>
      </c>
      <c r="H195" t="s">
        <v>2925</v>
      </c>
      <c r="I195">
        <v>10</v>
      </c>
    </row>
    <row r="196" spans="2:9" x14ac:dyDescent="0.3">
      <c r="B196" t="s">
        <v>266</v>
      </c>
      <c r="C196" t="s">
        <v>1499</v>
      </c>
      <c r="D196" t="s">
        <v>2658</v>
      </c>
      <c r="E196" s="24">
        <v>40589</v>
      </c>
      <c r="F196">
        <v>1</v>
      </c>
      <c r="G196">
        <v>1</v>
      </c>
      <c r="H196" t="s">
        <v>2926</v>
      </c>
      <c r="I196">
        <v>1</v>
      </c>
    </row>
    <row r="197" spans="2:9" x14ac:dyDescent="0.3">
      <c r="B197" t="s">
        <v>1295</v>
      </c>
      <c r="C197" t="s">
        <v>1500</v>
      </c>
      <c r="D197" t="s">
        <v>2658</v>
      </c>
      <c r="E197" s="24">
        <v>39111</v>
      </c>
      <c r="F197">
        <v>10</v>
      </c>
      <c r="G197">
        <v>1</v>
      </c>
      <c r="H197" t="s">
        <v>2927</v>
      </c>
      <c r="I197">
        <v>10</v>
      </c>
    </row>
    <row r="198" spans="2:9" x14ac:dyDescent="0.3">
      <c r="B198" t="s">
        <v>267</v>
      </c>
      <c r="C198" t="s">
        <v>1501</v>
      </c>
      <c r="D198" t="s">
        <v>2658</v>
      </c>
      <c r="E198" s="24">
        <v>38987</v>
      </c>
      <c r="F198">
        <v>10</v>
      </c>
      <c r="G198">
        <v>1</v>
      </c>
      <c r="H198" t="s">
        <v>2928</v>
      </c>
      <c r="I198">
        <v>10</v>
      </c>
    </row>
    <row r="199" spans="2:9" x14ac:dyDescent="0.3">
      <c r="B199" t="s">
        <v>268</v>
      </c>
      <c r="C199" t="s">
        <v>1502</v>
      </c>
      <c r="D199" t="s">
        <v>2658</v>
      </c>
      <c r="E199" s="24">
        <v>35305</v>
      </c>
      <c r="F199">
        <v>10</v>
      </c>
      <c r="G199">
        <v>1</v>
      </c>
      <c r="H199" t="s">
        <v>2929</v>
      </c>
      <c r="I199">
        <v>10</v>
      </c>
    </row>
    <row r="200" spans="2:9" x14ac:dyDescent="0.3">
      <c r="B200" t="s">
        <v>43</v>
      </c>
      <c r="C200" t="s">
        <v>1503</v>
      </c>
      <c r="D200" t="s">
        <v>2658</v>
      </c>
      <c r="E200" s="24">
        <v>38084</v>
      </c>
      <c r="F200">
        <v>5</v>
      </c>
      <c r="G200">
        <v>1</v>
      </c>
      <c r="H200" t="s">
        <v>2930</v>
      </c>
      <c r="I200">
        <v>5</v>
      </c>
    </row>
    <row r="201" spans="2:9" x14ac:dyDescent="0.3">
      <c r="B201" t="s">
        <v>2931</v>
      </c>
      <c r="C201" t="s">
        <v>2932</v>
      </c>
      <c r="D201" t="s">
        <v>2658</v>
      </c>
      <c r="E201" s="24">
        <v>35039</v>
      </c>
      <c r="F201">
        <v>10</v>
      </c>
      <c r="G201">
        <v>1</v>
      </c>
      <c r="H201" t="s">
        <v>2933</v>
      </c>
      <c r="I201">
        <v>10</v>
      </c>
    </row>
    <row r="202" spans="2:9" x14ac:dyDescent="0.3">
      <c r="B202" t="s">
        <v>269</v>
      </c>
      <c r="C202" t="s">
        <v>1504</v>
      </c>
      <c r="D202" t="s">
        <v>2658</v>
      </c>
      <c r="E202" s="24">
        <v>34801</v>
      </c>
      <c r="F202">
        <v>10</v>
      </c>
      <c r="G202">
        <v>1</v>
      </c>
      <c r="H202" t="s">
        <v>2934</v>
      </c>
      <c r="I202">
        <v>10</v>
      </c>
    </row>
    <row r="203" spans="2:9" x14ac:dyDescent="0.3">
      <c r="B203" t="s">
        <v>270</v>
      </c>
      <c r="C203" t="s">
        <v>1505</v>
      </c>
      <c r="D203" t="s">
        <v>2686</v>
      </c>
      <c r="E203" s="24">
        <v>39485</v>
      </c>
      <c r="F203">
        <v>1</v>
      </c>
      <c r="G203">
        <v>1</v>
      </c>
      <c r="H203" t="s">
        <v>2935</v>
      </c>
      <c r="I203">
        <v>1</v>
      </c>
    </row>
    <row r="204" spans="2:9" x14ac:dyDescent="0.3">
      <c r="B204" t="s">
        <v>271</v>
      </c>
      <c r="C204" t="s">
        <v>1506</v>
      </c>
      <c r="D204" t="s">
        <v>2686</v>
      </c>
      <c r="E204" s="24">
        <v>36677</v>
      </c>
      <c r="F204">
        <v>1</v>
      </c>
      <c r="G204">
        <v>1</v>
      </c>
      <c r="H204" t="s">
        <v>2936</v>
      </c>
      <c r="I204">
        <v>1</v>
      </c>
    </row>
    <row r="205" spans="2:9" x14ac:dyDescent="0.3">
      <c r="B205" t="s">
        <v>272</v>
      </c>
      <c r="C205" t="s">
        <v>1507</v>
      </c>
      <c r="D205" t="s">
        <v>2658</v>
      </c>
      <c r="E205" s="24">
        <v>40385</v>
      </c>
      <c r="F205">
        <v>1</v>
      </c>
      <c r="G205">
        <v>1</v>
      </c>
      <c r="H205" t="s">
        <v>2937</v>
      </c>
      <c r="I205">
        <v>1</v>
      </c>
    </row>
    <row r="206" spans="2:9" x14ac:dyDescent="0.3">
      <c r="B206" t="s">
        <v>273</v>
      </c>
      <c r="C206" t="s">
        <v>1508</v>
      </c>
      <c r="D206" t="s">
        <v>2658</v>
      </c>
      <c r="E206" s="24">
        <v>38793</v>
      </c>
      <c r="F206">
        <v>1</v>
      </c>
      <c r="G206">
        <v>1</v>
      </c>
      <c r="H206" t="s">
        <v>2938</v>
      </c>
      <c r="I206">
        <v>1</v>
      </c>
    </row>
    <row r="207" spans="2:9" x14ac:dyDescent="0.3">
      <c r="B207" t="s">
        <v>2939</v>
      </c>
      <c r="C207" t="s">
        <v>2940</v>
      </c>
      <c r="D207" t="s">
        <v>2658</v>
      </c>
      <c r="E207" s="24">
        <v>42535</v>
      </c>
      <c r="F207">
        <v>1</v>
      </c>
      <c r="G207">
        <v>1</v>
      </c>
      <c r="H207" t="s">
        <v>2941</v>
      </c>
      <c r="I207">
        <v>1</v>
      </c>
    </row>
    <row r="208" spans="2:9" x14ac:dyDescent="0.3">
      <c r="B208" t="s">
        <v>1296</v>
      </c>
      <c r="C208" t="s">
        <v>1509</v>
      </c>
      <c r="D208" t="s">
        <v>2658</v>
      </c>
      <c r="E208" s="24">
        <v>34738</v>
      </c>
      <c r="F208">
        <v>10</v>
      </c>
      <c r="G208">
        <v>1</v>
      </c>
      <c r="H208" t="s">
        <v>2942</v>
      </c>
      <c r="I208">
        <v>10</v>
      </c>
    </row>
    <row r="209" spans="2:9" x14ac:dyDescent="0.3">
      <c r="B209" t="s">
        <v>1297</v>
      </c>
      <c r="C209" t="s">
        <v>1510</v>
      </c>
      <c r="D209" t="s">
        <v>2658</v>
      </c>
      <c r="E209" s="24">
        <v>36572</v>
      </c>
      <c r="F209">
        <v>10</v>
      </c>
      <c r="G209">
        <v>1</v>
      </c>
      <c r="H209" t="s">
        <v>2943</v>
      </c>
      <c r="I209">
        <v>10</v>
      </c>
    </row>
    <row r="210" spans="2:9" x14ac:dyDescent="0.3">
      <c r="B210" t="s">
        <v>274</v>
      </c>
      <c r="C210" t="s">
        <v>1511</v>
      </c>
      <c r="D210" t="s">
        <v>2658</v>
      </c>
      <c r="E210" s="24">
        <v>37602</v>
      </c>
      <c r="F210">
        <v>10</v>
      </c>
      <c r="G210">
        <v>1</v>
      </c>
      <c r="H210" t="s">
        <v>2944</v>
      </c>
      <c r="I210">
        <v>10</v>
      </c>
    </row>
    <row r="211" spans="2:9" x14ac:dyDescent="0.3">
      <c r="B211" t="s">
        <v>275</v>
      </c>
      <c r="C211" t="s">
        <v>1512</v>
      </c>
      <c r="D211" t="s">
        <v>2658</v>
      </c>
      <c r="E211" s="24">
        <v>36692</v>
      </c>
      <c r="F211">
        <v>2</v>
      </c>
      <c r="G211">
        <v>1</v>
      </c>
      <c r="H211" t="s">
        <v>2945</v>
      </c>
      <c r="I211">
        <v>2</v>
      </c>
    </row>
    <row r="212" spans="2:9" x14ac:dyDescent="0.3">
      <c r="B212" t="s">
        <v>276</v>
      </c>
      <c r="C212" t="s">
        <v>1513</v>
      </c>
      <c r="D212" t="s">
        <v>2658</v>
      </c>
      <c r="E212" s="24">
        <v>40777</v>
      </c>
      <c r="F212">
        <v>2</v>
      </c>
      <c r="G212">
        <v>1</v>
      </c>
      <c r="H212" t="s">
        <v>2946</v>
      </c>
      <c r="I212">
        <v>2</v>
      </c>
    </row>
    <row r="213" spans="2:9" x14ac:dyDescent="0.3">
      <c r="B213" t="s">
        <v>277</v>
      </c>
      <c r="C213" t="s">
        <v>1514</v>
      </c>
      <c r="D213" t="s">
        <v>2658</v>
      </c>
      <c r="E213" s="24">
        <v>34815</v>
      </c>
      <c r="F213">
        <v>2</v>
      </c>
      <c r="G213">
        <v>1</v>
      </c>
      <c r="H213" t="s">
        <v>2947</v>
      </c>
      <c r="I213">
        <v>2</v>
      </c>
    </row>
    <row r="214" spans="2:9" x14ac:dyDescent="0.3">
      <c r="B214" t="s">
        <v>278</v>
      </c>
      <c r="C214" t="s">
        <v>1515</v>
      </c>
      <c r="D214" t="s">
        <v>2658</v>
      </c>
      <c r="E214" s="24">
        <v>37753</v>
      </c>
      <c r="F214">
        <v>10</v>
      </c>
      <c r="G214">
        <v>1</v>
      </c>
      <c r="H214" t="s">
        <v>2948</v>
      </c>
      <c r="I214">
        <v>10</v>
      </c>
    </row>
    <row r="215" spans="2:9" x14ac:dyDescent="0.3">
      <c r="B215" t="s">
        <v>279</v>
      </c>
      <c r="C215" t="s">
        <v>1516</v>
      </c>
      <c r="D215" t="s">
        <v>2658</v>
      </c>
      <c r="E215" s="24">
        <v>34955</v>
      </c>
      <c r="F215">
        <v>10</v>
      </c>
      <c r="G215">
        <v>1</v>
      </c>
      <c r="H215" t="s">
        <v>2949</v>
      </c>
      <c r="I215">
        <v>10</v>
      </c>
    </row>
    <row r="216" spans="2:9" x14ac:dyDescent="0.3">
      <c r="B216" t="s">
        <v>280</v>
      </c>
      <c r="C216" t="s">
        <v>1517</v>
      </c>
      <c r="D216" t="s">
        <v>2658</v>
      </c>
      <c r="E216" s="24">
        <v>34864</v>
      </c>
      <c r="F216">
        <v>10</v>
      </c>
      <c r="G216">
        <v>1</v>
      </c>
      <c r="H216" t="s">
        <v>2950</v>
      </c>
      <c r="I216">
        <v>10</v>
      </c>
    </row>
    <row r="217" spans="2:9" x14ac:dyDescent="0.3">
      <c r="B217" t="s">
        <v>281</v>
      </c>
      <c r="C217" t="s">
        <v>1518</v>
      </c>
      <c r="D217" t="s">
        <v>2658</v>
      </c>
      <c r="E217" s="24">
        <v>38691</v>
      </c>
      <c r="F217">
        <v>10</v>
      </c>
      <c r="G217">
        <v>1</v>
      </c>
      <c r="H217" t="s">
        <v>2951</v>
      </c>
      <c r="I217">
        <v>10</v>
      </c>
    </row>
    <row r="218" spans="2:9" x14ac:dyDescent="0.3">
      <c r="B218" t="s">
        <v>282</v>
      </c>
      <c r="C218" t="s">
        <v>1519</v>
      </c>
      <c r="D218" t="s">
        <v>2658</v>
      </c>
      <c r="E218" s="24">
        <v>39447</v>
      </c>
      <c r="F218">
        <v>10</v>
      </c>
      <c r="G218">
        <v>1</v>
      </c>
      <c r="H218" t="s">
        <v>2952</v>
      </c>
      <c r="I218">
        <v>10</v>
      </c>
    </row>
    <row r="219" spans="2:9" x14ac:dyDescent="0.3">
      <c r="B219" t="s">
        <v>44</v>
      </c>
      <c r="C219" t="s">
        <v>1520</v>
      </c>
      <c r="D219" t="s">
        <v>2658</v>
      </c>
      <c r="E219" s="24">
        <v>36104</v>
      </c>
      <c r="F219">
        <v>2</v>
      </c>
      <c r="G219">
        <v>1</v>
      </c>
      <c r="H219" t="s">
        <v>2953</v>
      </c>
      <c r="I219">
        <v>2</v>
      </c>
    </row>
    <row r="220" spans="2:9" x14ac:dyDescent="0.3">
      <c r="B220" t="s">
        <v>283</v>
      </c>
      <c r="C220" t="s">
        <v>1521</v>
      </c>
      <c r="D220" t="s">
        <v>2658</v>
      </c>
      <c r="E220" s="24">
        <v>40791</v>
      </c>
      <c r="F220">
        <v>10</v>
      </c>
      <c r="G220">
        <v>1</v>
      </c>
      <c r="H220" t="s">
        <v>2954</v>
      </c>
      <c r="I220">
        <v>10</v>
      </c>
    </row>
    <row r="221" spans="2:9" x14ac:dyDescent="0.3">
      <c r="B221" t="s">
        <v>2955</v>
      </c>
      <c r="C221" t="s">
        <v>2956</v>
      </c>
      <c r="D221" t="s">
        <v>2658</v>
      </c>
      <c r="E221" s="24">
        <v>42769</v>
      </c>
      <c r="F221">
        <v>2</v>
      </c>
      <c r="G221">
        <v>1</v>
      </c>
      <c r="H221" t="s">
        <v>2957</v>
      </c>
      <c r="I221">
        <v>2</v>
      </c>
    </row>
    <row r="222" spans="2:9" x14ac:dyDescent="0.3">
      <c r="B222" t="s">
        <v>284</v>
      </c>
      <c r="C222" t="s">
        <v>1522</v>
      </c>
      <c r="D222" t="s">
        <v>2686</v>
      </c>
      <c r="E222" s="24">
        <v>36929</v>
      </c>
      <c r="F222">
        <v>10</v>
      </c>
      <c r="G222">
        <v>1</v>
      </c>
      <c r="H222" t="s">
        <v>2958</v>
      </c>
      <c r="I222">
        <v>10</v>
      </c>
    </row>
    <row r="223" spans="2:9" x14ac:dyDescent="0.3">
      <c r="B223" t="s">
        <v>285</v>
      </c>
      <c r="C223" t="s">
        <v>1523</v>
      </c>
      <c r="D223" t="s">
        <v>2658</v>
      </c>
      <c r="E223" s="24">
        <v>34907</v>
      </c>
      <c r="F223">
        <v>10</v>
      </c>
      <c r="G223">
        <v>1</v>
      </c>
      <c r="H223" t="s">
        <v>2959</v>
      </c>
      <c r="I223">
        <v>10</v>
      </c>
    </row>
    <row r="224" spans="2:9" x14ac:dyDescent="0.3">
      <c r="B224" t="s">
        <v>286</v>
      </c>
      <c r="C224" t="s">
        <v>2960</v>
      </c>
      <c r="D224" t="s">
        <v>2658</v>
      </c>
      <c r="E224" s="24">
        <v>40478</v>
      </c>
      <c r="F224">
        <v>1</v>
      </c>
      <c r="G224">
        <v>1</v>
      </c>
      <c r="H224" t="s">
        <v>2961</v>
      </c>
      <c r="I224">
        <v>1</v>
      </c>
    </row>
    <row r="225" spans="2:9" x14ac:dyDescent="0.3">
      <c r="B225" t="s">
        <v>287</v>
      </c>
      <c r="C225" t="s">
        <v>1524</v>
      </c>
      <c r="D225" t="s">
        <v>2658</v>
      </c>
      <c r="E225" s="24">
        <v>39450</v>
      </c>
      <c r="F225">
        <v>10</v>
      </c>
      <c r="G225">
        <v>1</v>
      </c>
      <c r="H225" t="s">
        <v>2962</v>
      </c>
      <c r="I225">
        <v>10</v>
      </c>
    </row>
    <row r="226" spans="2:9" x14ac:dyDescent="0.3">
      <c r="B226" t="s">
        <v>288</v>
      </c>
      <c r="C226" t="s">
        <v>1525</v>
      </c>
      <c r="D226" t="s">
        <v>2658</v>
      </c>
      <c r="E226" s="24">
        <v>41757</v>
      </c>
      <c r="F226">
        <v>10</v>
      </c>
      <c r="G226">
        <v>1</v>
      </c>
      <c r="H226" t="s">
        <v>2963</v>
      </c>
      <c r="I226">
        <v>10</v>
      </c>
    </row>
    <row r="227" spans="2:9" x14ac:dyDescent="0.3">
      <c r="B227" t="s">
        <v>289</v>
      </c>
      <c r="C227" t="s">
        <v>1526</v>
      </c>
      <c r="D227" t="s">
        <v>2686</v>
      </c>
      <c r="E227" s="24">
        <v>39409</v>
      </c>
      <c r="F227">
        <v>10</v>
      </c>
      <c r="G227">
        <v>1</v>
      </c>
      <c r="H227" t="s">
        <v>2964</v>
      </c>
      <c r="I227">
        <v>10</v>
      </c>
    </row>
    <row r="228" spans="2:9" x14ac:dyDescent="0.3">
      <c r="B228" t="s">
        <v>2965</v>
      </c>
      <c r="C228" t="s">
        <v>2966</v>
      </c>
      <c r="D228" t="s">
        <v>2658</v>
      </c>
      <c r="E228" s="24">
        <v>42109</v>
      </c>
      <c r="F228">
        <v>10</v>
      </c>
      <c r="G228">
        <v>1</v>
      </c>
      <c r="H228" t="s">
        <v>2967</v>
      </c>
      <c r="I228">
        <v>10</v>
      </c>
    </row>
    <row r="229" spans="2:9" x14ac:dyDescent="0.3">
      <c r="B229" t="s">
        <v>45</v>
      </c>
      <c r="C229" t="s">
        <v>1527</v>
      </c>
      <c r="D229" t="s">
        <v>2658</v>
      </c>
      <c r="E229" s="24">
        <v>36634</v>
      </c>
      <c r="F229">
        <v>1</v>
      </c>
      <c r="G229">
        <v>1</v>
      </c>
      <c r="H229" t="s">
        <v>2968</v>
      </c>
      <c r="I229">
        <v>1</v>
      </c>
    </row>
    <row r="230" spans="2:9" x14ac:dyDescent="0.3">
      <c r="B230" t="s">
        <v>290</v>
      </c>
      <c r="C230" t="s">
        <v>1528</v>
      </c>
      <c r="D230" t="s">
        <v>2681</v>
      </c>
      <c r="E230" s="24">
        <v>36705</v>
      </c>
      <c r="F230">
        <v>10</v>
      </c>
      <c r="G230">
        <v>1</v>
      </c>
      <c r="H230" t="s">
        <v>2969</v>
      </c>
      <c r="I230">
        <v>10</v>
      </c>
    </row>
    <row r="231" spans="2:9" x14ac:dyDescent="0.3">
      <c r="B231" t="s">
        <v>290</v>
      </c>
      <c r="C231" t="s">
        <v>1528</v>
      </c>
      <c r="D231" t="s">
        <v>2658</v>
      </c>
      <c r="E231" s="24">
        <v>36705</v>
      </c>
      <c r="F231">
        <v>10</v>
      </c>
      <c r="G231">
        <v>1</v>
      </c>
      <c r="H231" t="s">
        <v>2969</v>
      </c>
      <c r="I231">
        <v>10</v>
      </c>
    </row>
    <row r="232" spans="2:9" x14ac:dyDescent="0.3">
      <c r="B232" t="s">
        <v>2970</v>
      </c>
      <c r="C232" t="s">
        <v>2971</v>
      </c>
      <c r="D232" t="s">
        <v>2658</v>
      </c>
      <c r="E232" s="24">
        <v>42024</v>
      </c>
      <c r="F232">
        <v>1</v>
      </c>
      <c r="G232">
        <v>1</v>
      </c>
      <c r="H232" t="s">
        <v>2972</v>
      </c>
      <c r="I232">
        <v>1</v>
      </c>
    </row>
    <row r="233" spans="2:9" x14ac:dyDescent="0.3">
      <c r="B233" t="s">
        <v>46</v>
      </c>
      <c r="C233" t="s">
        <v>1529</v>
      </c>
      <c r="D233" t="s">
        <v>2658</v>
      </c>
      <c r="E233" s="24">
        <v>37613</v>
      </c>
      <c r="F233">
        <v>10</v>
      </c>
      <c r="G233">
        <v>1</v>
      </c>
      <c r="H233" t="s">
        <v>2973</v>
      </c>
      <c r="I233">
        <v>10</v>
      </c>
    </row>
    <row r="234" spans="2:9" x14ac:dyDescent="0.3">
      <c r="B234" t="s">
        <v>291</v>
      </c>
      <c r="C234" t="s">
        <v>1530</v>
      </c>
      <c r="D234" t="s">
        <v>2686</v>
      </c>
      <c r="E234" s="24">
        <v>39139</v>
      </c>
      <c r="F234">
        <v>10</v>
      </c>
      <c r="G234">
        <v>1</v>
      </c>
      <c r="H234" t="s">
        <v>2974</v>
      </c>
      <c r="I234">
        <v>10</v>
      </c>
    </row>
    <row r="235" spans="2:9" x14ac:dyDescent="0.3">
      <c r="B235" t="s">
        <v>292</v>
      </c>
      <c r="C235" t="s">
        <v>1531</v>
      </c>
      <c r="D235" t="s">
        <v>2658</v>
      </c>
      <c r="E235" s="24">
        <v>34829</v>
      </c>
      <c r="F235">
        <v>10</v>
      </c>
      <c r="G235">
        <v>1</v>
      </c>
      <c r="H235" t="s">
        <v>2975</v>
      </c>
      <c r="I235">
        <v>10</v>
      </c>
    </row>
    <row r="236" spans="2:9" x14ac:dyDescent="0.3">
      <c r="B236" t="s">
        <v>293</v>
      </c>
      <c r="C236" t="s">
        <v>1532</v>
      </c>
      <c r="D236" t="s">
        <v>2658</v>
      </c>
      <c r="E236" s="24">
        <v>40463</v>
      </c>
      <c r="F236">
        <v>10</v>
      </c>
      <c r="G236">
        <v>1</v>
      </c>
      <c r="H236" t="s">
        <v>2976</v>
      </c>
      <c r="I236">
        <v>10</v>
      </c>
    </row>
    <row r="237" spans="2:9" x14ac:dyDescent="0.3">
      <c r="B237" t="s">
        <v>294</v>
      </c>
      <c r="C237" t="s">
        <v>1533</v>
      </c>
      <c r="D237" t="s">
        <v>2658</v>
      </c>
      <c r="E237" s="24">
        <v>39479</v>
      </c>
      <c r="F237">
        <v>10</v>
      </c>
      <c r="G237">
        <v>1</v>
      </c>
      <c r="H237" t="s">
        <v>2977</v>
      </c>
      <c r="I237">
        <v>10</v>
      </c>
    </row>
    <row r="238" spans="2:9" x14ac:dyDescent="0.3">
      <c r="B238" t="s">
        <v>295</v>
      </c>
      <c r="C238" t="s">
        <v>1534</v>
      </c>
      <c r="D238" t="s">
        <v>2658</v>
      </c>
      <c r="E238" s="24">
        <v>41813</v>
      </c>
      <c r="F238">
        <v>2</v>
      </c>
      <c r="G238">
        <v>1</v>
      </c>
      <c r="H238" t="s">
        <v>2978</v>
      </c>
      <c r="I238">
        <v>2</v>
      </c>
    </row>
    <row r="239" spans="2:9" x14ac:dyDescent="0.3">
      <c r="B239" t="s">
        <v>2979</v>
      </c>
      <c r="C239" t="s">
        <v>2980</v>
      </c>
      <c r="D239" t="s">
        <v>2658</v>
      </c>
      <c r="E239" s="24">
        <v>42751</v>
      </c>
      <c r="F239">
        <v>10</v>
      </c>
      <c r="G239">
        <v>1</v>
      </c>
      <c r="H239" t="s">
        <v>2981</v>
      </c>
      <c r="I239">
        <v>10</v>
      </c>
    </row>
    <row r="240" spans="2:9" x14ac:dyDescent="0.3">
      <c r="B240" t="s">
        <v>296</v>
      </c>
      <c r="C240" t="s">
        <v>1535</v>
      </c>
      <c r="D240" t="s">
        <v>2658</v>
      </c>
      <c r="E240" s="24">
        <v>35158</v>
      </c>
      <c r="F240">
        <v>1</v>
      </c>
      <c r="G240">
        <v>1</v>
      </c>
      <c r="H240" t="s">
        <v>2982</v>
      </c>
      <c r="I240">
        <v>1</v>
      </c>
    </row>
    <row r="241" spans="2:9" x14ac:dyDescent="0.3">
      <c r="B241" t="s">
        <v>297</v>
      </c>
      <c r="C241" t="s">
        <v>1536</v>
      </c>
      <c r="D241" t="s">
        <v>2658</v>
      </c>
      <c r="E241" s="24">
        <v>40457</v>
      </c>
      <c r="F241">
        <v>10</v>
      </c>
      <c r="G241">
        <v>1</v>
      </c>
      <c r="H241" t="s">
        <v>2983</v>
      </c>
      <c r="I241">
        <v>10</v>
      </c>
    </row>
    <row r="242" spans="2:9" x14ac:dyDescent="0.3">
      <c r="B242" t="s">
        <v>298</v>
      </c>
      <c r="C242" t="s">
        <v>1537</v>
      </c>
      <c r="D242" t="s">
        <v>2658</v>
      </c>
      <c r="E242" s="24">
        <v>41269</v>
      </c>
      <c r="F242">
        <v>10</v>
      </c>
      <c r="G242">
        <v>1</v>
      </c>
      <c r="H242" t="s">
        <v>2984</v>
      </c>
      <c r="I242">
        <v>10</v>
      </c>
    </row>
    <row r="243" spans="2:9" x14ac:dyDescent="0.3">
      <c r="B243" t="s">
        <v>2985</v>
      </c>
      <c r="C243" t="s">
        <v>2986</v>
      </c>
      <c r="D243" t="s">
        <v>2658</v>
      </c>
      <c r="E243" s="24">
        <v>38530</v>
      </c>
      <c r="F243">
        <v>2</v>
      </c>
      <c r="G243">
        <v>1</v>
      </c>
      <c r="H243" t="s">
        <v>2987</v>
      </c>
      <c r="I243">
        <v>2</v>
      </c>
    </row>
    <row r="244" spans="2:9" x14ac:dyDescent="0.3">
      <c r="B244" t="s">
        <v>299</v>
      </c>
      <c r="C244" t="s">
        <v>1538</v>
      </c>
      <c r="D244" t="s">
        <v>2658</v>
      </c>
      <c r="E244" s="24">
        <v>41712</v>
      </c>
      <c r="F244">
        <v>5</v>
      </c>
      <c r="G244">
        <v>1</v>
      </c>
      <c r="H244" t="s">
        <v>2988</v>
      </c>
      <c r="I244">
        <v>5</v>
      </c>
    </row>
    <row r="245" spans="2:9" x14ac:dyDescent="0.3">
      <c r="B245" t="s">
        <v>300</v>
      </c>
      <c r="C245" t="s">
        <v>1539</v>
      </c>
      <c r="D245" t="s">
        <v>2686</v>
      </c>
      <c r="E245" s="24">
        <v>39370</v>
      </c>
      <c r="F245">
        <v>2</v>
      </c>
      <c r="G245">
        <v>1</v>
      </c>
      <c r="H245" t="s">
        <v>2989</v>
      </c>
      <c r="I245">
        <v>2</v>
      </c>
    </row>
    <row r="246" spans="2:9" x14ac:dyDescent="0.3">
      <c r="B246" t="s">
        <v>2990</v>
      </c>
      <c r="C246" t="s">
        <v>2991</v>
      </c>
      <c r="D246" t="s">
        <v>2658</v>
      </c>
      <c r="E246" s="24">
        <v>42038</v>
      </c>
      <c r="F246">
        <v>2</v>
      </c>
      <c r="G246">
        <v>1</v>
      </c>
      <c r="H246" t="s">
        <v>2992</v>
      </c>
      <c r="I246">
        <v>2</v>
      </c>
    </row>
    <row r="247" spans="2:9" x14ac:dyDescent="0.3">
      <c r="B247" t="s">
        <v>301</v>
      </c>
      <c r="C247" t="s">
        <v>1540</v>
      </c>
      <c r="D247" t="s">
        <v>2658</v>
      </c>
      <c r="E247" s="24">
        <v>38145</v>
      </c>
      <c r="F247">
        <v>2</v>
      </c>
      <c r="G247">
        <v>1</v>
      </c>
      <c r="H247" t="s">
        <v>2993</v>
      </c>
      <c r="I247">
        <v>2</v>
      </c>
    </row>
    <row r="248" spans="2:9" x14ac:dyDescent="0.3">
      <c r="B248" t="s">
        <v>302</v>
      </c>
      <c r="C248" t="s">
        <v>1541</v>
      </c>
      <c r="D248" t="s">
        <v>2658</v>
      </c>
      <c r="E248" s="24">
        <v>39479</v>
      </c>
      <c r="F248">
        <v>10</v>
      </c>
      <c r="G248">
        <v>1</v>
      </c>
      <c r="H248" t="s">
        <v>2994</v>
      </c>
      <c r="I248">
        <v>10</v>
      </c>
    </row>
    <row r="249" spans="2:9" x14ac:dyDescent="0.3">
      <c r="B249" t="s">
        <v>303</v>
      </c>
      <c r="C249" t="s">
        <v>1542</v>
      </c>
      <c r="D249" t="s">
        <v>2658</v>
      </c>
      <c r="E249" s="24">
        <v>40469</v>
      </c>
      <c r="F249">
        <v>10</v>
      </c>
      <c r="G249">
        <v>1</v>
      </c>
      <c r="H249" t="s">
        <v>2995</v>
      </c>
      <c r="I249">
        <v>10</v>
      </c>
    </row>
    <row r="250" spans="2:9" x14ac:dyDescent="0.3">
      <c r="B250" t="s">
        <v>304</v>
      </c>
      <c r="C250" t="s">
        <v>1543</v>
      </c>
      <c r="D250" t="s">
        <v>2658</v>
      </c>
      <c r="E250" s="24">
        <v>38729</v>
      </c>
      <c r="F250">
        <v>10</v>
      </c>
      <c r="G250">
        <v>1</v>
      </c>
      <c r="H250" t="s">
        <v>2996</v>
      </c>
      <c r="I250">
        <v>10</v>
      </c>
    </row>
    <row r="251" spans="2:9" x14ac:dyDescent="0.3">
      <c r="B251" t="s">
        <v>305</v>
      </c>
      <c r="C251" t="s">
        <v>1544</v>
      </c>
      <c r="D251" t="s">
        <v>2658</v>
      </c>
      <c r="E251" s="24">
        <v>39280</v>
      </c>
      <c r="F251">
        <v>10</v>
      </c>
      <c r="G251">
        <v>1</v>
      </c>
      <c r="H251" t="s">
        <v>2997</v>
      </c>
      <c r="I251">
        <v>10</v>
      </c>
    </row>
    <row r="252" spans="2:9" x14ac:dyDescent="0.3">
      <c r="B252" t="s">
        <v>306</v>
      </c>
      <c r="C252" t="s">
        <v>1545</v>
      </c>
      <c r="D252" t="s">
        <v>2658</v>
      </c>
      <c r="E252" s="24">
        <v>34829</v>
      </c>
      <c r="F252">
        <v>10</v>
      </c>
      <c r="G252">
        <v>1</v>
      </c>
      <c r="H252" t="s">
        <v>2998</v>
      </c>
      <c r="I252">
        <v>10</v>
      </c>
    </row>
    <row r="253" spans="2:9" x14ac:dyDescent="0.3">
      <c r="B253" t="s">
        <v>307</v>
      </c>
      <c r="C253" t="s">
        <v>1546</v>
      </c>
      <c r="D253" t="s">
        <v>2686</v>
      </c>
      <c r="E253" s="24">
        <v>38188</v>
      </c>
      <c r="F253">
        <v>1</v>
      </c>
      <c r="G253">
        <v>1</v>
      </c>
      <c r="H253" t="s">
        <v>2999</v>
      </c>
      <c r="I253">
        <v>1</v>
      </c>
    </row>
    <row r="254" spans="2:9" x14ac:dyDescent="0.3">
      <c r="B254" t="s">
        <v>308</v>
      </c>
      <c r="C254" t="s">
        <v>1547</v>
      </c>
      <c r="D254" t="s">
        <v>2658</v>
      </c>
      <c r="E254" s="24">
        <v>39315</v>
      </c>
      <c r="F254">
        <v>10</v>
      </c>
      <c r="G254">
        <v>1</v>
      </c>
      <c r="H254" t="s">
        <v>3000</v>
      </c>
      <c r="I254">
        <v>10</v>
      </c>
    </row>
    <row r="255" spans="2:9" x14ac:dyDescent="0.3">
      <c r="B255" t="s">
        <v>309</v>
      </c>
      <c r="C255" t="s">
        <v>1548</v>
      </c>
      <c r="D255" t="s">
        <v>2658</v>
      </c>
      <c r="E255" s="24">
        <v>39360</v>
      </c>
      <c r="F255">
        <v>10</v>
      </c>
      <c r="G255">
        <v>1</v>
      </c>
      <c r="H255" t="s">
        <v>3001</v>
      </c>
      <c r="I255">
        <v>10</v>
      </c>
    </row>
    <row r="256" spans="2:9" x14ac:dyDescent="0.3">
      <c r="B256" t="s">
        <v>310</v>
      </c>
      <c r="C256" t="s">
        <v>1549</v>
      </c>
      <c r="D256" t="s">
        <v>2658</v>
      </c>
      <c r="E256" s="24">
        <v>38799</v>
      </c>
      <c r="F256">
        <v>1</v>
      </c>
      <c r="G256">
        <v>1</v>
      </c>
      <c r="H256" t="s">
        <v>3002</v>
      </c>
      <c r="I256">
        <v>1</v>
      </c>
    </row>
    <row r="257" spans="2:9" x14ac:dyDescent="0.3">
      <c r="B257" t="s">
        <v>47</v>
      </c>
      <c r="C257" t="s">
        <v>1550</v>
      </c>
      <c r="D257" t="s">
        <v>2658</v>
      </c>
      <c r="E257" s="24">
        <v>37799</v>
      </c>
      <c r="F257">
        <v>10</v>
      </c>
      <c r="G257">
        <v>1</v>
      </c>
      <c r="H257" t="s">
        <v>3003</v>
      </c>
      <c r="I257">
        <v>10</v>
      </c>
    </row>
    <row r="258" spans="2:9" x14ac:dyDescent="0.3">
      <c r="B258" t="s">
        <v>311</v>
      </c>
      <c r="C258" t="s">
        <v>1551</v>
      </c>
      <c r="D258" t="s">
        <v>2658</v>
      </c>
      <c r="E258" s="24">
        <v>39388</v>
      </c>
      <c r="F258">
        <v>5</v>
      </c>
      <c r="G258">
        <v>1</v>
      </c>
      <c r="H258" t="s">
        <v>3004</v>
      </c>
      <c r="I258">
        <v>5</v>
      </c>
    </row>
    <row r="259" spans="2:9" x14ac:dyDescent="0.3">
      <c r="B259" t="s">
        <v>312</v>
      </c>
      <c r="C259" t="s">
        <v>1552</v>
      </c>
      <c r="D259" t="s">
        <v>2658</v>
      </c>
      <c r="E259" s="24">
        <v>41451</v>
      </c>
      <c r="F259">
        <v>10</v>
      </c>
      <c r="G259">
        <v>1</v>
      </c>
      <c r="H259" t="s">
        <v>3005</v>
      </c>
      <c r="I259">
        <v>10</v>
      </c>
    </row>
    <row r="260" spans="2:9" x14ac:dyDescent="0.3">
      <c r="B260" t="s">
        <v>15</v>
      </c>
      <c r="C260" t="s">
        <v>1553</v>
      </c>
      <c r="D260" t="s">
        <v>2658</v>
      </c>
      <c r="E260" s="24">
        <v>34738</v>
      </c>
      <c r="F260">
        <v>10</v>
      </c>
      <c r="G260">
        <v>1</v>
      </c>
      <c r="H260" t="s">
        <v>3006</v>
      </c>
      <c r="I260">
        <v>10</v>
      </c>
    </row>
    <row r="261" spans="2:9" x14ac:dyDescent="0.3">
      <c r="B261" t="s">
        <v>313</v>
      </c>
      <c r="C261" t="s">
        <v>1554</v>
      </c>
      <c r="D261" t="s">
        <v>2658</v>
      </c>
      <c r="E261" s="24">
        <v>40480</v>
      </c>
      <c r="F261">
        <v>2</v>
      </c>
      <c r="G261">
        <v>1</v>
      </c>
      <c r="H261" t="s">
        <v>3007</v>
      </c>
      <c r="I261">
        <v>2</v>
      </c>
    </row>
    <row r="262" spans="2:9" x14ac:dyDescent="0.3">
      <c r="B262" t="s">
        <v>3008</v>
      </c>
      <c r="C262" t="s">
        <v>3009</v>
      </c>
      <c r="D262" t="s">
        <v>2658</v>
      </c>
      <c r="E262" s="24">
        <v>34759</v>
      </c>
      <c r="F262">
        <v>2</v>
      </c>
      <c r="G262">
        <v>1</v>
      </c>
      <c r="H262" t="s">
        <v>3010</v>
      </c>
      <c r="I262">
        <v>2</v>
      </c>
    </row>
    <row r="263" spans="2:9" x14ac:dyDescent="0.3">
      <c r="B263" t="s">
        <v>314</v>
      </c>
      <c r="C263" t="s">
        <v>1555</v>
      </c>
      <c r="D263" t="s">
        <v>2658</v>
      </c>
      <c r="E263" s="24">
        <v>34864</v>
      </c>
      <c r="F263">
        <v>10</v>
      </c>
      <c r="G263">
        <v>1</v>
      </c>
      <c r="H263" t="s">
        <v>3011</v>
      </c>
      <c r="I263">
        <v>10</v>
      </c>
    </row>
    <row r="264" spans="2:9" x14ac:dyDescent="0.3">
      <c r="B264" t="s">
        <v>315</v>
      </c>
      <c r="C264" t="s">
        <v>1556</v>
      </c>
      <c r="D264" t="s">
        <v>2658</v>
      </c>
      <c r="E264" s="24">
        <v>36684</v>
      </c>
      <c r="F264">
        <v>10</v>
      </c>
      <c r="G264">
        <v>1</v>
      </c>
      <c r="H264" t="s">
        <v>3012</v>
      </c>
      <c r="I264">
        <v>10</v>
      </c>
    </row>
    <row r="265" spans="2:9" x14ac:dyDescent="0.3">
      <c r="B265" t="s">
        <v>110</v>
      </c>
      <c r="C265" t="s">
        <v>1557</v>
      </c>
      <c r="D265" t="s">
        <v>2658</v>
      </c>
      <c r="E265" s="24">
        <v>35200</v>
      </c>
      <c r="F265">
        <v>10</v>
      </c>
      <c r="G265">
        <v>1</v>
      </c>
      <c r="H265" t="s">
        <v>3013</v>
      </c>
      <c r="I265">
        <v>10</v>
      </c>
    </row>
    <row r="266" spans="2:9" x14ac:dyDescent="0.3">
      <c r="B266" t="s">
        <v>316</v>
      </c>
      <c r="C266" t="s">
        <v>1558</v>
      </c>
      <c r="D266" t="s">
        <v>2658</v>
      </c>
      <c r="E266" s="24">
        <v>41058</v>
      </c>
      <c r="F266">
        <v>10</v>
      </c>
      <c r="G266">
        <v>1</v>
      </c>
      <c r="H266" t="s">
        <v>3014</v>
      </c>
      <c r="I266">
        <v>10</v>
      </c>
    </row>
    <row r="267" spans="2:9" x14ac:dyDescent="0.3">
      <c r="B267" t="s">
        <v>317</v>
      </c>
      <c r="C267" t="s">
        <v>1559</v>
      </c>
      <c r="D267" t="s">
        <v>2658</v>
      </c>
      <c r="E267" s="24">
        <v>41925</v>
      </c>
      <c r="F267">
        <v>10</v>
      </c>
      <c r="G267">
        <v>1</v>
      </c>
      <c r="H267" t="s">
        <v>3015</v>
      </c>
      <c r="I267">
        <v>10</v>
      </c>
    </row>
    <row r="268" spans="2:9" x14ac:dyDescent="0.3">
      <c r="B268" t="s">
        <v>318</v>
      </c>
      <c r="C268" t="s">
        <v>1560</v>
      </c>
      <c r="D268" t="s">
        <v>2686</v>
      </c>
      <c r="E268" s="24">
        <v>40794</v>
      </c>
      <c r="F268">
        <v>10</v>
      </c>
      <c r="G268">
        <v>1</v>
      </c>
      <c r="H268" t="s">
        <v>3016</v>
      </c>
      <c r="I268">
        <v>10</v>
      </c>
    </row>
    <row r="269" spans="2:9" x14ac:dyDescent="0.3">
      <c r="B269" t="s">
        <v>319</v>
      </c>
      <c r="C269" t="s">
        <v>1561</v>
      </c>
      <c r="D269" t="s">
        <v>2658</v>
      </c>
      <c r="E269" s="24">
        <v>41073</v>
      </c>
      <c r="F269">
        <v>5</v>
      </c>
      <c r="G269">
        <v>1</v>
      </c>
      <c r="H269" t="s">
        <v>3017</v>
      </c>
      <c r="I269">
        <v>5</v>
      </c>
    </row>
    <row r="270" spans="2:9" x14ac:dyDescent="0.3">
      <c r="B270" t="s">
        <v>320</v>
      </c>
      <c r="C270" t="s">
        <v>1562</v>
      </c>
      <c r="D270" t="s">
        <v>2686</v>
      </c>
      <c r="E270" s="24">
        <v>36649</v>
      </c>
      <c r="F270">
        <v>2</v>
      </c>
      <c r="G270">
        <v>1</v>
      </c>
      <c r="H270" t="s">
        <v>3018</v>
      </c>
      <c r="I270">
        <v>2</v>
      </c>
    </row>
    <row r="271" spans="2:9" x14ac:dyDescent="0.3">
      <c r="B271" t="s">
        <v>321</v>
      </c>
      <c r="C271" t="s">
        <v>1563</v>
      </c>
      <c r="D271" t="s">
        <v>2658</v>
      </c>
      <c r="E271" s="24">
        <v>34738</v>
      </c>
      <c r="F271">
        <v>2</v>
      </c>
      <c r="G271">
        <v>1</v>
      </c>
      <c r="H271" t="s">
        <v>3019</v>
      </c>
      <c r="I271">
        <v>2</v>
      </c>
    </row>
    <row r="272" spans="2:9" x14ac:dyDescent="0.3">
      <c r="B272" t="s">
        <v>3020</v>
      </c>
      <c r="C272" t="s">
        <v>3021</v>
      </c>
      <c r="D272" t="s">
        <v>2658</v>
      </c>
      <c r="E272" s="24">
        <v>42825</v>
      </c>
      <c r="F272">
        <v>10</v>
      </c>
      <c r="G272">
        <v>1</v>
      </c>
      <c r="H272" t="s">
        <v>3022</v>
      </c>
      <c r="I272">
        <v>10</v>
      </c>
    </row>
    <row r="273" spans="2:9" x14ac:dyDescent="0.3">
      <c r="B273" t="s">
        <v>322</v>
      </c>
      <c r="C273" t="s">
        <v>1564</v>
      </c>
      <c r="D273" t="s">
        <v>2658</v>
      </c>
      <c r="E273" s="24">
        <v>34864</v>
      </c>
      <c r="F273">
        <v>10</v>
      </c>
      <c r="G273">
        <v>1</v>
      </c>
      <c r="H273" t="s">
        <v>3023</v>
      </c>
      <c r="I273">
        <v>10</v>
      </c>
    </row>
    <row r="274" spans="2:9" x14ac:dyDescent="0.3">
      <c r="B274" t="s">
        <v>3024</v>
      </c>
      <c r="C274" t="s">
        <v>3025</v>
      </c>
      <c r="D274" t="s">
        <v>2658</v>
      </c>
      <c r="E274" s="24">
        <v>42703</v>
      </c>
      <c r="F274">
        <v>10</v>
      </c>
      <c r="G274">
        <v>1</v>
      </c>
      <c r="H274" t="s">
        <v>3026</v>
      </c>
      <c r="I274">
        <v>10</v>
      </c>
    </row>
    <row r="275" spans="2:9" x14ac:dyDescent="0.3">
      <c r="B275" t="s">
        <v>1298</v>
      </c>
      <c r="C275" t="s">
        <v>1565</v>
      </c>
      <c r="D275" t="s">
        <v>2658</v>
      </c>
      <c r="E275" s="24">
        <v>41640</v>
      </c>
      <c r="F275">
        <v>10</v>
      </c>
      <c r="G275">
        <v>1</v>
      </c>
      <c r="H275" t="s">
        <v>3027</v>
      </c>
      <c r="I275">
        <v>10</v>
      </c>
    </row>
    <row r="276" spans="2:9" x14ac:dyDescent="0.3">
      <c r="B276" t="s">
        <v>323</v>
      </c>
      <c r="C276" t="s">
        <v>1566</v>
      </c>
      <c r="D276" t="s">
        <v>2658</v>
      </c>
      <c r="E276" s="24">
        <v>40486</v>
      </c>
      <c r="F276">
        <v>10</v>
      </c>
      <c r="G276">
        <v>1</v>
      </c>
      <c r="H276" t="s">
        <v>3028</v>
      </c>
      <c r="I276">
        <v>10</v>
      </c>
    </row>
    <row r="277" spans="2:9" x14ac:dyDescent="0.3">
      <c r="B277" t="s">
        <v>3029</v>
      </c>
      <c r="C277" t="s">
        <v>3030</v>
      </c>
      <c r="D277" t="s">
        <v>2658</v>
      </c>
      <c r="E277" s="24">
        <v>42310</v>
      </c>
      <c r="F277">
        <v>10</v>
      </c>
      <c r="G277">
        <v>1</v>
      </c>
      <c r="H277" t="s">
        <v>3031</v>
      </c>
      <c r="I277">
        <v>10</v>
      </c>
    </row>
    <row r="278" spans="2:9" x14ac:dyDescent="0.3">
      <c r="B278" t="s">
        <v>324</v>
      </c>
      <c r="C278" t="s">
        <v>1567</v>
      </c>
      <c r="D278" t="s">
        <v>2658</v>
      </c>
      <c r="E278" s="24">
        <v>39433</v>
      </c>
      <c r="F278">
        <v>1</v>
      </c>
      <c r="G278">
        <v>1</v>
      </c>
      <c r="H278" t="s">
        <v>3032</v>
      </c>
      <c r="I278">
        <v>1</v>
      </c>
    </row>
    <row r="279" spans="2:9" x14ac:dyDescent="0.3">
      <c r="B279" t="s">
        <v>3033</v>
      </c>
      <c r="C279" t="s">
        <v>3034</v>
      </c>
      <c r="D279" t="s">
        <v>2658</v>
      </c>
      <c r="E279" s="24">
        <v>42558</v>
      </c>
      <c r="F279">
        <v>2</v>
      </c>
      <c r="G279">
        <v>1</v>
      </c>
      <c r="H279" t="s">
        <v>3035</v>
      </c>
      <c r="I279">
        <v>2</v>
      </c>
    </row>
    <row r="280" spans="2:9" x14ac:dyDescent="0.3">
      <c r="B280" t="s">
        <v>325</v>
      </c>
      <c r="C280" t="s">
        <v>1568</v>
      </c>
      <c r="D280" t="s">
        <v>2658</v>
      </c>
      <c r="E280" s="24">
        <v>40970</v>
      </c>
      <c r="F280">
        <v>2</v>
      </c>
      <c r="G280">
        <v>1</v>
      </c>
      <c r="H280" t="s">
        <v>3036</v>
      </c>
      <c r="I280">
        <v>2</v>
      </c>
    </row>
    <row r="281" spans="2:9" x14ac:dyDescent="0.3">
      <c r="B281" t="s">
        <v>48</v>
      </c>
      <c r="C281" t="s">
        <v>1569</v>
      </c>
      <c r="D281" t="s">
        <v>2658</v>
      </c>
      <c r="E281" s="24">
        <v>35557</v>
      </c>
      <c r="F281">
        <v>10</v>
      </c>
      <c r="G281">
        <v>1</v>
      </c>
      <c r="H281" t="s">
        <v>3037</v>
      </c>
      <c r="I281">
        <v>10</v>
      </c>
    </row>
    <row r="282" spans="2:9" x14ac:dyDescent="0.3">
      <c r="B282" t="s">
        <v>326</v>
      </c>
      <c r="C282" t="s">
        <v>1570</v>
      </c>
      <c r="D282" t="s">
        <v>2658</v>
      </c>
      <c r="E282" s="24">
        <v>38440</v>
      </c>
      <c r="F282">
        <v>10</v>
      </c>
      <c r="G282">
        <v>1</v>
      </c>
      <c r="H282" t="s">
        <v>3038</v>
      </c>
      <c r="I282">
        <v>10</v>
      </c>
    </row>
    <row r="283" spans="2:9" x14ac:dyDescent="0.3">
      <c r="B283" t="s">
        <v>3039</v>
      </c>
      <c r="C283" t="s">
        <v>3040</v>
      </c>
      <c r="D283" t="s">
        <v>2658</v>
      </c>
      <c r="E283" s="24">
        <v>42545</v>
      </c>
      <c r="F283">
        <v>10</v>
      </c>
      <c r="G283">
        <v>1</v>
      </c>
      <c r="H283" t="s">
        <v>3041</v>
      </c>
      <c r="I283">
        <v>10</v>
      </c>
    </row>
    <row r="284" spans="2:9" x14ac:dyDescent="0.3">
      <c r="B284" t="s">
        <v>1299</v>
      </c>
      <c r="C284" t="s">
        <v>1571</v>
      </c>
      <c r="D284" t="s">
        <v>2686</v>
      </c>
      <c r="E284" s="24">
        <v>37083</v>
      </c>
      <c r="F284">
        <v>10</v>
      </c>
      <c r="G284">
        <v>100</v>
      </c>
      <c r="H284" t="s">
        <v>3042</v>
      </c>
      <c r="I284">
        <v>10</v>
      </c>
    </row>
    <row r="285" spans="2:9" x14ac:dyDescent="0.3">
      <c r="B285" t="s">
        <v>327</v>
      </c>
      <c r="C285" t="s">
        <v>1572</v>
      </c>
      <c r="D285" t="s">
        <v>2658</v>
      </c>
      <c r="E285" s="24">
        <v>39491</v>
      </c>
      <c r="F285">
        <v>10</v>
      </c>
      <c r="G285">
        <v>1</v>
      </c>
      <c r="H285" t="s">
        <v>3043</v>
      </c>
      <c r="I285">
        <v>10</v>
      </c>
    </row>
    <row r="286" spans="2:9" x14ac:dyDescent="0.3">
      <c r="B286" t="s">
        <v>328</v>
      </c>
      <c r="C286" t="s">
        <v>1573</v>
      </c>
      <c r="D286" t="s">
        <v>2658</v>
      </c>
      <c r="E286" s="24">
        <v>34850</v>
      </c>
      <c r="F286">
        <v>1</v>
      </c>
      <c r="G286">
        <v>1</v>
      </c>
      <c r="H286" t="s">
        <v>3044</v>
      </c>
      <c r="I286">
        <v>1</v>
      </c>
    </row>
    <row r="287" spans="2:9" x14ac:dyDescent="0.3">
      <c r="B287" t="s">
        <v>329</v>
      </c>
      <c r="C287" t="s">
        <v>1574</v>
      </c>
      <c r="D287" t="s">
        <v>2658</v>
      </c>
      <c r="E287" s="24">
        <v>35765</v>
      </c>
      <c r="F287">
        <v>2</v>
      </c>
      <c r="G287">
        <v>1</v>
      </c>
      <c r="H287" t="s">
        <v>3045</v>
      </c>
      <c r="I287">
        <v>2</v>
      </c>
    </row>
    <row r="288" spans="2:9" x14ac:dyDescent="0.3">
      <c r="B288" t="s">
        <v>330</v>
      </c>
      <c r="C288" t="s">
        <v>1575</v>
      </c>
      <c r="D288" t="s">
        <v>2658</v>
      </c>
      <c r="E288" s="24">
        <v>34844</v>
      </c>
      <c r="F288">
        <v>10</v>
      </c>
      <c r="G288">
        <v>1</v>
      </c>
      <c r="H288" t="s">
        <v>3046</v>
      </c>
      <c r="I288">
        <v>10</v>
      </c>
    </row>
    <row r="289" spans="2:9" x14ac:dyDescent="0.3">
      <c r="B289" t="s">
        <v>331</v>
      </c>
      <c r="C289" t="s">
        <v>1576</v>
      </c>
      <c r="D289" t="s">
        <v>2658</v>
      </c>
      <c r="E289" s="24">
        <v>39835</v>
      </c>
      <c r="F289">
        <v>1</v>
      </c>
      <c r="G289">
        <v>1</v>
      </c>
      <c r="H289" t="s">
        <v>3047</v>
      </c>
      <c r="I289">
        <v>1</v>
      </c>
    </row>
    <row r="290" spans="2:9" x14ac:dyDescent="0.3">
      <c r="B290" t="s">
        <v>332</v>
      </c>
      <c r="C290" t="s">
        <v>1577</v>
      </c>
      <c r="D290" t="s">
        <v>2658</v>
      </c>
      <c r="E290" s="24">
        <v>40158</v>
      </c>
      <c r="F290">
        <v>5</v>
      </c>
      <c r="G290">
        <v>1</v>
      </c>
      <c r="H290" t="s">
        <v>3048</v>
      </c>
      <c r="I290">
        <v>5</v>
      </c>
    </row>
    <row r="291" spans="2:9" x14ac:dyDescent="0.3">
      <c r="B291" t="s">
        <v>333</v>
      </c>
      <c r="C291" t="s">
        <v>1578</v>
      </c>
      <c r="D291" t="s">
        <v>2658</v>
      </c>
      <c r="E291" s="24">
        <v>36880</v>
      </c>
      <c r="F291">
        <v>5</v>
      </c>
      <c r="G291">
        <v>1</v>
      </c>
      <c r="H291" t="s">
        <v>3049</v>
      </c>
      <c r="I291">
        <v>5</v>
      </c>
    </row>
    <row r="292" spans="2:9" x14ac:dyDescent="0.3">
      <c r="B292" t="s">
        <v>334</v>
      </c>
      <c r="C292" t="s">
        <v>1579</v>
      </c>
      <c r="D292" t="s">
        <v>2686</v>
      </c>
      <c r="E292" s="24">
        <v>39078</v>
      </c>
      <c r="F292">
        <v>10</v>
      </c>
      <c r="G292">
        <v>1</v>
      </c>
      <c r="H292" t="s">
        <v>3050</v>
      </c>
      <c r="I292">
        <v>10</v>
      </c>
    </row>
    <row r="293" spans="2:9" x14ac:dyDescent="0.3">
      <c r="B293" t="s">
        <v>16</v>
      </c>
      <c r="C293" t="s">
        <v>1580</v>
      </c>
      <c r="D293" t="s">
        <v>2658</v>
      </c>
      <c r="E293" s="24">
        <v>34878</v>
      </c>
      <c r="F293">
        <v>1</v>
      </c>
      <c r="G293">
        <v>1</v>
      </c>
      <c r="H293" t="s">
        <v>3051</v>
      </c>
      <c r="I293">
        <v>1</v>
      </c>
    </row>
    <row r="294" spans="2:9" x14ac:dyDescent="0.3">
      <c r="B294" t="s">
        <v>3052</v>
      </c>
      <c r="C294" t="s">
        <v>3053</v>
      </c>
      <c r="D294" t="s">
        <v>2658</v>
      </c>
      <c r="E294" s="24">
        <v>42503</v>
      </c>
      <c r="F294">
        <v>2</v>
      </c>
      <c r="G294">
        <v>1</v>
      </c>
      <c r="H294" t="s">
        <v>3054</v>
      </c>
      <c r="I294">
        <v>2</v>
      </c>
    </row>
    <row r="295" spans="2:9" x14ac:dyDescent="0.3">
      <c r="B295" t="s">
        <v>335</v>
      </c>
      <c r="C295" t="s">
        <v>1581</v>
      </c>
      <c r="D295" t="s">
        <v>2658</v>
      </c>
      <c r="E295" s="24">
        <v>39120</v>
      </c>
      <c r="F295">
        <v>10</v>
      </c>
      <c r="G295">
        <v>1</v>
      </c>
      <c r="H295" t="s">
        <v>3055</v>
      </c>
      <c r="I295">
        <v>10</v>
      </c>
    </row>
    <row r="296" spans="2:9" x14ac:dyDescent="0.3">
      <c r="B296" t="s">
        <v>336</v>
      </c>
      <c r="C296" t="s">
        <v>1582</v>
      </c>
      <c r="D296" t="s">
        <v>2658</v>
      </c>
      <c r="E296" s="24">
        <v>36032</v>
      </c>
      <c r="F296">
        <v>1</v>
      </c>
      <c r="G296">
        <v>1</v>
      </c>
      <c r="H296" t="s">
        <v>3056</v>
      </c>
      <c r="I296">
        <v>1</v>
      </c>
    </row>
    <row r="297" spans="2:9" x14ac:dyDescent="0.3">
      <c r="B297" t="s">
        <v>337</v>
      </c>
      <c r="C297" t="s">
        <v>1583</v>
      </c>
      <c r="D297" t="s">
        <v>2686</v>
      </c>
      <c r="E297" s="24">
        <v>36992</v>
      </c>
      <c r="F297">
        <v>10</v>
      </c>
      <c r="G297">
        <v>1</v>
      </c>
      <c r="H297" t="s">
        <v>3057</v>
      </c>
      <c r="I297">
        <v>10</v>
      </c>
    </row>
    <row r="298" spans="2:9" x14ac:dyDescent="0.3">
      <c r="B298" t="s">
        <v>338</v>
      </c>
      <c r="C298" t="s">
        <v>1584</v>
      </c>
      <c r="D298" t="s">
        <v>2658</v>
      </c>
      <c r="E298" s="24">
        <v>34787</v>
      </c>
      <c r="F298">
        <v>2</v>
      </c>
      <c r="G298">
        <v>1</v>
      </c>
      <c r="H298" t="s">
        <v>3058</v>
      </c>
      <c r="I298">
        <v>2</v>
      </c>
    </row>
    <row r="299" spans="2:9" x14ac:dyDescent="0.3">
      <c r="B299" t="s">
        <v>3059</v>
      </c>
      <c r="C299" t="s">
        <v>3060</v>
      </c>
      <c r="D299" t="s">
        <v>2658</v>
      </c>
      <c r="E299" s="24">
        <v>42629</v>
      </c>
      <c r="F299">
        <v>10</v>
      </c>
      <c r="G299">
        <v>1</v>
      </c>
      <c r="H299" t="s">
        <v>3061</v>
      </c>
      <c r="I299">
        <v>10</v>
      </c>
    </row>
    <row r="300" spans="2:9" x14ac:dyDescent="0.3">
      <c r="B300" t="s">
        <v>339</v>
      </c>
      <c r="C300" t="s">
        <v>1585</v>
      </c>
      <c r="D300" t="s">
        <v>2658</v>
      </c>
      <c r="E300" s="24">
        <v>36676</v>
      </c>
      <c r="F300">
        <v>10</v>
      </c>
      <c r="G300">
        <v>1</v>
      </c>
      <c r="H300" t="s">
        <v>3062</v>
      </c>
      <c r="I300">
        <v>10</v>
      </c>
    </row>
    <row r="301" spans="2:9" x14ac:dyDescent="0.3">
      <c r="B301" t="s">
        <v>1300</v>
      </c>
      <c r="C301" t="s">
        <v>1586</v>
      </c>
      <c r="D301" t="s">
        <v>2686</v>
      </c>
      <c r="E301" s="24">
        <v>38513</v>
      </c>
      <c r="F301">
        <v>10</v>
      </c>
      <c r="G301">
        <v>1</v>
      </c>
      <c r="H301" t="s">
        <v>3063</v>
      </c>
      <c r="I301">
        <v>10</v>
      </c>
    </row>
    <row r="302" spans="2:9" x14ac:dyDescent="0.3">
      <c r="B302" t="s">
        <v>340</v>
      </c>
      <c r="C302" t="s">
        <v>1587</v>
      </c>
      <c r="D302" t="s">
        <v>2658</v>
      </c>
      <c r="E302" s="24">
        <v>36187</v>
      </c>
      <c r="F302">
        <v>10</v>
      </c>
      <c r="G302">
        <v>1</v>
      </c>
      <c r="H302" t="s">
        <v>3064</v>
      </c>
      <c r="I302">
        <v>10</v>
      </c>
    </row>
    <row r="303" spans="2:9" x14ac:dyDescent="0.3">
      <c r="B303" t="s">
        <v>341</v>
      </c>
      <c r="C303" t="s">
        <v>1588</v>
      </c>
      <c r="D303" t="s">
        <v>2658</v>
      </c>
      <c r="E303" s="24">
        <v>36068</v>
      </c>
      <c r="F303">
        <v>5</v>
      </c>
      <c r="G303">
        <v>1</v>
      </c>
      <c r="H303" t="s">
        <v>3065</v>
      </c>
      <c r="I303">
        <v>5</v>
      </c>
    </row>
    <row r="304" spans="2:9" x14ac:dyDescent="0.3">
      <c r="B304" t="s">
        <v>342</v>
      </c>
      <c r="C304" t="s">
        <v>1589</v>
      </c>
      <c r="D304" t="s">
        <v>2658</v>
      </c>
      <c r="E304" s="24">
        <v>39069</v>
      </c>
      <c r="F304">
        <v>1</v>
      </c>
      <c r="G304">
        <v>1</v>
      </c>
      <c r="H304" t="s">
        <v>3066</v>
      </c>
      <c r="I304">
        <v>1</v>
      </c>
    </row>
    <row r="305" spans="2:9" x14ac:dyDescent="0.3">
      <c r="B305" t="s">
        <v>343</v>
      </c>
      <c r="C305" t="s">
        <v>1590</v>
      </c>
      <c r="D305" t="s">
        <v>2658</v>
      </c>
      <c r="E305" s="24">
        <v>36278</v>
      </c>
      <c r="F305">
        <v>1</v>
      </c>
      <c r="G305">
        <v>1</v>
      </c>
      <c r="H305" t="s">
        <v>3067</v>
      </c>
      <c r="I305">
        <v>1</v>
      </c>
    </row>
    <row r="306" spans="2:9" x14ac:dyDescent="0.3">
      <c r="B306" t="s">
        <v>344</v>
      </c>
      <c r="C306" t="s">
        <v>1591</v>
      </c>
      <c r="D306" t="s">
        <v>2658</v>
      </c>
      <c r="E306" s="24">
        <v>40570</v>
      </c>
      <c r="F306">
        <v>2</v>
      </c>
      <c r="G306">
        <v>1</v>
      </c>
      <c r="H306" t="s">
        <v>3068</v>
      </c>
      <c r="I306">
        <v>2</v>
      </c>
    </row>
    <row r="307" spans="2:9" x14ac:dyDescent="0.3">
      <c r="B307" t="s">
        <v>345</v>
      </c>
      <c r="C307" t="s">
        <v>1592</v>
      </c>
      <c r="D307" t="s">
        <v>2658</v>
      </c>
      <c r="E307" s="24">
        <v>35081</v>
      </c>
      <c r="F307">
        <v>2</v>
      </c>
      <c r="G307">
        <v>1</v>
      </c>
      <c r="H307" t="s">
        <v>3069</v>
      </c>
      <c r="I307">
        <v>2</v>
      </c>
    </row>
    <row r="308" spans="2:9" x14ac:dyDescent="0.3">
      <c r="B308" t="s">
        <v>3070</v>
      </c>
      <c r="C308" t="s">
        <v>3071</v>
      </c>
      <c r="D308" t="s">
        <v>2658</v>
      </c>
      <c r="E308" s="24">
        <v>42555</v>
      </c>
      <c r="F308">
        <v>10</v>
      </c>
      <c r="G308">
        <v>1</v>
      </c>
      <c r="H308" t="s">
        <v>3072</v>
      </c>
      <c r="I308">
        <v>10</v>
      </c>
    </row>
    <row r="309" spans="2:9" x14ac:dyDescent="0.3">
      <c r="B309" t="s">
        <v>346</v>
      </c>
      <c r="C309" t="s">
        <v>1593</v>
      </c>
      <c r="D309" t="s">
        <v>2658</v>
      </c>
      <c r="E309" s="24">
        <v>38114</v>
      </c>
      <c r="F309">
        <v>5</v>
      </c>
      <c r="G309">
        <v>1</v>
      </c>
      <c r="H309" t="s">
        <v>3073</v>
      </c>
      <c r="I309">
        <v>5</v>
      </c>
    </row>
    <row r="310" spans="2:9" x14ac:dyDescent="0.3">
      <c r="B310" t="s">
        <v>347</v>
      </c>
      <c r="C310" t="s">
        <v>1594</v>
      </c>
      <c r="D310" t="s">
        <v>2658</v>
      </c>
      <c r="E310" s="24">
        <v>40184</v>
      </c>
      <c r="F310">
        <v>10</v>
      </c>
      <c r="G310">
        <v>1</v>
      </c>
      <c r="H310" t="s">
        <v>3074</v>
      </c>
      <c r="I310">
        <v>10</v>
      </c>
    </row>
    <row r="311" spans="2:9" x14ac:dyDescent="0.3">
      <c r="B311" t="s">
        <v>3075</v>
      </c>
      <c r="C311" t="s">
        <v>3076</v>
      </c>
      <c r="D311" t="s">
        <v>2658</v>
      </c>
      <c r="E311" s="24">
        <v>42593</v>
      </c>
      <c r="F311">
        <v>10</v>
      </c>
      <c r="G311">
        <v>1</v>
      </c>
      <c r="H311" t="s">
        <v>3077</v>
      </c>
      <c r="I311">
        <v>10</v>
      </c>
    </row>
    <row r="312" spans="2:9" x14ac:dyDescent="0.3">
      <c r="B312" t="s">
        <v>348</v>
      </c>
      <c r="C312" t="s">
        <v>1595</v>
      </c>
      <c r="D312" t="s">
        <v>2658</v>
      </c>
      <c r="E312" s="24">
        <v>40233</v>
      </c>
      <c r="F312">
        <v>10</v>
      </c>
      <c r="G312">
        <v>1</v>
      </c>
      <c r="H312" t="s">
        <v>3078</v>
      </c>
      <c r="I312">
        <v>10</v>
      </c>
    </row>
    <row r="313" spans="2:9" x14ac:dyDescent="0.3">
      <c r="B313" t="s">
        <v>349</v>
      </c>
      <c r="C313" t="s">
        <v>1596</v>
      </c>
      <c r="D313" t="s">
        <v>2658</v>
      </c>
      <c r="E313" s="24">
        <v>40968</v>
      </c>
      <c r="F313">
        <v>2</v>
      </c>
      <c r="G313">
        <v>1</v>
      </c>
      <c r="H313" t="s">
        <v>3079</v>
      </c>
      <c r="I313">
        <v>2</v>
      </c>
    </row>
    <row r="314" spans="2:9" x14ac:dyDescent="0.3">
      <c r="B314" t="s">
        <v>350</v>
      </c>
      <c r="C314" t="s">
        <v>3080</v>
      </c>
      <c r="D314" t="s">
        <v>2658</v>
      </c>
      <c r="E314" s="24">
        <v>39017</v>
      </c>
      <c r="F314">
        <v>10</v>
      </c>
      <c r="G314">
        <v>1</v>
      </c>
      <c r="H314" t="s">
        <v>3081</v>
      </c>
      <c r="I314">
        <v>10</v>
      </c>
    </row>
    <row r="315" spans="2:9" x14ac:dyDescent="0.3">
      <c r="B315" t="s">
        <v>351</v>
      </c>
      <c r="C315" t="s">
        <v>1597</v>
      </c>
      <c r="D315" t="s">
        <v>2658</v>
      </c>
      <c r="E315" s="24">
        <v>34787</v>
      </c>
      <c r="F315">
        <v>10</v>
      </c>
      <c r="G315">
        <v>1</v>
      </c>
      <c r="H315" t="s">
        <v>3082</v>
      </c>
      <c r="I315">
        <v>10</v>
      </c>
    </row>
    <row r="316" spans="2:9" x14ac:dyDescent="0.3">
      <c r="B316" t="s">
        <v>352</v>
      </c>
      <c r="C316" t="s">
        <v>1598</v>
      </c>
      <c r="D316" t="s">
        <v>2658</v>
      </c>
      <c r="E316" s="24">
        <v>34801</v>
      </c>
      <c r="F316">
        <v>2</v>
      </c>
      <c r="G316">
        <v>1</v>
      </c>
      <c r="H316" t="s">
        <v>3083</v>
      </c>
      <c r="I316">
        <v>2</v>
      </c>
    </row>
    <row r="317" spans="2:9" x14ac:dyDescent="0.3">
      <c r="B317" t="s">
        <v>353</v>
      </c>
      <c r="C317" t="s">
        <v>1599</v>
      </c>
      <c r="D317" t="s">
        <v>2658</v>
      </c>
      <c r="E317" s="24">
        <v>34844</v>
      </c>
      <c r="F317">
        <v>2</v>
      </c>
      <c r="G317">
        <v>1</v>
      </c>
      <c r="H317" t="s">
        <v>3084</v>
      </c>
      <c r="I317">
        <v>2</v>
      </c>
    </row>
    <row r="318" spans="2:9" x14ac:dyDescent="0.3">
      <c r="B318" t="s">
        <v>354</v>
      </c>
      <c r="C318" t="s">
        <v>1600</v>
      </c>
      <c r="D318" t="s">
        <v>2658</v>
      </c>
      <c r="E318" s="24">
        <v>39296</v>
      </c>
      <c r="F318">
        <v>10</v>
      </c>
      <c r="G318">
        <v>1</v>
      </c>
      <c r="H318" t="s">
        <v>3085</v>
      </c>
      <c r="I318">
        <v>10</v>
      </c>
    </row>
    <row r="319" spans="2:9" x14ac:dyDescent="0.3">
      <c r="B319" t="s">
        <v>355</v>
      </c>
      <c r="C319" t="s">
        <v>1601</v>
      </c>
      <c r="D319" t="s">
        <v>2658</v>
      </c>
      <c r="E319" s="24">
        <v>37638</v>
      </c>
      <c r="F319">
        <v>10</v>
      </c>
      <c r="G319">
        <v>1</v>
      </c>
      <c r="H319" t="s">
        <v>3086</v>
      </c>
      <c r="I319">
        <v>10</v>
      </c>
    </row>
    <row r="320" spans="2:9" x14ac:dyDescent="0.3">
      <c r="B320" t="s">
        <v>356</v>
      </c>
      <c r="C320" t="s">
        <v>1602</v>
      </c>
      <c r="D320" t="s">
        <v>2658</v>
      </c>
      <c r="E320" s="24">
        <v>40450</v>
      </c>
      <c r="F320">
        <v>2</v>
      </c>
      <c r="G320">
        <v>1</v>
      </c>
      <c r="H320" t="s">
        <v>3087</v>
      </c>
      <c r="I320">
        <v>2</v>
      </c>
    </row>
    <row r="321" spans="2:9" x14ac:dyDescent="0.3">
      <c r="B321" t="s">
        <v>357</v>
      </c>
      <c r="C321" t="s">
        <v>1603</v>
      </c>
      <c r="D321" t="s">
        <v>2658</v>
      </c>
      <c r="E321" s="24">
        <v>40246</v>
      </c>
      <c r="F321">
        <v>10</v>
      </c>
      <c r="G321">
        <v>1</v>
      </c>
      <c r="H321" t="s">
        <v>3088</v>
      </c>
      <c r="I321">
        <v>10</v>
      </c>
    </row>
    <row r="322" spans="2:9" x14ac:dyDescent="0.3">
      <c r="B322" t="s">
        <v>358</v>
      </c>
      <c r="C322" t="s">
        <v>1604</v>
      </c>
      <c r="D322" t="s">
        <v>2658</v>
      </c>
      <c r="E322" s="24">
        <v>39388</v>
      </c>
      <c r="F322">
        <v>1</v>
      </c>
      <c r="G322">
        <v>1</v>
      </c>
      <c r="H322" t="s">
        <v>3089</v>
      </c>
      <c r="I322">
        <v>1</v>
      </c>
    </row>
    <row r="323" spans="2:9" x14ac:dyDescent="0.3">
      <c r="B323" t="s">
        <v>1301</v>
      </c>
      <c r="C323" t="s">
        <v>1605</v>
      </c>
      <c r="D323" t="s">
        <v>2658</v>
      </c>
      <c r="E323" s="24">
        <v>34990</v>
      </c>
      <c r="F323">
        <v>10</v>
      </c>
      <c r="G323">
        <v>1</v>
      </c>
      <c r="H323" t="s">
        <v>3090</v>
      </c>
      <c r="I323">
        <v>10</v>
      </c>
    </row>
    <row r="324" spans="2:9" x14ac:dyDescent="0.3">
      <c r="B324" t="s">
        <v>359</v>
      </c>
      <c r="C324" t="s">
        <v>1606</v>
      </c>
      <c r="D324" t="s">
        <v>2658</v>
      </c>
      <c r="E324" s="24">
        <v>40141</v>
      </c>
      <c r="F324">
        <v>10</v>
      </c>
      <c r="G324">
        <v>1</v>
      </c>
      <c r="H324" t="s">
        <v>3091</v>
      </c>
      <c r="I324">
        <v>10</v>
      </c>
    </row>
    <row r="325" spans="2:9" x14ac:dyDescent="0.3">
      <c r="B325" t="s">
        <v>111</v>
      </c>
      <c r="C325" t="s">
        <v>1607</v>
      </c>
      <c r="D325" t="s">
        <v>2658</v>
      </c>
      <c r="E325" s="24">
        <v>35445</v>
      </c>
      <c r="F325">
        <v>10</v>
      </c>
      <c r="G325">
        <v>1</v>
      </c>
      <c r="H325" t="s">
        <v>3092</v>
      </c>
      <c r="I325">
        <v>10</v>
      </c>
    </row>
    <row r="326" spans="2:9" x14ac:dyDescent="0.3">
      <c r="B326" t="s">
        <v>360</v>
      </c>
      <c r="C326" t="s">
        <v>1608</v>
      </c>
      <c r="D326" t="s">
        <v>2658</v>
      </c>
      <c r="E326" s="24">
        <v>35649</v>
      </c>
      <c r="F326">
        <v>10</v>
      </c>
      <c r="G326">
        <v>1</v>
      </c>
      <c r="H326" t="s">
        <v>3093</v>
      </c>
      <c r="I326">
        <v>10</v>
      </c>
    </row>
    <row r="327" spans="2:9" x14ac:dyDescent="0.3">
      <c r="B327" t="s">
        <v>3094</v>
      </c>
      <c r="C327" t="s">
        <v>3095</v>
      </c>
      <c r="D327" t="s">
        <v>2658</v>
      </c>
      <c r="E327" s="24">
        <v>42733</v>
      </c>
      <c r="F327">
        <v>10</v>
      </c>
      <c r="G327">
        <v>1</v>
      </c>
      <c r="H327" t="s">
        <v>3096</v>
      </c>
      <c r="I327">
        <v>10</v>
      </c>
    </row>
    <row r="328" spans="2:9" x14ac:dyDescent="0.3">
      <c r="B328" t="s">
        <v>361</v>
      </c>
      <c r="C328" t="s">
        <v>3097</v>
      </c>
      <c r="D328" t="s">
        <v>2658</v>
      </c>
      <c r="E328" s="24">
        <v>34787</v>
      </c>
      <c r="F328">
        <v>10</v>
      </c>
      <c r="G328">
        <v>1</v>
      </c>
      <c r="H328" t="s">
        <v>3098</v>
      </c>
      <c r="I328">
        <v>10</v>
      </c>
    </row>
    <row r="329" spans="2:9" x14ac:dyDescent="0.3">
      <c r="B329" t="s">
        <v>362</v>
      </c>
      <c r="C329" t="s">
        <v>1609</v>
      </c>
      <c r="D329" t="s">
        <v>2658</v>
      </c>
      <c r="E329" s="24">
        <v>38078</v>
      </c>
      <c r="F329">
        <v>10</v>
      </c>
      <c r="G329">
        <v>1</v>
      </c>
      <c r="H329" t="s">
        <v>3099</v>
      </c>
      <c r="I329">
        <v>10</v>
      </c>
    </row>
    <row r="330" spans="2:9" x14ac:dyDescent="0.3">
      <c r="B330" t="s">
        <v>363</v>
      </c>
      <c r="C330" t="s">
        <v>1610</v>
      </c>
      <c r="D330" t="s">
        <v>2658</v>
      </c>
      <c r="E330" s="24">
        <v>40723</v>
      </c>
      <c r="F330">
        <v>2</v>
      </c>
      <c r="G330">
        <v>1</v>
      </c>
      <c r="H330" t="s">
        <v>3100</v>
      </c>
      <c r="I330">
        <v>2</v>
      </c>
    </row>
    <row r="331" spans="2:9" x14ac:dyDescent="0.3">
      <c r="B331" t="s">
        <v>364</v>
      </c>
      <c r="C331" t="s">
        <v>1611</v>
      </c>
      <c r="D331" t="s">
        <v>2658</v>
      </c>
      <c r="E331" s="24">
        <v>35207</v>
      </c>
      <c r="F331">
        <v>10</v>
      </c>
      <c r="G331">
        <v>1</v>
      </c>
      <c r="H331" t="s">
        <v>3101</v>
      </c>
      <c r="I331">
        <v>10</v>
      </c>
    </row>
    <row r="332" spans="2:9" x14ac:dyDescent="0.3">
      <c r="B332" t="s">
        <v>365</v>
      </c>
      <c r="C332" t="s">
        <v>1612</v>
      </c>
      <c r="D332" t="s">
        <v>2658</v>
      </c>
      <c r="E332" s="24">
        <v>37530</v>
      </c>
      <c r="F332">
        <v>10</v>
      </c>
      <c r="G332">
        <v>1</v>
      </c>
      <c r="H332" t="s">
        <v>3102</v>
      </c>
      <c r="I332">
        <v>10</v>
      </c>
    </row>
    <row r="333" spans="2:9" x14ac:dyDescent="0.3">
      <c r="B333" t="s">
        <v>366</v>
      </c>
      <c r="C333" t="s">
        <v>1613</v>
      </c>
      <c r="D333" t="s">
        <v>2658</v>
      </c>
      <c r="E333" s="24">
        <v>40620</v>
      </c>
      <c r="F333">
        <v>10</v>
      </c>
      <c r="G333">
        <v>1</v>
      </c>
      <c r="H333" t="s">
        <v>3103</v>
      </c>
      <c r="I333">
        <v>10</v>
      </c>
    </row>
    <row r="334" spans="2:9" x14ac:dyDescent="0.3">
      <c r="B334" t="s">
        <v>367</v>
      </c>
      <c r="C334" t="s">
        <v>1614</v>
      </c>
      <c r="D334" t="s">
        <v>2658</v>
      </c>
      <c r="E334" s="24">
        <v>40450</v>
      </c>
      <c r="F334">
        <v>10</v>
      </c>
      <c r="G334">
        <v>1</v>
      </c>
      <c r="H334" t="s">
        <v>3104</v>
      </c>
      <c r="I334">
        <v>10</v>
      </c>
    </row>
    <row r="335" spans="2:9" x14ac:dyDescent="0.3">
      <c r="B335" t="s">
        <v>368</v>
      </c>
      <c r="C335" t="s">
        <v>1615</v>
      </c>
      <c r="D335" t="s">
        <v>2658</v>
      </c>
      <c r="E335" s="24">
        <v>34941</v>
      </c>
      <c r="F335">
        <v>10</v>
      </c>
      <c r="G335">
        <v>1</v>
      </c>
      <c r="H335" t="s">
        <v>3105</v>
      </c>
      <c r="I335">
        <v>10</v>
      </c>
    </row>
    <row r="336" spans="2:9" x14ac:dyDescent="0.3">
      <c r="B336" t="s">
        <v>3106</v>
      </c>
      <c r="C336" t="s">
        <v>1616</v>
      </c>
      <c r="D336" t="s">
        <v>2658</v>
      </c>
      <c r="E336" s="24">
        <v>42564</v>
      </c>
      <c r="F336">
        <v>10</v>
      </c>
      <c r="G336">
        <v>1</v>
      </c>
      <c r="H336" t="s">
        <v>3107</v>
      </c>
      <c r="I336">
        <v>10</v>
      </c>
    </row>
    <row r="337" spans="2:9" x14ac:dyDescent="0.3">
      <c r="B337" t="s">
        <v>369</v>
      </c>
      <c r="C337" t="s">
        <v>1617</v>
      </c>
      <c r="D337" t="s">
        <v>2658</v>
      </c>
      <c r="E337" s="24">
        <v>38099</v>
      </c>
      <c r="F337">
        <v>2</v>
      </c>
      <c r="G337">
        <v>1</v>
      </c>
      <c r="H337" t="s">
        <v>3108</v>
      </c>
      <c r="I337">
        <v>2</v>
      </c>
    </row>
    <row r="338" spans="2:9" x14ac:dyDescent="0.3">
      <c r="B338" t="s">
        <v>370</v>
      </c>
      <c r="C338" t="s">
        <v>1618</v>
      </c>
      <c r="D338" t="s">
        <v>2658</v>
      </c>
      <c r="E338" s="24">
        <v>39190</v>
      </c>
      <c r="F338">
        <v>1</v>
      </c>
      <c r="G338">
        <v>1</v>
      </c>
      <c r="H338" t="s">
        <v>3109</v>
      </c>
      <c r="I338">
        <v>1</v>
      </c>
    </row>
    <row r="339" spans="2:9" x14ac:dyDescent="0.3">
      <c r="B339" t="s">
        <v>49</v>
      </c>
      <c r="C339" t="s">
        <v>1619</v>
      </c>
      <c r="D339" t="s">
        <v>2658</v>
      </c>
      <c r="E339" s="24">
        <v>37692</v>
      </c>
      <c r="F339">
        <v>2</v>
      </c>
      <c r="G339">
        <v>1</v>
      </c>
      <c r="H339" t="s">
        <v>3110</v>
      </c>
      <c r="I339">
        <v>2</v>
      </c>
    </row>
    <row r="340" spans="2:9" x14ac:dyDescent="0.3">
      <c r="B340" t="s">
        <v>371</v>
      </c>
      <c r="C340" t="s">
        <v>1620</v>
      </c>
      <c r="D340" t="s">
        <v>2658</v>
      </c>
      <c r="E340" s="24">
        <v>39268</v>
      </c>
      <c r="F340">
        <v>2</v>
      </c>
      <c r="G340">
        <v>1</v>
      </c>
      <c r="H340" t="s">
        <v>3111</v>
      </c>
      <c r="I340">
        <v>2</v>
      </c>
    </row>
    <row r="341" spans="2:9" x14ac:dyDescent="0.3">
      <c r="B341" t="s">
        <v>372</v>
      </c>
      <c r="C341" t="s">
        <v>1621</v>
      </c>
      <c r="D341" t="s">
        <v>2658</v>
      </c>
      <c r="E341" s="24">
        <v>40165</v>
      </c>
      <c r="F341">
        <v>2</v>
      </c>
      <c r="G341">
        <v>1</v>
      </c>
      <c r="H341" t="s">
        <v>3112</v>
      </c>
      <c r="I341">
        <v>2</v>
      </c>
    </row>
    <row r="342" spans="2:9" x14ac:dyDescent="0.3">
      <c r="B342" t="s">
        <v>3113</v>
      </c>
      <c r="C342" t="s">
        <v>3114</v>
      </c>
      <c r="D342" t="s">
        <v>2658</v>
      </c>
      <c r="E342" s="24">
        <v>42815</v>
      </c>
      <c r="F342">
        <v>10</v>
      </c>
      <c r="G342">
        <v>1</v>
      </c>
      <c r="H342" t="s">
        <v>3115</v>
      </c>
      <c r="I342">
        <v>10</v>
      </c>
    </row>
    <row r="343" spans="2:9" x14ac:dyDescent="0.3">
      <c r="B343" t="s">
        <v>3116</v>
      </c>
      <c r="C343" t="s">
        <v>3117</v>
      </c>
      <c r="D343" t="s">
        <v>2686</v>
      </c>
      <c r="E343" s="24">
        <v>42846</v>
      </c>
      <c r="F343">
        <v>10</v>
      </c>
      <c r="G343">
        <v>1</v>
      </c>
      <c r="H343" t="s">
        <v>3118</v>
      </c>
      <c r="I343">
        <v>10</v>
      </c>
    </row>
    <row r="344" spans="2:9" x14ac:dyDescent="0.3">
      <c r="B344" t="s">
        <v>373</v>
      </c>
      <c r="C344" t="s">
        <v>1622</v>
      </c>
      <c r="D344" t="s">
        <v>2658</v>
      </c>
      <c r="E344" s="24">
        <v>38996</v>
      </c>
      <c r="F344">
        <v>10</v>
      </c>
      <c r="G344">
        <v>1</v>
      </c>
      <c r="H344" t="s">
        <v>3119</v>
      </c>
      <c r="I344">
        <v>10</v>
      </c>
    </row>
    <row r="345" spans="2:9" x14ac:dyDescent="0.3">
      <c r="B345" t="s">
        <v>374</v>
      </c>
      <c r="C345" t="s">
        <v>1623</v>
      </c>
      <c r="D345" t="s">
        <v>2658</v>
      </c>
      <c r="E345" s="24">
        <v>39071</v>
      </c>
      <c r="F345">
        <v>2</v>
      </c>
      <c r="G345">
        <v>1</v>
      </c>
      <c r="H345" t="s">
        <v>3120</v>
      </c>
      <c r="I345">
        <v>2</v>
      </c>
    </row>
    <row r="346" spans="2:9" x14ac:dyDescent="0.3">
      <c r="B346" t="s">
        <v>375</v>
      </c>
      <c r="C346" t="s">
        <v>1625</v>
      </c>
      <c r="D346" t="s">
        <v>2658</v>
      </c>
      <c r="E346" s="24">
        <v>39458</v>
      </c>
      <c r="F346">
        <v>10</v>
      </c>
      <c r="G346">
        <v>1</v>
      </c>
      <c r="H346" t="s">
        <v>3121</v>
      </c>
      <c r="I346">
        <v>10</v>
      </c>
    </row>
    <row r="347" spans="2:9" x14ac:dyDescent="0.3">
      <c r="B347" t="s">
        <v>376</v>
      </c>
      <c r="C347" t="s">
        <v>1624</v>
      </c>
      <c r="D347" t="s">
        <v>2658</v>
      </c>
      <c r="E347" s="24">
        <v>39559</v>
      </c>
      <c r="F347">
        <v>1</v>
      </c>
      <c r="G347">
        <v>1</v>
      </c>
      <c r="H347" t="s">
        <v>3122</v>
      </c>
      <c r="I347">
        <v>1</v>
      </c>
    </row>
    <row r="348" spans="2:9" x14ac:dyDescent="0.3">
      <c r="B348" t="s">
        <v>377</v>
      </c>
      <c r="C348" t="s">
        <v>1626</v>
      </c>
      <c r="D348" t="s">
        <v>2686</v>
      </c>
      <c r="E348" s="24">
        <v>40714</v>
      </c>
      <c r="F348">
        <v>10</v>
      </c>
      <c r="G348">
        <v>1</v>
      </c>
      <c r="H348" t="s">
        <v>3123</v>
      </c>
      <c r="I348">
        <v>10</v>
      </c>
    </row>
    <row r="349" spans="2:9" x14ac:dyDescent="0.3">
      <c r="B349" t="s">
        <v>378</v>
      </c>
      <c r="C349" t="s">
        <v>1627</v>
      </c>
      <c r="D349" t="s">
        <v>2658</v>
      </c>
      <c r="E349" s="24">
        <v>38001</v>
      </c>
      <c r="F349">
        <v>10</v>
      </c>
      <c r="G349">
        <v>1</v>
      </c>
      <c r="H349" t="s">
        <v>3124</v>
      </c>
      <c r="I349">
        <v>10</v>
      </c>
    </row>
    <row r="350" spans="2:9" x14ac:dyDescent="0.3">
      <c r="B350" t="s">
        <v>379</v>
      </c>
      <c r="C350" t="s">
        <v>1628</v>
      </c>
      <c r="D350" t="s">
        <v>2658</v>
      </c>
      <c r="E350" s="24">
        <v>37771</v>
      </c>
      <c r="F350">
        <v>5</v>
      </c>
      <c r="G350">
        <v>1</v>
      </c>
      <c r="H350" t="s">
        <v>3125</v>
      </c>
      <c r="I350">
        <v>5</v>
      </c>
    </row>
    <row r="351" spans="2:9" x14ac:dyDescent="0.3">
      <c r="B351" t="s">
        <v>380</v>
      </c>
      <c r="C351" t="s">
        <v>1629</v>
      </c>
      <c r="D351" t="s">
        <v>2686</v>
      </c>
      <c r="E351" s="24">
        <v>36796</v>
      </c>
      <c r="F351">
        <v>10</v>
      </c>
      <c r="G351">
        <v>1</v>
      </c>
      <c r="H351" t="s">
        <v>3126</v>
      </c>
      <c r="I351">
        <v>10</v>
      </c>
    </row>
    <row r="352" spans="2:9" x14ac:dyDescent="0.3">
      <c r="B352" t="s">
        <v>1302</v>
      </c>
      <c r="C352" t="s">
        <v>1630</v>
      </c>
      <c r="D352" t="s">
        <v>2658</v>
      </c>
      <c r="E352" s="24">
        <v>40878</v>
      </c>
      <c r="F352">
        <v>10</v>
      </c>
      <c r="G352">
        <v>1</v>
      </c>
      <c r="H352" t="s">
        <v>3127</v>
      </c>
      <c r="I352">
        <v>10</v>
      </c>
    </row>
    <row r="353" spans="2:9" x14ac:dyDescent="0.3">
      <c r="B353" t="s">
        <v>3128</v>
      </c>
      <c r="C353" t="s">
        <v>3129</v>
      </c>
      <c r="D353" t="s">
        <v>2658</v>
      </c>
      <c r="E353" s="24">
        <v>42024</v>
      </c>
      <c r="F353">
        <v>10</v>
      </c>
      <c r="G353">
        <v>1</v>
      </c>
      <c r="H353" t="s">
        <v>3130</v>
      </c>
      <c r="I353">
        <v>10</v>
      </c>
    </row>
    <row r="354" spans="2:9" x14ac:dyDescent="0.3">
      <c r="B354" t="s">
        <v>3131</v>
      </c>
      <c r="C354" t="s">
        <v>3132</v>
      </c>
      <c r="D354" t="s">
        <v>2658</v>
      </c>
      <c r="E354" s="24">
        <v>41191</v>
      </c>
      <c r="F354">
        <v>1</v>
      </c>
      <c r="G354">
        <v>1</v>
      </c>
      <c r="H354" t="s">
        <v>3133</v>
      </c>
      <c r="I354">
        <v>1</v>
      </c>
    </row>
    <row r="355" spans="2:9" x14ac:dyDescent="0.3">
      <c r="B355" t="s">
        <v>381</v>
      </c>
      <c r="C355" t="s">
        <v>1631</v>
      </c>
      <c r="D355" t="s">
        <v>2658</v>
      </c>
      <c r="E355" s="24">
        <v>38352</v>
      </c>
      <c r="F355">
        <v>10</v>
      </c>
      <c r="G355">
        <v>1</v>
      </c>
      <c r="H355" t="s">
        <v>3134</v>
      </c>
      <c r="I355">
        <v>10</v>
      </c>
    </row>
    <row r="356" spans="2:9" x14ac:dyDescent="0.3">
      <c r="B356" t="s">
        <v>382</v>
      </c>
      <c r="C356" t="s">
        <v>1632</v>
      </c>
      <c r="D356" t="s">
        <v>2658</v>
      </c>
      <c r="E356" s="24">
        <v>38974</v>
      </c>
      <c r="F356">
        <v>10</v>
      </c>
      <c r="G356">
        <v>1</v>
      </c>
      <c r="H356" t="s">
        <v>3135</v>
      </c>
      <c r="I356">
        <v>10</v>
      </c>
    </row>
    <row r="357" spans="2:9" x14ac:dyDescent="0.3">
      <c r="B357" t="s">
        <v>383</v>
      </c>
      <c r="C357" t="s">
        <v>1633</v>
      </c>
      <c r="D357" t="s">
        <v>2658</v>
      </c>
      <c r="E357" s="24">
        <v>35249</v>
      </c>
      <c r="F357">
        <v>2</v>
      </c>
      <c r="G357">
        <v>1</v>
      </c>
      <c r="H357" t="s">
        <v>3136</v>
      </c>
      <c r="I357">
        <v>2</v>
      </c>
    </row>
    <row r="358" spans="2:9" x14ac:dyDescent="0.3">
      <c r="B358" t="s">
        <v>384</v>
      </c>
      <c r="C358" t="s">
        <v>1634</v>
      </c>
      <c r="D358" t="s">
        <v>2686</v>
      </c>
      <c r="E358" s="24">
        <v>36838</v>
      </c>
      <c r="F358">
        <v>2</v>
      </c>
      <c r="G358">
        <v>1</v>
      </c>
      <c r="H358" t="s">
        <v>3137</v>
      </c>
      <c r="I358">
        <v>2</v>
      </c>
    </row>
    <row r="359" spans="2:9" x14ac:dyDescent="0.3">
      <c r="B359" t="s">
        <v>385</v>
      </c>
      <c r="C359" t="s">
        <v>1635</v>
      </c>
      <c r="D359" t="s">
        <v>2658</v>
      </c>
      <c r="E359" s="24">
        <v>39349</v>
      </c>
      <c r="F359">
        <v>10</v>
      </c>
      <c r="G359">
        <v>1</v>
      </c>
      <c r="H359" t="s">
        <v>3138</v>
      </c>
      <c r="I359">
        <v>10</v>
      </c>
    </row>
    <row r="360" spans="2:9" x14ac:dyDescent="0.3">
      <c r="B360" t="s">
        <v>386</v>
      </c>
      <c r="C360" t="s">
        <v>1636</v>
      </c>
      <c r="D360" t="s">
        <v>2658</v>
      </c>
      <c r="E360" s="24">
        <v>39447</v>
      </c>
      <c r="F360">
        <v>10</v>
      </c>
      <c r="G360">
        <v>1</v>
      </c>
      <c r="H360" t="s">
        <v>3139</v>
      </c>
      <c r="I360">
        <v>10</v>
      </c>
    </row>
    <row r="361" spans="2:9" x14ac:dyDescent="0.3">
      <c r="B361" t="s">
        <v>387</v>
      </c>
      <c r="C361" t="s">
        <v>1637</v>
      </c>
      <c r="D361" t="s">
        <v>2658</v>
      </c>
      <c r="E361" s="24">
        <v>39428</v>
      </c>
      <c r="F361">
        <v>1</v>
      </c>
      <c r="G361">
        <v>1</v>
      </c>
      <c r="H361" t="s">
        <v>3140</v>
      </c>
      <c r="I361">
        <v>1</v>
      </c>
    </row>
    <row r="362" spans="2:9" x14ac:dyDescent="0.3">
      <c r="B362" t="s">
        <v>388</v>
      </c>
      <c r="C362" t="s">
        <v>1638</v>
      </c>
      <c r="D362" t="s">
        <v>2658</v>
      </c>
      <c r="E362" s="24">
        <v>39412</v>
      </c>
      <c r="F362">
        <v>10</v>
      </c>
      <c r="G362">
        <v>1</v>
      </c>
      <c r="H362" t="s">
        <v>3141</v>
      </c>
      <c r="I362">
        <v>10</v>
      </c>
    </row>
    <row r="363" spans="2:9" x14ac:dyDescent="0.3">
      <c r="B363" t="s">
        <v>389</v>
      </c>
      <c r="C363" t="s">
        <v>1639</v>
      </c>
      <c r="D363" t="s">
        <v>2658</v>
      </c>
      <c r="E363" s="24">
        <v>38730</v>
      </c>
      <c r="F363">
        <v>2</v>
      </c>
      <c r="G363">
        <v>1</v>
      </c>
      <c r="H363" t="s">
        <v>3142</v>
      </c>
      <c r="I363">
        <v>2</v>
      </c>
    </row>
    <row r="364" spans="2:9" x14ac:dyDescent="0.3">
      <c r="B364" t="s">
        <v>50</v>
      </c>
      <c r="C364" t="s">
        <v>1640</v>
      </c>
      <c r="D364" t="s">
        <v>2658</v>
      </c>
      <c r="E364" s="24">
        <v>38237</v>
      </c>
      <c r="F364">
        <v>10</v>
      </c>
      <c r="G364">
        <v>1</v>
      </c>
      <c r="H364" t="s">
        <v>3143</v>
      </c>
      <c r="I364">
        <v>10</v>
      </c>
    </row>
    <row r="365" spans="2:9" x14ac:dyDescent="0.3">
      <c r="B365" t="s">
        <v>390</v>
      </c>
      <c r="C365" t="s">
        <v>1641</v>
      </c>
      <c r="D365" t="s">
        <v>2658</v>
      </c>
      <c r="E365" s="24">
        <v>34829</v>
      </c>
      <c r="F365">
        <v>1</v>
      </c>
      <c r="G365">
        <v>1</v>
      </c>
      <c r="H365" t="s">
        <v>3144</v>
      </c>
      <c r="I365">
        <v>1</v>
      </c>
    </row>
    <row r="366" spans="2:9" x14ac:dyDescent="0.3">
      <c r="B366" t="s">
        <v>391</v>
      </c>
      <c r="C366" t="s">
        <v>1642</v>
      </c>
      <c r="D366" t="s">
        <v>2658</v>
      </c>
      <c r="E366" s="24">
        <v>39546</v>
      </c>
      <c r="F366">
        <v>10</v>
      </c>
      <c r="G366">
        <v>1</v>
      </c>
      <c r="H366" t="s">
        <v>3145</v>
      </c>
      <c r="I366">
        <v>10</v>
      </c>
    </row>
    <row r="367" spans="2:9" x14ac:dyDescent="0.3">
      <c r="B367" t="s">
        <v>392</v>
      </c>
      <c r="C367" t="s">
        <v>1643</v>
      </c>
      <c r="D367" t="s">
        <v>2658</v>
      </c>
      <c r="E367" s="24">
        <v>34738</v>
      </c>
      <c r="F367">
        <v>2</v>
      </c>
      <c r="G367">
        <v>1</v>
      </c>
      <c r="H367" t="s">
        <v>3146</v>
      </c>
      <c r="I367">
        <v>2</v>
      </c>
    </row>
    <row r="368" spans="2:9" x14ac:dyDescent="0.3">
      <c r="B368" t="s">
        <v>393</v>
      </c>
      <c r="C368" t="s">
        <v>1644</v>
      </c>
      <c r="D368" t="s">
        <v>2658</v>
      </c>
      <c r="E368" s="24">
        <v>35172</v>
      </c>
      <c r="F368">
        <v>10</v>
      </c>
      <c r="G368">
        <v>1</v>
      </c>
      <c r="H368" t="s">
        <v>3147</v>
      </c>
      <c r="I368">
        <v>10</v>
      </c>
    </row>
    <row r="369" spans="2:9" x14ac:dyDescent="0.3">
      <c r="B369" t="s">
        <v>394</v>
      </c>
      <c r="C369" t="s">
        <v>1645</v>
      </c>
      <c r="D369" t="s">
        <v>2658</v>
      </c>
      <c r="E369" s="24">
        <v>38701</v>
      </c>
      <c r="F369">
        <v>2</v>
      </c>
      <c r="G369">
        <v>1</v>
      </c>
      <c r="H369" t="s">
        <v>3148</v>
      </c>
      <c r="I369">
        <v>2</v>
      </c>
    </row>
    <row r="370" spans="2:9" x14ac:dyDescent="0.3">
      <c r="B370" t="s">
        <v>3149</v>
      </c>
      <c r="C370" t="s">
        <v>3150</v>
      </c>
      <c r="D370" t="s">
        <v>2658</v>
      </c>
      <c r="E370" s="24">
        <v>39150</v>
      </c>
      <c r="F370">
        <v>10</v>
      </c>
      <c r="G370">
        <v>1</v>
      </c>
      <c r="H370" t="s">
        <v>3151</v>
      </c>
      <c r="I370">
        <v>10</v>
      </c>
    </row>
    <row r="371" spans="2:9" x14ac:dyDescent="0.3">
      <c r="B371" t="s">
        <v>395</v>
      </c>
      <c r="C371" t="s">
        <v>1646</v>
      </c>
      <c r="D371" t="s">
        <v>2658</v>
      </c>
      <c r="E371" s="24">
        <v>38989</v>
      </c>
      <c r="F371">
        <v>2</v>
      </c>
      <c r="G371">
        <v>1</v>
      </c>
      <c r="H371" t="s">
        <v>3152</v>
      </c>
      <c r="I371">
        <v>2</v>
      </c>
    </row>
    <row r="372" spans="2:9" x14ac:dyDescent="0.3">
      <c r="B372" t="s">
        <v>396</v>
      </c>
      <c r="C372" t="s">
        <v>1647</v>
      </c>
      <c r="D372" t="s">
        <v>2658</v>
      </c>
      <c r="E372" s="24">
        <v>37792</v>
      </c>
      <c r="F372">
        <v>1</v>
      </c>
      <c r="G372">
        <v>1</v>
      </c>
      <c r="H372" t="s">
        <v>3153</v>
      </c>
      <c r="I372">
        <v>1</v>
      </c>
    </row>
    <row r="373" spans="2:9" x14ac:dyDescent="0.3">
      <c r="B373" t="s">
        <v>397</v>
      </c>
      <c r="C373" t="s">
        <v>1648</v>
      </c>
      <c r="D373" t="s">
        <v>2658</v>
      </c>
      <c r="E373" s="24">
        <v>39314</v>
      </c>
      <c r="F373">
        <v>10</v>
      </c>
      <c r="G373">
        <v>1</v>
      </c>
      <c r="H373" t="s">
        <v>3154</v>
      </c>
      <c r="I373">
        <v>10</v>
      </c>
    </row>
    <row r="374" spans="2:9" x14ac:dyDescent="0.3">
      <c r="B374" t="s">
        <v>398</v>
      </c>
      <c r="C374" t="s">
        <v>1649</v>
      </c>
      <c r="D374" t="s">
        <v>2658</v>
      </c>
      <c r="E374" s="24">
        <v>35025</v>
      </c>
      <c r="F374">
        <v>1</v>
      </c>
      <c r="G374">
        <v>1</v>
      </c>
      <c r="H374" t="s">
        <v>3155</v>
      </c>
      <c r="I374">
        <v>1</v>
      </c>
    </row>
    <row r="375" spans="2:9" x14ac:dyDescent="0.3">
      <c r="B375" t="s">
        <v>399</v>
      </c>
      <c r="C375" t="s">
        <v>1650</v>
      </c>
      <c r="D375" t="s">
        <v>2658</v>
      </c>
      <c r="E375" s="24">
        <v>40765</v>
      </c>
      <c r="F375">
        <v>1</v>
      </c>
      <c r="G375">
        <v>1</v>
      </c>
      <c r="H375" t="s">
        <v>3156</v>
      </c>
      <c r="I375">
        <v>1</v>
      </c>
    </row>
    <row r="376" spans="2:9" x14ac:dyDescent="0.3">
      <c r="B376" t="s">
        <v>400</v>
      </c>
      <c r="C376" t="s">
        <v>1651</v>
      </c>
      <c r="D376" t="s">
        <v>2686</v>
      </c>
      <c r="E376" s="24">
        <v>40387</v>
      </c>
      <c r="F376">
        <v>2</v>
      </c>
      <c r="G376">
        <v>1</v>
      </c>
      <c r="H376" t="s">
        <v>3157</v>
      </c>
      <c r="I376">
        <v>2</v>
      </c>
    </row>
    <row r="377" spans="2:9" x14ac:dyDescent="0.3">
      <c r="B377" t="s">
        <v>51</v>
      </c>
      <c r="C377" t="s">
        <v>1652</v>
      </c>
      <c r="D377" t="s">
        <v>2658</v>
      </c>
      <c r="E377" s="24">
        <v>38932</v>
      </c>
      <c r="F377">
        <v>1</v>
      </c>
      <c r="G377">
        <v>1</v>
      </c>
      <c r="H377" t="s">
        <v>3158</v>
      </c>
      <c r="I377">
        <v>1</v>
      </c>
    </row>
    <row r="378" spans="2:9" x14ac:dyDescent="0.3">
      <c r="B378" t="s">
        <v>401</v>
      </c>
      <c r="C378" t="s">
        <v>1653</v>
      </c>
      <c r="D378" t="s">
        <v>2658</v>
      </c>
      <c r="E378" s="24">
        <v>38701</v>
      </c>
      <c r="F378">
        <v>2</v>
      </c>
      <c r="G378">
        <v>1</v>
      </c>
      <c r="H378" t="s">
        <v>3159</v>
      </c>
      <c r="I378">
        <v>2</v>
      </c>
    </row>
    <row r="379" spans="2:9" x14ac:dyDescent="0.3">
      <c r="B379" t="s">
        <v>402</v>
      </c>
      <c r="C379" t="s">
        <v>1654</v>
      </c>
      <c r="D379" t="s">
        <v>2658</v>
      </c>
      <c r="E379" s="24">
        <v>38835</v>
      </c>
      <c r="F379">
        <v>10</v>
      </c>
      <c r="G379">
        <v>1</v>
      </c>
      <c r="H379" t="s">
        <v>3160</v>
      </c>
      <c r="I379">
        <v>10</v>
      </c>
    </row>
    <row r="380" spans="2:9" x14ac:dyDescent="0.3">
      <c r="B380" t="s">
        <v>403</v>
      </c>
      <c r="C380" t="s">
        <v>3161</v>
      </c>
      <c r="D380" t="s">
        <v>2658</v>
      </c>
      <c r="E380" s="24">
        <v>40233</v>
      </c>
      <c r="F380">
        <v>10</v>
      </c>
      <c r="G380">
        <v>1</v>
      </c>
      <c r="H380" t="s">
        <v>3162</v>
      </c>
      <c r="I380">
        <v>10</v>
      </c>
    </row>
    <row r="381" spans="2:9" x14ac:dyDescent="0.3">
      <c r="B381" t="s">
        <v>3163</v>
      </c>
      <c r="C381" t="s">
        <v>3164</v>
      </c>
      <c r="D381" t="s">
        <v>2658</v>
      </c>
      <c r="E381" s="24">
        <v>42662</v>
      </c>
      <c r="F381">
        <v>10</v>
      </c>
      <c r="G381">
        <v>1</v>
      </c>
      <c r="H381" t="s">
        <v>3165</v>
      </c>
      <c r="I381">
        <v>10</v>
      </c>
    </row>
    <row r="382" spans="2:9" x14ac:dyDescent="0.3">
      <c r="B382" t="s">
        <v>404</v>
      </c>
      <c r="C382" t="s">
        <v>1655</v>
      </c>
      <c r="D382" t="s">
        <v>2658</v>
      </c>
      <c r="E382" s="24">
        <v>39388</v>
      </c>
      <c r="F382">
        <v>10</v>
      </c>
      <c r="G382">
        <v>1</v>
      </c>
      <c r="H382" t="s">
        <v>3166</v>
      </c>
      <c r="I382">
        <v>10</v>
      </c>
    </row>
    <row r="383" spans="2:9" x14ac:dyDescent="0.3">
      <c r="B383" t="s">
        <v>405</v>
      </c>
      <c r="C383" t="s">
        <v>1656</v>
      </c>
      <c r="D383" t="s">
        <v>2658</v>
      </c>
      <c r="E383" s="24">
        <v>35662</v>
      </c>
      <c r="F383">
        <v>5</v>
      </c>
      <c r="G383">
        <v>1</v>
      </c>
      <c r="H383" t="s">
        <v>3167</v>
      </c>
      <c r="I383">
        <v>5</v>
      </c>
    </row>
    <row r="384" spans="2:9" x14ac:dyDescent="0.3">
      <c r="B384" t="s">
        <v>406</v>
      </c>
      <c r="C384" t="s">
        <v>1657</v>
      </c>
      <c r="D384" t="s">
        <v>2658</v>
      </c>
      <c r="E384" s="24">
        <v>38763</v>
      </c>
      <c r="F384">
        <v>10</v>
      </c>
      <c r="G384">
        <v>1</v>
      </c>
      <c r="H384" t="s">
        <v>3168</v>
      </c>
      <c r="I384">
        <v>10</v>
      </c>
    </row>
    <row r="385" spans="2:9" x14ac:dyDescent="0.3">
      <c r="B385" t="s">
        <v>407</v>
      </c>
      <c r="C385" t="s">
        <v>1658</v>
      </c>
      <c r="D385" t="s">
        <v>2658</v>
      </c>
      <c r="E385" s="24">
        <v>41067</v>
      </c>
      <c r="F385">
        <v>5</v>
      </c>
      <c r="G385">
        <v>1</v>
      </c>
      <c r="H385" t="s">
        <v>3169</v>
      </c>
      <c r="I385">
        <v>5</v>
      </c>
    </row>
    <row r="386" spans="2:9" x14ac:dyDescent="0.3">
      <c r="B386" t="s">
        <v>3170</v>
      </c>
      <c r="C386" t="s">
        <v>3171</v>
      </c>
      <c r="D386" t="s">
        <v>2658</v>
      </c>
      <c r="E386" s="24">
        <v>42481</v>
      </c>
      <c r="F386">
        <v>10</v>
      </c>
      <c r="G386">
        <v>1</v>
      </c>
      <c r="H386" t="s">
        <v>3172</v>
      </c>
      <c r="I386">
        <v>10</v>
      </c>
    </row>
    <row r="387" spans="2:9" x14ac:dyDescent="0.3">
      <c r="B387" t="s">
        <v>3170</v>
      </c>
      <c r="C387" t="s">
        <v>3171</v>
      </c>
      <c r="D387" t="s">
        <v>3173</v>
      </c>
      <c r="E387" s="24">
        <v>42481</v>
      </c>
      <c r="F387">
        <v>10</v>
      </c>
      <c r="G387">
        <v>1</v>
      </c>
      <c r="H387" t="s">
        <v>3172</v>
      </c>
      <c r="I387">
        <v>10</v>
      </c>
    </row>
    <row r="388" spans="2:9" x14ac:dyDescent="0.3">
      <c r="B388" t="s">
        <v>408</v>
      </c>
      <c r="C388" t="s">
        <v>1659</v>
      </c>
      <c r="D388" t="s">
        <v>2658</v>
      </c>
      <c r="E388" s="24">
        <v>40457</v>
      </c>
      <c r="F388">
        <v>10</v>
      </c>
      <c r="G388">
        <v>1</v>
      </c>
      <c r="H388" t="s">
        <v>3174</v>
      </c>
      <c r="I388">
        <v>10</v>
      </c>
    </row>
    <row r="389" spans="2:9" x14ac:dyDescent="0.3">
      <c r="B389" t="s">
        <v>409</v>
      </c>
      <c r="C389" t="s">
        <v>1660</v>
      </c>
      <c r="D389" t="s">
        <v>2658</v>
      </c>
      <c r="E389" s="24">
        <v>35004</v>
      </c>
      <c r="F389">
        <v>10</v>
      </c>
      <c r="G389">
        <v>1</v>
      </c>
      <c r="H389" t="s">
        <v>3175</v>
      </c>
      <c r="I389">
        <v>10</v>
      </c>
    </row>
    <row r="390" spans="2:9" x14ac:dyDescent="0.3">
      <c r="B390" t="s">
        <v>410</v>
      </c>
      <c r="C390" t="s">
        <v>1661</v>
      </c>
      <c r="D390" t="s">
        <v>2658</v>
      </c>
      <c r="E390" s="24">
        <v>34759</v>
      </c>
      <c r="F390">
        <v>10</v>
      </c>
      <c r="G390">
        <v>1</v>
      </c>
      <c r="H390" t="s">
        <v>3176</v>
      </c>
      <c r="I390">
        <v>10</v>
      </c>
    </row>
    <row r="391" spans="2:9" x14ac:dyDescent="0.3">
      <c r="B391" t="s">
        <v>411</v>
      </c>
      <c r="C391" t="s">
        <v>1662</v>
      </c>
      <c r="D391" t="s">
        <v>2658</v>
      </c>
      <c r="E391" s="24">
        <v>40459</v>
      </c>
      <c r="F391">
        <v>10</v>
      </c>
      <c r="G391">
        <v>1</v>
      </c>
      <c r="H391" t="s">
        <v>3177</v>
      </c>
      <c r="I391">
        <v>10</v>
      </c>
    </row>
    <row r="392" spans="2:9" x14ac:dyDescent="0.3">
      <c r="B392" t="s">
        <v>412</v>
      </c>
      <c r="C392" t="s">
        <v>1663</v>
      </c>
      <c r="D392" t="s">
        <v>2658</v>
      </c>
      <c r="E392" s="24">
        <v>40862</v>
      </c>
      <c r="F392">
        <v>10</v>
      </c>
      <c r="G392">
        <v>1</v>
      </c>
      <c r="H392" t="s">
        <v>3178</v>
      </c>
      <c r="I392">
        <v>10</v>
      </c>
    </row>
    <row r="393" spans="2:9" x14ac:dyDescent="0.3">
      <c r="B393" t="s">
        <v>413</v>
      </c>
      <c r="C393" t="s">
        <v>1664</v>
      </c>
      <c r="D393" t="s">
        <v>2686</v>
      </c>
      <c r="E393" s="24">
        <v>39079</v>
      </c>
      <c r="F393">
        <v>10</v>
      </c>
      <c r="G393">
        <v>1</v>
      </c>
      <c r="H393" t="s">
        <v>3179</v>
      </c>
      <c r="I393">
        <v>10</v>
      </c>
    </row>
    <row r="394" spans="2:9" x14ac:dyDescent="0.3">
      <c r="B394" t="s">
        <v>414</v>
      </c>
      <c r="C394" t="s">
        <v>1665</v>
      </c>
      <c r="D394" t="s">
        <v>2658</v>
      </c>
      <c r="E394" s="24">
        <v>37298</v>
      </c>
      <c r="F394">
        <v>2</v>
      </c>
      <c r="G394">
        <v>1</v>
      </c>
      <c r="H394" t="s">
        <v>3180</v>
      </c>
      <c r="I394">
        <v>2</v>
      </c>
    </row>
    <row r="395" spans="2:9" x14ac:dyDescent="0.3">
      <c r="B395" t="s">
        <v>415</v>
      </c>
      <c r="C395" t="s">
        <v>1666</v>
      </c>
      <c r="D395" t="s">
        <v>2658</v>
      </c>
      <c r="E395" s="24">
        <v>40714</v>
      </c>
      <c r="F395">
        <v>5</v>
      </c>
      <c r="G395">
        <v>1</v>
      </c>
      <c r="H395" t="s">
        <v>3181</v>
      </c>
      <c r="I395">
        <v>5</v>
      </c>
    </row>
    <row r="396" spans="2:9" x14ac:dyDescent="0.3">
      <c r="B396" t="s">
        <v>416</v>
      </c>
      <c r="C396" t="s">
        <v>1667</v>
      </c>
      <c r="D396" t="s">
        <v>2686</v>
      </c>
      <c r="E396" s="24">
        <v>39150</v>
      </c>
      <c r="F396">
        <v>10</v>
      </c>
      <c r="G396">
        <v>1</v>
      </c>
      <c r="H396" t="s">
        <v>3182</v>
      </c>
      <c r="I396">
        <v>10</v>
      </c>
    </row>
    <row r="397" spans="2:9" x14ac:dyDescent="0.3">
      <c r="B397" t="s">
        <v>1303</v>
      </c>
      <c r="C397" t="s">
        <v>1668</v>
      </c>
      <c r="D397" t="s">
        <v>2686</v>
      </c>
      <c r="E397" s="24">
        <v>40101</v>
      </c>
      <c r="F397">
        <v>10</v>
      </c>
      <c r="G397">
        <v>1</v>
      </c>
      <c r="H397" t="s">
        <v>3183</v>
      </c>
      <c r="I397">
        <v>10</v>
      </c>
    </row>
    <row r="398" spans="2:9" x14ac:dyDescent="0.3">
      <c r="B398" t="s">
        <v>417</v>
      </c>
      <c r="C398" t="s">
        <v>1669</v>
      </c>
      <c r="D398" t="s">
        <v>2658</v>
      </c>
      <c r="E398" s="24">
        <v>35095</v>
      </c>
      <c r="F398">
        <v>10</v>
      </c>
      <c r="G398">
        <v>1</v>
      </c>
      <c r="H398" t="s">
        <v>3184</v>
      </c>
      <c r="I398">
        <v>10</v>
      </c>
    </row>
    <row r="399" spans="2:9" x14ac:dyDescent="0.3">
      <c r="B399" t="s">
        <v>418</v>
      </c>
      <c r="C399" t="s">
        <v>1670</v>
      </c>
      <c r="D399" t="s">
        <v>2658</v>
      </c>
      <c r="E399" s="24">
        <v>38469</v>
      </c>
      <c r="F399">
        <v>5</v>
      </c>
      <c r="G399">
        <v>1</v>
      </c>
      <c r="H399" t="s">
        <v>3185</v>
      </c>
      <c r="I399">
        <v>5</v>
      </c>
    </row>
    <row r="400" spans="2:9" x14ac:dyDescent="0.3">
      <c r="B400" t="s">
        <v>419</v>
      </c>
      <c r="C400" t="s">
        <v>1671</v>
      </c>
      <c r="D400" t="s">
        <v>2658</v>
      </c>
      <c r="E400" s="24">
        <v>34787</v>
      </c>
      <c r="F400">
        <v>10</v>
      </c>
      <c r="G400">
        <v>1</v>
      </c>
      <c r="H400" t="s">
        <v>3186</v>
      </c>
      <c r="I400">
        <v>10</v>
      </c>
    </row>
    <row r="401" spans="2:9" x14ac:dyDescent="0.3">
      <c r="B401" t="s">
        <v>3187</v>
      </c>
      <c r="C401" t="s">
        <v>3188</v>
      </c>
      <c r="D401" t="s">
        <v>2658</v>
      </c>
      <c r="E401" s="24">
        <v>40028</v>
      </c>
      <c r="F401">
        <v>10</v>
      </c>
      <c r="G401">
        <v>1</v>
      </c>
      <c r="H401" t="s">
        <v>3189</v>
      </c>
      <c r="I401">
        <v>10</v>
      </c>
    </row>
    <row r="402" spans="2:9" x14ac:dyDescent="0.3">
      <c r="B402" t="s">
        <v>420</v>
      </c>
      <c r="C402" t="s">
        <v>1672</v>
      </c>
      <c r="D402" t="s">
        <v>2658</v>
      </c>
      <c r="E402" s="24">
        <v>38154</v>
      </c>
      <c r="F402">
        <v>5</v>
      </c>
      <c r="G402">
        <v>1</v>
      </c>
      <c r="H402" t="s">
        <v>3190</v>
      </c>
      <c r="I402">
        <v>5</v>
      </c>
    </row>
    <row r="403" spans="2:9" x14ac:dyDescent="0.3">
      <c r="B403" t="s">
        <v>421</v>
      </c>
      <c r="C403" t="s">
        <v>1673</v>
      </c>
      <c r="D403" t="s">
        <v>2658</v>
      </c>
      <c r="E403" s="24">
        <v>38154</v>
      </c>
      <c r="F403">
        <v>5</v>
      </c>
      <c r="G403">
        <v>1</v>
      </c>
      <c r="H403" t="s">
        <v>3191</v>
      </c>
      <c r="I403">
        <v>5</v>
      </c>
    </row>
    <row r="404" spans="2:9" x14ac:dyDescent="0.3">
      <c r="B404" t="s">
        <v>52</v>
      </c>
      <c r="C404" t="s">
        <v>1674</v>
      </c>
      <c r="D404" t="s">
        <v>2658</v>
      </c>
      <c r="E404" s="24">
        <v>37789</v>
      </c>
      <c r="F404">
        <v>1</v>
      </c>
      <c r="G404">
        <v>1</v>
      </c>
      <c r="H404" t="s">
        <v>3192</v>
      </c>
      <c r="I404">
        <v>1</v>
      </c>
    </row>
    <row r="405" spans="2:9" x14ac:dyDescent="0.3">
      <c r="B405" t="s">
        <v>422</v>
      </c>
      <c r="C405" t="s">
        <v>1675</v>
      </c>
      <c r="D405" t="s">
        <v>2658</v>
      </c>
      <c r="E405" s="24">
        <v>34801</v>
      </c>
      <c r="F405">
        <v>10</v>
      </c>
      <c r="G405">
        <v>1</v>
      </c>
      <c r="H405" t="s">
        <v>3193</v>
      </c>
      <c r="I405">
        <v>10</v>
      </c>
    </row>
    <row r="406" spans="2:9" x14ac:dyDescent="0.3">
      <c r="B406" t="s">
        <v>423</v>
      </c>
      <c r="C406" t="s">
        <v>1676</v>
      </c>
      <c r="D406" t="s">
        <v>2658</v>
      </c>
      <c r="E406" s="24">
        <v>36859</v>
      </c>
      <c r="F406">
        <v>10</v>
      </c>
      <c r="G406">
        <v>1</v>
      </c>
      <c r="H406" t="s">
        <v>3194</v>
      </c>
      <c r="I406">
        <v>10</v>
      </c>
    </row>
    <row r="407" spans="2:9" x14ac:dyDescent="0.3">
      <c r="B407" t="s">
        <v>3195</v>
      </c>
      <c r="C407" t="s">
        <v>3196</v>
      </c>
      <c r="D407" t="s">
        <v>2658</v>
      </c>
      <c r="E407" s="24">
        <v>42132</v>
      </c>
      <c r="F407">
        <v>10</v>
      </c>
      <c r="G407">
        <v>1</v>
      </c>
      <c r="H407" t="s">
        <v>3197</v>
      </c>
      <c r="I407">
        <v>10</v>
      </c>
    </row>
    <row r="408" spans="2:9" x14ac:dyDescent="0.3">
      <c r="B408" t="s">
        <v>3198</v>
      </c>
      <c r="C408" t="s">
        <v>3199</v>
      </c>
      <c r="D408" t="s">
        <v>2658</v>
      </c>
      <c r="E408" s="24">
        <v>42019</v>
      </c>
      <c r="F408">
        <v>2</v>
      </c>
      <c r="G408">
        <v>1</v>
      </c>
      <c r="H408" t="s">
        <v>3200</v>
      </c>
      <c r="I408">
        <v>2</v>
      </c>
    </row>
    <row r="409" spans="2:9" x14ac:dyDescent="0.3">
      <c r="B409" t="s">
        <v>3201</v>
      </c>
      <c r="C409" t="s">
        <v>3202</v>
      </c>
      <c r="D409" t="s">
        <v>2658</v>
      </c>
      <c r="E409" s="24">
        <v>41459</v>
      </c>
      <c r="F409">
        <v>6</v>
      </c>
      <c r="G409">
        <v>1</v>
      </c>
      <c r="H409" t="s">
        <v>3203</v>
      </c>
      <c r="I409">
        <v>6</v>
      </c>
    </row>
    <row r="410" spans="2:9" x14ac:dyDescent="0.3">
      <c r="B410" t="s">
        <v>424</v>
      </c>
      <c r="C410" t="s">
        <v>1677</v>
      </c>
      <c r="D410" t="s">
        <v>2686</v>
      </c>
      <c r="E410" s="24">
        <v>38616</v>
      </c>
      <c r="F410">
        <v>1</v>
      </c>
      <c r="G410">
        <v>1</v>
      </c>
      <c r="H410" t="s">
        <v>3204</v>
      </c>
      <c r="I410">
        <v>1</v>
      </c>
    </row>
    <row r="411" spans="2:9" x14ac:dyDescent="0.3">
      <c r="B411" t="s">
        <v>425</v>
      </c>
      <c r="C411" t="s">
        <v>1678</v>
      </c>
      <c r="D411" t="s">
        <v>2658</v>
      </c>
      <c r="E411" s="24">
        <v>35649</v>
      </c>
      <c r="F411">
        <v>1</v>
      </c>
      <c r="G411">
        <v>1</v>
      </c>
      <c r="H411" t="s">
        <v>3205</v>
      </c>
      <c r="I411">
        <v>1</v>
      </c>
    </row>
    <row r="412" spans="2:9" x14ac:dyDescent="0.3">
      <c r="B412" t="s">
        <v>426</v>
      </c>
      <c r="C412" t="s">
        <v>1679</v>
      </c>
      <c r="D412" t="s">
        <v>2658</v>
      </c>
      <c r="E412" s="24">
        <v>38610</v>
      </c>
      <c r="F412">
        <v>10</v>
      </c>
      <c r="G412">
        <v>1</v>
      </c>
      <c r="H412" t="s">
        <v>3206</v>
      </c>
      <c r="I412">
        <v>10</v>
      </c>
    </row>
    <row r="413" spans="2:9" x14ac:dyDescent="0.3">
      <c r="B413" t="s">
        <v>427</v>
      </c>
      <c r="C413" t="s">
        <v>1680</v>
      </c>
      <c r="D413" t="s">
        <v>2658</v>
      </c>
      <c r="E413" s="24">
        <v>34738</v>
      </c>
      <c r="F413">
        <v>2</v>
      </c>
      <c r="G413">
        <v>1</v>
      </c>
      <c r="H413" t="s">
        <v>3207</v>
      </c>
      <c r="I413">
        <v>2</v>
      </c>
    </row>
    <row r="414" spans="2:9" x14ac:dyDescent="0.3">
      <c r="B414" t="s">
        <v>3208</v>
      </c>
      <c r="C414" t="s">
        <v>3209</v>
      </c>
      <c r="D414" t="s">
        <v>2658</v>
      </c>
      <c r="E414" s="24">
        <v>37200</v>
      </c>
      <c r="F414">
        <v>2</v>
      </c>
      <c r="G414">
        <v>1</v>
      </c>
      <c r="H414" t="s">
        <v>3210</v>
      </c>
      <c r="I414">
        <v>2</v>
      </c>
    </row>
    <row r="415" spans="2:9" x14ac:dyDescent="0.3">
      <c r="B415" t="s">
        <v>3211</v>
      </c>
      <c r="C415" t="s">
        <v>3209</v>
      </c>
      <c r="D415" t="s">
        <v>2658</v>
      </c>
      <c r="E415" s="24">
        <v>39857</v>
      </c>
      <c r="F415">
        <v>2</v>
      </c>
      <c r="G415">
        <v>1</v>
      </c>
      <c r="H415" t="s">
        <v>3212</v>
      </c>
      <c r="I415">
        <v>2</v>
      </c>
    </row>
    <row r="416" spans="2:9" x14ac:dyDescent="0.3">
      <c r="B416" t="s">
        <v>428</v>
      </c>
      <c r="C416" t="s">
        <v>1681</v>
      </c>
      <c r="D416" t="s">
        <v>2658</v>
      </c>
      <c r="E416" s="24">
        <v>39009</v>
      </c>
      <c r="F416">
        <v>10</v>
      </c>
      <c r="G416">
        <v>1</v>
      </c>
      <c r="H416" t="s">
        <v>3213</v>
      </c>
      <c r="I416">
        <v>10</v>
      </c>
    </row>
    <row r="417" spans="2:9" x14ac:dyDescent="0.3">
      <c r="B417" t="s">
        <v>429</v>
      </c>
      <c r="C417" t="s">
        <v>1682</v>
      </c>
      <c r="D417" t="s">
        <v>2658</v>
      </c>
      <c r="E417" s="24">
        <v>40784</v>
      </c>
      <c r="F417">
        <v>10</v>
      </c>
      <c r="G417">
        <v>1</v>
      </c>
      <c r="H417" t="s">
        <v>3214</v>
      </c>
      <c r="I417">
        <v>10</v>
      </c>
    </row>
    <row r="418" spans="2:9" x14ac:dyDescent="0.3">
      <c r="B418" t="s">
        <v>430</v>
      </c>
      <c r="C418" t="s">
        <v>1683</v>
      </c>
      <c r="D418" t="s">
        <v>2658</v>
      </c>
      <c r="E418" s="24">
        <v>34745</v>
      </c>
      <c r="F418">
        <v>2</v>
      </c>
      <c r="G418">
        <v>1</v>
      </c>
      <c r="H418" t="s">
        <v>3215</v>
      </c>
      <c r="I418">
        <v>2</v>
      </c>
    </row>
    <row r="419" spans="2:9" x14ac:dyDescent="0.3">
      <c r="B419" t="s">
        <v>431</v>
      </c>
      <c r="C419" t="s">
        <v>1684</v>
      </c>
      <c r="D419" t="s">
        <v>2658</v>
      </c>
      <c r="E419" s="24">
        <v>34738</v>
      </c>
      <c r="F419">
        <v>10</v>
      </c>
      <c r="G419">
        <v>1</v>
      </c>
      <c r="H419" t="s">
        <v>3216</v>
      </c>
      <c r="I419">
        <v>10</v>
      </c>
    </row>
    <row r="420" spans="2:9" x14ac:dyDescent="0.3">
      <c r="B420" t="s">
        <v>1304</v>
      </c>
      <c r="C420" t="s">
        <v>1685</v>
      </c>
      <c r="D420" t="s">
        <v>2686</v>
      </c>
      <c r="E420" s="24">
        <v>39637</v>
      </c>
      <c r="F420">
        <v>10</v>
      </c>
      <c r="G420">
        <v>1</v>
      </c>
      <c r="H420" t="s">
        <v>3217</v>
      </c>
      <c r="I420">
        <v>10</v>
      </c>
    </row>
    <row r="421" spans="2:9" x14ac:dyDescent="0.3">
      <c r="B421" t="s">
        <v>432</v>
      </c>
      <c r="C421" t="s">
        <v>1686</v>
      </c>
      <c r="D421" t="s">
        <v>2658</v>
      </c>
      <c r="E421" s="24">
        <v>40835</v>
      </c>
      <c r="F421">
        <v>10</v>
      </c>
      <c r="G421">
        <v>1</v>
      </c>
      <c r="H421" t="s">
        <v>3218</v>
      </c>
      <c r="I421">
        <v>10</v>
      </c>
    </row>
    <row r="422" spans="2:9" x14ac:dyDescent="0.3">
      <c r="B422" t="s">
        <v>433</v>
      </c>
      <c r="C422" t="s">
        <v>1687</v>
      </c>
      <c r="D422" t="s">
        <v>2658</v>
      </c>
      <c r="E422" s="24">
        <v>41548</v>
      </c>
      <c r="F422">
        <v>2</v>
      </c>
      <c r="G422">
        <v>1</v>
      </c>
      <c r="H422" t="s">
        <v>3219</v>
      </c>
      <c r="I422">
        <v>2</v>
      </c>
    </row>
    <row r="423" spans="2:9" x14ac:dyDescent="0.3">
      <c r="B423" t="s">
        <v>434</v>
      </c>
      <c r="C423" t="s">
        <v>1688</v>
      </c>
      <c r="D423" t="s">
        <v>2658</v>
      </c>
      <c r="E423" s="24">
        <v>34738</v>
      </c>
      <c r="F423">
        <v>10</v>
      </c>
      <c r="G423">
        <v>1</v>
      </c>
      <c r="H423" t="s">
        <v>3220</v>
      </c>
      <c r="I423">
        <v>10</v>
      </c>
    </row>
    <row r="424" spans="2:9" x14ac:dyDescent="0.3">
      <c r="B424" t="s">
        <v>435</v>
      </c>
      <c r="C424" t="s">
        <v>1689</v>
      </c>
      <c r="D424" t="s">
        <v>2658</v>
      </c>
      <c r="E424" s="24">
        <v>40543</v>
      </c>
      <c r="F424">
        <v>10</v>
      </c>
      <c r="G424">
        <v>1</v>
      </c>
      <c r="H424" t="s">
        <v>3221</v>
      </c>
      <c r="I424">
        <v>10</v>
      </c>
    </row>
    <row r="425" spans="2:9" x14ac:dyDescent="0.3">
      <c r="B425" t="s">
        <v>436</v>
      </c>
      <c r="C425" t="s">
        <v>1690</v>
      </c>
      <c r="D425" t="s">
        <v>2658</v>
      </c>
      <c r="E425" s="24">
        <v>39211</v>
      </c>
      <c r="F425">
        <v>10</v>
      </c>
      <c r="G425">
        <v>1</v>
      </c>
      <c r="H425" t="s">
        <v>3222</v>
      </c>
      <c r="I425">
        <v>10</v>
      </c>
    </row>
    <row r="426" spans="2:9" x14ac:dyDescent="0.3">
      <c r="B426" t="s">
        <v>436</v>
      </c>
      <c r="C426" t="s">
        <v>1690</v>
      </c>
      <c r="D426" t="s">
        <v>3173</v>
      </c>
      <c r="E426" s="24">
        <v>39211</v>
      </c>
      <c r="F426">
        <v>10</v>
      </c>
      <c r="G426">
        <v>1</v>
      </c>
      <c r="H426" t="s">
        <v>3222</v>
      </c>
      <c r="I426">
        <v>10</v>
      </c>
    </row>
    <row r="427" spans="2:9" x14ac:dyDescent="0.3">
      <c r="B427" t="s">
        <v>437</v>
      </c>
      <c r="C427" t="s">
        <v>1691</v>
      </c>
      <c r="D427" t="s">
        <v>2658</v>
      </c>
      <c r="E427" s="24">
        <v>37746</v>
      </c>
      <c r="F427">
        <v>10</v>
      </c>
      <c r="G427">
        <v>1</v>
      </c>
      <c r="H427" t="s">
        <v>3223</v>
      </c>
      <c r="I427">
        <v>10</v>
      </c>
    </row>
    <row r="428" spans="2:9" x14ac:dyDescent="0.3">
      <c r="B428" t="s">
        <v>3224</v>
      </c>
      <c r="C428" t="s">
        <v>1692</v>
      </c>
      <c r="D428" t="s">
        <v>2658</v>
      </c>
      <c r="E428" s="24">
        <v>42611</v>
      </c>
      <c r="F428">
        <v>2</v>
      </c>
      <c r="G428">
        <v>1</v>
      </c>
      <c r="H428" t="s">
        <v>3225</v>
      </c>
      <c r="I428">
        <v>2</v>
      </c>
    </row>
    <row r="429" spans="2:9" x14ac:dyDescent="0.3">
      <c r="B429" t="s">
        <v>438</v>
      </c>
      <c r="C429" t="s">
        <v>1693</v>
      </c>
      <c r="D429" t="s">
        <v>2658</v>
      </c>
      <c r="E429" s="24">
        <v>39135</v>
      </c>
      <c r="F429">
        <v>10</v>
      </c>
      <c r="G429">
        <v>1</v>
      </c>
      <c r="H429" t="s">
        <v>3226</v>
      </c>
      <c r="I429">
        <v>10</v>
      </c>
    </row>
    <row r="430" spans="2:9" x14ac:dyDescent="0.3">
      <c r="B430" t="s">
        <v>439</v>
      </c>
      <c r="C430" t="s">
        <v>1694</v>
      </c>
      <c r="D430" t="s">
        <v>2658</v>
      </c>
      <c r="E430" s="24">
        <v>38462</v>
      </c>
      <c r="F430">
        <v>1</v>
      </c>
      <c r="G430">
        <v>1</v>
      </c>
      <c r="H430" t="s">
        <v>3227</v>
      </c>
      <c r="I430">
        <v>1</v>
      </c>
    </row>
    <row r="431" spans="2:9" x14ac:dyDescent="0.3">
      <c r="B431" t="s">
        <v>440</v>
      </c>
      <c r="C431" t="s">
        <v>1695</v>
      </c>
      <c r="D431" t="s">
        <v>2658</v>
      </c>
      <c r="E431" s="24">
        <v>36810</v>
      </c>
      <c r="F431">
        <v>2</v>
      </c>
      <c r="G431">
        <v>1</v>
      </c>
      <c r="H431" t="s">
        <v>3228</v>
      </c>
      <c r="I431">
        <v>2</v>
      </c>
    </row>
    <row r="432" spans="2:9" x14ac:dyDescent="0.3">
      <c r="B432" t="s">
        <v>441</v>
      </c>
      <c r="C432" t="s">
        <v>1696</v>
      </c>
      <c r="D432" t="s">
        <v>2658</v>
      </c>
      <c r="E432" s="24">
        <v>35522</v>
      </c>
      <c r="F432">
        <v>10</v>
      </c>
      <c r="G432">
        <v>1</v>
      </c>
      <c r="H432" t="s">
        <v>3229</v>
      </c>
      <c r="I432">
        <v>10</v>
      </c>
    </row>
    <row r="433" spans="2:9" x14ac:dyDescent="0.3">
      <c r="B433" t="s">
        <v>442</v>
      </c>
      <c r="C433" t="s">
        <v>1697</v>
      </c>
      <c r="D433" t="s">
        <v>2658</v>
      </c>
      <c r="E433" s="24">
        <v>40478</v>
      </c>
      <c r="F433">
        <v>1</v>
      </c>
      <c r="G433">
        <v>1</v>
      </c>
      <c r="H433" t="s">
        <v>3230</v>
      </c>
      <c r="I433">
        <v>1</v>
      </c>
    </row>
    <row r="434" spans="2:9" x14ac:dyDescent="0.3">
      <c r="B434" t="s">
        <v>443</v>
      </c>
      <c r="C434" t="s">
        <v>1698</v>
      </c>
      <c r="D434" t="s">
        <v>2658</v>
      </c>
      <c r="E434" s="24">
        <v>38811</v>
      </c>
      <c r="F434">
        <v>10</v>
      </c>
      <c r="G434">
        <v>1</v>
      </c>
      <c r="H434" t="s">
        <v>3231</v>
      </c>
      <c r="I434">
        <v>10</v>
      </c>
    </row>
    <row r="435" spans="2:9" x14ac:dyDescent="0.3">
      <c r="B435" t="s">
        <v>444</v>
      </c>
      <c r="C435" t="s">
        <v>1699</v>
      </c>
      <c r="D435" t="s">
        <v>2658</v>
      </c>
      <c r="E435" s="24">
        <v>40462</v>
      </c>
      <c r="F435">
        <v>10</v>
      </c>
      <c r="G435">
        <v>1</v>
      </c>
      <c r="H435" t="s">
        <v>3232</v>
      </c>
      <c r="I435">
        <v>10</v>
      </c>
    </row>
    <row r="436" spans="2:9" x14ac:dyDescent="0.3">
      <c r="B436" t="s">
        <v>445</v>
      </c>
      <c r="C436" t="s">
        <v>1700</v>
      </c>
      <c r="D436" t="s">
        <v>2658</v>
      </c>
      <c r="E436" s="24">
        <v>39541</v>
      </c>
      <c r="F436">
        <v>2</v>
      </c>
      <c r="G436">
        <v>1</v>
      </c>
      <c r="H436" t="s">
        <v>3233</v>
      </c>
      <c r="I436">
        <v>2</v>
      </c>
    </row>
    <row r="437" spans="2:9" x14ac:dyDescent="0.3">
      <c r="B437" t="s">
        <v>446</v>
      </c>
      <c r="C437" t="s">
        <v>1701</v>
      </c>
      <c r="D437" t="s">
        <v>2658</v>
      </c>
      <c r="E437" s="24">
        <v>35354</v>
      </c>
      <c r="F437">
        <v>2</v>
      </c>
      <c r="G437">
        <v>1</v>
      </c>
      <c r="H437" t="s">
        <v>3234</v>
      </c>
      <c r="I437">
        <v>2</v>
      </c>
    </row>
    <row r="438" spans="2:9" x14ac:dyDescent="0.3">
      <c r="B438" t="s">
        <v>447</v>
      </c>
      <c r="C438" t="s">
        <v>1702</v>
      </c>
      <c r="D438" t="s">
        <v>2658</v>
      </c>
      <c r="E438" s="24">
        <v>39113</v>
      </c>
      <c r="F438">
        <v>5</v>
      </c>
      <c r="G438">
        <v>1</v>
      </c>
      <c r="H438" t="s">
        <v>3235</v>
      </c>
      <c r="I438">
        <v>5</v>
      </c>
    </row>
    <row r="439" spans="2:9" x14ac:dyDescent="0.3">
      <c r="B439" t="s">
        <v>3236</v>
      </c>
      <c r="C439" t="s">
        <v>3237</v>
      </c>
      <c r="D439" t="s">
        <v>2658</v>
      </c>
      <c r="E439" s="24">
        <v>42072</v>
      </c>
      <c r="F439">
        <v>10</v>
      </c>
      <c r="G439">
        <v>1</v>
      </c>
      <c r="H439" t="s">
        <v>3238</v>
      </c>
      <c r="I439">
        <v>10</v>
      </c>
    </row>
    <row r="440" spans="2:9" x14ac:dyDescent="0.3">
      <c r="B440" t="s">
        <v>448</v>
      </c>
      <c r="C440" t="s">
        <v>1703</v>
      </c>
      <c r="D440" t="s">
        <v>2658</v>
      </c>
      <c r="E440" s="24">
        <v>39143</v>
      </c>
      <c r="F440">
        <v>10</v>
      </c>
      <c r="G440">
        <v>1</v>
      </c>
      <c r="H440" t="s">
        <v>3239</v>
      </c>
      <c r="I440">
        <v>10</v>
      </c>
    </row>
    <row r="441" spans="2:9" x14ac:dyDescent="0.3">
      <c r="B441" t="s">
        <v>449</v>
      </c>
      <c r="C441" t="s">
        <v>1704</v>
      </c>
      <c r="D441" t="s">
        <v>2681</v>
      </c>
      <c r="E441" s="24">
        <v>38814</v>
      </c>
      <c r="F441">
        <v>5</v>
      </c>
      <c r="G441">
        <v>1</v>
      </c>
      <c r="H441" t="s">
        <v>3240</v>
      </c>
      <c r="I441">
        <v>5</v>
      </c>
    </row>
    <row r="442" spans="2:9" x14ac:dyDescent="0.3">
      <c r="B442" t="s">
        <v>449</v>
      </c>
      <c r="C442" t="s">
        <v>1704</v>
      </c>
      <c r="D442" t="s">
        <v>2658</v>
      </c>
      <c r="E442" s="24">
        <v>38814</v>
      </c>
      <c r="F442">
        <v>5</v>
      </c>
      <c r="G442">
        <v>1</v>
      </c>
      <c r="H442" t="s">
        <v>3240</v>
      </c>
      <c r="I442">
        <v>5</v>
      </c>
    </row>
    <row r="443" spans="2:9" x14ac:dyDescent="0.3">
      <c r="B443" t="s">
        <v>450</v>
      </c>
      <c r="C443" t="s">
        <v>1705</v>
      </c>
      <c r="D443" t="s">
        <v>2658</v>
      </c>
      <c r="E443" s="24">
        <v>37712</v>
      </c>
      <c r="F443">
        <v>10</v>
      </c>
      <c r="G443">
        <v>1</v>
      </c>
      <c r="H443" t="s">
        <v>3241</v>
      </c>
      <c r="I443">
        <v>10</v>
      </c>
    </row>
    <row r="444" spans="2:9" x14ac:dyDescent="0.3">
      <c r="B444" t="s">
        <v>451</v>
      </c>
      <c r="C444" t="s">
        <v>1706</v>
      </c>
      <c r="D444" t="s">
        <v>2658</v>
      </c>
      <c r="E444" s="24">
        <v>39175</v>
      </c>
      <c r="F444">
        <v>10</v>
      </c>
      <c r="G444">
        <v>1</v>
      </c>
      <c r="H444" t="s">
        <v>3242</v>
      </c>
      <c r="I444">
        <v>10</v>
      </c>
    </row>
    <row r="445" spans="2:9" x14ac:dyDescent="0.3">
      <c r="B445" t="s">
        <v>452</v>
      </c>
      <c r="C445" t="s">
        <v>1707</v>
      </c>
      <c r="D445" t="s">
        <v>2658</v>
      </c>
      <c r="E445" s="24">
        <v>39000</v>
      </c>
      <c r="F445">
        <v>2</v>
      </c>
      <c r="G445">
        <v>1</v>
      </c>
      <c r="H445" t="s">
        <v>3243</v>
      </c>
      <c r="I445">
        <v>2</v>
      </c>
    </row>
    <row r="446" spans="2:9" x14ac:dyDescent="0.3">
      <c r="B446" t="s">
        <v>453</v>
      </c>
      <c r="C446" t="s">
        <v>1708</v>
      </c>
      <c r="D446" t="s">
        <v>2658</v>
      </c>
      <c r="E446" s="24">
        <v>40777</v>
      </c>
      <c r="F446">
        <v>2</v>
      </c>
      <c r="G446">
        <v>1</v>
      </c>
      <c r="H446" t="s">
        <v>3244</v>
      </c>
      <c r="I446">
        <v>2</v>
      </c>
    </row>
    <row r="447" spans="2:9" x14ac:dyDescent="0.3">
      <c r="B447" t="s">
        <v>454</v>
      </c>
      <c r="C447" t="s">
        <v>1709</v>
      </c>
      <c r="D447" t="s">
        <v>2658</v>
      </c>
      <c r="E447" s="24">
        <v>38442</v>
      </c>
      <c r="F447">
        <v>10</v>
      </c>
      <c r="G447">
        <v>1</v>
      </c>
      <c r="H447" t="s">
        <v>3245</v>
      </c>
      <c r="I447">
        <v>10</v>
      </c>
    </row>
    <row r="448" spans="2:9" x14ac:dyDescent="0.3">
      <c r="B448" t="s">
        <v>455</v>
      </c>
      <c r="C448" t="s">
        <v>1710</v>
      </c>
      <c r="D448" t="s">
        <v>2658</v>
      </c>
      <c r="E448" s="24">
        <v>38994</v>
      </c>
      <c r="F448">
        <v>10</v>
      </c>
      <c r="G448">
        <v>1</v>
      </c>
      <c r="H448" t="s">
        <v>3246</v>
      </c>
      <c r="I448">
        <v>10</v>
      </c>
    </row>
    <row r="449" spans="2:9" x14ac:dyDescent="0.3">
      <c r="B449" t="s">
        <v>456</v>
      </c>
      <c r="C449" t="s">
        <v>1711</v>
      </c>
      <c r="D449" t="s">
        <v>2686</v>
      </c>
      <c r="E449" s="24">
        <v>39100</v>
      </c>
      <c r="F449">
        <v>1</v>
      </c>
      <c r="G449">
        <v>1</v>
      </c>
      <c r="H449" t="s">
        <v>3247</v>
      </c>
      <c r="I449">
        <v>1</v>
      </c>
    </row>
    <row r="450" spans="2:9" x14ac:dyDescent="0.3">
      <c r="B450" t="s">
        <v>457</v>
      </c>
      <c r="C450" t="s">
        <v>1712</v>
      </c>
      <c r="D450" t="s">
        <v>2658</v>
      </c>
      <c r="E450" s="24">
        <v>37644</v>
      </c>
      <c r="F450">
        <v>5</v>
      </c>
      <c r="G450">
        <v>1</v>
      </c>
      <c r="H450" t="s">
        <v>3248</v>
      </c>
      <c r="I450">
        <v>5</v>
      </c>
    </row>
    <row r="451" spans="2:9" x14ac:dyDescent="0.3">
      <c r="B451" t="s">
        <v>3249</v>
      </c>
      <c r="C451" t="s">
        <v>3250</v>
      </c>
      <c r="D451" t="s">
        <v>2658</v>
      </c>
      <c r="E451" s="24">
        <v>42051</v>
      </c>
      <c r="F451">
        <v>1</v>
      </c>
      <c r="G451">
        <v>1</v>
      </c>
      <c r="H451" t="s">
        <v>3251</v>
      </c>
      <c r="I451">
        <v>1</v>
      </c>
    </row>
    <row r="452" spans="2:9" x14ac:dyDescent="0.3">
      <c r="B452" t="s">
        <v>458</v>
      </c>
      <c r="C452" t="s">
        <v>1713</v>
      </c>
      <c r="D452" t="s">
        <v>2658</v>
      </c>
      <c r="E452" s="24">
        <v>38541</v>
      </c>
      <c r="F452">
        <v>1</v>
      </c>
      <c r="G452">
        <v>1</v>
      </c>
      <c r="H452" t="s">
        <v>3252</v>
      </c>
      <c r="I452">
        <v>1</v>
      </c>
    </row>
    <row r="453" spans="2:9" x14ac:dyDescent="0.3">
      <c r="B453" t="s">
        <v>3253</v>
      </c>
      <c r="C453" t="s">
        <v>3254</v>
      </c>
      <c r="D453" t="s">
        <v>2658</v>
      </c>
      <c r="E453" s="24">
        <v>38534</v>
      </c>
      <c r="F453">
        <v>1</v>
      </c>
      <c r="G453">
        <v>1</v>
      </c>
      <c r="H453" t="s">
        <v>3255</v>
      </c>
      <c r="I453">
        <v>1</v>
      </c>
    </row>
    <row r="454" spans="2:9" x14ac:dyDescent="0.3">
      <c r="B454" t="s">
        <v>3256</v>
      </c>
      <c r="C454" t="s">
        <v>3257</v>
      </c>
      <c r="D454" t="s">
        <v>2658</v>
      </c>
      <c r="E454" s="24">
        <v>36635</v>
      </c>
      <c r="F454">
        <v>10</v>
      </c>
      <c r="G454">
        <v>1</v>
      </c>
      <c r="H454" t="s">
        <v>3258</v>
      </c>
      <c r="I454">
        <v>10</v>
      </c>
    </row>
    <row r="455" spans="2:9" x14ac:dyDescent="0.3">
      <c r="B455" t="s">
        <v>57</v>
      </c>
      <c r="C455" t="s">
        <v>1714</v>
      </c>
      <c r="D455" t="s">
        <v>2658</v>
      </c>
      <c r="E455" s="24">
        <v>39048</v>
      </c>
      <c r="F455">
        <v>10</v>
      </c>
      <c r="G455">
        <v>1</v>
      </c>
      <c r="H455" t="s">
        <v>3259</v>
      </c>
      <c r="I455">
        <v>10</v>
      </c>
    </row>
    <row r="456" spans="2:9" x14ac:dyDescent="0.3">
      <c r="B456" t="s">
        <v>3260</v>
      </c>
      <c r="C456" t="s">
        <v>3261</v>
      </c>
      <c r="D456" t="s">
        <v>2658</v>
      </c>
      <c r="E456" s="24">
        <v>39629</v>
      </c>
      <c r="F456">
        <v>2</v>
      </c>
      <c r="G456">
        <v>1</v>
      </c>
      <c r="H456" t="s">
        <v>3262</v>
      </c>
      <c r="I456">
        <v>2</v>
      </c>
    </row>
    <row r="457" spans="2:9" x14ac:dyDescent="0.3">
      <c r="B457" t="s">
        <v>459</v>
      </c>
      <c r="C457" t="s">
        <v>1715</v>
      </c>
      <c r="D457" t="s">
        <v>2658</v>
      </c>
      <c r="E457" s="24">
        <v>37833</v>
      </c>
      <c r="F457">
        <v>10</v>
      </c>
      <c r="G457">
        <v>1</v>
      </c>
      <c r="H457" t="s">
        <v>3263</v>
      </c>
      <c r="I457">
        <v>10</v>
      </c>
    </row>
    <row r="458" spans="2:9" x14ac:dyDescent="0.3">
      <c r="B458" t="s">
        <v>460</v>
      </c>
      <c r="C458" t="s">
        <v>1716</v>
      </c>
      <c r="D458" t="s">
        <v>2658</v>
      </c>
      <c r="E458" s="24">
        <v>35193</v>
      </c>
      <c r="F458">
        <v>10</v>
      </c>
      <c r="G458">
        <v>1</v>
      </c>
      <c r="H458" t="s">
        <v>3264</v>
      </c>
      <c r="I458">
        <v>10</v>
      </c>
    </row>
    <row r="459" spans="2:9" x14ac:dyDescent="0.3">
      <c r="B459" t="s">
        <v>461</v>
      </c>
      <c r="C459" t="s">
        <v>1717</v>
      </c>
      <c r="D459" t="s">
        <v>2658</v>
      </c>
      <c r="E459" s="24">
        <v>40161</v>
      </c>
      <c r="F459">
        <v>10</v>
      </c>
      <c r="G459">
        <v>1</v>
      </c>
      <c r="H459" t="s">
        <v>3265</v>
      </c>
      <c r="I459">
        <v>10</v>
      </c>
    </row>
    <row r="460" spans="2:9" x14ac:dyDescent="0.3">
      <c r="B460" t="s">
        <v>462</v>
      </c>
      <c r="C460" t="s">
        <v>1718</v>
      </c>
      <c r="D460" t="s">
        <v>2658</v>
      </c>
      <c r="E460" s="24">
        <v>37832</v>
      </c>
      <c r="F460">
        <v>10</v>
      </c>
      <c r="G460">
        <v>1</v>
      </c>
      <c r="H460" t="s">
        <v>3266</v>
      </c>
      <c r="I460">
        <v>10</v>
      </c>
    </row>
    <row r="461" spans="2:9" x14ac:dyDescent="0.3">
      <c r="B461" t="s">
        <v>463</v>
      </c>
      <c r="C461" t="s">
        <v>1719</v>
      </c>
      <c r="D461" t="s">
        <v>2658</v>
      </c>
      <c r="E461" s="24">
        <v>34829</v>
      </c>
      <c r="F461">
        <v>10</v>
      </c>
      <c r="G461">
        <v>1</v>
      </c>
      <c r="H461" t="s">
        <v>3267</v>
      </c>
      <c r="I461">
        <v>10</v>
      </c>
    </row>
    <row r="462" spans="2:9" x14ac:dyDescent="0.3">
      <c r="B462" t="s">
        <v>464</v>
      </c>
      <c r="C462" t="s">
        <v>1720</v>
      </c>
      <c r="D462" t="s">
        <v>2658</v>
      </c>
      <c r="E462" s="24">
        <v>34738</v>
      </c>
      <c r="F462">
        <v>10</v>
      </c>
      <c r="G462">
        <v>1</v>
      </c>
      <c r="H462" t="s">
        <v>3268</v>
      </c>
      <c r="I462">
        <v>10</v>
      </c>
    </row>
    <row r="463" spans="2:9" x14ac:dyDescent="0.3">
      <c r="B463" t="s">
        <v>1305</v>
      </c>
      <c r="C463" t="s">
        <v>1721</v>
      </c>
      <c r="D463" t="s">
        <v>2686</v>
      </c>
      <c r="E463" s="24">
        <v>39843</v>
      </c>
      <c r="F463">
        <v>10</v>
      </c>
      <c r="G463">
        <v>1</v>
      </c>
      <c r="H463" t="s">
        <v>3269</v>
      </c>
      <c r="I463">
        <v>10</v>
      </c>
    </row>
    <row r="464" spans="2:9" x14ac:dyDescent="0.3">
      <c r="B464" t="s">
        <v>465</v>
      </c>
      <c r="C464" t="s">
        <v>1722</v>
      </c>
      <c r="D464" t="s">
        <v>2658</v>
      </c>
      <c r="E464" s="24">
        <v>38786</v>
      </c>
      <c r="F464">
        <v>10</v>
      </c>
      <c r="G464">
        <v>1</v>
      </c>
      <c r="H464" t="s">
        <v>3270</v>
      </c>
      <c r="I464">
        <v>10</v>
      </c>
    </row>
    <row r="465" spans="2:9" x14ac:dyDescent="0.3">
      <c r="B465" t="s">
        <v>466</v>
      </c>
      <c r="C465" t="s">
        <v>1723</v>
      </c>
      <c r="D465" t="s">
        <v>2658</v>
      </c>
      <c r="E465" s="24">
        <v>40014</v>
      </c>
      <c r="F465">
        <v>10</v>
      </c>
      <c r="G465">
        <v>1</v>
      </c>
      <c r="H465" t="s">
        <v>3271</v>
      </c>
      <c r="I465">
        <v>10</v>
      </c>
    </row>
    <row r="466" spans="2:9" x14ac:dyDescent="0.3">
      <c r="B466" t="s">
        <v>467</v>
      </c>
      <c r="C466" t="s">
        <v>1724</v>
      </c>
      <c r="D466" t="s">
        <v>2658</v>
      </c>
      <c r="E466" s="24">
        <v>36875</v>
      </c>
      <c r="F466">
        <v>10</v>
      </c>
      <c r="G466">
        <v>1</v>
      </c>
      <c r="H466" t="s">
        <v>3272</v>
      </c>
      <c r="I466">
        <v>10</v>
      </c>
    </row>
    <row r="467" spans="2:9" x14ac:dyDescent="0.3">
      <c r="B467" t="s">
        <v>55</v>
      </c>
      <c r="C467" t="s">
        <v>1725</v>
      </c>
      <c r="D467" t="s">
        <v>2658</v>
      </c>
      <c r="E467" s="24">
        <v>36563</v>
      </c>
      <c r="F467">
        <v>1</v>
      </c>
      <c r="G467">
        <v>1</v>
      </c>
      <c r="H467" t="s">
        <v>3273</v>
      </c>
      <c r="I467">
        <v>1</v>
      </c>
    </row>
    <row r="468" spans="2:9" x14ac:dyDescent="0.3">
      <c r="B468" t="s">
        <v>1306</v>
      </c>
      <c r="C468" t="s">
        <v>1726</v>
      </c>
      <c r="D468" t="s">
        <v>2686</v>
      </c>
      <c r="E468" s="24">
        <v>36719</v>
      </c>
      <c r="F468">
        <v>10</v>
      </c>
      <c r="G468">
        <v>1</v>
      </c>
      <c r="H468" t="s">
        <v>3274</v>
      </c>
      <c r="I468">
        <v>10</v>
      </c>
    </row>
    <row r="469" spans="2:9" x14ac:dyDescent="0.3">
      <c r="B469" t="s">
        <v>468</v>
      </c>
      <c r="C469" t="s">
        <v>1727</v>
      </c>
      <c r="D469" t="s">
        <v>2658</v>
      </c>
      <c r="E469" s="24">
        <v>39017</v>
      </c>
      <c r="F469">
        <v>10</v>
      </c>
      <c r="G469">
        <v>1</v>
      </c>
      <c r="H469" t="s">
        <v>3275</v>
      </c>
      <c r="I469">
        <v>10</v>
      </c>
    </row>
    <row r="470" spans="2:9" x14ac:dyDescent="0.3">
      <c r="B470" t="s">
        <v>469</v>
      </c>
      <c r="C470" t="s">
        <v>1728</v>
      </c>
      <c r="D470" t="s">
        <v>2658</v>
      </c>
      <c r="E470" s="24">
        <v>39205</v>
      </c>
      <c r="F470">
        <v>10</v>
      </c>
      <c r="G470">
        <v>1</v>
      </c>
      <c r="H470" t="s">
        <v>3276</v>
      </c>
      <c r="I470">
        <v>10</v>
      </c>
    </row>
    <row r="471" spans="2:9" x14ac:dyDescent="0.3">
      <c r="B471" t="s">
        <v>470</v>
      </c>
      <c r="C471" t="s">
        <v>1729</v>
      </c>
      <c r="D471" t="s">
        <v>2658</v>
      </c>
      <c r="E471" s="24">
        <v>40079</v>
      </c>
      <c r="F471">
        <v>10</v>
      </c>
      <c r="G471">
        <v>1</v>
      </c>
      <c r="H471" t="s">
        <v>3277</v>
      </c>
      <c r="I471">
        <v>10</v>
      </c>
    </row>
    <row r="472" spans="2:9" x14ac:dyDescent="0.3">
      <c r="B472" t="s">
        <v>471</v>
      </c>
      <c r="C472" t="s">
        <v>1730</v>
      </c>
      <c r="D472" t="s">
        <v>2658</v>
      </c>
      <c r="E472" s="24">
        <v>34934</v>
      </c>
      <c r="F472">
        <v>10</v>
      </c>
      <c r="G472">
        <v>1</v>
      </c>
      <c r="H472" t="s">
        <v>3278</v>
      </c>
      <c r="I472">
        <v>10</v>
      </c>
    </row>
    <row r="473" spans="2:9" x14ac:dyDescent="0.3">
      <c r="B473" t="s">
        <v>472</v>
      </c>
      <c r="C473" t="s">
        <v>1731</v>
      </c>
      <c r="D473" t="s">
        <v>2658</v>
      </c>
      <c r="E473" s="24">
        <v>35781</v>
      </c>
      <c r="F473">
        <v>2</v>
      </c>
      <c r="G473">
        <v>1</v>
      </c>
      <c r="H473" t="s">
        <v>3279</v>
      </c>
      <c r="I473">
        <v>2</v>
      </c>
    </row>
    <row r="474" spans="2:9" x14ac:dyDescent="0.3">
      <c r="B474" t="s">
        <v>53</v>
      </c>
      <c r="C474" t="s">
        <v>1732</v>
      </c>
      <c r="D474" t="s">
        <v>2658</v>
      </c>
      <c r="E474" s="24">
        <v>38950</v>
      </c>
      <c r="F474">
        <v>1</v>
      </c>
      <c r="G474">
        <v>1</v>
      </c>
      <c r="H474" t="s">
        <v>3280</v>
      </c>
      <c r="I474">
        <v>1</v>
      </c>
    </row>
    <row r="475" spans="2:9" x14ac:dyDescent="0.3">
      <c r="B475" t="s">
        <v>3281</v>
      </c>
      <c r="C475" t="s">
        <v>3282</v>
      </c>
      <c r="D475" t="s">
        <v>2658</v>
      </c>
      <c r="E475" s="24">
        <v>42639</v>
      </c>
      <c r="F475">
        <v>10</v>
      </c>
      <c r="G475">
        <v>1</v>
      </c>
      <c r="H475" t="s">
        <v>3283</v>
      </c>
      <c r="I475">
        <v>10</v>
      </c>
    </row>
    <row r="476" spans="2:9" x14ac:dyDescent="0.3">
      <c r="B476" t="s">
        <v>473</v>
      </c>
      <c r="C476" t="s">
        <v>1733</v>
      </c>
      <c r="D476" t="s">
        <v>2658</v>
      </c>
      <c r="E476" s="24">
        <v>34836</v>
      </c>
      <c r="F476">
        <v>10</v>
      </c>
      <c r="G476">
        <v>1</v>
      </c>
      <c r="H476" t="s">
        <v>3284</v>
      </c>
      <c r="I476">
        <v>10</v>
      </c>
    </row>
    <row r="477" spans="2:9" x14ac:dyDescent="0.3">
      <c r="B477" t="s">
        <v>474</v>
      </c>
      <c r="C477" t="s">
        <v>1734</v>
      </c>
      <c r="D477" t="s">
        <v>2658</v>
      </c>
      <c r="E477" s="24">
        <v>39238</v>
      </c>
      <c r="F477">
        <v>10</v>
      </c>
      <c r="G477">
        <v>1</v>
      </c>
      <c r="H477" t="s">
        <v>3285</v>
      </c>
      <c r="I477">
        <v>10</v>
      </c>
    </row>
    <row r="478" spans="2:9" x14ac:dyDescent="0.3">
      <c r="B478" t="s">
        <v>3286</v>
      </c>
      <c r="C478" t="s">
        <v>3287</v>
      </c>
      <c r="D478" t="s">
        <v>2658</v>
      </c>
      <c r="E478" s="24">
        <v>41816</v>
      </c>
      <c r="F478">
        <v>2</v>
      </c>
      <c r="G478">
        <v>1</v>
      </c>
      <c r="H478" t="s">
        <v>3288</v>
      </c>
      <c r="I478">
        <v>2</v>
      </c>
    </row>
    <row r="479" spans="2:9" x14ac:dyDescent="0.3">
      <c r="B479" t="s">
        <v>475</v>
      </c>
      <c r="C479" t="s">
        <v>1735</v>
      </c>
      <c r="D479" t="s">
        <v>2658</v>
      </c>
      <c r="E479" s="24">
        <v>35270</v>
      </c>
      <c r="F479">
        <v>2</v>
      </c>
      <c r="G479">
        <v>1</v>
      </c>
      <c r="H479" t="s">
        <v>3289</v>
      </c>
      <c r="I479">
        <v>2</v>
      </c>
    </row>
    <row r="480" spans="2:9" x14ac:dyDescent="0.3">
      <c r="B480" t="s">
        <v>476</v>
      </c>
      <c r="C480" t="s">
        <v>1736</v>
      </c>
      <c r="D480" t="s">
        <v>2658</v>
      </c>
      <c r="E480" s="24">
        <v>37062</v>
      </c>
      <c r="F480">
        <v>1</v>
      </c>
      <c r="G480">
        <v>1</v>
      </c>
      <c r="H480" t="s">
        <v>3290</v>
      </c>
      <c r="I480">
        <v>1</v>
      </c>
    </row>
    <row r="481" spans="2:9" x14ac:dyDescent="0.3">
      <c r="B481" t="s">
        <v>56</v>
      </c>
      <c r="C481" t="s">
        <v>1737</v>
      </c>
      <c r="D481" t="s">
        <v>2658</v>
      </c>
      <c r="E481" s="24">
        <v>37677</v>
      </c>
      <c r="F481">
        <v>1</v>
      </c>
      <c r="G481">
        <v>1</v>
      </c>
      <c r="H481" t="s">
        <v>3291</v>
      </c>
      <c r="I481">
        <v>1</v>
      </c>
    </row>
    <row r="482" spans="2:9" x14ac:dyDescent="0.3">
      <c r="B482" t="s">
        <v>477</v>
      </c>
      <c r="C482" t="s">
        <v>1738</v>
      </c>
      <c r="D482" t="s">
        <v>2658</v>
      </c>
      <c r="E482" s="24">
        <v>40183</v>
      </c>
      <c r="F482">
        <v>5</v>
      </c>
      <c r="G482">
        <v>1</v>
      </c>
      <c r="H482" t="s">
        <v>3292</v>
      </c>
      <c r="I482">
        <v>5</v>
      </c>
    </row>
    <row r="483" spans="2:9" x14ac:dyDescent="0.3">
      <c r="B483" t="s">
        <v>478</v>
      </c>
      <c r="C483" t="s">
        <v>1739</v>
      </c>
      <c r="D483" t="s">
        <v>2681</v>
      </c>
      <c r="E483" s="24">
        <v>40284</v>
      </c>
      <c r="F483">
        <v>1</v>
      </c>
      <c r="G483">
        <v>1</v>
      </c>
      <c r="H483" t="s">
        <v>3293</v>
      </c>
      <c r="I483">
        <v>1</v>
      </c>
    </row>
    <row r="484" spans="2:9" x14ac:dyDescent="0.3">
      <c r="B484" t="s">
        <v>479</v>
      </c>
      <c r="C484" t="s">
        <v>1740</v>
      </c>
      <c r="D484" t="s">
        <v>2686</v>
      </c>
      <c r="E484" s="24">
        <v>38469</v>
      </c>
      <c r="F484">
        <v>5</v>
      </c>
      <c r="G484">
        <v>1</v>
      </c>
      <c r="H484" t="s">
        <v>3294</v>
      </c>
      <c r="I484">
        <v>5</v>
      </c>
    </row>
    <row r="485" spans="2:9" x14ac:dyDescent="0.3">
      <c r="B485" t="s">
        <v>480</v>
      </c>
      <c r="C485" t="s">
        <v>1741</v>
      </c>
      <c r="D485" t="s">
        <v>2658</v>
      </c>
      <c r="E485" s="24">
        <v>39603</v>
      </c>
      <c r="F485">
        <v>2</v>
      </c>
      <c r="G485">
        <v>1</v>
      </c>
      <c r="H485" t="s">
        <v>3295</v>
      </c>
      <c r="I485">
        <v>2</v>
      </c>
    </row>
    <row r="486" spans="2:9" x14ac:dyDescent="0.3">
      <c r="B486" t="s">
        <v>3296</v>
      </c>
      <c r="C486" t="s">
        <v>3297</v>
      </c>
      <c r="D486" t="s">
        <v>2658</v>
      </c>
      <c r="E486" s="24">
        <v>42440</v>
      </c>
      <c r="F486">
        <v>2</v>
      </c>
      <c r="G486">
        <v>1</v>
      </c>
      <c r="H486" t="s">
        <v>3298</v>
      </c>
      <c r="I486">
        <v>2</v>
      </c>
    </row>
    <row r="487" spans="2:9" x14ac:dyDescent="0.3">
      <c r="B487" t="s">
        <v>481</v>
      </c>
      <c r="C487" t="s">
        <v>1742</v>
      </c>
      <c r="D487" t="s">
        <v>2686</v>
      </c>
      <c r="E487" s="24">
        <v>36789</v>
      </c>
      <c r="F487">
        <v>10</v>
      </c>
      <c r="G487">
        <v>1</v>
      </c>
      <c r="H487" t="s">
        <v>3299</v>
      </c>
      <c r="I487">
        <v>10</v>
      </c>
    </row>
    <row r="488" spans="2:9" x14ac:dyDescent="0.3">
      <c r="B488" t="s">
        <v>482</v>
      </c>
      <c r="C488" t="s">
        <v>1743</v>
      </c>
      <c r="D488" t="s">
        <v>2658</v>
      </c>
      <c r="E488" s="24">
        <v>38593</v>
      </c>
      <c r="F488">
        <v>10</v>
      </c>
      <c r="G488">
        <v>1</v>
      </c>
      <c r="H488" t="s">
        <v>3300</v>
      </c>
      <c r="I488">
        <v>10</v>
      </c>
    </row>
    <row r="489" spans="2:9" x14ac:dyDescent="0.3">
      <c r="B489" t="s">
        <v>483</v>
      </c>
      <c r="C489" t="s">
        <v>1744</v>
      </c>
      <c r="D489" t="s">
        <v>2686</v>
      </c>
      <c r="E489" s="24">
        <v>37335</v>
      </c>
      <c r="F489">
        <v>4</v>
      </c>
      <c r="G489">
        <v>1</v>
      </c>
      <c r="H489" t="s">
        <v>3301</v>
      </c>
      <c r="I489">
        <v>4</v>
      </c>
    </row>
    <row r="490" spans="2:9" x14ac:dyDescent="0.3">
      <c r="B490" t="s">
        <v>484</v>
      </c>
      <c r="C490" t="s">
        <v>1745</v>
      </c>
      <c r="D490" t="s">
        <v>2686</v>
      </c>
      <c r="E490" s="24">
        <v>36992</v>
      </c>
      <c r="F490">
        <v>10</v>
      </c>
      <c r="G490">
        <v>1</v>
      </c>
      <c r="H490" t="s">
        <v>3302</v>
      </c>
      <c r="I490">
        <v>10</v>
      </c>
    </row>
    <row r="491" spans="2:9" x14ac:dyDescent="0.3">
      <c r="B491" t="s">
        <v>3303</v>
      </c>
      <c r="C491" t="s">
        <v>3304</v>
      </c>
      <c r="D491" t="s">
        <v>2658</v>
      </c>
      <c r="E491" s="24">
        <v>42012</v>
      </c>
      <c r="F491">
        <v>2</v>
      </c>
      <c r="G491">
        <v>1</v>
      </c>
      <c r="H491" t="s">
        <v>3305</v>
      </c>
      <c r="I491">
        <v>2</v>
      </c>
    </row>
    <row r="492" spans="2:9" x14ac:dyDescent="0.3">
      <c r="B492" t="s">
        <v>485</v>
      </c>
      <c r="C492" t="s">
        <v>1746</v>
      </c>
      <c r="D492" t="s">
        <v>2658</v>
      </c>
      <c r="E492" s="24">
        <v>38832</v>
      </c>
      <c r="F492">
        <v>10</v>
      </c>
      <c r="G492">
        <v>1</v>
      </c>
      <c r="H492" t="s">
        <v>3306</v>
      </c>
      <c r="I492">
        <v>10</v>
      </c>
    </row>
    <row r="493" spans="2:9" x14ac:dyDescent="0.3">
      <c r="B493" t="s">
        <v>486</v>
      </c>
      <c r="C493" t="s">
        <v>1747</v>
      </c>
      <c r="D493" t="s">
        <v>2658</v>
      </c>
      <c r="E493" s="24">
        <v>40430</v>
      </c>
      <c r="F493">
        <v>10</v>
      </c>
      <c r="G493">
        <v>1</v>
      </c>
      <c r="H493" t="s">
        <v>3307</v>
      </c>
      <c r="I493">
        <v>10</v>
      </c>
    </row>
    <row r="494" spans="2:9" x14ac:dyDescent="0.3">
      <c r="B494" t="s">
        <v>3308</v>
      </c>
      <c r="C494" t="s">
        <v>3309</v>
      </c>
      <c r="D494" t="s">
        <v>2658</v>
      </c>
      <c r="E494" s="24">
        <v>42562</v>
      </c>
      <c r="F494">
        <v>10</v>
      </c>
      <c r="G494">
        <v>1</v>
      </c>
      <c r="H494" t="s">
        <v>3310</v>
      </c>
      <c r="I494">
        <v>10</v>
      </c>
    </row>
    <row r="495" spans="2:9" x14ac:dyDescent="0.3">
      <c r="B495" t="s">
        <v>487</v>
      </c>
      <c r="C495" t="s">
        <v>1748</v>
      </c>
      <c r="D495" t="s">
        <v>2658</v>
      </c>
      <c r="E495" s="24">
        <v>38523</v>
      </c>
      <c r="F495">
        <v>1</v>
      </c>
      <c r="G495">
        <v>1</v>
      </c>
      <c r="H495" t="s">
        <v>3311</v>
      </c>
      <c r="I495">
        <v>1</v>
      </c>
    </row>
    <row r="496" spans="2:9" x14ac:dyDescent="0.3">
      <c r="B496" t="s">
        <v>488</v>
      </c>
      <c r="C496" t="s">
        <v>1749</v>
      </c>
      <c r="D496" t="s">
        <v>2658</v>
      </c>
      <c r="E496" s="24">
        <v>37659</v>
      </c>
      <c r="F496">
        <v>2</v>
      </c>
      <c r="G496">
        <v>1</v>
      </c>
      <c r="H496" t="s">
        <v>3312</v>
      </c>
      <c r="I496">
        <v>2</v>
      </c>
    </row>
    <row r="497" spans="2:9" x14ac:dyDescent="0.3">
      <c r="B497" t="s">
        <v>489</v>
      </c>
      <c r="C497" t="s">
        <v>1750</v>
      </c>
      <c r="D497" t="s">
        <v>2658</v>
      </c>
      <c r="E497" s="24">
        <v>34829</v>
      </c>
      <c r="F497">
        <v>2</v>
      </c>
      <c r="G497">
        <v>1</v>
      </c>
      <c r="H497" t="s">
        <v>3313</v>
      </c>
      <c r="I497">
        <v>2</v>
      </c>
    </row>
    <row r="498" spans="2:9" x14ac:dyDescent="0.3">
      <c r="B498" t="s">
        <v>490</v>
      </c>
      <c r="C498" t="s">
        <v>1751</v>
      </c>
      <c r="D498" t="s">
        <v>2658</v>
      </c>
      <c r="E498" s="24">
        <v>40498</v>
      </c>
      <c r="F498">
        <v>2</v>
      </c>
      <c r="G498">
        <v>1</v>
      </c>
      <c r="H498" t="s">
        <v>3314</v>
      </c>
      <c r="I498">
        <v>2</v>
      </c>
    </row>
    <row r="499" spans="2:9" x14ac:dyDescent="0.3">
      <c r="B499" t="s">
        <v>491</v>
      </c>
      <c r="C499" t="s">
        <v>1752</v>
      </c>
      <c r="D499" t="s">
        <v>2658</v>
      </c>
      <c r="E499" s="24">
        <v>38239</v>
      </c>
      <c r="F499">
        <v>2</v>
      </c>
      <c r="G499">
        <v>1</v>
      </c>
      <c r="H499" t="s">
        <v>3315</v>
      </c>
      <c r="I499">
        <v>2</v>
      </c>
    </row>
    <row r="500" spans="2:9" x14ac:dyDescent="0.3">
      <c r="B500" t="s">
        <v>1307</v>
      </c>
      <c r="C500" t="s">
        <v>1753</v>
      </c>
      <c r="D500" t="s">
        <v>2686</v>
      </c>
      <c r="E500" s="24">
        <v>41198</v>
      </c>
      <c r="F500">
        <v>1</v>
      </c>
      <c r="G500">
        <v>1</v>
      </c>
      <c r="H500" t="s">
        <v>3316</v>
      </c>
      <c r="I500">
        <v>1</v>
      </c>
    </row>
    <row r="501" spans="2:9" x14ac:dyDescent="0.3">
      <c r="B501" t="s">
        <v>3317</v>
      </c>
      <c r="C501" t="s">
        <v>3318</v>
      </c>
      <c r="D501" t="s">
        <v>2658</v>
      </c>
      <c r="E501" s="24">
        <v>42065</v>
      </c>
      <c r="F501">
        <v>5</v>
      </c>
      <c r="G501">
        <v>1</v>
      </c>
      <c r="H501" t="s">
        <v>3319</v>
      </c>
      <c r="I501">
        <v>5</v>
      </c>
    </row>
    <row r="502" spans="2:9" x14ac:dyDescent="0.3">
      <c r="B502" t="s">
        <v>492</v>
      </c>
      <c r="C502" t="s">
        <v>1754</v>
      </c>
      <c r="D502" t="s">
        <v>2658</v>
      </c>
      <c r="E502" s="24">
        <v>35130</v>
      </c>
      <c r="F502">
        <v>1</v>
      </c>
      <c r="G502">
        <v>1</v>
      </c>
      <c r="H502" t="s">
        <v>3320</v>
      </c>
      <c r="I502">
        <v>1</v>
      </c>
    </row>
    <row r="503" spans="2:9" x14ac:dyDescent="0.3">
      <c r="B503" t="s">
        <v>493</v>
      </c>
      <c r="C503" t="s">
        <v>1755</v>
      </c>
      <c r="D503" t="s">
        <v>2658</v>
      </c>
      <c r="E503" s="24">
        <v>40459</v>
      </c>
      <c r="F503">
        <v>10</v>
      </c>
      <c r="G503">
        <v>1</v>
      </c>
      <c r="H503" t="s">
        <v>3321</v>
      </c>
      <c r="I503">
        <v>10</v>
      </c>
    </row>
    <row r="504" spans="2:9" x14ac:dyDescent="0.3">
      <c r="B504" t="s">
        <v>494</v>
      </c>
      <c r="C504" t="s">
        <v>1756</v>
      </c>
      <c r="D504" t="s">
        <v>2658</v>
      </c>
      <c r="E504" s="24">
        <v>38971</v>
      </c>
      <c r="F504">
        <v>5</v>
      </c>
      <c r="G504">
        <v>1</v>
      </c>
      <c r="H504" t="s">
        <v>3322</v>
      </c>
      <c r="I504">
        <v>5</v>
      </c>
    </row>
    <row r="505" spans="2:9" x14ac:dyDescent="0.3">
      <c r="B505" t="s">
        <v>3323</v>
      </c>
      <c r="C505" t="s">
        <v>3324</v>
      </c>
      <c r="D505" t="s">
        <v>2658</v>
      </c>
      <c r="E505" s="24">
        <v>42565</v>
      </c>
      <c r="F505">
        <v>10</v>
      </c>
      <c r="G505">
        <v>1</v>
      </c>
      <c r="H505" t="s">
        <v>3325</v>
      </c>
      <c r="I505">
        <v>10</v>
      </c>
    </row>
    <row r="506" spans="2:9" x14ac:dyDescent="0.3">
      <c r="B506" t="s">
        <v>3326</v>
      </c>
      <c r="C506" t="s">
        <v>3327</v>
      </c>
      <c r="D506" t="s">
        <v>2658</v>
      </c>
      <c r="E506" s="24">
        <v>42047</v>
      </c>
      <c r="F506">
        <v>10</v>
      </c>
      <c r="G506">
        <v>1</v>
      </c>
      <c r="H506" t="s">
        <v>3328</v>
      </c>
      <c r="I506">
        <v>10</v>
      </c>
    </row>
    <row r="507" spans="2:9" x14ac:dyDescent="0.3">
      <c r="B507" t="s">
        <v>495</v>
      </c>
      <c r="C507" t="s">
        <v>1757</v>
      </c>
      <c r="D507" t="s">
        <v>2658</v>
      </c>
      <c r="E507" s="24">
        <v>38240</v>
      </c>
      <c r="F507">
        <v>2</v>
      </c>
      <c r="G507">
        <v>1</v>
      </c>
      <c r="H507" t="s">
        <v>3329</v>
      </c>
      <c r="I507">
        <v>2</v>
      </c>
    </row>
    <row r="508" spans="2:9" x14ac:dyDescent="0.3">
      <c r="B508" t="s">
        <v>496</v>
      </c>
      <c r="C508" t="s">
        <v>3330</v>
      </c>
      <c r="D508" t="s">
        <v>2658</v>
      </c>
      <c r="E508" s="24">
        <v>41409</v>
      </c>
      <c r="F508">
        <v>10</v>
      </c>
      <c r="G508">
        <v>1</v>
      </c>
      <c r="H508" t="s">
        <v>3331</v>
      </c>
      <c r="I508">
        <v>10</v>
      </c>
    </row>
    <row r="509" spans="2:9" x14ac:dyDescent="0.3">
      <c r="B509" t="s">
        <v>497</v>
      </c>
      <c r="C509" t="s">
        <v>1758</v>
      </c>
      <c r="D509" t="s">
        <v>2658</v>
      </c>
      <c r="E509" s="24">
        <v>34948</v>
      </c>
      <c r="F509">
        <v>2</v>
      </c>
      <c r="G509">
        <v>1</v>
      </c>
      <c r="H509" t="s">
        <v>3332</v>
      </c>
      <c r="I509">
        <v>2</v>
      </c>
    </row>
    <row r="510" spans="2:9" x14ac:dyDescent="0.3">
      <c r="B510" t="s">
        <v>497</v>
      </c>
      <c r="C510" t="s">
        <v>1758</v>
      </c>
      <c r="D510" t="s">
        <v>3173</v>
      </c>
      <c r="E510" s="24">
        <v>34948</v>
      </c>
      <c r="F510">
        <v>2</v>
      </c>
      <c r="G510">
        <v>1</v>
      </c>
      <c r="H510" t="s">
        <v>3332</v>
      </c>
      <c r="I510">
        <v>2</v>
      </c>
    </row>
    <row r="511" spans="2:9" x14ac:dyDescent="0.3">
      <c r="B511" t="s">
        <v>54</v>
      </c>
      <c r="C511" t="s">
        <v>1759</v>
      </c>
      <c r="D511" t="s">
        <v>2658</v>
      </c>
      <c r="E511" s="24">
        <v>37788</v>
      </c>
      <c r="F511">
        <v>10</v>
      </c>
      <c r="G511">
        <v>1</v>
      </c>
      <c r="H511" t="s">
        <v>3333</v>
      </c>
      <c r="I511">
        <v>10</v>
      </c>
    </row>
    <row r="512" spans="2:9" x14ac:dyDescent="0.3">
      <c r="B512" t="s">
        <v>58</v>
      </c>
      <c r="C512" t="s">
        <v>1760</v>
      </c>
      <c r="D512" t="s">
        <v>2658</v>
      </c>
      <c r="E512" s="24">
        <v>38764</v>
      </c>
      <c r="F512">
        <v>10</v>
      </c>
      <c r="G512">
        <v>1</v>
      </c>
      <c r="H512" t="s">
        <v>3334</v>
      </c>
      <c r="I512">
        <v>10</v>
      </c>
    </row>
    <row r="513" spans="2:9" x14ac:dyDescent="0.3">
      <c r="B513" t="s">
        <v>498</v>
      </c>
      <c r="C513" t="s">
        <v>1761</v>
      </c>
      <c r="D513" t="s">
        <v>2658</v>
      </c>
      <c r="E513" s="24">
        <v>39514</v>
      </c>
      <c r="F513">
        <v>10</v>
      </c>
      <c r="G513">
        <v>1</v>
      </c>
      <c r="H513" t="s">
        <v>3335</v>
      </c>
      <c r="I513">
        <v>10</v>
      </c>
    </row>
    <row r="514" spans="2:9" x14ac:dyDescent="0.3">
      <c r="B514" t="s">
        <v>499</v>
      </c>
      <c r="C514" t="s">
        <v>1762</v>
      </c>
      <c r="D514" t="s">
        <v>2658</v>
      </c>
      <c r="E514" s="24">
        <v>34787</v>
      </c>
      <c r="F514">
        <v>10</v>
      </c>
      <c r="G514">
        <v>1</v>
      </c>
      <c r="H514" t="s">
        <v>3336</v>
      </c>
      <c r="I514">
        <v>10</v>
      </c>
    </row>
    <row r="515" spans="2:9" x14ac:dyDescent="0.3">
      <c r="B515" t="s">
        <v>500</v>
      </c>
      <c r="C515" t="s">
        <v>1763</v>
      </c>
      <c r="D515" t="s">
        <v>2658</v>
      </c>
      <c r="E515" s="24">
        <v>39030</v>
      </c>
      <c r="F515">
        <v>10</v>
      </c>
      <c r="G515">
        <v>1</v>
      </c>
      <c r="H515" t="s">
        <v>3337</v>
      </c>
      <c r="I515">
        <v>10</v>
      </c>
    </row>
    <row r="516" spans="2:9" x14ac:dyDescent="0.3">
      <c r="B516" t="s">
        <v>501</v>
      </c>
      <c r="C516" t="s">
        <v>1764</v>
      </c>
      <c r="D516" t="s">
        <v>2658</v>
      </c>
      <c r="E516" s="24">
        <v>34913</v>
      </c>
      <c r="F516">
        <v>10</v>
      </c>
      <c r="G516">
        <v>1</v>
      </c>
      <c r="H516" t="s">
        <v>3338</v>
      </c>
      <c r="I516">
        <v>10</v>
      </c>
    </row>
    <row r="517" spans="2:9" x14ac:dyDescent="0.3">
      <c r="B517" t="s">
        <v>502</v>
      </c>
      <c r="C517" t="s">
        <v>1765</v>
      </c>
      <c r="D517" t="s">
        <v>2686</v>
      </c>
      <c r="E517" s="24">
        <v>38855</v>
      </c>
      <c r="F517">
        <v>10</v>
      </c>
      <c r="G517">
        <v>1</v>
      </c>
      <c r="H517" t="s">
        <v>3339</v>
      </c>
      <c r="I517">
        <v>10</v>
      </c>
    </row>
    <row r="518" spans="2:9" x14ac:dyDescent="0.3">
      <c r="B518" t="s">
        <v>503</v>
      </c>
      <c r="C518" t="s">
        <v>1766</v>
      </c>
      <c r="D518" t="s">
        <v>2658</v>
      </c>
      <c r="E518" s="24">
        <v>39072</v>
      </c>
      <c r="F518">
        <v>10</v>
      </c>
      <c r="G518">
        <v>1</v>
      </c>
      <c r="H518" t="s">
        <v>3340</v>
      </c>
      <c r="I518">
        <v>10</v>
      </c>
    </row>
    <row r="519" spans="2:9" x14ac:dyDescent="0.3">
      <c r="B519" t="s">
        <v>504</v>
      </c>
      <c r="C519" t="s">
        <v>1767</v>
      </c>
      <c r="D519" t="s">
        <v>2658</v>
      </c>
      <c r="E519" s="24">
        <v>38279</v>
      </c>
      <c r="F519">
        <v>1</v>
      </c>
      <c r="G519">
        <v>1</v>
      </c>
      <c r="H519" t="s">
        <v>3341</v>
      </c>
      <c r="I519">
        <v>1</v>
      </c>
    </row>
    <row r="520" spans="2:9" x14ac:dyDescent="0.3">
      <c r="B520" t="s">
        <v>505</v>
      </c>
      <c r="C520" t="s">
        <v>1768</v>
      </c>
      <c r="D520" t="s">
        <v>2658</v>
      </c>
      <c r="E520" s="24">
        <v>35649</v>
      </c>
      <c r="F520">
        <v>10</v>
      </c>
      <c r="G520">
        <v>1</v>
      </c>
      <c r="H520" t="s">
        <v>3342</v>
      </c>
      <c r="I520">
        <v>10</v>
      </c>
    </row>
    <row r="521" spans="2:9" x14ac:dyDescent="0.3">
      <c r="B521" t="s">
        <v>506</v>
      </c>
      <c r="C521" t="s">
        <v>1769</v>
      </c>
      <c r="D521" t="s">
        <v>2658</v>
      </c>
      <c r="E521" s="24">
        <v>39237</v>
      </c>
      <c r="F521">
        <v>10</v>
      </c>
      <c r="G521">
        <v>1</v>
      </c>
      <c r="H521" t="s">
        <v>3343</v>
      </c>
      <c r="I521">
        <v>10</v>
      </c>
    </row>
    <row r="522" spans="2:9" x14ac:dyDescent="0.3">
      <c r="B522" t="s">
        <v>507</v>
      </c>
      <c r="C522" t="s">
        <v>1770</v>
      </c>
      <c r="D522" t="s">
        <v>2658</v>
      </c>
      <c r="E522" s="24">
        <v>34844</v>
      </c>
      <c r="F522">
        <v>1</v>
      </c>
      <c r="G522">
        <v>1</v>
      </c>
      <c r="H522" t="s">
        <v>3344</v>
      </c>
      <c r="I522">
        <v>1</v>
      </c>
    </row>
    <row r="523" spans="2:9" x14ac:dyDescent="0.3">
      <c r="B523" t="s">
        <v>3345</v>
      </c>
      <c r="C523" t="s">
        <v>3346</v>
      </c>
      <c r="D523" t="s">
        <v>2658</v>
      </c>
      <c r="E523" s="24">
        <v>42262</v>
      </c>
      <c r="F523">
        <v>10</v>
      </c>
      <c r="G523">
        <v>1</v>
      </c>
      <c r="H523" t="s">
        <v>3347</v>
      </c>
      <c r="I523">
        <v>10</v>
      </c>
    </row>
    <row r="524" spans="2:9" x14ac:dyDescent="0.3">
      <c r="B524" t="s">
        <v>508</v>
      </c>
      <c r="C524" t="s">
        <v>1771</v>
      </c>
      <c r="D524" t="s">
        <v>2658</v>
      </c>
      <c r="E524" s="24">
        <v>38201</v>
      </c>
      <c r="F524">
        <v>10</v>
      </c>
      <c r="G524">
        <v>1</v>
      </c>
      <c r="H524" t="s">
        <v>3348</v>
      </c>
      <c r="I524">
        <v>10</v>
      </c>
    </row>
    <row r="525" spans="2:9" x14ac:dyDescent="0.3">
      <c r="B525" t="s">
        <v>3349</v>
      </c>
      <c r="C525" t="s">
        <v>1771</v>
      </c>
      <c r="D525" t="s">
        <v>2658</v>
      </c>
      <c r="E525" s="24">
        <v>40324</v>
      </c>
      <c r="F525">
        <v>10</v>
      </c>
      <c r="G525">
        <v>1</v>
      </c>
      <c r="H525" t="s">
        <v>3350</v>
      </c>
      <c r="I525">
        <v>10</v>
      </c>
    </row>
    <row r="526" spans="2:9" x14ac:dyDescent="0.3">
      <c r="B526" t="s">
        <v>509</v>
      </c>
      <c r="C526" t="s">
        <v>1772</v>
      </c>
      <c r="D526" t="s">
        <v>2658</v>
      </c>
      <c r="E526" s="24">
        <v>41851</v>
      </c>
      <c r="F526">
        <v>2</v>
      </c>
      <c r="G526">
        <v>1</v>
      </c>
      <c r="H526" t="s">
        <v>3351</v>
      </c>
      <c r="I526">
        <v>2</v>
      </c>
    </row>
    <row r="527" spans="2:9" x14ac:dyDescent="0.3">
      <c r="B527" t="s">
        <v>3352</v>
      </c>
      <c r="C527" t="s">
        <v>3353</v>
      </c>
      <c r="D527" t="s">
        <v>2658</v>
      </c>
      <c r="E527" s="24">
        <v>38254</v>
      </c>
      <c r="F527">
        <v>5</v>
      </c>
      <c r="G527">
        <v>1</v>
      </c>
      <c r="H527" t="s">
        <v>3354</v>
      </c>
      <c r="I527">
        <v>5</v>
      </c>
    </row>
    <row r="528" spans="2:9" x14ac:dyDescent="0.3">
      <c r="B528" t="s">
        <v>3355</v>
      </c>
      <c r="C528" t="s">
        <v>3356</v>
      </c>
      <c r="D528" t="s">
        <v>2658</v>
      </c>
      <c r="E528" s="24">
        <v>42032</v>
      </c>
      <c r="F528">
        <v>1</v>
      </c>
      <c r="G528">
        <v>1</v>
      </c>
      <c r="H528" t="s">
        <v>3357</v>
      </c>
      <c r="I528">
        <v>1</v>
      </c>
    </row>
    <row r="529" spans="2:9" x14ac:dyDescent="0.3">
      <c r="B529" t="s">
        <v>510</v>
      </c>
      <c r="C529" t="s">
        <v>1773</v>
      </c>
      <c r="D529" t="s">
        <v>2658</v>
      </c>
      <c r="E529" s="24">
        <v>38775</v>
      </c>
      <c r="F529">
        <v>1</v>
      </c>
      <c r="G529">
        <v>1</v>
      </c>
      <c r="H529" t="s">
        <v>3358</v>
      </c>
      <c r="I529">
        <v>1</v>
      </c>
    </row>
    <row r="530" spans="2:9" x14ac:dyDescent="0.3">
      <c r="B530" t="s">
        <v>511</v>
      </c>
      <c r="C530" t="s">
        <v>1774</v>
      </c>
      <c r="D530" t="s">
        <v>2658</v>
      </c>
      <c r="E530" s="24">
        <v>39010</v>
      </c>
      <c r="F530">
        <v>10</v>
      </c>
      <c r="G530">
        <v>1</v>
      </c>
      <c r="H530" t="s">
        <v>3359</v>
      </c>
      <c r="I530">
        <v>10</v>
      </c>
    </row>
    <row r="531" spans="2:9" x14ac:dyDescent="0.3">
      <c r="B531" t="s">
        <v>512</v>
      </c>
      <c r="C531" t="s">
        <v>1775</v>
      </c>
      <c r="D531" t="s">
        <v>2658</v>
      </c>
      <c r="E531" s="24">
        <v>39909</v>
      </c>
      <c r="F531">
        <v>10</v>
      </c>
      <c r="G531">
        <v>1</v>
      </c>
      <c r="H531" t="s">
        <v>3360</v>
      </c>
      <c r="I531">
        <v>10</v>
      </c>
    </row>
    <row r="532" spans="2:9" x14ac:dyDescent="0.3">
      <c r="B532" t="s">
        <v>513</v>
      </c>
      <c r="C532" t="s">
        <v>1776</v>
      </c>
      <c r="D532" t="s">
        <v>2658</v>
      </c>
      <c r="E532" s="24">
        <v>34738</v>
      </c>
      <c r="F532">
        <v>10</v>
      </c>
      <c r="G532">
        <v>1</v>
      </c>
      <c r="H532" t="s">
        <v>3361</v>
      </c>
      <c r="I532">
        <v>10</v>
      </c>
    </row>
    <row r="533" spans="2:9" x14ac:dyDescent="0.3">
      <c r="B533" t="s">
        <v>514</v>
      </c>
      <c r="C533" t="s">
        <v>1777</v>
      </c>
      <c r="D533" t="s">
        <v>2658</v>
      </c>
      <c r="E533" s="24">
        <v>40234</v>
      </c>
      <c r="F533">
        <v>2</v>
      </c>
      <c r="G533">
        <v>1</v>
      </c>
      <c r="H533" t="s">
        <v>3362</v>
      </c>
      <c r="I533">
        <v>2</v>
      </c>
    </row>
    <row r="534" spans="2:9" x14ac:dyDescent="0.3">
      <c r="B534" t="s">
        <v>515</v>
      </c>
      <c r="C534" t="s">
        <v>1778</v>
      </c>
      <c r="D534" t="s">
        <v>2658</v>
      </c>
      <c r="E534" s="24">
        <v>41810</v>
      </c>
      <c r="F534">
        <v>1</v>
      </c>
      <c r="G534">
        <v>1</v>
      </c>
      <c r="H534" t="s">
        <v>3363</v>
      </c>
      <c r="I534">
        <v>1</v>
      </c>
    </row>
    <row r="535" spans="2:9" x14ac:dyDescent="0.3">
      <c r="B535" t="s">
        <v>59</v>
      </c>
      <c r="C535" t="s">
        <v>1779</v>
      </c>
      <c r="D535" t="s">
        <v>2658</v>
      </c>
      <c r="E535" s="24">
        <v>36971</v>
      </c>
      <c r="F535">
        <v>1</v>
      </c>
      <c r="G535">
        <v>1</v>
      </c>
      <c r="H535" t="s">
        <v>3364</v>
      </c>
      <c r="I535">
        <v>1</v>
      </c>
    </row>
    <row r="536" spans="2:9" x14ac:dyDescent="0.3">
      <c r="B536" t="s">
        <v>516</v>
      </c>
      <c r="C536" t="s">
        <v>1780</v>
      </c>
      <c r="D536" t="s">
        <v>2658</v>
      </c>
      <c r="E536" s="24">
        <v>39086</v>
      </c>
      <c r="F536">
        <v>1</v>
      </c>
      <c r="G536">
        <v>1</v>
      </c>
      <c r="H536" t="s">
        <v>3365</v>
      </c>
      <c r="I536">
        <v>1</v>
      </c>
    </row>
    <row r="537" spans="2:9" x14ac:dyDescent="0.3">
      <c r="B537" t="s">
        <v>517</v>
      </c>
      <c r="C537" t="s">
        <v>1781</v>
      </c>
      <c r="D537" t="s">
        <v>2658</v>
      </c>
      <c r="E537" s="24">
        <v>35718</v>
      </c>
      <c r="F537">
        <v>10</v>
      </c>
      <c r="G537">
        <v>1</v>
      </c>
      <c r="H537" t="s">
        <v>3366</v>
      </c>
      <c r="I537">
        <v>10</v>
      </c>
    </row>
    <row r="538" spans="2:9" x14ac:dyDescent="0.3">
      <c r="B538" t="s">
        <v>518</v>
      </c>
      <c r="C538" t="s">
        <v>1782</v>
      </c>
      <c r="D538" t="s">
        <v>2658</v>
      </c>
      <c r="E538" s="24">
        <v>37712</v>
      </c>
      <c r="F538">
        <v>1</v>
      </c>
      <c r="G538">
        <v>1</v>
      </c>
      <c r="H538" t="s">
        <v>3367</v>
      </c>
      <c r="I538">
        <v>1</v>
      </c>
    </row>
    <row r="539" spans="2:9" x14ac:dyDescent="0.3">
      <c r="B539" t="s">
        <v>3368</v>
      </c>
      <c r="C539" t="s">
        <v>3369</v>
      </c>
      <c r="D539" t="s">
        <v>2658</v>
      </c>
      <c r="E539" s="24">
        <v>42459</v>
      </c>
      <c r="F539">
        <v>10</v>
      </c>
      <c r="G539">
        <v>1</v>
      </c>
      <c r="H539" t="s">
        <v>3370</v>
      </c>
      <c r="I539">
        <v>10</v>
      </c>
    </row>
    <row r="540" spans="2:9" x14ac:dyDescent="0.3">
      <c r="B540" t="s">
        <v>519</v>
      </c>
      <c r="C540" t="s">
        <v>1783</v>
      </c>
      <c r="D540" t="s">
        <v>2658</v>
      </c>
      <c r="E540" s="24">
        <v>35431</v>
      </c>
      <c r="F540">
        <v>2</v>
      </c>
      <c r="G540">
        <v>1</v>
      </c>
      <c r="H540" t="s">
        <v>3371</v>
      </c>
      <c r="I540">
        <v>2</v>
      </c>
    </row>
    <row r="541" spans="2:9" x14ac:dyDescent="0.3">
      <c r="B541" t="s">
        <v>520</v>
      </c>
      <c r="C541" t="s">
        <v>1784</v>
      </c>
      <c r="D541" t="s">
        <v>2658</v>
      </c>
      <c r="E541" s="24">
        <v>36531</v>
      </c>
      <c r="F541">
        <v>2</v>
      </c>
      <c r="G541">
        <v>1</v>
      </c>
      <c r="H541" t="s">
        <v>3372</v>
      </c>
      <c r="I541">
        <v>2</v>
      </c>
    </row>
    <row r="542" spans="2:9" x14ac:dyDescent="0.3">
      <c r="B542" t="s">
        <v>521</v>
      </c>
      <c r="C542" t="s">
        <v>1785</v>
      </c>
      <c r="D542" t="s">
        <v>2658</v>
      </c>
      <c r="E542" s="24">
        <v>35361</v>
      </c>
      <c r="F542">
        <v>2</v>
      </c>
      <c r="G542">
        <v>1</v>
      </c>
      <c r="H542" t="s">
        <v>3373</v>
      </c>
      <c r="I542">
        <v>2</v>
      </c>
    </row>
    <row r="543" spans="2:9" x14ac:dyDescent="0.3">
      <c r="B543" t="s">
        <v>522</v>
      </c>
      <c r="C543" t="s">
        <v>1786</v>
      </c>
      <c r="D543" t="s">
        <v>2658</v>
      </c>
      <c r="E543" s="24">
        <v>35011</v>
      </c>
      <c r="F543">
        <v>2</v>
      </c>
      <c r="G543">
        <v>1</v>
      </c>
      <c r="H543" t="s">
        <v>3374</v>
      </c>
      <c r="I543">
        <v>2</v>
      </c>
    </row>
    <row r="544" spans="2:9" x14ac:dyDescent="0.3">
      <c r="B544" t="s">
        <v>522</v>
      </c>
      <c r="C544" t="s">
        <v>1786</v>
      </c>
      <c r="D544" t="s">
        <v>3173</v>
      </c>
      <c r="E544" s="24">
        <v>35011</v>
      </c>
      <c r="F544">
        <v>2</v>
      </c>
      <c r="G544">
        <v>1</v>
      </c>
      <c r="H544" t="s">
        <v>3374</v>
      </c>
      <c r="I544">
        <v>2</v>
      </c>
    </row>
    <row r="545" spans="2:9" x14ac:dyDescent="0.3">
      <c r="B545" t="s">
        <v>17</v>
      </c>
      <c r="C545" t="s">
        <v>1787</v>
      </c>
      <c r="D545" t="s">
        <v>2658</v>
      </c>
      <c r="E545" s="24">
        <v>39287</v>
      </c>
      <c r="F545">
        <v>10</v>
      </c>
      <c r="G545">
        <v>1</v>
      </c>
      <c r="H545" t="s">
        <v>3375</v>
      </c>
      <c r="I545">
        <v>10</v>
      </c>
    </row>
    <row r="546" spans="2:9" x14ac:dyDescent="0.3">
      <c r="B546" t="s">
        <v>523</v>
      </c>
      <c r="C546" t="s">
        <v>1788</v>
      </c>
      <c r="D546" t="s">
        <v>2658</v>
      </c>
      <c r="E546" s="24">
        <v>34829</v>
      </c>
      <c r="F546">
        <v>10</v>
      </c>
      <c r="G546">
        <v>1</v>
      </c>
      <c r="H546" t="s">
        <v>3376</v>
      </c>
      <c r="I546">
        <v>10</v>
      </c>
    </row>
    <row r="547" spans="2:9" x14ac:dyDescent="0.3">
      <c r="B547" t="s">
        <v>524</v>
      </c>
      <c r="C547" t="s">
        <v>1789</v>
      </c>
      <c r="D547" t="s">
        <v>2658</v>
      </c>
      <c r="E547" s="24">
        <v>34773</v>
      </c>
      <c r="F547">
        <v>10</v>
      </c>
      <c r="G547">
        <v>1</v>
      </c>
      <c r="H547" t="s">
        <v>3377</v>
      </c>
      <c r="I547">
        <v>10</v>
      </c>
    </row>
    <row r="548" spans="2:9" x14ac:dyDescent="0.3">
      <c r="B548" t="s">
        <v>525</v>
      </c>
      <c r="C548" t="s">
        <v>1790</v>
      </c>
      <c r="D548" t="s">
        <v>2658</v>
      </c>
      <c r="E548" s="24">
        <v>39497</v>
      </c>
      <c r="F548">
        <v>1</v>
      </c>
      <c r="G548">
        <v>1</v>
      </c>
      <c r="H548" t="s">
        <v>3378</v>
      </c>
      <c r="I548">
        <v>1</v>
      </c>
    </row>
    <row r="549" spans="2:9" x14ac:dyDescent="0.3">
      <c r="B549" t="s">
        <v>526</v>
      </c>
      <c r="C549" t="s">
        <v>3379</v>
      </c>
      <c r="D549" t="s">
        <v>2658</v>
      </c>
      <c r="E549" s="24">
        <v>35396</v>
      </c>
      <c r="F549">
        <v>10</v>
      </c>
      <c r="G549">
        <v>1</v>
      </c>
      <c r="H549" t="s">
        <v>3380</v>
      </c>
      <c r="I549">
        <v>10</v>
      </c>
    </row>
    <row r="550" spans="2:9" x14ac:dyDescent="0.3">
      <c r="B550" t="s">
        <v>527</v>
      </c>
      <c r="C550" t="s">
        <v>1791</v>
      </c>
      <c r="D550" t="s">
        <v>2658</v>
      </c>
      <c r="E550" s="24">
        <v>37722</v>
      </c>
      <c r="F550">
        <v>2</v>
      </c>
      <c r="G550">
        <v>1</v>
      </c>
      <c r="H550" t="s">
        <v>3381</v>
      </c>
      <c r="I550">
        <v>2</v>
      </c>
    </row>
    <row r="551" spans="2:9" x14ac:dyDescent="0.3">
      <c r="B551" t="s">
        <v>3382</v>
      </c>
      <c r="C551" t="s">
        <v>3383</v>
      </c>
      <c r="D551" t="s">
        <v>2658</v>
      </c>
      <c r="E551" s="24">
        <v>42076</v>
      </c>
      <c r="F551">
        <v>10</v>
      </c>
      <c r="G551">
        <v>1</v>
      </c>
      <c r="H551" t="s">
        <v>3384</v>
      </c>
      <c r="I551">
        <v>10</v>
      </c>
    </row>
    <row r="552" spans="2:9" x14ac:dyDescent="0.3">
      <c r="B552" t="s">
        <v>528</v>
      </c>
      <c r="C552" t="s">
        <v>1792</v>
      </c>
      <c r="D552" t="s">
        <v>2658</v>
      </c>
      <c r="E552" s="24">
        <v>41019</v>
      </c>
      <c r="F552">
        <v>2</v>
      </c>
      <c r="G552">
        <v>1</v>
      </c>
      <c r="H552" t="s">
        <v>3385</v>
      </c>
      <c r="I552">
        <v>2</v>
      </c>
    </row>
    <row r="553" spans="2:9" x14ac:dyDescent="0.3">
      <c r="B553" t="s">
        <v>529</v>
      </c>
      <c r="C553" t="s">
        <v>1793</v>
      </c>
      <c r="D553" t="s">
        <v>2658</v>
      </c>
      <c r="E553" s="24">
        <v>37421</v>
      </c>
      <c r="F553">
        <v>2</v>
      </c>
      <c r="G553">
        <v>1</v>
      </c>
      <c r="H553" t="s">
        <v>3386</v>
      </c>
      <c r="I553">
        <v>2</v>
      </c>
    </row>
    <row r="554" spans="2:9" x14ac:dyDescent="0.3">
      <c r="B554" t="s">
        <v>530</v>
      </c>
      <c r="C554" t="s">
        <v>1794</v>
      </c>
      <c r="D554" t="s">
        <v>2658</v>
      </c>
      <c r="E554" s="24">
        <v>40611</v>
      </c>
      <c r="F554">
        <v>1</v>
      </c>
      <c r="G554">
        <v>1</v>
      </c>
      <c r="H554" t="s">
        <v>3387</v>
      </c>
      <c r="I554">
        <v>1</v>
      </c>
    </row>
    <row r="555" spans="2:9" x14ac:dyDescent="0.3">
      <c r="B555" t="s">
        <v>531</v>
      </c>
      <c r="C555" t="s">
        <v>1795</v>
      </c>
      <c r="D555" t="s">
        <v>2658</v>
      </c>
      <c r="E555" s="24">
        <v>39252</v>
      </c>
      <c r="F555">
        <v>10</v>
      </c>
      <c r="G555">
        <v>1</v>
      </c>
      <c r="H555" t="s">
        <v>3388</v>
      </c>
      <c r="I555">
        <v>10</v>
      </c>
    </row>
    <row r="556" spans="2:9" x14ac:dyDescent="0.3">
      <c r="B556" t="s">
        <v>3389</v>
      </c>
      <c r="C556" t="s">
        <v>3390</v>
      </c>
      <c r="D556" t="s">
        <v>2658</v>
      </c>
      <c r="E556" s="24">
        <v>42698</v>
      </c>
      <c r="F556">
        <v>1</v>
      </c>
      <c r="G556">
        <v>1</v>
      </c>
      <c r="H556" t="s">
        <v>3391</v>
      </c>
      <c r="I556">
        <v>1</v>
      </c>
    </row>
    <row r="557" spans="2:9" x14ac:dyDescent="0.3">
      <c r="B557" t="s">
        <v>532</v>
      </c>
      <c r="C557" t="s">
        <v>1796</v>
      </c>
      <c r="D557" t="s">
        <v>2658</v>
      </c>
      <c r="E557" s="24">
        <v>36936</v>
      </c>
      <c r="F557">
        <v>2</v>
      </c>
      <c r="G557">
        <v>1</v>
      </c>
      <c r="H557" t="s">
        <v>3392</v>
      </c>
      <c r="I557">
        <v>2</v>
      </c>
    </row>
    <row r="558" spans="2:9" x14ac:dyDescent="0.3">
      <c r="B558" t="s">
        <v>533</v>
      </c>
      <c r="C558" t="s">
        <v>1797</v>
      </c>
      <c r="D558" t="s">
        <v>2658</v>
      </c>
      <c r="E558" s="24">
        <v>34815</v>
      </c>
      <c r="F558">
        <v>10</v>
      </c>
      <c r="G558">
        <v>1</v>
      </c>
      <c r="H558" t="s">
        <v>3393</v>
      </c>
      <c r="I558">
        <v>10</v>
      </c>
    </row>
    <row r="559" spans="2:9" x14ac:dyDescent="0.3">
      <c r="B559" t="s">
        <v>534</v>
      </c>
      <c r="C559" t="s">
        <v>1798</v>
      </c>
      <c r="D559" t="s">
        <v>2658</v>
      </c>
      <c r="E559" s="24">
        <v>39226</v>
      </c>
      <c r="F559">
        <v>10</v>
      </c>
      <c r="G559">
        <v>1</v>
      </c>
      <c r="H559" t="s">
        <v>3394</v>
      </c>
      <c r="I559">
        <v>10</v>
      </c>
    </row>
    <row r="560" spans="2:9" x14ac:dyDescent="0.3">
      <c r="B560" t="s">
        <v>535</v>
      </c>
      <c r="C560" t="s">
        <v>1799</v>
      </c>
      <c r="D560" t="s">
        <v>2658</v>
      </c>
      <c r="E560" s="24">
        <v>34738</v>
      </c>
      <c r="F560">
        <v>5</v>
      </c>
      <c r="G560">
        <v>1</v>
      </c>
      <c r="H560" t="s">
        <v>3395</v>
      </c>
      <c r="I560">
        <v>5</v>
      </c>
    </row>
    <row r="561" spans="2:9" x14ac:dyDescent="0.3">
      <c r="B561" t="s">
        <v>536</v>
      </c>
      <c r="C561" t="s">
        <v>1800</v>
      </c>
      <c r="D561" t="s">
        <v>2658</v>
      </c>
      <c r="E561" s="24">
        <v>35438</v>
      </c>
      <c r="F561">
        <v>1</v>
      </c>
      <c r="G561">
        <v>1</v>
      </c>
      <c r="H561" t="s">
        <v>3396</v>
      </c>
      <c r="I561">
        <v>1</v>
      </c>
    </row>
    <row r="562" spans="2:9" x14ac:dyDescent="0.3">
      <c r="B562" t="s">
        <v>537</v>
      </c>
      <c r="C562" t="s">
        <v>1801</v>
      </c>
      <c r="D562" t="s">
        <v>2658</v>
      </c>
      <c r="E562" s="24">
        <v>35193</v>
      </c>
      <c r="F562">
        <v>5</v>
      </c>
      <c r="G562">
        <v>1</v>
      </c>
      <c r="H562" t="s">
        <v>3397</v>
      </c>
      <c r="I562">
        <v>5</v>
      </c>
    </row>
    <row r="563" spans="2:9" x14ac:dyDescent="0.3">
      <c r="B563" t="s">
        <v>538</v>
      </c>
      <c r="C563" t="s">
        <v>1802</v>
      </c>
      <c r="D563" t="s">
        <v>2658</v>
      </c>
      <c r="E563" s="24">
        <v>40436</v>
      </c>
      <c r="F563">
        <v>5</v>
      </c>
      <c r="G563">
        <v>1</v>
      </c>
      <c r="H563" t="s">
        <v>3398</v>
      </c>
      <c r="I563">
        <v>5</v>
      </c>
    </row>
    <row r="564" spans="2:9" x14ac:dyDescent="0.3">
      <c r="B564" t="s">
        <v>539</v>
      </c>
      <c r="C564" t="s">
        <v>1803</v>
      </c>
      <c r="D564" t="s">
        <v>2686</v>
      </c>
      <c r="E564" s="24">
        <v>36859</v>
      </c>
      <c r="F564">
        <v>2</v>
      </c>
      <c r="G564">
        <v>1</v>
      </c>
      <c r="H564" t="s">
        <v>3399</v>
      </c>
      <c r="I564">
        <v>2</v>
      </c>
    </row>
    <row r="565" spans="2:9" x14ac:dyDescent="0.3">
      <c r="B565" t="s">
        <v>540</v>
      </c>
      <c r="C565" t="s">
        <v>1804</v>
      </c>
      <c r="D565" t="s">
        <v>2658</v>
      </c>
      <c r="E565" s="24">
        <v>40595</v>
      </c>
      <c r="F565">
        <v>5</v>
      </c>
      <c r="G565">
        <v>1</v>
      </c>
      <c r="H565" t="s">
        <v>3400</v>
      </c>
      <c r="I565">
        <v>5</v>
      </c>
    </row>
    <row r="566" spans="2:9" x14ac:dyDescent="0.3">
      <c r="B566" t="s">
        <v>541</v>
      </c>
      <c r="C566" t="s">
        <v>1805</v>
      </c>
      <c r="D566" t="s">
        <v>2658</v>
      </c>
      <c r="E566" s="24">
        <v>39918</v>
      </c>
      <c r="F566">
        <v>2</v>
      </c>
      <c r="G566">
        <v>1</v>
      </c>
      <c r="H566" t="s">
        <v>3401</v>
      </c>
      <c r="I566">
        <v>2</v>
      </c>
    </row>
    <row r="567" spans="2:9" x14ac:dyDescent="0.3">
      <c r="B567" t="s">
        <v>542</v>
      </c>
      <c r="C567" t="s">
        <v>1806</v>
      </c>
      <c r="D567" t="s">
        <v>2658</v>
      </c>
      <c r="E567" s="24">
        <v>37887</v>
      </c>
      <c r="F567">
        <v>10</v>
      </c>
      <c r="G567">
        <v>1</v>
      </c>
      <c r="H567" t="s">
        <v>3402</v>
      </c>
      <c r="I567">
        <v>10</v>
      </c>
    </row>
    <row r="568" spans="2:9" x14ac:dyDescent="0.3">
      <c r="B568" t="s">
        <v>60</v>
      </c>
      <c r="C568" t="s">
        <v>1807</v>
      </c>
      <c r="D568" t="s">
        <v>2658</v>
      </c>
      <c r="E568" s="24">
        <v>35963</v>
      </c>
      <c r="F568">
        <v>10</v>
      </c>
      <c r="G568">
        <v>1</v>
      </c>
      <c r="H568" t="s">
        <v>3403</v>
      </c>
      <c r="I568">
        <v>10</v>
      </c>
    </row>
    <row r="569" spans="2:9" x14ac:dyDescent="0.3">
      <c r="B569" t="s">
        <v>543</v>
      </c>
      <c r="C569" t="s">
        <v>1808</v>
      </c>
      <c r="D569" t="s">
        <v>2686</v>
      </c>
      <c r="E569" s="24">
        <v>36628</v>
      </c>
      <c r="F569">
        <v>10</v>
      </c>
      <c r="G569">
        <v>1</v>
      </c>
      <c r="H569" t="s">
        <v>3404</v>
      </c>
      <c r="I569">
        <v>10</v>
      </c>
    </row>
    <row r="570" spans="2:9" x14ac:dyDescent="0.3">
      <c r="B570" t="s">
        <v>544</v>
      </c>
      <c r="C570" t="s">
        <v>1809</v>
      </c>
      <c r="D570" t="s">
        <v>2658</v>
      </c>
      <c r="E570" s="24">
        <v>38986</v>
      </c>
      <c r="F570">
        <v>10</v>
      </c>
      <c r="G570">
        <v>1</v>
      </c>
      <c r="H570" t="s">
        <v>3405</v>
      </c>
      <c r="I570">
        <v>10</v>
      </c>
    </row>
    <row r="571" spans="2:9" x14ac:dyDescent="0.3">
      <c r="B571" t="s">
        <v>545</v>
      </c>
      <c r="C571" t="s">
        <v>1810</v>
      </c>
      <c r="D571" t="s">
        <v>2658</v>
      </c>
      <c r="E571" s="24">
        <v>39196</v>
      </c>
      <c r="F571">
        <v>10</v>
      </c>
      <c r="G571">
        <v>1</v>
      </c>
      <c r="H571" t="s">
        <v>3406</v>
      </c>
      <c r="I571">
        <v>10</v>
      </c>
    </row>
    <row r="572" spans="2:9" x14ac:dyDescent="0.3">
      <c r="B572" t="s">
        <v>546</v>
      </c>
      <c r="C572" t="s">
        <v>1811</v>
      </c>
      <c r="D572" t="s">
        <v>2658</v>
      </c>
      <c r="E572" s="24">
        <v>34886</v>
      </c>
      <c r="F572">
        <v>1</v>
      </c>
      <c r="G572">
        <v>1</v>
      </c>
      <c r="H572" t="s">
        <v>3407</v>
      </c>
      <c r="I572">
        <v>1</v>
      </c>
    </row>
    <row r="573" spans="2:9" x14ac:dyDescent="0.3">
      <c r="B573" t="s">
        <v>61</v>
      </c>
      <c r="C573" t="s">
        <v>1812</v>
      </c>
      <c r="D573" t="s">
        <v>2658</v>
      </c>
      <c r="E573" s="24">
        <v>39042</v>
      </c>
      <c r="F573">
        <v>2</v>
      </c>
      <c r="G573">
        <v>1</v>
      </c>
      <c r="H573" t="s">
        <v>3408</v>
      </c>
      <c r="I573">
        <v>2</v>
      </c>
    </row>
    <row r="574" spans="2:9" x14ac:dyDescent="0.3">
      <c r="B574" t="s">
        <v>547</v>
      </c>
      <c r="C574" t="s">
        <v>1813</v>
      </c>
      <c r="D574" t="s">
        <v>2658</v>
      </c>
      <c r="E574" s="24">
        <v>39077</v>
      </c>
      <c r="F574">
        <v>2</v>
      </c>
      <c r="G574">
        <v>1</v>
      </c>
      <c r="H574" t="s">
        <v>3409</v>
      </c>
      <c r="I574">
        <v>2</v>
      </c>
    </row>
    <row r="575" spans="2:9" x14ac:dyDescent="0.3">
      <c r="B575" t="s">
        <v>3410</v>
      </c>
      <c r="C575" t="s">
        <v>3411</v>
      </c>
      <c r="D575" t="s">
        <v>2658</v>
      </c>
      <c r="E575" s="24">
        <v>42740</v>
      </c>
      <c r="F575">
        <v>10</v>
      </c>
      <c r="G575">
        <v>1</v>
      </c>
      <c r="H575" t="s">
        <v>3412</v>
      </c>
      <c r="I575">
        <v>10</v>
      </c>
    </row>
    <row r="576" spans="2:9" x14ac:dyDescent="0.3">
      <c r="B576" t="s">
        <v>3413</v>
      </c>
      <c r="C576" t="s">
        <v>3414</v>
      </c>
      <c r="D576" t="s">
        <v>2658</v>
      </c>
      <c r="E576" s="24">
        <v>39436</v>
      </c>
      <c r="F576">
        <v>10</v>
      </c>
      <c r="G576">
        <v>1</v>
      </c>
      <c r="H576" t="s">
        <v>3415</v>
      </c>
      <c r="I576">
        <v>10</v>
      </c>
    </row>
    <row r="577" spans="2:9" x14ac:dyDescent="0.3">
      <c r="B577" t="s">
        <v>548</v>
      </c>
      <c r="C577" t="s">
        <v>3416</v>
      </c>
      <c r="D577" t="s">
        <v>2658</v>
      </c>
      <c r="E577" s="24">
        <v>37277</v>
      </c>
      <c r="F577">
        <v>10</v>
      </c>
      <c r="G577">
        <v>1</v>
      </c>
      <c r="H577" t="s">
        <v>3417</v>
      </c>
      <c r="I577">
        <v>10</v>
      </c>
    </row>
    <row r="578" spans="2:9" x14ac:dyDescent="0.3">
      <c r="B578" t="s">
        <v>549</v>
      </c>
      <c r="C578" t="s">
        <v>1814</v>
      </c>
      <c r="D578" t="s">
        <v>2681</v>
      </c>
      <c r="E578" s="24">
        <v>37862</v>
      </c>
      <c r="F578">
        <v>10</v>
      </c>
      <c r="G578">
        <v>1</v>
      </c>
      <c r="H578" t="s">
        <v>3418</v>
      </c>
      <c r="I578">
        <v>10</v>
      </c>
    </row>
    <row r="579" spans="2:9" x14ac:dyDescent="0.3">
      <c r="B579" t="s">
        <v>550</v>
      </c>
      <c r="C579" t="s">
        <v>1815</v>
      </c>
      <c r="D579" t="s">
        <v>2658</v>
      </c>
      <c r="E579" s="24">
        <v>40380</v>
      </c>
      <c r="F579">
        <v>10</v>
      </c>
      <c r="G579">
        <v>1</v>
      </c>
      <c r="H579" t="s">
        <v>3419</v>
      </c>
      <c r="I579">
        <v>10</v>
      </c>
    </row>
    <row r="580" spans="2:9" x14ac:dyDescent="0.3">
      <c r="B580" t="s">
        <v>551</v>
      </c>
      <c r="C580" t="s">
        <v>1816</v>
      </c>
      <c r="D580" t="s">
        <v>2686</v>
      </c>
      <c r="F580">
        <v>10</v>
      </c>
      <c r="G580">
        <v>1</v>
      </c>
      <c r="H580" t="s">
        <v>3420</v>
      </c>
      <c r="I580">
        <v>10</v>
      </c>
    </row>
    <row r="581" spans="2:9" x14ac:dyDescent="0.3">
      <c r="B581" t="s">
        <v>552</v>
      </c>
      <c r="C581" t="s">
        <v>1817</v>
      </c>
      <c r="D581" t="s">
        <v>2658</v>
      </c>
      <c r="E581" s="24">
        <v>37820</v>
      </c>
      <c r="F581">
        <v>10</v>
      </c>
      <c r="G581">
        <v>1</v>
      </c>
      <c r="H581" t="s">
        <v>3421</v>
      </c>
      <c r="I581">
        <v>10</v>
      </c>
    </row>
    <row r="582" spans="2:9" x14ac:dyDescent="0.3">
      <c r="B582" t="s">
        <v>553</v>
      </c>
      <c r="C582" t="s">
        <v>1818</v>
      </c>
      <c r="D582" t="s">
        <v>2658</v>
      </c>
      <c r="E582" s="24">
        <v>37712</v>
      </c>
      <c r="F582">
        <v>10</v>
      </c>
      <c r="G582">
        <v>1</v>
      </c>
      <c r="H582" t="s">
        <v>3422</v>
      </c>
      <c r="I582">
        <v>10</v>
      </c>
    </row>
    <row r="583" spans="2:9" x14ac:dyDescent="0.3">
      <c r="B583" t="s">
        <v>554</v>
      </c>
      <c r="C583" t="s">
        <v>1819</v>
      </c>
      <c r="D583" t="s">
        <v>2658</v>
      </c>
      <c r="E583" s="24">
        <v>34899</v>
      </c>
      <c r="F583">
        <v>2</v>
      </c>
      <c r="G583">
        <v>1</v>
      </c>
      <c r="H583" t="s">
        <v>3423</v>
      </c>
      <c r="I583">
        <v>2</v>
      </c>
    </row>
    <row r="584" spans="2:9" x14ac:dyDescent="0.3">
      <c r="B584" t="s">
        <v>1308</v>
      </c>
      <c r="C584" t="s">
        <v>1820</v>
      </c>
      <c r="D584" t="s">
        <v>2686</v>
      </c>
      <c r="E584" s="24">
        <v>35158</v>
      </c>
      <c r="F584">
        <v>10</v>
      </c>
      <c r="G584">
        <v>1</v>
      </c>
      <c r="H584" t="s">
        <v>3424</v>
      </c>
      <c r="I584">
        <v>10</v>
      </c>
    </row>
    <row r="585" spans="2:9" x14ac:dyDescent="0.3">
      <c r="B585" t="s">
        <v>555</v>
      </c>
      <c r="C585" t="s">
        <v>1821</v>
      </c>
      <c r="D585" t="s">
        <v>2658</v>
      </c>
      <c r="E585" s="24">
        <v>38987</v>
      </c>
      <c r="F585">
        <v>10</v>
      </c>
      <c r="G585">
        <v>1</v>
      </c>
      <c r="H585" t="s">
        <v>3425</v>
      </c>
      <c r="I585">
        <v>10</v>
      </c>
    </row>
    <row r="586" spans="2:9" x14ac:dyDescent="0.3">
      <c r="B586" t="s">
        <v>3426</v>
      </c>
      <c r="C586" t="s">
        <v>3427</v>
      </c>
      <c r="D586" t="s">
        <v>2658</v>
      </c>
      <c r="E586" s="24">
        <v>42647</v>
      </c>
      <c r="F586">
        <v>10</v>
      </c>
      <c r="G586">
        <v>1</v>
      </c>
      <c r="H586" t="s">
        <v>3428</v>
      </c>
      <c r="I586">
        <v>10</v>
      </c>
    </row>
    <row r="587" spans="2:9" x14ac:dyDescent="0.3">
      <c r="B587" t="s">
        <v>3429</v>
      </c>
      <c r="C587" t="s">
        <v>3430</v>
      </c>
      <c r="D587" t="s">
        <v>2658</v>
      </c>
      <c r="E587" s="24">
        <v>39143</v>
      </c>
      <c r="F587">
        <v>1</v>
      </c>
      <c r="G587">
        <v>1</v>
      </c>
      <c r="H587" t="s">
        <v>3431</v>
      </c>
      <c r="I587">
        <v>1</v>
      </c>
    </row>
    <row r="588" spans="2:9" x14ac:dyDescent="0.3">
      <c r="B588" t="s">
        <v>556</v>
      </c>
      <c r="C588" t="s">
        <v>1822</v>
      </c>
      <c r="D588" t="s">
        <v>2658</v>
      </c>
      <c r="E588" s="24">
        <v>36677</v>
      </c>
      <c r="F588">
        <v>2</v>
      </c>
      <c r="G588">
        <v>1</v>
      </c>
      <c r="H588" t="s">
        <v>3432</v>
      </c>
      <c r="I588">
        <v>2</v>
      </c>
    </row>
    <row r="589" spans="2:9" x14ac:dyDescent="0.3">
      <c r="B589" t="s">
        <v>557</v>
      </c>
      <c r="C589" t="s">
        <v>1823</v>
      </c>
      <c r="D589" t="s">
        <v>2658</v>
      </c>
      <c r="E589" s="24">
        <v>38596</v>
      </c>
      <c r="F589">
        <v>2</v>
      </c>
      <c r="G589">
        <v>1</v>
      </c>
      <c r="H589" t="s">
        <v>3433</v>
      </c>
      <c r="I589">
        <v>2</v>
      </c>
    </row>
    <row r="590" spans="2:9" x14ac:dyDescent="0.3">
      <c r="B590" t="s">
        <v>558</v>
      </c>
      <c r="C590" t="s">
        <v>1824</v>
      </c>
      <c r="D590" t="s">
        <v>2658</v>
      </c>
      <c r="E590" s="24">
        <v>39120</v>
      </c>
      <c r="F590">
        <v>10</v>
      </c>
      <c r="G590">
        <v>1</v>
      </c>
      <c r="H590" t="s">
        <v>3434</v>
      </c>
      <c r="I590">
        <v>10</v>
      </c>
    </row>
    <row r="591" spans="2:9" x14ac:dyDescent="0.3">
      <c r="B591" t="s">
        <v>1309</v>
      </c>
      <c r="C591" t="s">
        <v>1825</v>
      </c>
      <c r="D591" t="s">
        <v>2658</v>
      </c>
      <c r="E591" s="24">
        <v>42874</v>
      </c>
      <c r="F591">
        <v>10</v>
      </c>
      <c r="G591">
        <v>1</v>
      </c>
      <c r="H591" t="s">
        <v>3435</v>
      </c>
      <c r="I591">
        <v>10</v>
      </c>
    </row>
    <row r="592" spans="2:9" x14ac:dyDescent="0.3">
      <c r="B592" t="s">
        <v>559</v>
      </c>
      <c r="C592" t="s">
        <v>1828</v>
      </c>
      <c r="D592" t="s">
        <v>2658</v>
      </c>
      <c r="E592" s="24">
        <v>39164</v>
      </c>
      <c r="F592">
        <v>2</v>
      </c>
      <c r="G592">
        <v>1</v>
      </c>
      <c r="H592" t="s">
        <v>3436</v>
      </c>
      <c r="I592">
        <v>2</v>
      </c>
    </row>
    <row r="593" spans="2:9" x14ac:dyDescent="0.3">
      <c r="B593" t="s">
        <v>62</v>
      </c>
      <c r="C593" t="s">
        <v>1829</v>
      </c>
      <c r="D593" t="s">
        <v>2658</v>
      </c>
      <c r="E593" s="24">
        <v>41478</v>
      </c>
      <c r="F593">
        <v>2</v>
      </c>
      <c r="G593">
        <v>1</v>
      </c>
      <c r="H593" t="s">
        <v>3437</v>
      </c>
      <c r="I593">
        <v>2</v>
      </c>
    </row>
    <row r="594" spans="2:9" x14ac:dyDescent="0.3">
      <c r="B594" t="s">
        <v>3438</v>
      </c>
      <c r="C594" t="s">
        <v>3439</v>
      </c>
      <c r="D594" t="s">
        <v>2658</v>
      </c>
      <c r="E594" s="24">
        <v>39540</v>
      </c>
      <c r="F594">
        <v>2</v>
      </c>
      <c r="G594">
        <v>1</v>
      </c>
      <c r="H594" t="s">
        <v>3440</v>
      </c>
      <c r="I594">
        <v>2</v>
      </c>
    </row>
    <row r="595" spans="2:9" x14ac:dyDescent="0.3">
      <c r="B595" t="s">
        <v>112</v>
      </c>
      <c r="C595" t="s">
        <v>1830</v>
      </c>
      <c r="D595" t="s">
        <v>2658</v>
      </c>
      <c r="E595" s="24">
        <v>35690</v>
      </c>
      <c r="F595">
        <v>2</v>
      </c>
      <c r="G595">
        <v>1</v>
      </c>
      <c r="H595" t="s">
        <v>3441</v>
      </c>
      <c r="I595">
        <v>2</v>
      </c>
    </row>
    <row r="596" spans="2:9" x14ac:dyDescent="0.3">
      <c r="B596" t="s">
        <v>3442</v>
      </c>
      <c r="C596" t="s">
        <v>3443</v>
      </c>
      <c r="D596" t="s">
        <v>2658</v>
      </c>
      <c r="E596" s="24">
        <v>42642</v>
      </c>
      <c r="F596">
        <v>10</v>
      </c>
      <c r="G596">
        <v>1</v>
      </c>
      <c r="H596" t="s">
        <v>3444</v>
      </c>
      <c r="I596">
        <v>10</v>
      </c>
    </row>
    <row r="597" spans="2:9" x14ac:dyDescent="0.3">
      <c r="B597" t="s">
        <v>560</v>
      </c>
      <c r="C597" t="s">
        <v>1831</v>
      </c>
      <c r="D597" t="s">
        <v>2658</v>
      </c>
      <c r="E597" s="24">
        <v>38607</v>
      </c>
      <c r="F597">
        <v>2</v>
      </c>
      <c r="G597">
        <v>1</v>
      </c>
      <c r="H597" t="s">
        <v>3445</v>
      </c>
      <c r="I597">
        <v>2</v>
      </c>
    </row>
    <row r="598" spans="2:9" x14ac:dyDescent="0.3">
      <c r="B598" t="s">
        <v>561</v>
      </c>
      <c r="C598" t="s">
        <v>1832</v>
      </c>
      <c r="D598" t="s">
        <v>2658</v>
      </c>
      <c r="E598" s="24">
        <v>39185</v>
      </c>
      <c r="F598">
        <v>10</v>
      </c>
      <c r="G598">
        <v>1</v>
      </c>
      <c r="H598" t="s">
        <v>3446</v>
      </c>
      <c r="I598">
        <v>10</v>
      </c>
    </row>
    <row r="599" spans="2:9" x14ac:dyDescent="0.3">
      <c r="B599" t="s">
        <v>562</v>
      </c>
      <c r="C599" t="s">
        <v>1833</v>
      </c>
      <c r="D599" t="s">
        <v>2658</v>
      </c>
      <c r="E599" s="24">
        <v>38988</v>
      </c>
      <c r="F599">
        <v>2</v>
      </c>
      <c r="G599">
        <v>1</v>
      </c>
      <c r="H599" t="s">
        <v>3447</v>
      </c>
      <c r="I599">
        <v>2</v>
      </c>
    </row>
    <row r="600" spans="2:9" x14ac:dyDescent="0.3">
      <c r="B600" t="s">
        <v>18</v>
      </c>
      <c r="C600" t="s">
        <v>1834</v>
      </c>
      <c r="D600" t="s">
        <v>2658</v>
      </c>
      <c r="E600" s="24">
        <v>34962</v>
      </c>
      <c r="F600">
        <v>10</v>
      </c>
      <c r="G600">
        <v>1</v>
      </c>
      <c r="H600" t="s">
        <v>3448</v>
      </c>
      <c r="I600">
        <v>10</v>
      </c>
    </row>
    <row r="601" spans="2:9" x14ac:dyDescent="0.3">
      <c r="B601" t="s">
        <v>563</v>
      </c>
      <c r="C601" t="s">
        <v>1835</v>
      </c>
      <c r="D601" t="s">
        <v>2658</v>
      </c>
      <c r="E601" s="24">
        <v>39150</v>
      </c>
      <c r="F601">
        <v>10</v>
      </c>
      <c r="G601">
        <v>1</v>
      </c>
      <c r="H601" t="s">
        <v>3449</v>
      </c>
      <c r="I601">
        <v>10</v>
      </c>
    </row>
    <row r="602" spans="2:9" x14ac:dyDescent="0.3">
      <c r="B602" t="s">
        <v>564</v>
      </c>
      <c r="C602" t="s">
        <v>1836</v>
      </c>
      <c r="D602" t="s">
        <v>2658</v>
      </c>
      <c r="E602" s="24">
        <v>38576</v>
      </c>
      <c r="F602">
        <v>10</v>
      </c>
      <c r="G602">
        <v>1</v>
      </c>
      <c r="H602" t="s">
        <v>3450</v>
      </c>
      <c r="I602">
        <v>10</v>
      </c>
    </row>
    <row r="603" spans="2:9" x14ac:dyDescent="0.3">
      <c r="B603" t="s">
        <v>564</v>
      </c>
      <c r="C603" t="s">
        <v>1836</v>
      </c>
      <c r="D603" t="s">
        <v>3173</v>
      </c>
      <c r="E603" s="24">
        <v>38576</v>
      </c>
      <c r="F603">
        <v>10</v>
      </c>
      <c r="G603">
        <v>1</v>
      </c>
      <c r="H603" t="s">
        <v>3450</v>
      </c>
      <c r="I603">
        <v>10</v>
      </c>
    </row>
    <row r="604" spans="2:9" x14ac:dyDescent="0.3">
      <c r="B604" t="s">
        <v>3451</v>
      </c>
      <c r="C604" t="s">
        <v>3452</v>
      </c>
      <c r="D604" t="s">
        <v>2658</v>
      </c>
      <c r="E604" s="24">
        <v>42314</v>
      </c>
      <c r="F604">
        <v>10</v>
      </c>
      <c r="G604">
        <v>1</v>
      </c>
      <c r="H604" t="s">
        <v>3453</v>
      </c>
      <c r="I604">
        <v>10</v>
      </c>
    </row>
    <row r="605" spans="2:9" x14ac:dyDescent="0.3">
      <c r="B605" t="s">
        <v>565</v>
      </c>
      <c r="C605" t="s">
        <v>1837</v>
      </c>
      <c r="D605" t="s">
        <v>2658</v>
      </c>
      <c r="E605" s="24">
        <v>35158</v>
      </c>
      <c r="F605">
        <v>10</v>
      </c>
      <c r="G605">
        <v>1</v>
      </c>
      <c r="H605" t="s">
        <v>3454</v>
      </c>
      <c r="I605">
        <v>10</v>
      </c>
    </row>
    <row r="606" spans="2:9" x14ac:dyDescent="0.3">
      <c r="B606" t="s">
        <v>566</v>
      </c>
      <c r="C606" t="s">
        <v>1838</v>
      </c>
      <c r="D606" t="s">
        <v>2658</v>
      </c>
      <c r="E606" s="24">
        <v>34787</v>
      </c>
      <c r="F606">
        <v>10</v>
      </c>
      <c r="G606">
        <v>1</v>
      </c>
      <c r="H606" t="s">
        <v>3455</v>
      </c>
      <c r="I606">
        <v>10</v>
      </c>
    </row>
    <row r="607" spans="2:9" x14ac:dyDescent="0.3">
      <c r="B607" t="s">
        <v>19</v>
      </c>
      <c r="C607" t="s">
        <v>1839</v>
      </c>
      <c r="D607" t="s">
        <v>2658</v>
      </c>
      <c r="E607" s="24">
        <v>34815</v>
      </c>
      <c r="F607">
        <v>10</v>
      </c>
      <c r="G607">
        <v>1</v>
      </c>
      <c r="H607" t="s">
        <v>3456</v>
      </c>
      <c r="I607">
        <v>10</v>
      </c>
    </row>
    <row r="608" spans="2:9" x14ac:dyDescent="0.3">
      <c r="B608" t="s">
        <v>567</v>
      </c>
      <c r="C608" t="s">
        <v>1840</v>
      </c>
      <c r="D608" t="s">
        <v>2658</v>
      </c>
      <c r="E608" s="24">
        <v>37994</v>
      </c>
      <c r="F608">
        <v>10</v>
      </c>
      <c r="G608">
        <v>1</v>
      </c>
      <c r="H608" t="s">
        <v>3457</v>
      </c>
      <c r="I608">
        <v>10</v>
      </c>
    </row>
    <row r="609" spans="2:9" x14ac:dyDescent="0.3">
      <c r="B609" t="s">
        <v>568</v>
      </c>
      <c r="C609" t="s">
        <v>1841</v>
      </c>
      <c r="D609" t="s">
        <v>2658</v>
      </c>
      <c r="E609" s="24">
        <v>37903</v>
      </c>
      <c r="F609">
        <v>10</v>
      </c>
      <c r="G609">
        <v>1</v>
      </c>
      <c r="H609" t="s">
        <v>3458</v>
      </c>
      <c r="I609">
        <v>10</v>
      </c>
    </row>
    <row r="610" spans="2:9" x14ac:dyDescent="0.3">
      <c r="B610" t="s">
        <v>20</v>
      </c>
      <c r="C610" t="s">
        <v>1842</v>
      </c>
      <c r="D610" t="s">
        <v>2658</v>
      </c>
      <c r="E610" s="24">
        <v>37981</v>
      </c>
      <c r="F610">
        <v>10</v>
      </c>
      <c r="G610">
        <v>1</v>
      </c>
      <c r="H610" t="s">
        <v>3459</v>
      </c>
      <c r="I610">
        <v>10</v>
      </c>
    </row>
    <row r="611" spans="2:9" x14ac:dyDescent="0.3">
      <c r="B611" t="s">
        <v>20</v>
      </c>
      <c r="C611" t="s">
        <v>1842</v>
      </c>
      <c r="D611" t="s">
        <v>3173</v>
      </c>
      <c r="E611" s="24">
        <v>37981</v>
      </c>
      <c r="F611">
        <v>10</v>
      </c>
      <c r="G611">
        <v>1</v>
      </c>
      <c r="H611" t="s">
        <v>3459</v>
      </c>
      <c r="I611">
        <v>10</v>
      </c>
    </row>
    <row r="612" spans="2:9" x14ac:dyDescent="0.3">
      <c r="B612" t="s">
        <v>569</v>
      </c>
      <c r="C612" t="s">
        <v>1843</v>
      </c>
      <c r="D612" t="s">
        <v>2658</v>
      </c>
      <c r="E612" s="24">
        <v>39111</v>
      </c>
      <c r="F612">
        <v>10</v>
      </c>
      <c r="G612">
        <v>1</v>
      </c>
      <c r="H612" t="s">
        <v>3460</v>
      </c>
      <c r="I612">
        <v>10</v>
      </c>
    </row>
    <row r="613" spans="2:9" x14ac:dyDescent="0.3">
      <c r="B613" t="s">
        <v>570</v>
      </c>
      <c r="C613" t="s">
        <v>1844</v>
      </c>
      <c r="D613" t="s">
        <v>2658</v>
      </c>
      <c r="E613" s="24">
        <v>38489</v>
      </c>
      <c r="F613">
        <v>2</v>
      </c>
      <c r="G613">
        <v>1</v>
      </c>
      <c r="H613" t="s">
        <v>3461</v>
      </c>
      <c r="I613">
        <v>2</v>
      </c>
    </row>
    <row r="614" spans="2:9" x14ac:dyDescent="0.3">
      <c r="B614" t="s">
        <v>571</v>
      </c>
      <c r="C614" t="s">
        <v>1845</v>
      </c>
      <c r="D614" t="s">
        <v>2658</v>
      </c>
      <c r="E614" s="24">
        <v>40407</v>
      </c>
      <c r="F614">
        <v>10</v>
      </c>
      <c r="G614">
        <v>1</v>
      </c>
      <c r="H614" t="s">
        <v>3462</v>
      </c>
      <c r="I614">
        <v>10</v>
      </c>
    </row>
    <row r="615" spans="2:9" x14ac:dyDescent="0.3">
      <c r="B615" t="s">
        <v>572</v>
      </c>
      <c r="C615" t="s">
        <v>1846</v>
      </c>
      <c r="D615" t="s">
        <v>2658</v>
      </c>
      <c r="E615" s="24">
        <v>39380</v>
      </c>
      <c r="F615">
        <v>10</v>
      </c>
      <c r="G615">
        <v>1</v>
      </c>
      <c r="H615" t="s">
        <v>3463</v>
      </c>
      <c r="I615">
        <v>10</v>
      </c>
    </row>
    <row r="616" spans="2:9" x14ac:dyDescent="0.3">
      <c r="B616" t="s">
        <v>573</v>
      </c>
      <c r="C616" t="s">
        <v>1847</v>
      </c>
      <c r="D616" t="s">
        <v>2658</v>
      </c>
      <c r="E616" s="24">
        <v>40267</v>
      </c>
      <c r="F616">
        <v>10</v>
      </c>
      <c r="G616">
        <v>1</v>
      </c>
      <c r="H616" t="s">
        <v>3464</v>
      </c>
      <c r="I616">
        <v>10</v>
      </c>
    </row>
    <row r="617" spans="2:9" x14ac:dyDescent="0.3">
      <c r="B617" t="s">
        <v>574</v>
      </c>
      <c r="C617" t="s">
        <v>1848</v>
      </c>
      <c r="D617" t="s">
        <v>2658</v>
      </c>
      <c r="E617" s="24">
        <v>40382</v>
      </c>
      <c r="F617">
        <v>10</v>
      </c>
      <c r="G617">
        <v>1</v>
      </c>
      <c r="H617" t="s">
        <v>3465</v>
      </c>
      <c r="I617">
        <v>10</v>
      </c>
    </row>
    <row r="618" spans="2:9" x14ac:dyDescent="0.3">
      <c r="B618" t="s">
        <v>575</v>
      </c>
      <c r="C618" t="s">
        <v>1849</v>
      </c>
      <c r="D618" t="s">
        <v>2658</v>
      </c>
      <c r="E618" s="24">
        <v>38632</v>
      </c>
      <c r="F618">
        <v>10</v>
      </c>
      <c r="G618">
        <v>1</v>
      </c>
      <c r="H618" t="s">
        <v>3466</v>
      </c>
      <c r="I618">
        <v>10</v>
      </c>
    </row>
    <row r="619" spans="2:9" x14ac:dyDescent="0.3">
      <c r="B619" t="s">
        <v>576</v>
      </c>
      <c r="C619" t="s">
        <v>1850</v>
      </c>
      <c r="D619" t="s">
        <v>2658</v>
      </c>
      <c r="E619" s="24">
        <v>38386</v>
      </c>
      <c r="F619">
        <v>10</v>
      </c>
      <c r="G619">
        <v>1</v>
      </c>
      <c r="H619" t="s">
        <v>3467</v>
      </c>
      <c r="I619">
        <v>10</v>
      </c>
    </row>
    <row r="620" spans="2:9" x14ac:dyDescent="0.3">
      <c r="B620" t="s">
        <v>577</v>
      </c>
      <c r="C620" t="s">
        <v>1851</v>
      </c>
      <c r="D620" t="s">
        <v>2658</v>
      </c>
      <c r="E620" s="24">
        <v>39729</v>
      </c>
      <c r="F620">
        <v>10</v>
      </c>
      <c r="G620">
        <v>1</v>
      </c>
      <c r="H620" t="s">
        <v>3468</v>
      </c>
      <c r="I620">
        <v>10</v>
      </c>
    </row>
    <row r="621" spans="2:9" x14ac:dyDescent="0.3">
      <c r="B621" t="s">
        <v>63</v>
      </c>
      <c r="C621" t="s">
        <v>1852</v>
      </c>
      <c r="D621" t="s">
        <v>2658</v>
      </c>
      <c r="E621" s="24">
        <v>35249</v>
      </c>
      <c r="F621">
        <v>1</v>
      </c>
      <c r="G621">
        <v>1</v>
      </c>
      <c r="H621" t="s">
        <v>3469</v>
      </c>
      <c r="I621">
        <v>1</v>
      </c>
    </row>
    <row r="622" spans="2:9" x14ac:dyDescent="0.3">
      <c r="B622" t="s">
        <v>578</v>
      </c>
      <c r="C622" t="s">
        <v>1853</v>
      </c>
      <c r="D622" t="s">
        <v>2658</v>
      </c>
      <c r="E622" s="24">
        <v>36677</v>
      </c>
      <c r="F622">
        <v>10</v>
      </c>
      <c r="G622">
        <v>1</v>
      </c>
      <c r="H622" t="s">
        <v>3470</v>
      </c>
      <c r="I622">
        <v>10</v>
      </c>
    </row>
    <row r="623" spans="2:9" x14ac:dyDescent="0.3">
      <c r="B623" t="s">
        <v>579</v>
      </c>
      <c r="C623" t="s">
        <v>1854</v>
      </c>
      <c r="D623" t="s">
        <v>2658</v>
      </c>
      <c r="E623" s="24">
        <v>38534</v>
      </c>
      <c r="F623">
        <v>10</v>
      </c>
      <c r="G623">
        <v>1</v>
      </c>
      <c r="H623" t="s">
        <v>3471</v>
      </c>
      <c r="I623">
        <v>10</v>
      </c>
    </row>
    <row r="624" spans="2:9" x14ac:dyDescent="0.3">
      <c r="B624" t="s">
        <v>580</v>
      </c>
      <c r="C624" t="s">
        <v>1855</v>
      </c>
      <c r="D624" t="s">
        <v>2658</v>
      </c>
      <c r="E624" s="24">
        <v>39142</v>
      </c>
      <c r="F624">
        <v>10</v>
      </c>
      <c r="G624">
        <v>1</v>
      </c>
      <c r="H624" t="s">
        <v>3472</v>
      </c>
      <c r="I624">
        <v>10</v>
      </c>
    </row>
    <row r="625" spans="2:9" x14ac:dyDescent="0.3">
      <c r="B625" t="s">
        <v>581</v>
      </c>
      <c r="C625" t="s">
        <v>1856</v>
      </c>
      <c r="D625" t="s">
        <v>2658</v>
      </c>
      <c r="E625" s="24">
        <v>35438</v>
      </c>
      <c r="F625">
        <v>10</v>
      </c>
      <c r="G625">
        <v>1</v>
      </c>
      <c r="H625" t="s">
        <v>3473</v>
      </c>
      <c r="I625">
        <v>10</v>
      </c>
    </row>
    <row r="626" spans="2:9" x14ac:dyDescent="0.3">
      <c r="B626" t="s">
        <v>582</v>
      </c>
      <c r="C626" t="s">
        <v>1857</v>
      </c>
      <c r="D626" t="s">
        <v>2658</v>
      </c>
      <c r="E626" s="24">
        <v>34941</v>
      </c>
      <c r="F626">
        <v>2</v>
      </c>
      <c r="G626">
        <v>1</v>
      </c>
      <c r="H626" t="s">
        <v>3474</v>
      </c>
      <c r="I626">
        <v>2</v>
      </c>
    </row>
    <row r="627" spans="2:9" x14ac:dyDescent="0.3">
      <c r="B627" t="s">
        <v>3475</v>
      </c>
      <c r="C627" t="s">
        <v>3476</v>
      </c>
      <c r="D627" t="s">
        <v>2658</v>
      </c>
      <c r="E627" s="24">
        <v>42318</v>
      </c>
      <c r="F627">
        <v>10</v>
      </c>
      <c r="G627">
        <v>1</v>
      </c>
      <c r="H627" t="s">
        <v>3477</v>
      </c>
      <c r="I627">
        <v>10</v>
      </c>
    </row>
    <row r="628" spans="2:9" x14ac:dyDescent="0.3">
      <c r="B628" t="s">
        <v>583</v>
      </c>
      <c r="C628" t="s">
        <v>1858</v>
      </c>
      <c r="D628" t="s">
        <v>2658</v>
      </c>
      <c r="E628" s="24">
        <v>35074</v>
      </c>
      <c r="F628">
        <v>10</v>
      </c>
      <c r="G628">
        <v>1</v>
      </c>
      <c r="H628" t="s">
        <v>3478</v>
      </c>
      <c r="I628">
        <v>10</v>
      </c>
    </row>
    <row r="629" spans="2:9" x14ac:dyDescent="0.3">
      <c r="B629" t="s">
        <v>584</v>
      </c>
      <c r="C629" t="s">
        <v>1859</v>
      </c>
      <c r="D629" t="s">
        <v>2658</v>
      </c>
      <c r="E629" s="24">
        <v>35557</v>
      </c>
      <c r="F629">
        <v>10</v>
      </c>
      <c r="G629">
        <v>1</v>
      </c>
      <c r="H629" t="s">
        <v>3479</v>
      </c>
      <c r="I629">
        <v>10</v>
      </c>
    </row>
    <row r="630" spans="2:9" x14ac:dyDescent="0.3">
      <c r="B630" t="s">
        <v>585</v>
      </c>
      <c r="C630" t="s">
        <v>1860</v>
      </c>
      <c r="D630" t="s">
        <v>2658</v>
      </c>
      <c r="E630" s="24">
        <v>38366</v>
      </c>
      <c r="F630">
        <v>2</v>
      </c>
      <c r="G630">
        <v>1</v>
      </c>
      <c r="H630" t="s">
        <v>3480</v>
      </c>
      <c r="I630">
        <v>2</v>
      </c>
    </row>
    <row r="631" spans="2:9" x14ac:dyDescent="0.3">
      <c r="B631" t="s">
        <v>586</v>
      </c>
      <c r="C631" t="s">
        <v>1861</v>
      </c>
      <c r="D631" t="s">
        <v>2658</v>
      </c>
      <c r="E631" s="24">
        <v>37792</v>
      </c>
      <c r="F631">
        <v>10</v>
      </c>
      <c r="G631">
        <v>1</v>
      </c>
      <c r="H631" t="s">
        <v>3481</v>
      </c>
      <c r="I631">
        <v>10</v>
      </c>
    </row>
    <row r="632" spans="2:9" x14ac:dyDescent="0.3">
      <c r="B632" t="s">
        <v>587</v>
      </c>
      <c r="C632" t="s">
        <v>1862</v>
      </c>
      <c r="D632" t="s">
        <v>2658</v>
      </c>
      <c r="E632" s="24">
        <v>40450</v>
      </c>
      <c r="F632">
        <v>10</v>
      </c>
      <c r="G632">
        <v>1</v>
      </c>
      <c r="H632" t="s">
        <v>3482</v>
      </c>
      <c r="I632">
        <v>10</v>
      </c>
    </row>
    <row r="633" spans="2:9" x14ac:dyDescent="0.3">
      <c r="B633" t="s">
        <v>588</v>
      </c>
      <c r="C633" t="s">
        <v>1863</v>
      </c>
      <c r="D633" t="s">
        <v>2658</v>
      </c>
      <c r="E633" s="24">
        <v>38792</v>
      </c>
      <c r="F633">
        <v>10</v>
      </c>
      <c r="G633">
        <v>1</v>
      </c>
      <c r="H633" t="s">
        <v>3483</v>
      </c>
      <c r="I633">
        <v>10</v>
      </c>
    </row>
    <row r="634" spans="2:9" x14ac:dyDescent="0.3">
      <c r="B634" t="s">
        <v>589</v>
      </c>
      <c r="C634" t="s">
        <v>1864</v>
      </c>
      <c r="D634" t="s">
        <v>2658</v>
      </c>
      <c r="E634" s="24">
        <v>40849</v>
      </c>
      <c r="F634">
        <v>10</v>
      </c>
      <c r="G634">
        <v>1</v>
      </c>
      <c r="H634" t="s">
        <v>3484</v>
      </c>
      <c r="I634">
        <v>10</v>
      </c>
    </row>
    <row r="635" spans="2:9" x14ac:dyDescent="0.3">
      <c r="B635" t="s">
        <v>590</v>
      </c>
      <c r="C635" t="s">
        <v>1865</v>
      </c>
      <c r="D635" t="s">
        <v>2658</v>
      </c>
      <c r="E635" s="24">
        <v>39339</v>
      </c>
      <c r="F635">
        <v>10</v>
      </c>
      <c r="G635">
        <v>1</v>
      </c>
      <c r="H635" t="s">
        <v>3485</v>
      </c>
      <c r="I635">
        <v>10</v>
      </c>
    </row>
    <row r="636" spans="2:9" x14ac:dyDescent="0.3">
      <c r="B636" t="s">
        <v>591</v>
      </c>
      <c r="C636" t="s">
        <v>1866</v>
      </c>
      <c r="D636" t="s">
        <v>2658</v>
      </c>
      <c r="E636" s="24">
        <v>35537</v>
      </c>
      <c r="F636">
        <v>10</v>
      </c>
      <c r="G636">
        <v>1</v>
      </c>
      <c r="H636" t="s">
        <v>3486</v>
      </c>
      <c r="I636">
        <v>10</v>
      </c>
    </row>
    <row r="637" spans="2:9" x14ac:dyDescent="0.3">
      <c r="B637" t="s">
        <v>592</v>
      </c>
      <c r="C637" t="s">
        <v>1867</v>
      </c>
      <c r="D637" t="s">
        <v>2658</v>
      </c>
      <c r="E637" s="24">
        <v>35613</v>
      </c>
      <c r="F637">
        <v>10</v>
      </c>
      <c r="G637">
        <v>1</v>
      </c>
      <c r="H637" t="s">
        <v>3487</v>
      </c>
      <c r="I637">
        <v>10</v>
      </c>
    </row>
    <row r="638" spans="2:9" x14ac:dyDescent="0.3">
      <c r="B638" t="s">
        <v>593</v>
      </c>
      <c r="C638" t="s">
        <v>1868</v>
      </c>
      <c r="D638" t="s">
        <v>2686</v>
      </c>
      <c r="E638" s="24">
        <v>38278</v>
      </c>
      <c r="F638">
        <v>2</v>
      </c>
      <c r="G638">
        <v>1</v>
      </c>
      <c r="H638" t="s">
        <v>3488</v>
      </c>
      <c r="I638">
        <v>2</v>
      </c>
    </row>
    <row r="639" spans="2:9" x14ac:dyDescent="0.3">
      <c r="B639" t="s">
        <v>594</v>
      </c>
      <c r="C639" t="s">
        <v>1869</v>
      </c>
      <c r="D639" t="s">
        <v>2658</v>
      </c>
      <c r="E639" s="24">
        <v>40613</v>
      </c>
      <c r="F639">
        <v>2</v>
      </c>
      <c r="G639">
        <v>1</v>
      </c>
      <c r="H639" t="s">
        <v>3489</v>
      </c>
      <c r="I639">
        <v>2</v>
      </c>
    </row>
    <row r="640" spans="2:9" x14ac:dyDescent="0.3">
      <c r="B640" t="s">
        <v>595</v>
      </c>
      <c r="C640" t="s">
        <v>1870</v>
      </c>
      <c r="D640" t="s">
        <v>2658</v>
      </c>
      <c r="E640" s="24">
        <v>35823</v>
      </c>
      <c r="F640">
        <v>10</v>
      </c>
      <c r="G640">
        <v>1</v>
      </c>
      <c r="H640" t="s">
        <v>3490</v>
      </c>
      <c r="I640">
        <v>10</v>
      </c>
    </row>
    <row r="641" spans="2:9" x14ac:dyDescent="0.3">
      <c r="B641" t="s">
        <v>3491</v>
      </c>
      <c r="C641" t="s">
        <v>3492</v>
      </c>
      <c r="D641" t="s">
        <v>2658</v>
      </c>
      <c r="E641" s="24">
        <v>34787</v>
      </c>
      <c r="F641">
        <v>10</v>
      </c>
      <c r="G641">
        <v>1</v>
      </c>
      <c r="H641" t="s">
        <v>3493</v>
      </c>
      <c r="I641">
        <v>10</v>
      </c>
    </row>
    <row r="642" spans="2:9" x14ac:dyDescent="0.3">
      <c r="B642" t="s">
        <v>3494</v>
      </c>
      <c r="C642" t="s">
        <v>3495</v>
      </c>
      <c r="D642" t="s">
        <v>2658</v>
      </c>
      <c r="E642" s="24">
        <v>42464</v>
      </c>
      <c r="F642">
        <v>10</v>
      </c>
      <c r="G642">
        <v>1</v>
      </c>
      <c r="H642" t="s">
        <v>3496</v>
      </c>
      <c r="I642">
        <v>10</v>
      </c>
    </row>
    <row r="643" spans="2:9" x14ac:dyDescent="0.3">
      <c r="B643" t="s">
        <v>596</v>
      </c>
      <c r="C643" t="s">
        <v>1871</v>
      </c>
      <c r="D643" t="s">
        <v>2658</v>
      </c>
      <c r="E643" s="24">
        <v>40212</v>
      </c>
      <c r="F643">
        <v>10</v>
      </c>
      <c r="G643">
        <v>1</v>
      </c>
      <c r="H643" t="s">
        <v>3497</v>
      </c>
      <c r="I643">
        <v>10</v>
      </c>
    </row>
    <row r="644" spans="2:9" x14ac:dyDescent="0.3">
      <c r="B644" t="s">
        <v>597</v>
      </c>
      <c r="C644" t="s">
        <v>3498</v>
      </c>
      <c r="D644" t="s">
        <v>2686</v>
      </c>
      <c r="E644" s="24">
        <v>39002</v>
      </c>
      <c r="F644">
        <v>10</v>
      </c>
      <c r="G644">
        <v>1</v>
      </c>
      <c r="H644" t="s">
        <v>3499</v>
      </c>
      <c r="I644">
        <v>10</v>
      </c>
    </row>
    <row r="645" spans="2:9" x14ac:dyDescent="0.3">
      <c r="B645" t="s">
        <v>41</v>
      </c>
      <c r="C645" t="s">
        <v>1872</v>
      </c>
      <c r="D645" t="s">
        <v>2658</v>
      </c>
      <c r="E645" s="24">
        <v>41271</v>
      </c>
      <c r="F645">
        <v>10</v>
      </c>
      <c r="G645">
        <v>1</v>
      </c>
      <c r="H645" t="s">
        <v>3500</v>
      </c>
      <c r="I645">
        <v>10</v>
      </c>
    </row>
    <row r="646" spans="2:9" x14ac:dyDescent="0.3">
      <c r="B646" t="s">
        <v>9</v>
      </c>
      <c r="C646" t="s">
        <v>1873</v>
      </c>
      <c r="D646" t="s">
        <v>2658</v>
      </c>
      <c r="E646" s="24">
        <v>34738</v>
      </c>
      <c r="F646">
        <v>5</v>
      </c>
      <c r="G646">
        <v>1</v>
      </c>
      <c r="H646" t="s">
        <v>3501</v>
      </c>
      <c r="I646">
        <v>5</v>
      </c>
    </row>
    <row r="647" spans="2:9" x14ac:dyDescent="0.3">
      <c r="B647" t="s">
        <v>598</v>
      </c>
      <c r="C647" t="s">
        <v>1874</v>
      </c>
      <c r="D647" t="s">
        <v>2658</v>
      </c>
      <c r="E647" s="24">
        <v>36265</v>
      </c>
      <c r="F647">
        <v>10</v>
      </c>
      <c r="G647">
        <v>1</v>
      </c>
      <c r="H647" t="s">
        <v>3502</v>
      </c>
      <c r="I647">
        <v>10</v>
      </c>
    </row>
    <row r="648" spans="2:9" x14ac:dyDescent="0.3">
      <c r="B648" t="s">
        <v>599</v>
      </c>
      <c r="C648" t="s">
        <v>1875</v>
      </c>
      <c r="D648" t="s">
        <v>2658</v>
      </c>
      <c r="E648" s="24">
        <v>38771</v>
      </c>
      <c r="F648">
        <v>10</v>
      </c>
      <c r="G648">
        <v>1</v>
      </c>
      <c r="H648" t="s">
        <v>3503</v>
      </c>
      <c r="I648">
        <v>10</v>
      </c>
    </row>
    <row r="649" spans="2:9" x14ac:dyDescent="0.3">
      <c r="B649" t="s">
        <v>3504</v>
      </c>
      <c r="C649" t="s">
        <v>3505</v>
      </c>
      <c r="D649" t="s">
        <v>2658</v>
      </c>
      <c r="E649" s="24">
        <v>42103</v>
      </c>
      <c r="F649">
        <v>10</v>
      </c>
      <c r="G649">
        <v>1</v>
      </c>
      <c r="H649" t="s">
        <v>3506</v>
      </c>
      <c r="I649">
        <v>10</v>
      </c>
    </row>
    <row r="650" spans="2:9" x14ac:dyDescent="0.3">
      <c r="B650" t="s">
        <v>600</v>
      </c>
      <c r="C650" t="s">
        <v>1876</v>
      </c>
      <c r="D650" t="s">
        <v>2658</v>
      </c>
      <c r="E650" s="24">
        <v>39232</v>
      </c>
      <c r="F650">
        <v>10</v>
      </c>
      <c r="G650">
        <v>1</v>
      </c>
      <c r="H650" t="s">
        <v>3507</v>
      </c>
      <c r="I650">
        <v>10</v>
      </c>
    </row>
    <row r="651" spans="2:9" x14ac:dyDescent="0.3">
      <c r="B651" t="s">
        <v>1310</v>
      </c>
      <c r="C651" t="s">
        <v>1877</v>
      </c>
      <c r="D651" t="s">
        <v>2686</v>
      </c>
      <c r="E651" s="24">
        <v>41506</v>
      </c>
      <c r="F651">
        <v>3</v>
      </c>
      <c r="G651">
        <v>1</v>
      </c>
      <c r="H651" t="s">
        <v>3508</v>
      </c>
      <c r="I651">
        <v>3</v>
      </c>
    </row>
    <row r="652" spans="2:9" x14ac:dyDescent="0.3">
      <c r="B652" t="s">
        <v>3509</v>
      </c>
      <c r="C652" t="s">
        <v>3510</v>
      </c>
      <c r="D652" t="s">
        <v>2658</v>
      </c>
      <c r="E652" s="24">
        <v>41991</v>
      </c>
      <c r="F652">
        <v>5</v>
      </c>
      <c r="G652">
        <v>1</v>
      </c>
      <c r="H652" t="s">
        <v>3511</v>
      </c>
      <c r="I652">
        <v>5</v>
      </c>
    </row>
    <row r="653" spans="2:9" x14ac:dyDescent="0.3">
      <c r="B653" t="s">
        <v>3512</v>
      </c>
      <c r="C653" t="s">
        <v>3513</v>
      </c>
      <c r="D653" t="s">
        <v>2658</v>
      </c>
      <c r="E653" s="24">
        <v>42817</v>
      </c>
      <c r="F653">
        <v>2</v>
      </c>
      <c r="G653">
        <v>1</v>
      </c>
      <c r="H653" t="s">
        <v>3514</v>
      </c>
      <c r="I653">
        <v>2</v>
      </c>
    </row>
    <row r="654" spans="2:9" x14ac:dyDescent="0.3">
      <c r="B654" t="s">
        <v>601</v>
      </c>
      <c r="C654" t="s">
        <v>1878</v>
      </c>
      <c r="D654" t="s">
        <v>2658</v>
      </c>
      <c r="E654" s="24">
        <v>40759</v>
      </c>
      <c r="F654">
        <v>10</v>
      </c>
      <c r="G654">
        <v>1</v>
      </c>
      <c r="H654" t="s">
        <v>3515</v>
      </c>
      <c r="I654">
        <v>10</v>
      </c>
    </row>
    <row r="655" spans="2:9" x14ac:dyDescent="0.3">
      <c r="B655" t="s">
        <v>602</v>
      </c>
      <c r="C655" t="s">
        <v>1879</v>
      </c>
      <c r="D655" t="s">
        <v>2658</v>
      </c>
      <c r="E655" s="24">
        <v>36867</v>
      </c>
      <c r="F655">
        <v>10</v>
      </c>
      <c r="G655">
        <v>1</v>
      </c>
      <c r="H655" t="s">
        <v>3516</v>
      </c>
      <c r="I655">
        <v>10</v>
      </c>
    </row>
    <row r="656" spans="2:9" x14ac:dyDescent="0.3">
      <c r="B656" t="s">
        <v>64</v>
      </c>
      <c r="C656" t="s">
        <v>1880</v>
      </c>
      <c r="D656" t="s">
        <v>2658</v>
      </c>
      <c r="E656" s="24">
        <v>35270</v>
      </c>
      <c r="F656">
        <v>10</v>
      </c>
      <c r="G656">
        <v>1</v>
      </c>
      <c r="H656" t="s">
        <v>3517</v>
      </c>
      <c r="I656">
        <v>10</v>
      </c>
    </row>
    <row r="657" spans="2:9" x14ac:dyDescent="0.3">
      <c r="B657" t="s">
        <v>603</v>
      </c>
      <c r="C657" t="s">
        <v>1881</v>
      </c>
      <c r="D657" t="s">
        <v>2658</v>
      </c>
      <c r="E657" s="24">
        <v>40490</v>
      </c>
      <c r="F657">
        <v>10</v>
      </c>
      <c r="G657">
        <v>1</v>
      </c>
      <c r="H657" t="s">
        <v>3518</v>
      </c>
      <c r="I657">
        <v>10</v>
      </c>
    </row>
    <row r="658" spans="2:9" x14ac:dyDescent="0.3">
      <c r="B658" t="s">
        <v>604</v>
      </c>
      <c r="C658" t="s">
        <v>1882</v>
      </c>
      <c r="D658" t="s">
        <v>2658</v>
      </c>
      <c r="E658" s="24">
        <v>38120</v>
      </c>
      <c r="F658">
        <v>10</v>
      </c>
      <c r="G658">
        <v>1</v>
      </c>
      <c r="H658" t="s">
        <v>3519</v>
      </c>
      <c r="I658">
        <v>10</v>
      </c>
    </row>
    <row r="659" spans="2:9" x14ac:dyDescent="0.3">
      <c r="B659" t="s">
        <v>65</v>
      </c>
      <c r="C659" t="s">
        <v>1883</v>
      </c>
      <c r="D659" t="s">
        <v>2658</v>
      </c>
      <c r="E659" s="24">
        <v>34738</v>
      </c>
      <c r="F659">
        <v>2</v>
      </c>
      <c r="G659">
        <v>1</v>
      </c>
      <c r="H659" t="s">
        <v>3520</v>
      </c>
      <c r="I659">
        <v>2</v>
      </c>
    </row>
    <row r="660" spans="2:9" x14ac:dyDescent="0.3">
      <c r="B660" t="s">
        <v>21</v>
      </c>
      <c r="C660" t="s">
        <v>1884</v>
      </c>
      <c r="D660" t="s">
        <v>2658</v>
      </c>
      <c r="E660" s="24">
        <v>39503</v>
      </c>
      <c r="F660">
        <v>10</v>
      </c>
      <c r="G660">
        <v>1</v>
      </c>
      <c r="H660" t="s">
        <v>3521</v>
      </c>
      <c r="I660">
        <v>10</v>
      </c>
    </row>
    <row r="661" spans="2:9" x14ac:dyDescent="0.3">
      <c r="B661" t="s">
        <v>605</v>
      </c>
      <c r="C661" t="s">
        <v>1885</v>
      </c>
      <c r="D661" t="s">
        <v>2658</v>
      </c>
      <c r="E661" s="24">
        <v>40280</v>
      </c>
      <c r="F661">
        <v>10</v>
      </c>
      <c r="G661">
        <v>1</v>
      </c>
      <c r="H661" t="s">
        <v>3522</v>
      </c>
      <c r="I661">
        <v>10</v>
      </c>
    </row>
    <row r="662" spans="2:9" x14ac:dyDescent="0.3">
      <c r="B662" t="s">
        <v>606</v>
      </c>
      <c r="C662" t="s">
        <v>1886</v>
      </c>
      <c r="D662" t="s">
        <v>2658</v>
      </c>
      <c r="E662" s="24">
        <v>39322</v>
      </c>
      <c r="F662">
        <v>5</v>
      </c>
      <c r="G662">
        <v>1</v>
      </c>
      <c r="H662" t="s">
        <v>3523</v>
      </c>
      <c r="I662">
        <v>5</v>
      </c>
    </row>
    <row r="663" spans="2:9" x14ac:dyDescent="0.3">
      <c r="B663" t="s">
        <v>607</v>
      </c>
      <c r="C663" t="s">
        <v>1887</v>
      </c>
      <c r="D663" t="s">
        <v>2658</v>
      </c>
      <c r="E663" s="24">
        <v>34934</v>
      </c>
      <c r="F663">
        <v>1</v>
      </c>
      <c r="G663">
        <v>1</v>
      </c>
      <c r="H663" t="s">
        <v>3524</v>
      </c>
      <c r="I663">
        <v>1</v>
      </c>
    </row>
    <row r="664" spans="2:9" x14ac:dyDescent="0.3">
      <c r="B664" t="s">
        <v>3525</v>
      </c>
      <c r="C664" t="s">
        <v>3526</v>
      </c>
      <c r="D664" t="s">
        <v>2658</v>
      </c>
      <c r="E664" s="24">
        <v>42734</v>
      </c>
      <c r="F664">
        <v>10</v>
      </c>
      <c r="G664">
        <v>1</v>
      </c>
      <c r="H664" t="s">
        <v>3527</v>
      </c>
      <c r="I664">
        <v>10</v>
      </c>
    </row>
    <row r="665" spans="2:9" x14ac:dyDescent="0.3">
      <c r="B665" t="s">
        <v>608</v>
      </c>
      <c r="C665" t="s">
        <v>1888</v>
      </c>
      <c r="D665" t="s">
        <v>2658</v>
      </c>
      <c r="E665" s="24">
        <v>36201</v>
      </c>
      <c r="F665">
        <v>1</v>
      </c>
      <c r="G665">
        <v>1</v>
      </c>
      <c r="H665" t="s">
        <v>3528</v>
      </c>
      <c r="I665">
        <v>1</v>
      </c>
    </row>
    <row r="666" spans="2:9" x14ac:dyDescent="0.3">
      <c r="B666" t="s">
        <v>609</v>
      </c>
      <c r="C666" t="s">
        <v>1889</v>
      </c>
      <c r="D666" t="s">
        <v>2658</v>
      </c>
      <c r="E666" s="24">
        <v>37879</v>
      </c>
      <c r="F666">
        <v>10</v>
      </c>
      <c r="G666">
        <v>1</v>
      </c>
      <c r="H666" t="s">
        <v>3529</v>
      </c>
      <c r="I666">
        <v>10</v>
      </c>
    </row>
    <row r="667" spans="2:9" x14ac:dyDescent="0.3">
      <c r="B667" t="s">
        <v>610</v>
      </c>
      <c r="C667" t="s">
        <v>1890</v>
      </c>
      <c r="D667" t="s">
        <v>2658</v>
      </c>
      <c r="E667" s="24">
        <v>36418</v>
      </c>
      <c r="F667">
        <v>2</v>
      </c>
      <c r="G667">
        <v>1</v>
      </c>
      <c r="H667" t="s">
        <v>3530</v>
      </c>
      <c r="I667">
        <v>2</v>
      </c>
    </row>
    <row r="668" spans="2:9" x14ac:dyDescent="0.3">
      <c r="B668" t="s">
        <v>611</v>
      </c>
      <c r="C668" t="s">
        <v>1891</v>
      </c>
      <c r="D668" t="s">
        <v>2658</v>
      </c>
      <c r="E668" s="24">
        <v>34955</v>
      </c>
      <c r="F668">
        <v>10</v>
      </c>
      <c r="G668">
        <v>1</v>
      </c>
      <c r="H668" t="s">
        <v>3531</v>
      </c>
      <c r="I668">
        <v>10</v>
      </c>
    </row>
    <row r="669" spans="2:9" x14ac:dyDescent="0.3">
      <c r="B669" t="s">
        <v>612</v>
      </c>
      <c r="C669" t="s">
        <v>1892</v>
      </c>
      <c r="D669" t="s">
        <v>2658</v>
      </c>
      <c r="E669" s="24">
        <v>36593</v>
      </c>
      <c r="F669">
        <v>2</v>
      </c>
      <c r="G669">
        <v>1</v>
      </c>
      <c r="H669" t="s">
        <v>3532</v>
      </c>
      <c r="I669">
        <v>2</v>
      </c>
    </row>
    <row r="670" spans="2:9" x14ac:dyDescent="0.3">
      <c r="B670" t="s">
        <v>3533</v>
      </c>
      <c r="C670" t="s">
        <v>3534</v>
      </c>
      <c r="D670" t="s">
        <v>2658</v>
      </c>
      <c r="E670" s="24">
        <v>39118</v>
      </c>
      <c r="F670">
        <v>10</v>
      </c>
      <c r="G670">
        <v>1</v>
      </c>
      <c r="H670" t="s">
        <v>3535</v>
      </c>
      <c r="I670">
        <v>10</v>
      </c>
    </row>
    <row r="671" spans="2:9" x14ac:dyDescent="0.3">
      <c r="B671" t="s">
        <v>69</v>
      </c>
      <c r="C671" t="s">
        <v>1893</v>
      </c>
      <c r="D671" t="s">
        <v>2658</v>
      </c>
      <c r="E671" s="24">
        <v>35998</v>
      </c>
      <c r="F671">
        <v>1</v>
      </c>
      <c r="G671">
        <v>1</v>
      </c>
      <c r="H671" t="s">
        <v>3536</v>
      </c>
      <c r="I671">
        <v>1</v>
      </c>
    </row>
    <row r="672" spans="2:9" x14ac:dyDescent="0.3">
      <c r="B672" t="s">
        <v>613</v>
      </c>
      <c r="C672" t="s">
        <v>1894</v>
      </c>
      <c r="D672" t="s">
        <v>2658</v>
      </c>
      <c r="E672" s="24">
        <v>38770</v>
      </c>
      <c r="F672">
        <v>2</v>
      </c>
      <c r="G672">
        <v>1</v>
      </c>
      <c r="H672" t="s">
        <v>3537</v>
      </c>
      <c r="I672">
        <v>2</v>
      </c>
    </row>
    <row r="673" spans="2:9" x14ac:dyDescent="0.3">
      <c r="B673" t="s">
        <v>614</v>
      </c>
      <c r="C673" t="s">
        <v>1895</v>
      </c>
      <c r="D673" t="s">
        <v>2658</v>
      </c>
      <c r="E673" s="24">
        <v>36586</v>
      </c>
      <c r="F673">
        <v>5</v>
      </c>
      <c r="G673">
        <v>1</v>
      </c>
      <c r="H673" t="s">
        <v>3538</v>
      </c>
      <c r="I673">
        <v>5</v>
      </c>
    </row>
    <row r="674" spans="2:9" x14ac:dyDescent="0.3">
      <c r="B674" t="s">
        <v>615</v>
      </c>
      <c r="C674" t="s">
        <v>1896</v>
      </c>
      <c r="D674" t="s">
        <v>2658</v>
      </c>
      <c r="E674" s="24">
        <v>37964</v>
      </c>
      <c r="F674">
        <v>10</v>
      </c>
      <c r="G674">
        <v>1</v>
      </c>
      <c r="H674" t="s">
        <v>3539</v>
      </c>
      <c r="I674">
        <v>10</v>
      </c>
    </row>
    <row r="675" spans="2:9" x14ac:dyDescent="0.3">
      <c r="B675" t="s">
        <v>616</v>
      </c>
      <c r="C675" t="s">
        <v>1897</v>
      </c>
      <c r="D675" t="s">
        <v>2658</v>
      </c>
      <c r="E675" s="24">
        <v>35760</v>
      </c>
      <c r="F675">
        <v>1</v>
      </c>
      <c r="G675">
        <v>1</v>
      </c>
      <c r="H675" t="s">
        <v>3540</v>
      </c>
      <c r="I675">
        <v>1</v>
      </c>
    </row>
    <row r="676" spans="2:9" x14ac:dyDescent="0.3">
      <c r="B676" t="s">
        <v>617</v>
      </c>
      <c r="C676" t="s">
        <v>1898</v>
      </c>
      <c r="D676" t="s">
        <v>2658</v>
      </c>
      <c r="E676" s="24">
        <v>40968</v>
      </c>
      <c r="F676">
        <v>10</v>
      </c>
      <c r="G676">
        <v>1</v>
      </c>
      <c r="H676" t="s">
        <v>3541</v>
      </c>
      <c r="I676">
        <v>10</v>
      </c>
    </row>
    <row r="677" spans="2:9" x14ac:dyDescent="0.3">
      <c r="B677" t="s">
        <v>1311</v>
      </c>
      <c r="C677" t="s">
        <v>1899</v>
      </c>
      <c r="D677" t="s">
        <v>2686</v>
      </c>
      <c r="E677" s="24">
        <v>36691</v>
      </c>
      <c r="F677">
        <v>10</v>
      </c>
      <c r="G677">
        <v>1</v>
      </c>
      <c r="H677" t="s">
        <v>3542</v>
      </c>
      <c r="I677">
        <v>10</v>
      </c>
    </row>
    <row r="678" spans="2:9" x14ac:dyDescent="0.3">
      <c r="B678" t="s">
        <v>618</v>
      </c>
      <c r="C678" t="s">
        <v>1900</v>
      </c>
      <c r="D678" t="s">
        <v>2658</v>
      </c>
      <c r="E678" s="24">
        <v>40522</v>
      </c>
      <c r="F678">
        <v>5</v>
      </c>
      <c r="G678">
        <v>1</v>
      </c>
      <c r="H678" t="s">
        <v>3543</v>
      </c>
      <c r="I678">
        <v>5</v>
      </c>
    </row>
    <row r="679" spans="2:9" x14ac:dyDescent="0.3">
      <c r="B679" t="s">
        <v>619</v>
      </c>
      <c r="C679" t="s">
        <v>1901</v>
      </c>
      <c r="D679" t="s">
        <v>2658</v>
      </c>
      <c r="E679" s="24">
        <v>35172</v>
      </c>
      <c r="F679">
        <v>5</v>
      </c>
      <c r="G679">
        <v>1</v>
      </c>
      <c r="H679" t="s">
        <v>3544</v>
      </c>
      <c r="I679">
        <v>5</v>
      </c>
    </row>
    <row r="680" spans="2:9" x14ac:dyDescent="0.3">
      <c r="B680" t="s">
        <v>620</v>
      </c>
      <c r="C680" t="s">
        <v>1902</v>
      </c>
      <c r="D680" t="s">
        <v>2658</v>
      </c>
      <c r="E680" s="24">
        <v>35067</v>
      </c>
      <c r="F680">
        <v>5</v>
      </c>
      <c r="G680">
        <v>1</v>
      </c>
      <c r="H680" t="s">
        <v>3545</v>
      </c>
      <c r="I680">
        <v>5</v>
      </c>
    </row>
    <row r="681" spans="2:9" x14ac:dyDescent="0.3">
      <c r="B681" t="s">
        <v>621</v>
      </c>
      <c r="C681" t="s">
        <v>1903</v>
      </c>
      <c r="D681" t="s">
        <v>2658</v>
      </c>
      <c r="E681" s="24">
        <v>34829</v>
      </c>
      <c r="F681">
        <v>10</v>
      </c>
      <c r="G681">
        <v>1</v>
      </c>
      <c r="H681" t="s">
        <v>3546</v>
      </c>
      <c r="I681">
        <v>10</v>
      </c>
    </row>
    <row r="682" spans="2:9" x14ac:dyDescent="0.3">
      <c r="B682" t="s">
        <v>622</v>
      </c>
      <c r="C682" t="s">
        <v>1904</v>
      </c>
      <c r="D682" t="s">
        <v>2658</v>
      </c>
      <c r="E682" s="24">
        <v>34745</v>
      </c>
      <c r="F682">
        <v>5</v>
      </c>
      <c r="G682">
        <v>1</v>
      </c>
      <c r="H682" t="s">
        <v>3547</v>
      </c>
      <c r="I682">
        <v>5</v>
      </c>
    </row>
    <row r="683" spans="2:9" x14ac:dyDescent="0.3">
      <c r="B683" t="s">
        <v>623</v>
      </c>
      <c r="C683" t="s">
        <v>1905</v>
      </c>
      <c r="D683" t="s">
        <v>2658</v>
      </c>
      <c r="E683" s="24">
        <v>37740</v>
      </c>
      <c r="F683">
        <v>2</v>
      </c>
      <c r="G683">
        <v>1</v>
      </c>
      <c r="H683" t="s">
        <v>3548</v>
      </c>
      <c r="I683">
        <v>2</v>
      </c>
    </row>
    <row r="684" spans="2:9" x14ac:dyDescent="0.3">
      <c r="B684" t="s">
        <v>624</v>
      </c>
      <c r="C684" t="s">
        <v>1906</v>
      </c>
      <c r="D684" t="s">
        <v>2658</v>
      </c>
      <c r="E684" s="24">
        <v>38042</v>
      </c>
      <c r="F684">
        <v>10</v>
      </c>
      <c r="G684">
        <v>1</v>
      </c>
      <c r="H684" t="s">
        <v>3549</v>
      </c>
      <c r="I684">
        <v>10</v>
      </c>
    </row>
    <row r="685" spans="2:9" x14ac:dyDescent="0.3">
      <c r="B685" t="s">
        <v>625</v>
      </c>
      <c r="C685" t="s">
        <v>1907</v>
      </c>
      <c r="D685" t="s">
        <v>2658</v>
      </c>
      <c r="E685" s="24">
        <v>38338</v>
      </c>
      <c r="F685">
        <v>5</v>
      </c>
      <c r="G685">
        <v>1</v>
      </c>
      <c r="H685" t="s">
        <v>3550</v>
      </c>
      <c r="I685">
        <v>5</v>
      </c>
    </row>
    <row r="686" spans="2:9" x14ac:dyDescent="0.3">
      <c r="B686" t="s">
        <v>3551</v>
      </c>
      <c r="C686" t="s">
        <v>3552</v>
      </c>
      <c r="D686" t="s">
        <v>2658</v>
      </c>
      <c r="E686" s="24">
        <v>36528</v>
      </c>
      <c r="F686">
        <v>10</v>
      </c>
      <c r="G686">
        <v>1</v>
      </c>
      <c r="H686" t="s">
        <v>3553</v>
      </c>
      <c r="I686">
        <v>10</v>
      </c>
    </row>
    <row r="687" spans="2:9" x14ac:dyDescent="0.3">
      <c r="B687" t="s">
        <v>626</v>
      </c>
      <c r="C687" t="s">
        <v>1908</v>
      </c>
      <c r="D687" t="s">
        <v>2686</v>
      </c>
      <c r="E687" s="24">
        <v>36775</v>
      </c>
      <c r="F687">
        <v>2</v>
      </c>
      <c r="G687">
        <v>1</v>
      </c>
      <c r="H687" t="s">
        <v>3554</v>
      </c>
      <c r="I687">
        <v>2</v>
      </c>
    </row>
    <row r="688" spans="2:9" x14ac:dyDescent="0.3">
      <c r="B688" t="s">
        <v>627</v>
      </c>
      <c r="C688" t="s">
        <v>1909</v>
      </c>
      <c r="D688" t="s">
        <v>2658</v>
      </c>
      <c r="E688" s="24">
        <v>38425</v>
      </c>
      <c r="F688">
        <v>10</v>
      </c>
      <c r="G688">
        <v>1</v>
      </c>
      <c r="H688" t="s">
        <v>3555</v>
      </c>
      <c r="I688">
        <v>10</v>
      </c>
    </row>
    <row r="689" spans="2:9" x14ac:dyDescent="0.3">
      <c r="B689" t="s">
        <v>628</v>
      </c>
      <c r="C689" t="s">
        <v>1910</v>
      </c>
      <c r="D689" t="s">
        <v>2686</v>
      </c>
      <c r="E689" s="24">
        <v>39011</v>
      </c>
      <c r="F689">
        <v>10</v>
      </c>
      <c r="G689">
        <v>1</v>
      </c>
      <c r="H689" t="s">
        <v>3556</v>
      </c>
      <c r="I689">
        <v>10</v>
      </c>
    </row>
    <row r="690" spans="2:9" x14ac:dyDescent="0.3">
      <c r="B690" t="s">
        <v>1312</v>
      </c>
      <c r="C690" t="s">
        <v>1911</v>
      </c>
      <c r="D690" t="s">
        <v>2686</v>
      </c>
      <c r="E690" s="24">
        <v>39778</v>
      </c>
      <c r="F690">
        <v>10</v>
      </c>
      <c r="G690">
        <v>1</v>
      </c>
      <c r="H690" t="s">
        <v>3557</v>
      </c>
      <c r="I690">
        <v>10</v>
      </c>
    </row>
    <row r="691" spans="2:9" x14ac:dyDescent="0.3">
      <c r="B691" t="s">
        <v>629</v>
      </c>
      <c r="C691" t="s">
        <v>1912</v>
      </c>
      <c r="D691" t="s">
        <v>2686</v>
      </c>
      <c r="E691" s="24">
        <v>38449</v>
      </c>
      <c r="F691">
        <v>10</v>
      </c>
      <c r="G691">
        <v>1</v>
      </c>
      <c r="H691" t="s">
        <v>3558</v>
      </c>
      <c r="I691">
        <v>10</v>
      </c>
    </row>
    <row r="692" spans="2:9" x14ac:dyDescent="0.3">
      <c r="B692" t="s">
        <v>630</v>
      </c>
      <c r="C692" t="s">
        <v>1913</v>
      </c>
      <c r="D692" t="s">
        <v>2658</v>
      </c>
      <c r="E692" s="24">
        <v>37277</v>
      </c>
      <c r="F692">
        <v>10</v>
      </c>
      <c r="G692">
        <v>1</v>
      </c>
      <c r="H692" t="s">
        <v>3559</v>
      </c>
      <c r="I692">
        <v>10</v>
      </c>
    </row>
    <row r="693" spans="2:9" x14ac:dyDescent="0.3">
      <c r="B693" t="s">
        <v>631</v>
      </c>
      <c r="C693" t="s">
        <v>1914</v>
      </c>
      <c r="D693" t="s">
        <v>2658</v>
      </c>
      <c r="E693" s="24">
        <v>37740</v>
      </c>
      <c r="F693">
        <v>2</v>
      </c>
      <c r="G693">
        <v>1</v>
      </c>
      <c r="H693" t="s">
        <v>3560</v>
      </c>
      <c r="I693">
        <v>2</v>
      </c>
    </row>
    <row r="694" spans="2:9" x14ac:dyDescent="0.3">
      <c r="B694" t="s">
        <v>632</v>
      </c>
      <c r="C694" t="s">
        <v>1915</v>
      </c>
      <c r="D694" t="s">
        <v>2658</v>
      </c>
      <c r="E694" s="24">
        <v>36523</v>
      </c>
      <c r="F694">
        <v>1</v>
      </c>
      <c r="G694">
        <v>1</v>
      </c>
      <c r="H694" t="s">
        <v>3561</v>
      </c>
      <c r="I694">
        <v>1</v>
      </c>
    </row>
    <row r="695" spans="2:9" x14ac:dyDescent="0.3">
      <c r="B695" t="s">
        <v>633</v>
      </c>
      <c r="C695" t="s">
        <v>1916</v>
      </c>
      <c r="D695" t="s">
        <v>2658</v>
      </c>
      <c r="E695" s="24">
        <v>40078</v>
      </c>
      <c r="F695">
        <v>10</v>
      </c>
      <c r="G695">
        <v>1</v>
      </c>
      <c r="H695" t="s">
        <v>3562</v>
      </c>
      <c r="I695">
        <v>10</v>
      </c>
    </row>
    <row r="696" spans="2:9" x14ac:dyDescent="0.3">
      <c r="B696" t="s">
        <v>634</v>
      </c>
      <c r="C696" t="s">
        <v>1917</v>
      </c>
      <c r="D696" t="s">
        <v>2658</v>
      </c>
      <c r="E696" s="24">
        <v>39073</v>
      </c>
      <c r="F696">
        <v>5</v>
      </c>
      <c r="G696">
        <v>1</v>
      </c>
      <c r="H696" t="s">
        <v>3563</v>
      </c>
      <c r="I696">
        <v>5</v>
      </c>
    </row>
    <row r="697" spans="2:9" x14ac:dyDescent="0.3">
      <c r="B697" t="s">
        <v>635</v>
      </c>
      <c r="C697" t="s">
        <v>1918</v>
      </c>
      <c r="D697" t="s">
        <v>2658</v>
      </c>
      <c r="E697" s="24">
        <v>40507</v>
      </c>
      <c r="F697">
        <v>10</v>
      </c>
      <c r="G697">
        <v>1</v>
      </c>
      <c r="H697" t="s">
        <v>3564</v>
      </c>
      <c r="I697">
        <v>10</v>
      </c>
    </row>
    <row r="698" spans="2:9" x14ac:dyDescent="0.3">
      <c r="B698" t="s">
        <v>3565</v>
      </c>
      <c r="C698" t="s">
        <v>1919</v>
      </c>
      <c r="D698" t="s">
        <v>2658</v>
      </c>
      <c r="E698" s="24">
        <v>40877</v>
      </c>
      <c r="F698">
        <v>2</v>
      </c>
      <c r="G698">
        <v>1</v>
      </c>
      <c r="H698" t="s">
        <v>3566</v>
      </c>
      <c r="I698">
        <v>2</v>
      </c>
    </row>
    <row r="699" spans="2:9" x14ac:dyDescent="0.3">
      <c r="B699" t="s">
        <v>67</v>
      </c>
      <c r="C699" t="s">
        <v>1919</v>
      </c>
      <c r="D699" t="s">
        <v>2658</v>
      </c>
      <c r="E699" s="24">
        <v>37116</v>
      </c>
      <c r="F699">
        <v>2</v>
      </c>
      <c r="G699">
        <v>1</v>
      </c>
      <c r="H699" t="s">
        <v>3567</v>
      </c>
      <c r="I699">
        <v>2</v>
      </c>
    </row>
    <row r="700" spans="2:9" x14ac:dyDescent="0.3">
      <c r="B700" t="s">
        <v>3568</v>
      </c>
      <c r="C700" t="s">
        <v>3569</v>
      </c>
      <c r="D700" t="s">
        <v>2686</v>
      </c>
      <c r="E700" s="24">
        <v>42793</v>
      </c>
      <c r="F700">
        <v>2</v>
      </c>
      <c r="G700">
        <v>1</v>
      </c>
      <c r="H700" t="s">
        <v>3570</v>
      </c>
      <c r="I700">
        <v>2</v>
      </c>
    </row>
    <row r="701" spans="2:9" x14ac:dyDescent="0.3">
      <c r="B701" t="s">
        <v>636</v>
      </c>
      <c r="C701" t="s">
        <v>1920</v>
      </c>
      <c r="D701" t="s">
        <v>2658</v>
      </c>
      <c r="E701" s="24">
        <v>38790</v>
      </c>
      <c r="F701">
        <v>10</v>
      </c>
      <c r="G701">
        <v>1</v>
      </c>
      <c r="H701" t="s">
        <v>3571</v>
      </c>
      <c r="I701">
        <v>10</v>
      </c>
    </row>
    <row r="702" spans="2:9" x14ac:dyDescent="0.3">
      <c r="B702" t="s">
        <v>637</v>
      </c>
      <c r="C702" t="s">
        <v>1921</v>
      </c>
      <c r="D702" t="s">
        <v>2658</v>
      </c>
      <c r="E702" s="24">
        <v>39490</v>
      </c>
      <c r="F702">
        <v>5</v>
      </c>
      <c r="G702">
        <v>1</v>
      </c>
      <c r="H702" t="s">
        <v>3572</v>
      </c>
      <c r="I702">
        <v>5</v>
      </c>
    </row>
    <row r="703" spans="2:9" x14ac:dyDescent="0.3">
      <c r="B703" t="s">
        <v>638</v>
      </c>
      <c r="C703" t="s">
        <v>1922</v>
      </c>
      <c r="D703" t="s">
        <v>2658</v>
      </c>
      <c r="E703" s="24">
        <v>38887</v>
      </c>
      <c r="F703">
        <v>5</v>
      </c>
      <c r="G703">
        <v>1</v>
      </c>
      <c r="H703" t="s">
        <v>3573</v>
      </c>
      <c r="I703">
        <v>5</v>
      </c>
    </row>
    <row r="704" spans="2:9" x14ac:dyDescent="0.3">
      <c r="B704" t="s">
        <v>639</v>
      </c>
      <c r="C704" t="s">
        <v>1923</v>
      </c>
      <c r="D704" t="s">
        <v>2658</v>
      </c>
      <c r="E704" s="24">
        <v>38519</v>
      </c>
      <c r="F704">
        <v>10</v>
      </c>
      <c r="G704">
        <v>1</v>
      </c>
      <c r="H704" t="s">
        <v>3574</v>
      </c>
      <c r="I704">
        <v>10</v>
      </c>
    </row>
    <row r="705" spans="2:9" x14ac:dyDescent="0.3">
      <c r="B705" t="s">
        <v>640</v>
      </c>
      <c r="C705" t="s">
        <v>1924</v>
      </c>
      <c r="D705" t="s">
        <v>2658</v>
      </c>
      <c r="E705" s="24">
        <v>39160</v>
      </c>
      <c r="F705">
        <v>2</v>
      </c>
      <c r="G705">
        <v>1</v>
      </c>
      <c r="H705" t="s">
        <v>3575</v>
      </c>
      <c r="I705">
        <v>2</v>
      </c>
    </row>
    <row r="706" spans="2:9" x14ac:dyDescent="0.3">
      <c r="B706" t="s">
        <v>3576</v>
      </c>
      <c r="C706" t="s">
        <v>3577</v>
      </c>
      <c r="D706" t="s">
        <v>2658</v>
      </c>
      <c r="E706" s="24">
        <v>42079</v>
      </c>
      <c r="F706">
        <v>10</v>
      </c>
      <c r="G706">
        <v>1</v>
      </c>
      <c r="H706" t="s">
        <v>3578</v>
      </c>
      <c r="I706">
        <v>10</v>
      </c>
    </row>
    <row r="707" spans="2:9" x14ac:dyDescent="0.3">
      <c r="B707" t="s">
        <v>641</v>
      </c>
      <c r="C707" t="s">
        <v>1925</v>
      </c>
      <c r="D707" t="s">
        <v>2658</v>
      </c>
      <c r="E707" s="24">
        <v>39412</v>
      </c>
      <c r="F707">
        <v>10</v>
      </c>
      <c r="G707">
        <v>1</v>
      </c>
      <c r="H707" t="s">
        <v>3579</v>
      </c>
      <c r="I707">
        <v>10</v>
      </c>
    </row>
    <row r="708" spans="2:9" x14ac:dyDescent="0.3">
      <c r="B708" t="s">
        <v>642</v>
      </c>
      <c r="C708" t="s">
        <v>1926</v>
      </c>
      <c r="D708" t="s">
        <v>2658</v>
      </c>
      <c r="E708" s="24">
        <v>39000</v>
      </c>
      <c r="F708">
        <v>1</v>
      </c>
      <c r="G708">
        <v>1</v>
      </c>
      <c r="H708" t="s">
        <v>3580</v>
      </c>
      <c r="I708">
        <v>1</v>
      </c>
    </row>
    <row r="709" spans="2:9" x14ac:dyDescent="0.3">
      <c r="B709" t="s">
        <v>643</v>
      </c>
      <c r="C709" t="s">
        <v>1927</v>
      </c>
      <c r="D709" t="s">
        <v>2658</v>
      </c>
      <c r="E709" s="24">
        <v>39174</v>
      </c>
      <c r="F709">
        <v>1</v>
      </c>
      <c r="G709">
        <v>1</v>
      </c>
      <c r="H709" t="s">
        <v>3581</v>
      </c>
      <c r="I709">
        <v>1</v>
      </c>
    </row>
    <row r="710" spans="2:9" x14ac:dyDescent="0.3">
      <c r="B710" t="s">
        <v>644</v>
      </c>
      <c r="C710" t="s">
        <v>1928</v>
      </c>
      <c r="D710" t="s">
        <v>2658</v>
      </c>
      <c r="E710" s="24">
        <v>39729</v>
      </c>
      <c r="F710">
        <v>10</v>
      </c>
      <c r="G710">
        <v>1</v>
      </c>
      <c r="H710" t="s">
        <v>3582</v>
      </c>
      <c r="I710">
        <v>10</v>
      </c>
    </row>
    <row r="711" spans="2:9" x14ac:dyDescent="0.3">
      <c r="B711" t="s">
        <v>68</v>
      </c>
      <c r="C711" t="s">
        <v>1929</v>
      </c>
      <c r="D711" t="s">
        <v>2658</v>
      </c>
      <c r="E711" s="24">
        <v>38152</v>
      </c>
      <c r="F711">
        <v>2</v>
      </c>
      <c r="G711">
        <v>1</v>
      </c>
      <c r="H711" t="s">
        <v>3583</v>
      </c>
      <c r="I711">
        <v>2</v>
      </c>
    </row>
    <row r="712" spans="2:9" x14ac:dyDescent="0.3">
      <c r="B712" t="s">
        <v>645</v>
      </c>
      <c r="C712" t="s">
        <v>1930</v>
      </c>
      <c r="D712" t="s">
        <v>2658</v>
      </c>
      <c r="E712" s="24">
        <v>40319</v>
      </c>
      <c r="F712">
        <v>10</v>
      </c>
      <c r="G712">
        <v>1</v>
      </c>
      <c r="H712" t="s">
        <v>3584</v>
      </c>
      <c r="I712">
        <v>10</v>
      </c>
    </row>
    <row r="713" spans="2:9" x14ac:dyDescent="0.3">
      <c r="B713" t="s">
        <v>646</v>
      </c>
      <c r="C713" t="s">
        <v>1931</v>
      </c>
      <c r="D713" t="s">
        <v>2658</v>
      </c>
      <c r="E713" s="24">
        <v>41589</v>
      </c>
      <c r="F713">
        <v>10</v>
      </c>
      <c r="G713">
        <v>1</v>
      </c>
      <c r="H713" t="s">
        <v>3585</v>
      </c>
      <c r="I713">
        <v>10</v>
      </c>
    </row>
    <row r="714" spans="2:9" x14ac:dyDescent="0.3">
      <c r="B714" t="s">
        <v>647</v>
      </c>
      <c r="C714" t="s">
        <v>1932</v>
      </c>
      <c r="D714" t="s">
        <v>2658</v>
      </c>
      <c r="E714" s="24">
        <v>38460</v>
      </c>
      <c r="F714">
        <v>10</v>
      </c>
      <c r="G714">
        <v>1</v>
      </c>
      <c r="H714" t="s">
        <v>3586</v>
      </c>
      <c r="I714">
        <v>10</v>
      </c>
    </row>
    <row r="715" spans="2:9" x14ac:dyDescent="0.3">
      <c r="B715" t="s">
        <v>648</v>
      </c>
      <c r="C715" t="s">
        <v>1933</v>
      </c>
      <c r="D715" t="s">
        <v>2658</v>
      </c>
      <c r="E715" s="24">
        <v>37942</v>
      </c>
      <c r="F715">
        <v>2</v>
      </c>
      <c r="G715">
        <v>1</v>
      </c>
      <c r="H715" t="s">
        <v>3587</v>
      </c>
      <c r="I715">
        <v>2</v>
      </c>
    </row>
    <row r="716" spans="2:9" x14ac:dyDescent="0.3">
      <c r="B716" t="s">
        <v>3588</v>
      </c>
      <c r="C716" t="s">
        <v>3589</v>
      </c>
      <c r="D716" t="s">
        <v>2658</v>
      </c>
      <c r="E716" s="24">
        <v>42397</v>
      </c>
      <c r="F716">
        <v>2</v>
      </c>
      <c r="G716">
        <v>1</v>
      </c>
      <c r="H716" t="s">
        <v>3590</v>
      </c>
      <c r="I716">
        <v>2</v>
      </c>
    </row>
    <row r="717" spans="2:9" x14ac:dyDescent="0.3">
      <c r="B717" t="s">
        <v>66</v>
      </c>
      <c r="C717" t="s">
        <v>1934</v>
      </c>
      <c r="D717" t="s">
        <v>2658</v>
      </c>
      <c r="E717" s="24">
        <v>40182</v>
      </c>
      <c r="F717">
        <v>10</v>
      </c>
      <c r="G717">
        <v>1</v>
      </c>
      <c r="H717" t="s">
        <v>3591</v>
      </c>
      <c r="I717">
        <v>10</v>
      </c>
    </row>
    <row r="718" spans="2:9" x14ac:dyDescent="0.3">
      <c r="B718" t="s">
        <v>649</v>
      </c>
      <c r="C718" t="s">
        <v>1935</v>
      </c>
      <c r="D718" t="s">
        <v>2658</v>
      </c>
      <c r="E718" s="24">
        <v>38524</v>
      </c>
      <c r="F718">
        <v>10</v>
      </c>
      <c r="G718">
        <v>1</v>
      </c>
      <c r="H718" t="s">
        <v>3592</v>
      </c>
      <c r="I718">
        <v>10</v>
      </c>
    </row>
    <row r="719" spans="2:9" x14ac:dyDescent="0.3">
      <c r="B719" t="s">
        <v>650</v>
      </c>
      <c r="C719" t="s">
        <v>1936</v>
      </c>
      <c r="D719" t="s">
        <v>2658</v>
      </c>
      <c r="E719" s="24">
        <v>38434</v>
      </c>
      <c r="F719">
        <v>1</v>
      </c>
      <c r="G719">
        <v>1</v>
      </c>
      <c r="H719" t="s">
        <v>3593</v>
      </c>
      <c r="I719">
        <v>1</v>
      </c>
    </row>
    <row r="720" spans="2:9" x14ac:dyDescent="0.3">
      <c r="B720" t="s">
        <v>651</v>
      </c>
      <c r="C720" t="s">
        <v>1937</v>
      </c>
      <c r="D720" t="s">
        <v>2658</v>
      </c>
      <c r="E720" s="24">
        <v>37788</v>
      </c>
      <c r="F720">
        <v>1</v>
      </c>
      <c r="G720">
        <v>1</v>
      </c>
      <c r="H720" t="s">
        <v>3594</v>
      </c>
      <c r="I720">
        <v>1</v>
      </c>
    </row>
    <row r="721" spans="2:9" x14ac:dyDescent="0.3">
      <c r="B721" t="s">
        <v>70</v>
      </c>
      <c r="C721" t="s">
        <v>1938</v>
      </c>
      <c r="D721" t="s">
        <v>2658</v>
      </c>
      <c r="E721" s="24">
        <v>40217</v>
      </c>
      <c r="F721">
        <v>10</v>
      </c>
      <c r="G721">
        <v>1</v>
      </c>
      <c r="H721" t="s">
        <v>3595</v>
      </c>
      <c r="I721">
        <v>10</v>
      </c>
    </row>
    <row r="722" spans="2:9" x14ac:dyDescent="0.3">
      <c r="B722" t="s">
        <v>652</v>
      </c>
      <c r="C722" t="s">
        <v>1939</v>
      </c>
      <c r="D722" t="s">
        <v>2658</v>
      </c>
      <c r="E722" s="24">
        <v>40588</v>
      </c>
      <c r="F722">
        <v>10</v>
      </c>
      <c r="G722">
        <v>1</v>
      </c>
      <c r="H722" t="s">
        <v>3596</v>
      </c>
      <c r="I722">
        <v>10</v>
      </c>
    </row>
    <row r="723" spans="2:9" x14ac:dyDescent="0.3">
      <c r="B723" t="s">
        <v>71</v>
      </c>
      <c r="C723" t="s">
        <v>1940</v>
      </c>
      <c r="D723" t="s">
        <v>2658</v>
      </c>
      <c r="E723" s="24">
        <v>41430</v>
      </c>
      <c r="F723">
        <v>10</v>
      </c>
      <c r="G723">
        <v>1</v>
      </c>
      <c r="H723" t="s">
        <v>3597</v>
      </c>
      <c r="I723">
        <v>10</v>
      </c>
    </row>
    <row r="724" spans="2:9" x14ac:dyDescent="0.3">
      <c r="B724" t="s">
        <v>653</v>
      </c>
      <c r="C724" t="s">
        <v>1941</v>
      </c>
      <c r="D724" t="s">
        <v>2658</v>
      </c>
      <c r="E724" s="24">
        <v>40711</v>
      </c>
      <c r="F724">
        <v>1</v>
      </c>
      <c r="G724">
        <v>1</v>
      </c>
      <c r="H724" t="s">
        <v>3598</v>
      </c>
      <c r="I724">
        <v>1</v>
      </c>
    </row>
    <row r="725" spans="2:9" x14ac:dyDescent="0.3">
      <c r="B725" t="s">
        <v>654</v>
      </c>
      <c r="C725" t="s">
        <v>1942</v>
      </c>
      <c r="D725" t="s">
        <v>2658</v>
      </c>
      <c r="E725" s="24">
        <v>39435</v>
      </c>
      <c r="F725">
        <v>1</v>
      </c>
      <c r="G725">
        <v>1</v>
      </c>
      <c r="H725" t="s">
        <v>3599</v>
      </c>
      <c r="I725">
        <v>1</v>
      </c>
    </row>
    <row r="726" spans="2:9" x14ac:dyDescent="0.3">
      <c r="B726" t="s">
        <v>655</v>
      </c>
      <c r="C726" t="s">
        <v>1943</v>
      </c>
      <c r="D726" t="s">
        <v>2658</v>
      </c>
      <c r="E726" s="24">
        <v>34899</v>
      </c>
      <c r="F726">
        <v>2</v>
      </c>
      <c r="G726">
        <v>1</v>
      </c>
      <c r="H726" t="s">
        <v>3600</v>
      </c>
      <c r="I726">
        <v>2</v>
      </c>
    </row>
    <row r="727" spans="2:9" x14ac:dyDescent="0.3">
      <c r="B727" t="s">
        <v>656</v>
      </c>
      <c r="C727" t="s">
        <v>1944</v>
      </c>
      <c r="D727" t="s">
        <v>2658</v>
      </c>
      <c r="E727" s="24">
        <v>34948</v>
      </c>
      <c r="F727">
        <v>5</v>
      </c>
      <c r="G727">
        <v>1</v>
      </c>
      <c r="H727" t="s">
        <v>3601</v>
      </c>
      <c r="I727">
        <v>5</v>
      </c>
    </row>
    <row r="728" spans="2:9" x14ac:dyDescent="0.3">
      <c r="B728" t="s">
        <v>657</v>
      </c>
      <c r="C728" t="s">
        <v>1945</v>
      </c>
      <c r="D728" t="s">
        <v>2658</v>
      </c>
      <c r="E728" s="24">
        <v>38139</v>
      </c>
      <c r="F728">
        <v>1</v>
      </c>
      <c r="G728">
        <v>1</v>
      </c>
      <c r="H728" t="s">
        <v>3602</v>
      </c>
      <c r="I728">
        <v>1</v>
      </c>
    </row>
    <row r="729" spans="2:9" x14ac:dyDescent="0.3">
      <c r="B729" t="s">
        <v>658</v>
      </c>
      <c r="C729" t="s">
        <v>1946</v>
      </c>
      <c r="D729" t="s">
        <v>2658</v>
      </c>
      <c r="E729" s="24">
        <v>35046</v>
      </c>
      <c r="F729">
        <v>10</v>
      </c>
      <c r="G729">
        <v>1</v>
      </c>
      <c r="H729" t="s">
        <v>3603</v>
      </c>
      <c r="I729">
        <v>10</v>
      </c>
    </row>
    <row r="730" spans="2:9" x14ac:dyDescent="0.3">
      <c r="B730" t="s">
        <v>659</v>
      </c>
      <c r="C730" t="s">
        <v>1947</v>
      </c>
      <c r="D730" t="s">
        <v>2658</v>
      </c>
      <c r="E730" s="24">
        <v>36875</v>
      </c>
      <c r="F730">
        <v>2</v>
      </c>
      <c r="G730">
        <v>1</v>
      </c>
      <c r="H730" t="s">
        <v>3604</v>
      </c>
      <c r="I730">
        <v>2</v>
      </c>
    </row>
    <row r="731" spans="2:9" x14ac:dyDescent="0.3">
      <c r="B731" t="s">
        <v>3605</v>
      </c>
      <c r="C731" t="s">
        <v>3606</v>
      </c>
      <c r="D731" t="s">
        <v>2686</v>
      </c>
      <c r="E731" s="24">
        <v>42779</v>
      </c>
      <c r="F731">
        <v>10</v>
      </c>
      <c r="G731">
        <v>1</v>
      </c>
      <c r="H731" t="s">
        <v>3607</v>
      </c>
      <c r="I731">
        <v>10</v>
      </c>
    </row>
    <row r="732" spans="2:9" x14ac:dyDescent="0.3">
      <c r="B732" t="s">
        <v>660</v>
      </c>
      <c r="C732" t="s">
        <v>1948</v>
      </c>
      <c r="D732" t="s">
        <v>2686</v>
      </c>
      <c r="E732" s="24">
        <v>39436</v>
      </c>
      <c r="F732">
        <v>10</v>
      </c>
      <c r="G732">
        <v>1</v>
      </c>
      <c r="H732" t="s">
        <v>3608</v>
      </c>
      <c r="I732">
        <v>10</v>
      </c>
    </row>
    <row r="733" spans="2:9" x14ac:dyDescent="0.3">
      <c r="B733" t="s">
        <v>661</v>
      </c>
      <c r="C733" t="s">
        <v>1949</v>
      </c>
      <c r="D733" t="s">
        <v>2658</v>
      </c>
      <c r="E733" s="24">
        <v>35214</v>
      </c>
      <c r="F733">
        <v>10</v>
      </c>
      <c r="G733">
        <v>1</v>
      </c>
      <c r="H733" t="s">
        <v>3609</v>
      </c>
      <c r="I733">
        <v>10</v>
      </c>
    </row>
    <row r="734" spans="2:9" x14ac:dyDescent="0.3">
      <c r="B734" t="s">
        <v>3610</v>
      </c>
      <c r="C734" t="s">
        <v>3611</v>
      </c>
      <c r="D734" t="s">
        <v>2658</v>
      </c>
      <c r="E734" s="24">
        <v>38846</v>
      </c>
      <c r="F734">
        <v>10</v>
      </c>
      <c r="G734">
        <v>1</v>
      </c>
      <c r="H734" t="s">
        <v>3612</v>
      </c>
      <c r="I734">
        <v>10</v>
      </c>
    </row>
    <row r="735" spans="2:9" x14ac:dyDescent="0.3">
      <c r="B735" t="s">
        <v>1313</v>
      </c>
      <c r="C735" t="s">
        <v>1950</v>
      </c>
      <c r="D735" t="s">
        <v>2658</v>
      </c>
      <c r="E735" s="24">
        <v>40891</v>
      </c>
      <c r="F735">
        <v>1</v>
      </c>
      <c r="G735">
        <v>1</v>
      </c>
      <c r="H735" t="s">
        <v>3613</v>
      </c>
      <c r="I735">
        <v>1</v>
      </c>
    </row>
    <row r="736" spans="2:9" x14ac:dyDescent="0.3">
      <c r="B736" t="s">
        <v>662</v>
      </c>
      <c r="C736" t="s">
        <v>1951</v>
      </c>
      <c r="D736" t="s">
        <v>2658</v>
      </c>
      <c r="E736" s="24">
        <v>34738</v>
      </c>
      <c r="F736">
        <v>5</v>
      </c>
      <c r="G736">
        <v>1</v>
      </c>
      <c r="H736" t="s">
        <v>3614</v>
      </c>
      <c r="I736">
        <v>5</v>
      </c>
    </row>
    <row r="737" spans="2:9" x14ac:dyDescent="0.3">
      <c r="B737" t="s">
        <v>72</v>
      </c>
      <c r="C737" t="s">
        <v>1952</v>
      </c>
      <c r="D737" t="s">
        <v>2658</v>
      </c>
      <c r="E737" s="24">
        <v>37879</v>
      </c>
      <c r="F737">
        <v>1</v>
      </c>
      <c r="G737">
        <v>1</v>
      </c>
      <c r="H737" t="s">
        <v>3615</v>
      </c>
      <c r="I737">
        <v>1</v>
      </c>
    </row>
    <row r="738" spans="2:9" x14ac:dyDescent="0.3">
      <c r="B738" t="s">
        <v>663</v>
      </c>
      <c r="C738" t="s">
        <v>1953</v>
      </c>
      <c r="D738" t="s">
        <v>2658</v>
      </c>
      <c r="E738" s="24">
        <v>40722</v>
      </c>
      <c r="F738">
        <v>10</v>
      </c>
      <c r="G738">
        <v>1</v>
      </c>
      <c r="H738" t="s">
        <v>3616</v>
      </c>
      <c r="I738">
        <v>10</v>
      </c>
    </row>
    <row r="739" spans="2:9" x14ac:dyDescent="0.3">
      <c r="B739" t="s">
        <v>74</v>
      </c>
      <c r="C739" t="s">
        <v>1954</v>
      </c>
      <c r="D739" t="s">
        <v>2658</v>
      </c>
      <c r="E739" s="24">
        <v>36733</v>
      </c>
      <c r="F739">
        <v>2</v>
      </c>
      <c r="G739">
        <v>1</v>
      </c>
      <c r="H739" t="s">
        <v>3617</v>
      </c>
      <c r="I739">
        <v>2</v>
      </c>
    </row>
    <row r="740" spans="2:9" x14ac:dyDescent="0.3">
      <c r="B740" t="s">
        <v>664</v>
      </c>
      <c r="C740" t="s">
        <v>1955</v>
      </c>
      <c r="D740" t="s">
        <v>2658</v>
      </c>
      <c r="E740" s="24">
        <v>39430</v>
      </c>
      <c r="F740">
        <v>10</v>
      </c>
      <c r="G740">
        <v>1</v>
      </c>
      <c r="H740" t="s">
        <v>3618</v>
      </c>
      <c r="I740">
        <v>10</v>
      </c>
    </row>
    <row r="741" spans="2:9" x14ac:dyDescent="0.3">
      <c r="B741" t="s">
        <v>665</v>
      </c>
      <c r="C741" t="s">
        <v>1956</v>
      </c>
      <c r="D741" t="s">
        <v>2658</v>
      </c>
      <c r="E741" s="24">
        <v>39476</v>
      </c>
      <c r="F741">
        <v>10</v>
      </c>
      <c r="G741">
        <v>1</v>
      </c>
      <c r="H741" t="s">
        <v>3619</v>
      </c>
      <c r="I741">
        <v>10</v>
      </c>
    </row>
    <row r="742" spans="2:9" x14ac:dyDescent="0.3">
      <c r="B742" t="s">
        <v>3620</v>
      </c>
      <c r="C742" t="s">
        <v>3621</v>
      </c>
      <c r="D742" t="s">
        <v>2658</v>
      </c>
      <c r="E742" s="24">
        <v>42230</v>
      </c>
      <c r="F742">
        <v>10</v>
      </c>
      <c r="G742">
        <v>1</v>
      </c>
      <c r="H742" t="s">
        <v>3622</v>
      </c>
      <c r="I742">
        <v>10</v>
      </c>
    </row>
    <row r="743" spans="2:9" x14ac:dyDescent="0.3">
      <c r="B743" t="s">
        <v>666</v>
      </c>
      <c r="C743" t="s">
        <v>1957</v>
      </c>
      <c r="D743" t="s">
        <v>2658</v>
      </c>
      <c r="E743" s="24">
        <v>35529</v>
      </c>
      <c r="F743">
        <v>1</v>
      </c>
      <c r="G743">
        <v>1</v>
      </c>
      <c r="H743" t="s">
        <v>3623</v>
      </c>
      <c r="I743">
        <v>1</v>
      </c>
    </row>
    <row r="744" spans="2:9" x14ac:dyDescent="0.3">
      <c r="B744" t="s">
        <v>667</v>
      </c>
      <c r="C744" t="s">
        <v>1958</v>
      </c>
      <c r="D744" t="s">
        <v>2658</v>
      </c>
      <c r="E744" s="24">
        <v>35592</v>
      </c>
      <c r="F744">
        <v>1</v>
      </c>
      <c r="G744">
        <v>1</v>
      </c>
      <c r="H744" t="s">
        <v>3624</v>
      </c>
      <c r="I744">
        <v>1</v>
      </c>
    </row>
    <row r="745" spans="2:9" x14ac:dyDescent="0.3">
      <c r="B745" t="s">
        <v>3625</v>
      </c>
      <c r="C745" t="s">
        <v>3626</v>
      </c>
      <c r="D745" t="s">
        <v>2658</v>
      </c>
      <c r="E745" s="24">
        <v>42452</v>
      </c>
      <c r="F745">
        <v>10</v>
      </c>
      <c r="G745">
        <v>1</v>
      </c>
      <c r="H745" t="s">
        <v>3627</v>
      </c>
      <c r="I745">
        <v>10</v>
      </c>
    </row>
    <row r="746" spans="2:9" x14ac:dyDescent="0.3">
      <c r="B746" t="s">
        <v>668</v>
      </c>
      <c r="C746" t="s">
        <v>1959</v>
      </c>
      <c r="D746" t="s">
        <v>2658</v>
      </c>
      <c r="E746" s="24">
        <v>38786</v>
      </c>
      <c r="F746">
        <v>2</v>
      </c>
      <c r="G746">
        <v>1</v>
      </c>
      <c r="H746" t="s">
        <v>3628</v>
      </c>
      <c r="I746">
        <v>2</v>
      </c>
    </row>
    <row r="747" spans="2:9" x14ac:dyDescent="0.3">
      <c r="B747" t="s">
        <v>669</v>
      </c>
      <c r="C747" t="s">
        <v>1960</v>
      </c>
      <c r="D747" t="s">
        <v>2658</v>
      </c>
      <c r="E747" s="24">
        <v>40246</v>
      </c>
      <c r="F747">
        <v>10</v>
      </c>
      <c r="G747">
        <v>1</v>
      </c>
      <c r="H747" t="s">
        <v>3629</v>
      </c>
      <c r="I747">
        <v>10</v>
      </c>
    </row>
    <row r="748" spans="2:9" x14ac:dyDescent="0.3">
      <c r="B748" t="s">
        <v>670</v>
      </c>
      <c r="C748" t="s">
        <v>1961</v>
      </c>
      <c r="D748" t="s">
        <v>2658</v>
      </c>
      <c r="E748" s="24">
        <v>38799</v>
      </c>
      <c r="F748">
        <v>2</v>
      </c>
      <c r="G748">
        <v>1</v>
      </c>
      <c r="H748" t="s">
        <v>3630</v>
      </c>
      <c r="I748">
        <v>2</v>
      </c>
    </row>
    <row r="749" spans="2:9" x14ac:dyDescent="0.3">
      <c r="B749" t="s">
        <v>3631</v>
      </c>
      <c r="C749" t="s">
        <v>3632</v>
      </c>
      <c r="D749" t="s">
        <v>2658</v>
      </c>
      <c r="E749" s="24">
        <v>42431</v>
      </c>
      <c r="F749">
        <v>5</v>
      </c>
      <c r="G749">
        <v>1</v>
      </c>
      <c r="H749" t="s">
        <v>3633</v>
      </c>
      <c r="I749">
        <v>5</v>
      </c>
    </row>
    <row r="750" spans="2:9" x14ac:dyDescent="0.3">
      <c r="B750" t="s">
        <v>671</v>
      </c>
      <c r="C750" t="s">
        <v>1962</v>
      </c>
      <c r="D750" t="s">
        <v>2686</v>
      </c>
      <c r="E750" s="24">
        <v>38706</v>
      </c>
      <c r="F750">
        <v>10</v>
      </c>
      <c r="G750">
        <v>1</v>
      </c>
      <c r="H750" t="s">
        <v>3634</v>
      </c>
      <c r="I750">
        <v>10</v>
      </c>
    </row>
    <row r="751" spans="2:9" x14ac:dyDescent="0.3">
      <c r="B751" t="s">
        <v>671</v>
      </c>
      <c r="C751" t="s">
        <v>1962</v>
      </c>
      <c r="D751" t="s">
        <v>2681</v>
      </c>
      <c r="E751" s="24">
        <v>38706</v>
      </c>
      <c r="F751">
        <v>10</v>
      </c>
      <c r="G751">
        <v>1</v>
      </c>
      <c r="H751" t="s">
        <v>3634</v>
      </c>
      <c r="I751">
        <v>10</v>
      </c>
    </row>
    <row r="752" spans="2:9" x14ac:dyDescent="0.3">
      <c r="B752" t="s">
        <v>672</v>
      </c>
      <c r="C752" t="s">
        <v>1963</v>
      </c>
      <c r="D752" t="s">
        <v>2658</v>
      </c>
      <c r="E752" s="24">
        <v>39084</v>
      </c>
      <c r="F752">
        <v>10</v>
      </c>
      <c r="G752">
        <v>1</v>
      </c>
      <c r="H752" t="s">
        <v>3635</v>
      </c>
      <c r="I752">
        <v>10</v>
      </c>
    </row>
    <row r="753" spans="2:9" x14ac:dyDescent="0.3">
      <c r="B753" t="s">
        <v>673</v>
      </c>
      <c r="C753" t="s">
        <v>1964</v>
      </c>
      <c r="D753" t="s">
        <v>2658</v>
      </c>
      <c r="E753" s="24">
        <v>34948</v>
      </c>
      <c r="F753">
        <v>10</v>
      </c>
      <c r="G753">
        <v>1</v>
      </c>
      <c r="H753" t="s">
        <v>3636</v>
      </c>
      <c r="I753">
        <v>10</v>
      </c>
    </row>
    <row r="754" spans="2:9" x14ac:dyDescent="0.3">
      <c r="B754" t="s">
        <v>1314</v>
      </c>
      <c r="C754" t="s">
        <v>1965</v>
      </c>
      <c r="D754" t="s">
        <v>2658</v>
      </c>
      <c r="E754" s="24">
        <v>35242</v>
      </c>
      <c r="F754">
        <v>10</v>
      </c>
      <c r="G754">
        <v>1</v>
      </c>
      <c r="H754" t="s">
        <v>3637</v>
      </c>
      <c r="I754">
        <v>10</v>
      </c>
    </row>
    <row r="755" spans="2:9" x14ac:dyDescent="0.3">
      <c r="B755" t="s">
        <v>674</v>
      </c>
      <c r="C755" t="s">
        <v>1966</v>
      </c>
      <c r="D755" t="s">
        <v>2658</v>
      </c>
      <c r="E755" s="24">
        <v>39205</v>
      </c>
      <c r="F755">
        <v>1</v>
      </c>
      <c r="G755">
        <v>1</v>
      </c>
      <c r="H755" t="s">
        <v>3638</v>
      </c>
      <c r="I755">
        <v>1</v>
      </c>
    </row>
    <row r="756" spans="2:9" x14ac:dyDescent="0.3">
      <c r="B756" t="s">
        <v>675</v>
      </c>
      <c r="C756" t="s">
        <v>1967</v>
      </c>
      <c r="D756" t="s">
        <v>2686</v>
      </c>
      <c r="E756" s="24">
        <v>36705</v>
      </c>
      <c r="F756">
        <v>10</v>
      </c>
      <c r="G756">
        <v>1</v>
      </c>
      <c r="H756" t="s">
        <v>3639</v>
      </c>
      <c r="I756">
        <v>10</v>
      </c>
    </row>
    <row r="757" spans="2:9" x14ac:dyDescent="0.3">
      <c r="B757" t="s">
        <v>1315</v>
      </c>
      <c r="C757" t="s">
        <v>1968</v>
      </c>
      <c r="D757" t="s">
        <v>2686</v>
      </c>
      <c r="E757" s="24">
        <v>36915</v>
      </c>
      <c r="F757">
        <v>10</v>
      </c>
      <c r="G757">
        <v>1</v>
      </c>
      <c r="H757" t="s">
        <v>3640</v>
      </c>
      <c r="I757">
        <v>10</v>
      </c>
    </row>
    <row r="758" spans="2:9" x14ac:dyDescent="0.3">
      <c r="B758" t="s">
        <v>676</v>
      </c>
      <c r="C758" t="s">
        <v>1969</v>
      </c>
      <c r="D758" t="s">
        <v>2658</v>
      </c>
      <c r="E758" s="24">
        <v>36929</v>
      </c>
      <c r="F758">
        <v>10</v>
      </c>
      <c r="G758">
        <v>1</v>
      </c>
      <c r="H758" t="s">
        <v>3641</v>
      </c>
      <c r="I758">
        <v>10</v>
      </c>
    </row>
    <row r="759" spans="2:9" x14ac:dyDescent="0.3">
      <c r="B759" t="s">
        <v>677</v>
      </c>
      <c r="C759" t="s">
        <v>1970</v>
      </c>
      <c r="D759" t="s">
        <v>2658</v>
      </c>
      <c r="E759" s="24">
        <v>40557</v>
      </c>
      <c r="F759">
        <v>10</v>
      </c>
      <c r="G759">
        <v>1</v>
      </c>
      <c r="H759" t="s">
        <v>3642</v>
      </c>
      <c r="I759">
        <v>10</v>
      </c>
    </row>
    <row r="760" spans="2:9" x14ac:dyDescent="0.3">
      <c r="B760" t="s">
        <v>678</v>
      </c>
      <c r="C760" t="s">
        <v>1971</v>
      </c>
      <c r="D760" t="s">
        <v>2686</v>
      </c>
      <c r="E760" s="24">
        <v>40450</v>
      </c>
      <c r="F760">
        <v>10</v>
      </c>
      <c r="G760">
        <v>1</v>
      </c>
      <c r="H760" t="s">
        <v>3643</v>
      </c>
      <c r="I760">
        <v>10</v>
      </c>
    </row>
    <row r="761" spans="2:9" x14ac:dyDescent="0.3">
      <c r="B761" t="s">
        <v>3644</v>
      </c>
      <c r="C761" t="s">
        <v>3645</v>
      </c>
      <c r="D761" t="s">
        <v>2658</v>
      </c>
      <c r="E761" s="24">
        <v>42689</v>
      </c>
      <c r="F761">
        <v>10</v>
      </c>
      <c r="G761">
        <v>1</v>
      </c>
      <c r="H761" t="s">
        <v>3646</v>
      </c>
      <c r="I761">
        <v>10</v>
      </c>
    </row>
    <row r="762" spans="2:9" x14ac:dyDescent="0.3">
      <c r="B762" t="s">
        <v>3647</v>
      </c>
      <c r="C762" t="s">
        <v>3648</v>
      </c>
      <c r="D762" t="s">
        <v>2658</v>
      </c>
      <c r="E762" s="24">
        <v>42703</v>
      </c>
      <c r="F762">
        <v>10</v>
      </c>
      <c r="G762">
        <v>1</v>
      </c>
      <c r="H762" t="s">
        <v>3649</v>
      </c>
      <c r="I762">
        <v>10</v>
      </c>
    </row>
    <row r="763" spans="2:9" x14ac:dyDescent="0.3">
      <c r="B763" t="s">
        <v>679</v>
      </c>
      <c r="C763" t="s">
        <v>1972</v>
      </c>
      <c r="D763" t="s">
        <v>2658</v>
      </c>
      <c r="E763" s="24">
        <v>39560</v>
      </c>
      <c r="F763">
        <v>10</v>
      </c>
      <c r="G763">
        <v>1</v>
      </c>
      <c r="H763" t="s">
        <v>3650</v>
      </c>
      <c r="I763">
        <v>10</v>
      </c>
    </row>
    <row r="764" spans="2:9" x14ac:dyDescent="0.3">
      <c r="B764" t="s">
        <v>680</v>
      </c>
      <c r="C764" t="s">
        <v>1973</v>
      </c>
      <c r="D764" t="s">
        <v>2658</v>
      </c>
      <c r="E764" s="24">
        <v>40288</v>
      </c>
      <c r="F764">
        <v>2</v>
      </c>
      <c r="G764">
        <v>1</v>
      </c>
      <c r="H764" t="s">
        <v>3651</v>
      </c>
      <c r="I764">
        <v>2</v>
      </c>
    </row>
    <row r="765" spans="2:9" x14ac:dyDescent="0.3">
      <c r="B765" t="s">
        <v>681</v>
      </c>
      <c r="C765" t="s">
        <v>1974</v>
      </c>
      <c r="D765" t="s">
        <v>2658</v>
      </c>
      <c r="E765" s="24">
        <v>40536</v>
      </c>
      <c r="F765">
        <v>2</v>
      </c>
      <c r="G765">
        <v>1</v>
      </c>
      <c r="H765" t="s">
        <v>3652</v>
      </c>
      <c r="I765">
        <v>2</v>
      </c>
    </row>
    <row r="766" spans="2:9" x14ac:dyDescent="0.3">
      <c r="B766" t="s">
        <v>682</v>
      </c>
      <c r="C766" t="s">
        <v>1975</v>
      </c>
      <c r="D766" t="s">
        <v>2658</v>
      </c>
      <c r="E766" s="24">
        <v>40353</v>
      </c>
      <c r="F766">
        <v>10</v>
      </c>
      <c r="G766">
        <v>1</v>
      </c>
      <c r="H766" t="s">
        <v>3653</v>
      </c>
      <c r="I766">
        <v>10</v>
      </c>
    </row>
    <row r="767" spans="2:9" x14ac:dyDescent="0.3">
      <c r="B767" t="s">
        <v>683</v>
      </c>
      <c r="C767" t="s">
        <v>1976</v>
      </c>
      <c r="D767" t="s">
        <v>2658</v>
      </c>
      <c r="E767" s="24">
        <v>41177</v>
      </c>
      <c r="F767">
        <v>1</v>
      </c>
      <c r="G767">
        <v>1</v>
      </c>
      <c r="H767" t="s">
        <v>3654</v>
      </c>
      <c r="I767">
        <v>1</v>
      </c>
    </row>
    <row r="768" spans="2:9" x14ac:dyDescent="0.3">
      <c r="B768" t="s">
        <v>684</v>
      </c>
      <c r="C768" t="s">
        <v>1977</v>
      </c>
      <c r="D768" t="s">
        <v>2658</v>
      </c>
      <c r="E768" s="24">
        <v>38820</v>
      </c>
      <c r="F768">
        <v>10</v>
      </c>
      <c r="G768">
        <v>1</v>
      </c>
      <c r="H768" t="s">
        <v>3655</v>
      </c>
      <c r="I768">
        <v>10</v>
      </c>
    </row>
    <row r="769" spans="2:9" x14ac:dyDescent="0.3">
      <c r="B769" t="s">
        <v>685</v>
      </c>
      <c r="C769" t="s">
        <v>1978</v>
      </c>
      <c r="D769" t="s">
        <v>2658</v>
      </c>
      <c r="E769" s="24">
        <v>39233</v>
      </c>
      <c r="F769">
        <v>2</v>
      </c>
      <c r="G769">
        <v>1</v>
      </c>
      <c r="H769" t="s">
        <v>3656</v>
      </c>
      <c r="I769">
        <v>2</v>
      </c>
    </row>
    <row r="770" spans="2:9" x14ac:dyDescent="0.3">
      <c r="B770" t="s">
        <v>686</v>
      </c>
      <c r="C770" t="s">
        <v>1979</v>
      </c>
      <c r="D770" t="s">
        <v>2658</v>
      </c>
      <c r="E770" s="24">
        <v>39496</v>
      </c>
      <c r="F770">
        <v>2</v>
      </c>
      <c r="G770">
        <v>1</v>
      </c>
      <c r="H770" t="s">
        <v>3657</v>
      </c>
      <c r="I770">
        <v>2</v>
      </c>
    </row>
    <row r="771" spans="2:9" x14ac:dyDescent="0.3">
      <c r="B771" t="s">
        <v>687</v>
      </c>
      <c r="C771" t="s">
        <v>1980</v>
      </c>
      <c r="D771" t="s">
        <v>2658</v>
      </c>
      <c r="E771" s="24">
        <v>36453</v>
      </c>
      <c r="F771">
        <v>10</v>
      </c>
      <c r="G771">
        <v>1</v>
      </c>
      <c r="H771" t="s">
        <v>3658</v>
      </c>
      <c r="I771">
        <v>10</v>
      </c>
    </row>
    <row r="772" spans="2:9" x14ac:dyDescent="0.3">
      <c r="B772" t="s">
        <v>688</v>
      </c>
      <c r="C772" t="s">
        <v>1981</v>
      </c>
      <c r="D772" t="s">
        <v>2658</v>
      </c>
      <c r="E772" s="24">
        <v>39657</v>
      </c>
      <c r="F772">
        <v>1</v>
      </c>
      <c r="G772">
        <v>1</v>
      </c>
      <c r="H772" t="s">
        <v>3659</v>
      </c>
      <c r="I772">
        <v>1</v>
      </c>
    </row>
    <row r="773" spans="2:9" x14ac:dyDescent="0.3">
      <c r="B773" t="s">
        <v>689</v>
      </c>
      <c r="C773" t="s">
        <v>1982</v>
      </c>
      <c r="D773" t="s">
        <v>2658</v>
      </c>
      <c r="E773" s="24">
        <v>39429</v>
      </c>
      <c r="F773">
        <v>10</v>
      </c>
      <c r="G773">
        <v>1</v>
      </c>
      <c r="H773" t="s">
        <v>3660</v>
      </c>
      <c r="I773">
        <v>10</v>
      </c>
    </row>
    <row r="774" spans="2:9" x14ac:dyDescent="0.3">
      <c r="B774" t="s">
        <v>690</v>
      </c>
      <c r="C774" t="s">
        <v>1983</v>
      </c>
      <c r="D774" t="s">
        <v>2658</v>
      </c>
      <c r="E774" s="24">
        <v>36320</v>
      </c>
      <c r="F774">
        <v>10</v>
      </c>
      <c r="G774">
        <v>1</v>
      </c>
      <c r="H774" t="s">
        <v>3661</v>
      </c>
      <c r="I774">
        <v>10</v>
      </c>
    </row>
    <row r="775" spans="2:9" x14ac:dyDescent="0.3">
      <c r="B775" t="s">
        <v>691</v>
      </c>
      <c r="C775" t="s">
        <v>1984</v>
      </c>
      <c r="D775" t="s">
        <v>2658</v>
      </c>
      <c r="E775" s="24">
        <v>35053</v>
      </c>
      <c r="F775">
        <v>5</v>
      </c>
      <c r="G775">
        <v>1</v>
      </c>
      <c r="H775" t="s">
        <v>3662</v>
      </c>
      <c r="I775">
        <v>5</v>
      </c>
    </row>
    <row r="776" spans="2:9" x14ac:dyDescent="0.3">
      <c r="B776" t="s">
        <v>692</v>
      </c>
      <c r="C776" t="s">
        <v>1985</v>
      </c>
      <c r="D776" t="s">
        <v>2658</v>
      </c>
      <c r="E776" s="24">
        <v>38334</v>
      </c>
      <c r="F776">
        <v>10</v>
      </c>
      <c r="G776">
        <v>1</v>
      </c>
      <c r="H776" t="s">
        <v>3663</v>
      </c>
      <c r="I776">
        <v>10</v>
      </c>
    </row>
    <row r="777" spans="2:9" x14ac:dyDescent="0.3">
      <c r="B777" t="s">
        <v>693</v>
      </c>
      <c r="C777" t="s">
        <v>1986</v>
      </c>
      <c r="D777" t="s">
        <v>2658</v>
      </c>
      <c r="E777" s="24">
        <v>35371</v>
      </c>
      <c r="F777">
        <v>10</v>
      </c>
      <c r="G777">
        <v>1</v>
      </c>
      <c r="H777" t="s">
        <v>3664</v>
      </c>
      <c r="I777">
        <v>10</v>
      </c>
    </row>
    <row r="778" spans="2:9" x14ac:dyDescent="0.3">
      <c r="B778" t="s">
        <v>694</v>
      </c>
      <c r="C778" t="s">
        <v>1987</v>
      </c>
      <c r="D778" t="s">
        <v>2658</v>
      </c>
      <c r="E778" s="24">
        <v>35949</v>
      </c>
      <c r="F778">
        <v>10</v>
      </c>
      <c r="G778">
        <v>1</v>
      </c>
      <c r="H778" t="s">
        <v>3665</v>
      </c>
      <c r="I778">
        <v>10</v>
      </c>
    </row>
    <row r="779" spans="2:9" x14ac:dyDescent="0.3">
      <c r="B779" t="s">
        <v>22</v>
      </c>
      <c r="C779" t="s">
        <v>3666</v>
      </c>
      <c r="D779" t="s">
        <v>2658</v>
      </c>
      <c r="E779" s="24">
        <v>36488</v>
      </c>
      <c r="F779">
        <v>2</v>
      </c>
      <c r="G779">
        <v>1</v>
      </c>
      <c r="H779" t="s">
        <v>3667</v>
      </c>
      <c r="I779">
        <v>2</v>
      </c>
    </row>
    <row r="780" spans="2:9" x14ac:dyDescent="0.3">
      <c r="B780" t="s">
        <v>695</v>
      </c>
      <c r="C780" t="s">
        <v>1988</v>
      </c>
      <c r="D780" t="s">
        <v>2658</v>
      </c>
      <c r="E780" s="24">
        <v>39322</v>
      </c>
      <c r="F780">
        <v>5</v>
      </c>
      <c r="G780">
        <v>1</v>
      </c>
      <c r="H780" t="s">
        <v>3668</v>
      </c>
      <c r="I780">
        <v>5</v>
      </c>
    </row>
    <row r="781" spans="2:9" x14ac:dyDescent="0.3">
      <c r="B781" t="s">
        <v>113</v>
      </c>
      <c r="C781" t="s">
        <v>1989</v>
      </c>
      <c r="D781" t="s">
        <v>2658</v>
      </c>
      <c r="E781" s="24">
        <v>37277</v>
      </c>
      <c r="F781">
        <v>1</v>
      </c>
      <c r="G781">
        <v>1</v>
      </c>
      <c r="H781" t="s">
        <v>3669</v>
      </c>
      <c r="I781">
        <v>1</v>
      </c>
    </row>
    <row r="782" spans="2:9" x14ac:dyDescent="0.3">
      <c r="B782" t="s">
        <v>1316</v>
      </c>
      <c r="C782" t="s">
        <v>3670</v>
      </c>
      <c r="D782" t="s">
        <v>2686</v>
      </c>
      <c r="E782" s="24">
        <v>36635</v>
      </c>
      <c r="F782">
        <v>10</v>
      </c>
      <c r="G782">
        <v>1</v>
      </c>
      <c r="H782" t="s">
        <v>3671</v>
      </c>
      <c r="I782">
        <v>10</v>
      </c>
    </row>
    <row r="783" spans="2:9" x14ac:dyDescent="0.3">
      <c r="B783" t="s">
        <v>3672</v>
      </c>
      <c r="C783" t="s">
        <v>3673</v>
      </c>
      <c r="D783" t="s">
        <v>2686</v>
      </c>
      <c r="E783" s="24">
        <v>42349</v>
      </c>
      <c r="F783">
        <v>2</v>
      </c>
      <c r="G783">
        <v>1</v>
      </c>
      <c r="H783" t="s">
        <v>3674</v>
      </c>
      <c r="I783">
        <v>2</v>
      </c>
    </row>
    <row r="784" spans="2:9" x14ac:dyDescent="0.3">
      <c r="B784" t="s">
        <v>696</v>
      </c>
      <c r="C784" t="s">
        <v>1990</v>
      </c>
      <c r="D784" t="s">
        <v>2658</v>
      </c>
      <c r="E784" s="24">
        <v>34738</v>
      </c>
      <c r="F784">
        <v>10</v>
      </c>
      <c r="G784">
        <v>1</v>
      </c>
      <c r="H784" t="s">
        <v>3675</v>
      </c>
      <c r="I784">
        <v>10</v>
      </c>
    </row>
    <row r="785" spans="2:9" x14ac:dyDescent="0.3">
      <c r="B785" t="s">
        <v>697</v>
      </c>
      <c r="C785" t="s">
        <v>1991</v>
      </c>
      <c r="D785" t="s">
        <v>2658</v>
      </c>
      <c r="E785" s="24">
        <v>39359</v>
      </c>
      <c r="F785">
        <v>2</v>
      </c>
      <c r="G785">
        <v>1</v>
      </c>
      <c r="H785" t="s">
        <v>3676</v>
      </c>
      <c r="I785">
        <v>2</v>
      </c>
    </row>
    <row r="786" spans="2:9" x14ac:dyDescent="0.3">
      <c r="B786" t="s">
        <v>698</v>
      </c>
      <c r="C786" t="s">
        <v>1992</v>
      </c>
      <c r="D786" t="s">
        <v>2686</v>
      </c>
      <c r="E786" s="24">
        <v>38995</v>
      </c>
      <c r="F786">
        <v>1</v>
      </c>
      <c r="G786">
        <v>1</v>
      </c>
      <c r="H786" t="s">
        <v>3677</v>
      </c>
      <c r="I786">
        <v>1</v>
      </c>
    </row>
    <row r="787" spans="2:9" x14ac:dyDescent="0.3">
      <c r="B787" t="s">
        <v>699</v>
      </c>
      <c r="C787" t="s">
        <v>1993</v>
      </c>
      <c r="D787" t="s">
        <v>2686</v>
      </c>
      <c r="E787" s="24">
        <v>39643</v>
      </c>
      <c r="F787">
        <v>10</v>
      </c>
      <c r="G787">
        <v>1</v>
      </c>
      <c r="H787" t="s">
        <v>3678</v>
      </c>
      <c r="I787">
        <v>10</v>
      </c>
    </row>
    <row r="788" spans="2:9" x14ac:dyDescent="0.3">
      <c r="B788" t="s">
        <v>700</v>
      </c>
      <c r="C788" t="s">
        <v>1994</v>
      </c>
      <c r="D788" t="s">
        <v>2658</v>
      </c>
      <c r="E788" s="24">
        <v>40317</v>
      </c>
      <c r="F788">
        <v>5</v>
      </c>
      <c r="G788">
        <v>1</v>
      </c>
      <c r="H788" t="s">
        <v>3679</v>
      </c>
      <c r="I788">
        <v>5</v>
      </c>
    </row>
    <row r="789" spans="2:9" x14ac:dyDescent="0.3">
      <c r="B789" t="s">
        <v>701</v>
      </c>
      <c r="C789" t="s">
        <v>1995</v>
      </c>
      <c r="D789" t="s">
        <v>2658</v>
      </c>
      <c r="E789" s="24">
        <v>40534</v>
      </c>
      <c r="F789">
        <v>5</v>
      </c>
      <c r="G789">
        <v>1</v>
      </c>
      <c r="H789" t="s">
        <v>3680</v>
      </c>
      <c r="I789">
        <v>5</v>
      </c>
    </row>
    <row r="790" spans="2:9" x14ac:dyDescent="0.3">
      <c r="B790" t="s">
        <v>73</v>
      </c>
      <c r="C790" t="s">
        <v>1996</v>
      </c>
      <c r="D790" t="s">
        <v>2658</v>
      </c>
      <c r="E790" s="24">
        <v>36656</v>
      </c>
      <c r="F790">
        <v>10</v>
      </c>
      <c r="G790">
        <v>1</v>
      </c>
      <c r="H790" t="s">
        <v>3681</v>
      </c>
      <c r="I790">
        <v>10</v>
      </c>
    </row>
    <row r="791" spans="2:9" x14ac:dyDescent="0.3">
      <c r="B791" t="s">
        <v>702</v>
      </c>
      <c r="C791" t="s">
        <v>1997</v>
      </c>
      <c r="D791" t="s">
        <v>2658</v>
      </c>
      <c r="E791" s="24">
        <v>40729</v>
      </c>
      <c r="F791">
        <v>1</v>
      </c>
      <c r="G791">
        <v>1</v>
      </c>
      <c r="H791" t="s">
        <v>3682</v>
      </c>
      <c r="I791">
        <v>1</v>
      </c>
    </row>
    <row r="792" spans="2:9" x14ac:dyDescent="0.3">
      <c r="B792" t="s">
        <v>75</v>
      </c>
      <c r="C792" t="s">
        <v>1998</v>
      </c>
      <c r="D792" t="s">
        <v>2658</v>
      </c>
      <c r="E792" s="24">
        <v>40767</v>
      </c>
      <c r="F792">
        <v>10</v>
      </c>
      <c r="G792">
        <v>1</v>
      </c>
      <c r="H792" t="s">
        <v>3683</v>
      </c>
      <c r="I792">
        <v>10</v>
      </c>
    </row>
    <row r="793" spans="2:9" x14ac:dyDescent="0.3">
      <c r="B793" t="s">
        <v>703</v>
      </c>
      <c r="C793" t="s">
        <v>1999</v>
      </c>
      <c r="D793" t="s">
        <v>2658</v>
      </c>
      <c r="E793" s="24">
        <v>38986</v>
      </c>
      <c r="F793">
        <v>10</v>
      </c>
      <c r="G793">
        <v>1</v>
      </c>
      <c r="H793" t="s">
        <v>3684</v>
      </c>
      <c r="I793">
        <v>10</v>
      </c>
    </row>
    <row r="794" spans="2:9" x14ac:dyDescent="0.3">
      <c r="B794" t="s">
        <v>704</v>
      </c>
      <c r="C794" t="s">
        <v>2000</v>
      </c>
      <c r="D794" t="s">
        <v>2658</v>
      </c>
      <c r="E794" s="24">
        <v>39119</v>
      </c>
      <c r="F794">
        <v>2</v>
      </c>
      <c r="G794">
        <v>1</v>
      </c>
      <c r="H794" t="s">
        <v>3685</v>
      </c>
      <c r="I794">
        <v>2</v>
      </c>
    </row>
    <row r="795" spans="2:9" x14ac:dyDescent="0.3">
      <c r="B795" t="s">
        <v>705</v>
      </c>
      <c r="C795" t="s">
        <v>2001</v>
      </c>
      <c r="D795" t="s">
        <v>2658</v>
      </c>
      <c r="E795" s="24">
        <v>36698</v>
      </c>
      <c r="F795">
        <v>10</v>
      </c>
      <c r="G795">
        <v>1</v>
      </c>
      <c r="H795" t="s">
        <v>3686</v>
      </c>
      <c r="I795">
        <v>10</v>
      </c>
    </row>
    <row r="796" spans="2:9" x14ac:dyDescent="0.3">
      <c r="B796" t="s">
        <v>3687</v>
      </c>
      <c r="C796" t="s">
        <v>3688</v>
      </c>
      <c r="D796" t="s">
        <v>2658</v>
      </c>
      <c r="E796" s="24">
        <v>42361</v>
      </c>
      <c r="F796">
        <v>10</v>
      </c>
      <c r="G796">
        <v>1</v>
      </c>
      <c r="H796" t="s">
        <v>3689</v>
      </c>
      <c r="I796">
        <v>10</v>
      </c>
    </row>
    <row r="797" spans="2:9" x14ac:dyDescent="0.3">
      <c r="B797" t="s">
        <v>3690</v>
      </c>
      <c r="C797" t="s">
        <v>3691</v>
      </c>
      <c r="D797" t="s">
        <v>2658</v>
      </c>
      <c r="E797" s="24">
        <v>42039</v>
      </c>
      <c r="F797">
        <v>5</v>
      </c>
      <c r="G797">
        <v>1</v>
      </c>
      <c r="H797" t="s">
        <v>3692</v>
      </c>
      <c r="I797">
        <v>5</v>
      </c>
    </row>
    <row r="798" spans="2:9" x14ac:dyDescent="0.3">
      <c r="B798" t="s">
        <v>706</v>
      </c>
      <c r="C798" t="s">
        <v>2002</v>
      </c>
      <c r="D798" t="s">
        <v>2658</v>
      </c>
      <c r="E798" s="24">
        <v>39157</v>
      </c>
      <c r="F798">
        <v>2</v>
      </c>
      <c r="G798">
        <v>1</v>
      </c>
      <c r="H798" t="s">
        <v>3693</v>
      </c>
      <c r="I798">
        <v>2</v>
      </c>
    </row>
    <row r="799" spans="2:9" x14ac:dyDescent="0.3">
      <c r="B799" t="s">
        <v>3694</v>
      </c>
      <c r="C799" t="s">
        <v>3695</v>
      </c>
      <c r="D799" t="s">
        <v>2658</v>
      </c>
      <c r="E799" s="24">
        <v>42723</v>
      </c>
      <c r="F799">
        <v>10</v>
      </c>
      <c r="G799">
        <v>1</v>
      </c>
      <c r="H799" t="s">
        <v>3696</v>
      </c>
      <c r="I799">
        <v>10</v>
      </c>
    </row>
    <row r="800" spans="2:9" x14ac:dyDescent="0.3">
      <c r="B800" t="s">
        <v>707</v>
      </c>
      <c r="C800" t="s">
        <v>2003</v>
      </c>
      <c r="D800" t="s">
        <v>2658</v>
      </c>
      <c r="E800" s="24">
        <v>34787</v>
      </c>
      <c r="F800">
        <v>10</v>
      </c>
      <c r="G800">
        <v>1</v>
      </c>
      <c r="H800" t="s">
        <v>3697</v>
      </c>
      <c r="I800">
        <v>10</v>
      </c>
    </row>
    <row r="801" spans="2:9" x14ac:dyDescent="0.3">
      <c r="B801" t="s">
        <v>1317</v>
      </c>
      <c r="C801" t="s">
        <v>2004</v>
      </c>
      <c r="D801" t="s">
        <v>2686</v>
      </c>
      <c r="E801" s="24">
        <v>36587</v>
      </c>
      <c r="F801">
        <v>2</v>
      </c>
      <c r="G801">
        <v>1</v>
      </c>
      <c r="H801" t="s">
        <v>3698</v>
      </c>
      <c r="I801">
        <v>2</v>
      </c>
    </row>
    <row r="802" spans="2:9" x14ac:dyDescent="0.3">
      <c r="B802" t="s">
        <v>3699</v>
      </c>
      <c r="C802" t="s">
        <v>3700</v>
      </c>
      <c r="D802" t="s">
        <v>2686</v>
      </c>
      <c r="E802" s="24">
        <v>42109</v>
      </c>
      <c r="F802">
        <v>10</v>
      </c>
      <c r="G802">
        <v>1</v>
      </c>
      <c r="H802" t="s">
        <v>3701</v>
      </c>
      <c r="I802">
        <v>10</v>
      </c>
    </row>
    <row r="803" spans="2:9" x14ac:dyDescent="0.3">
      <c r="B803" t="s">
        <v>708</v>
      </c>
      <c r="C803" t="s">
        <v>2005</v>
      </c>
      <c r="D803" t="s">
        <v>2658</v>
      </c>
      <c r="E803" s="24">
        <v>40267</v>
      </c>
      <c r="F803">
        <v>10</v>
      </c>
      <c r="G803">
        <v>1</v>
      </c>
      <c r="H803" t="s">
        <v>3702</v>
      </c>
      <c r="I803">
        <v>10</v>
      </c>
    </row>
    <row r="804" spans="2:9" x14ac:dyDescent="0.3">
      <c r="B804" t="s">
        <v>709</v>
      </c>
      <c r="C804" t="s">
        <v>2006</v>
      </c>
      <c r="D804" t="s">
        <v>2686</v>
      </c>
      <c r="E804" s="24">
        <v>39661</v>
      </c>
      <c r="F804">
        <v>1</v>
      </c>
      <c r="G804">
        <v>1</v>
      </c>
      <c r="H804" t="s">
        <v>3703</v>
      </c>
      <c r="I804">
        <v>1</v>
      </c>
    </row>
    <row r="805" spans="2:9" x14ac:dyDescent="0.3">
      <c r="B805" t="s">
        <v>710</v>
      </c>
      <c r="C805" t="s">
        <v>2007</v>
      </c>
      <c r="D805" t="s">
        <v>2658</v>
      </c>
      <c r="E805" s="24">
        <v>34969</v>
      </c>
      <c r="F805">
        <v>10</v>
      </c>
      <c r="G805">
        <v>1</v>
      </c>
      <c r="H805" t="s">
        <v>3704</v>
      </c>
      <c r="I805">
        <v>10</v>
      </c>
    </row>
    <row r="806" spans="2:9" x14ac:dyDescent="0.3">
      <c r="B806" t="s">
        <v>711</v>
      </c>
      <c r="C806" t="s">
        <v>2008</v>
      </c>
      <c r="D806" t="s">
        <v>2658</v>
      </c>
      <c r="E806" s="24">
        <v>36005</v>
      </c>
      <c r="F806">
        <v>2</v>
      </c>
      <c r="G806">
        <v>1</v>
      </c>
      <c r="H806" t="s">
        <v>3705</v>
      </c>
      <c r="I806">
        <v>2</v>
      </c>
    </row>
    <row r="807" spans="2:9" x14ac:dyDescent="0.3">
      <c r="B807" t="s">
        <v>3706</v>
      </c>
      <c r="C807" t="s">
        <v>3707</v>
      </c>
      <c r="D807" t="s">
        <v>2658</v>
      </c>
      <c r="E807" s="24">
        <v>42355</v>
      </c>
      <c r="F807">
        <v>10</v>
      </c>
      <c r="G807">
        <v>1</v>
      </c>
      <c r="H807" t="s">
        <v>3708</v>
      </c>
      <c r="I807">
        <v>10</v>
      </c>
    </row>
    <row r="808" spans="2:9" x14ac:dyDescent="0.3">
      <c r="B808" t="s">
        <v>3709</v>
      </c>
      <c r="C808" t="s">
        <v>3710</v>
      </c>
      <c r="D808" t="s">
        <v>2658</v>
      </c>
      <c r="E808" s="24">
        <v>42072</v>
      </c>
      <c r="F808">
        <v>10</v>
      </c>
      <c r="G808">
        <v>1</v>
      </c>
      <c r="H808" t="s">
        <v>3711</v>
      </c>
      <c r="I808">
        <v>10</v>
      </c>
    </row>
    <row r="809" spans="2:9" x14ac:dyDescent="0.3">
      <c r="B809" t="s">
        <v>712</v>
      </c>
      <c r="C809" t="s">
        <v>2009</v>
      </c>
      <c r="D809" t="s">
        <v>2658</v>
      </c>
      <c r="E809" s="24">
        <v>36327</v>
      </c>
      <c r="F809">
        <v>10</v>
      </c>
      <c r="G809">
        <v>1</v>
      </c>
      <c r="H809" t="s">
        <v>3712</v>
      </c>
      <c r="I809">
        <v>10</v>
      </c>
    </row>
    <row r="810" spans="2:9" x14ac:dyDescent="0.3">
      <c r="B810" t="s">
        <v>713</v>
      </c>
      <c r="C810" t="s">
        <v>2010</v>
      </c>
      <c r="D810" t="s">
        <v>2658</v>
      </c>
      <c r="E810" s="24">
        <v>39048</v>
      </c>
      <c r="F810">
        <v>1</v>
      </c>
      <c r="G810">
        <v>1</v>
      </c>
      <c r="H810" t="s">
        <v>3713</v>
      </c>
      <c r="I810">
        <v>1</v>
      </c>
    </row>
    <row r="811" spans="2:9" x14ac:dyDescent="0.3">
      <c r="B811" t="s">
        <v>714</v>
      </c>
      <c r="C811" t="s">
        <v>2011</v>
      </c>
      <c r="D811" t="s">
        <v>2658</v>
      </c>
      <c r="E811" s="24">
        <v>35550</v>
      </c>
      <c r="F811">
        <v>10</v>
      </c>
      <c r="G811">
        <v>1</v>
      </c>
      <c r="H811" t="s">
        <v>3714</v>
      </c>
      <c r="I811">
        <v>10</v>
      </c>
    </row>
    <row r="812" spans="2:9" x14ac:dyDescent="0.3">
      <c r="B812" t="s">
        <v>715</v>
      </c>
      <c r="C812" t="s">
        <v>2012</v>
      </c>
      <c r="D812" t="s">
        <v>2658</v>
      </c>
      <c r="E812" s="24">
        <v>34773</v>
      </c>
      <c r="F812">
        <v>10</v>
      </c>
      <c r="G812">
        <v>1</v>
      </c>
      <c r="H812" t="s">
        <v>3715</v>
      </c>
      <c r="I812">
        <v>10</v>
      </c>
    </row>
    <row r="813" spans="2:9" x14ac:dyDescent="0.3">
      <c r="B813" t="s">
        <v>716</v>
      </c>
      <c r="C813" t="s">
        <v>2013</v>
      </c>
      <c r="D813" t="s">
        <v>2658</v>
      </c>
      <c r="E813" s="24">
        <v>38842</v>
      </c>
      <c r="F813">
        <v>10</v>
      </c>
      <c r="G813">
        <v>1</v>
      </c>
      <c r="H813" t="s">
        <v>3716</v>
      </c>
      <c r="I813">
        <v>10</v>
      </c>
    </row>
    <row r="814" spans="2:9" x14ac:dyDescent="0.3">
      <c r="B814" t="s">
        <v>717</v>
      </c>
      <c r="C814" t="s">
        <v>2014</v>
      </c>
      <c r="D814" t="s">
        <v>2658</v>
      </c>
      <c r="E814" s="24">
        <v>39640</v>
      </c>
      <c r="F814">
        <v>10</v>
      </c>
      <c r="G814">
        <v>1</v>
      </c>
      <c r="H814" t="s">
        <v>3717</v>
      </c>
      <c r="I814">
        <v>10</v>
      </c>
    </row>
    <row r="815" spans="2:9" x14ac:dyDescent="0.3">
      <c r="B815" t="s">
        <v>718</v>
      </c>
      <c r="C815" t="s">
        <v>2015</v>
      </c>
      <c r="D815" t="s">
        <v>2658</v>
      </c>
      <c r="E815" s="24">
        <v>40626</v>
      </c>
      <c r="F815">
        <v>10</v>
      </c>
      <c r="G815">
        <v>1</v>
      </c>
      <c r="H815" t="s">
        <v>3718</v>
      </c>
      <c r="I815">
        <v>10</v>
      </c>
    </row>
    <row r="816" spans="2:9" x14ac:dyDescent="0.3">
      <c r="B816" t="s">
        <v>719</v>
      </c>
      <c r="C816" t="s">
        <v>2016</v>
      </c>
      <c r="D816" t="s">
        <v>2658</v>
      </c>
      <c r="E816" s="24">
        <v>39672</v>
      </c>
      <c r="F816">
        <v>1</v>
      </c>
      <c r="G816">
        <v>1</v>
      </c>
      <c r="H816" t="s">
        <v>3719</v>
      </c>
      <c r="I816">
        <v>1</v>
      </c>
    </row>
    <row r="817" spans="2:9" x14ac:dyDescent="0.3">
      <c r="B817" t="s">
        <v>3720</v>
      </c>
      <c r="C817" t="s">
        <v>3721</v>
      </c>
      <c r="D817" t="s">
        <v>2658</v>
      </c>
      <c r="E817" s="24">
        <v>42569</v>
      </c>
      <c r="F817">
        <v>1</v>
      </c>
      <c r="G817">
        <v>1</v>
      </c>
      <c r="H817" t="s">
        <v>3722</v>
      </c>
      <c r="I817">
        <v>1</v>
      </c>
    </row>
    <row r="818" spans="2:9" x14ac:dyDescent="0.3">
      <c r="B818" t="s">
        <v>127</v>
      </c>
      <c r="C818" t="s">
        <v>2017</v>
      </c>
      <c r="D818" t="s">
        <v>2658</v>
      </c>
      <c r="E818" s="24">
        <v>38161</v>
      </c>
      <c r="F818">
        <v>2</v>
      </c>
      <c r="G818">
        <v>1</v>
      </c>
      <c r="H818" t="s">
        <v>3723</v>
      </c>
      <c r="I818">
        <v>2</v>
      </c>
    </row>
    <row r="819" spans="2:9" x14ac:dyDescent="0.3">
      <c r="B819" t="s">
        <v>3724</v>
      </c>
      <c r="C819" t="s">
        <v>3725</v>
      </c>
      <c r="D819" t="s">
        <v>2658</v>
      </c>
      <c r="E819" s="24">
        <v>42572</v>
      </c>
      <c r="F819">
        <v>1</v>
      </c>
      <c r="G819">
        <v>1</v>
      </c>
      <c r="H819" t="s">
        <v>3726</v>
      </c>
      <c r="I819">
        <v>1</v>
      </c>
    </row>
    <row r="820" spans="2:9" x14ac:dyDescent="0.3">
      <c r="B820" t="s">
        <v>3727</v>
      </c>
      <c r="C820" t="s">
        <v>3728</v>
      </c>
      <c r="D820" t="s">
        <v>2658</v>
      </c>
      <c r="E820" s="24">
        <v>42636</v>
      </c>
      <c r="F820">
        <v>2</v>
      </c>
      <c r="G820">
        <v>1</v>
      </c>
      <c r="H820" t="s">
        <v>3729</v>
      </c>
      <c r="I820">
        <v>2</v>
      </c>
    </row>
    <row r="821" spans="2:9" x14ac:dyDescent="0.3">
      <c r="B821" t="s">
        <v>720</v>
      </c>
      <c r="C821" t="s">
        <v>2018</v>
      </c>
      <c r="D821" t="s">
        <v>2658</v>
      </c>
      <c r="E821" s="24">
        <v>34948</v>
      </c>
      <c r="F821">
        <v>10</v>
      </c>
      <c r="G821">
        <v>1</v>
      </c>
      <c r="H821" t="s">
        <v>3730</v>
      </c>
      <c r="I821">
        <v>10</v>
      </c>
    </row>
    <row r="822" spans="2:9" x14ac:dyDescent="0.3">
      <c r="B822" t="s">
        <v>721</v>
      </c>
      <c r="C822" t="s">
        <v>2019</v>
      </c>
      <c r="D822" t="s">
        <v>2658</v>
      </c>
      <c r="E822" s="24">
        <v>39098</v>
      </c>
      <c r="F822">
        <v>10</v>
      </c>
      <c r="G822">
        <v>1</v>
      </c>
      <c r="H822" t="s">
        <v>3731</v>
      </c>
      <c r="I822">
        <v>10</v>
      </c>
    </row>
    <row r="823" spans="2:9" x14ac:dyDescent="0.3">
      <c r="B823" t="s">
        <v>722</v>
      </c>
      <c r="C823" t="s">
        <v>2020</v>
      </c>
      <c r="D823" t="s">
        <v>2658</v>
      </c>
      <c r="E823" s="24">
        <v>37144</v>
      </c>
      <c r="F823">
        <v>2</v>
      </c>
      <c r="G823">
        <v>1</v>
      </c>
      <c r="H823" t="s">
        <v>3732</v>
      </c>
      <c r="I823">
        <v>2</v>
      </c>
    </row>
    <row r="824" spans="2:9" x14ac:dyDescent="0.3">
      <c r="B824" t="s">
        <v>3733</v>
      </c>
      <c r="C824" t="s">
        <v>3734</v>
      </c>
      <c r="D824" t="s">
        <v>2658</v>
      </c>
      <c r="E824" s="24">
        <v>42338</v>
      </c>
      <c r="F824">
        <v>2</v>
      </c>
      <c r="G824">
        <v>1</v>
      </c>
      <c r="H824" t="s">
        <v>3735</v>
      </c>
      <c r="I824">
        <v>2</v>
      </c>
    </row>
    <row r="825" spans="2:9" x14ac:dyDescent="0.3">
      <c r="B825" t="s">
        <v>3736</v>
      </c>
      <c r="C825" t="s">
        <v>3737</v>
      </c>
      <c r="D825" t="s">
        <v>2686</v>
      </c>
      <c r="E825" s="24">
        <v>42132</v>
      </c>
      <c r="F825">
        <v>2</v>
      </c>
      <c r="G825">
        <v>1</v>
      </c>
      <c r="H825" t="s">
        <v>3738</v>
      </c>
      <c r="I825">
        <v>2</v>
      </c>
    </row>
    <row r="826" spans="2:9" x14ac:dyDescent="0.3">
      <c r="B826" t="s">
        <v>723</v>
      </c>
      <c r="C826" t="s">
        <v>2021</v>
      </c>
      <c r="D826" t="s">
        <v>2658</v>
      </c>
      <c r="E826" s="24">
        <v>34738</v>
      </c>
      <c r="F826">
        <v>10</v>
      </c>
      <c r="G826">
        <v>1</v>
      </c>
      <c r="H826" t="s">
        <v>3739</v>
      </c>
      <c r="I826">
        <v>10</v>
      </c>
    </row>
    <row r="827" spans="2:9" x14ac:dyDescent="0.3">
      <c r="B827" t="s">
        <v>724</v>
      </c>
      <c r="C827" t="s">
        <v>2022</v>
      </c>
      <c r="D827" t="s">
        <v>2658</v>
      </c>
      <c r="E827" s="24">
        <v>41583</v>
      </c>
      <c r="F827">
        <v>10</v>
      </c>
      <c r="G827">
        <v>1</v>
      </c>
      <c r="H827" t="s">
        <v>3740</v>
      </c>
      <c r="I827">
        <v>10</v>
      </c>
    </row>
    <row r="828" spans="2:9" x14ac:dyDescent="0.3">
      <c r="B828" t="s">
        <v>725</v>
      </c>
      <c r="C828" t="s">
        <v>2023</v>
      </c>
      <c r="D828" t="s">
        <v>2658</v>
      </c>
      <c r="E828" s="24">
        <v>35067</v>
      </c>
      <c r="F828">
        <v>5</v>
      </c>
      <c r="G828">
        <v>1</v>
      </c>
      <c r="H828" t="s">
        <v>3741</v>
      </c>
      <c r="I828">
        <v>5</v>
      </c>
    </row>
    <row r="829" spans="2:9" x14ac:dyDescent="0.3">
      <c r="B829" t="s">
        <v>76</v>
      </c>
      <c r="C829" t="s">
        <v>2024</v>
      </c>
      <c r="D829" t="s">
        <v>2658</v>
      </c>
      <c r="E829" s="24">
        <v>38793</v>
      </c>
      <c r="F829">
        <v>2</v>
      </c>
      <c r="G829">
        <v>1</v>
      </c>
      <c r="H829" t="s">
        <v>3742</v>
      </c>
      <c r="I829">
        <v>2</v>
      </c>
    </row>
    <row r="830" spans="2:9" x14ac:dyDescent="0.3">
      <c r="B830" t="s">
        <v>726</v>
      </c>
      <c r="C830" t="s">
        <v>2025</v>
      </c>
      <c r="D830" t="s">
        <v>2658</v>
      </c>
      <c r="E830" s="24">
        <v>39377</v>
      </c>
      <c r="F830">
        <v>10</v>
      </c>
      <c r="G830">
        <v>1</v>
      </c>
      <c r="H830" t="s">
        <v>3743</v>
      </c>
      <c r="I830">
        <v>10</v>
      </c>
    </row>
    <row r="831" spans="2:9" x14ac:dyDescent="0.3">
      <c r="B831" t="s">
        <v>727</v>
      </c>
      <c r="C831" t="s">
        <v>2026</v>
      </c>
      <c r="D831" t="s">
        <v>2658</v>
      </c>
      <c r="E831" s="24">
        <v>39436</v>
      </c>
      <c r="F831">
        <v>10</v>
      </c>
      <c r="G831">
        <v>1</v>
      </c>
      <c r="H831" t="s">
        <v>3744</v>
      </c>
      <c r="I831">
        <v>10</v>
      </c>
    </row>
    <row r="832" spans="2:9" x14ac:dyDescent="0.3">
      <c r="B832" t="s">
        <v>728</v>
      </c>
      <c r="C832" t="s">
        <v>2027</v>
      </c>
      <c r="D832" t="s">
        <v>2658</v>
      </c>
      <c r="E832" s="24">
        <v>38995</v>
      </c>
      <c r="F832">
        <v>1</v>
      </c>
      <c r="G832">
        <v>1</v>
      </c>
      <c r="H832" t="s">
        <v>3745</v>
      </c>
      <c r="I832">
        <v>1</v>
      </c>
    </row>
    <row r="833" spans="2:9" x14ac:dyDescent="0.3">
      <c r="B833" t="s">
        <v>729</v>
      </c>
      <c r="C833" t="s">
        <v>2028</v>
      </c>
      <c r="D833" t="s">
        <v>2686</v>
      </c>
      <c r="E833" s="24">
        <v>36327</v>
      </c>
      <c r="F833">
        <v>10</v>
      </c>
      <c r="G833">
        <v>1</v>
      </c>
      <c r="H833" t="s">
        <v>3746</v>
      </c>
      <c r="I833">
        <v>10</v>
      </c>
    </row>
    <row r="834" spans="2:9" x14ac:dyDescent="0.3">
      <c r="B834" t="s">
        <v>730</v>
      </c>
      <c r="C834" t="s">
        <v>2029</v>
      </c>
      <c r="D834" t="s">
        <v>2658</v>
      </c>
      <c r="E834" s="24">
        <v>38104</v>
      </c>
      <c r="F834">
        <v>2</v>
      </c>
      <c r="G834">
        <v>1</v>
      </c>
      <c r="H834" t="s">
        <v>3747</v>
      </c>
      <c r="I834">
        <v>2</v>
      </c>
    </row>
    <row r="835" spans="2:9" x14ac:dyDescent="0.3">
      <c r="B835" t="s">
        <v>731</v>
      </c>
      <c r="C835" t="s">
        <v>2030</v>
      </c>
      <c r="D835" t="s">
        <v>2658</v>
      </c>
      <c r="E835" s="24">
        <v>39345</v>
      </c>
      <c r="F835">
        <v>10</v>
      </c>
      <c r="G835">
        <v>1</v>
      </c>
      <c r="H835" t="s">
        <v>3748</v>
      </c>
      <c r="I835">
        <v>10</v>
      </c>
    </row>
    <row r="836" spans="2:9" x14ac:dyDescent="0.3">
      <c r="B836" t="s">
        <v>732</v>
      </c>
      <c r="C836" t="s">
        <v>2031</v>
      </c>
      <c r="D836" t="s">
        <v>2658</v>
      </c>
      <c r="E836" s="24">
        <v>38089</v>
      </c>
      <c r="F836">
        <v>10</v>
      </c>
      <c r="G836">
        <v>1</v>
      </c>
      <c r="H836" t="s">
        <v>3749</v>
      </c>
      <c r="I836">
        <v>10</v>
      </c>
    </row>
    <row r="837" spans="2:9" x14ac:dyDescent="0.3">
      <c r="B837" t="s">
        <v>3750</v>
      </c>
      <c r="C837" t="s">
        <v>3751</v>
      </c>
      <c r="D837" t="s">
        <v>2658</v>
      </c>
      <c r="E837" s="24">
        <v>42552</v>
      </c>
      <c r="F837">
        <v>10</v>
      </c>
      <c r="G837">
        <v>1</v>
      </c>
      <c r="H837" t="s">
        <v>3752</v>
      </c>
      <c r="I837">
        <v>10</v>
      </c>
    </row>
    <row r="838" spans="2:9" x14ac:dyDescent="0.3">
      <c r="B838" t="s">
        <v>733</v>
      </c>
      <c r="C838" t="s">
        <v>2032</v>
      </c>
      <c r="D838" t="s">
        <v>2658</v>
      </c>
      <c r="E838" s="24">
        <v>39324</v>
      </c>
      <c r="F838">
        <v>10</v>
      </c>
      <c r="G838">
        <v>1</v>
      </c>
      <c r="H838" t="s">
        <v>3753</v>
      </c>
      <c r="I838">
        <v>10</v>
      </c>
    </row>
    <row r="839" spans="2:9" x14ac:dyDescent="0.3">
      <c r="B839" t="s">
        <v>734</v>
      </c>
      <c r="C839" t="s">
        <v>2033</v>
      </c>
      <c r="D839" t="s">
        <v>2658</v>
      </c>
      <c r="E839" s="24">
        <v>36656</v>
      </c>
      <c r="F839">
        <v>10</v>
      </c>
      <c r="G839">
        <v>1</v>
      </c>
      <c r="H839" t="s">
        <v>3754</v>
      </c>
      <c r="I839">
        <v>10</v>
      </c>
    </row>
    <row r="840" spans="2:9" x14ac:dyDescent="0.3">
      <c r="B840" t="s">
        <v>735</v>
      </c>
      <c r="C840" t="s">
        <v>2034</v>
      </c>
      <c r="D840" t="s">
        <v>2658</v>
      </c>
      <c r="E840" s="24">
        <v>34738</v>
      </c>
      <c r="F840">
        <v>10</v>
      </c>
      <c r="G840">
        <v>1</v>
      </c>
      <c r="H840" t="s">
        <v>3755</v>
      </c>
      <c r="I840">
        <v>10</v>
      </c>
    </row>
    <row r="841" spans="2:9" x14ac:dyDescent="0.3">
      <c r="B841" t="s">
        <v>736</v>
      </c>
      <c r="C841" t="s">
        <v>2035</v>
      </c>
      <c r="D841" t="s">
        <v>2658</v>
      </c>
      <c r="E841" s="24">
        <v>38224</v>
      </c>
      <c r="F841">
        <v>5</v>
      </c>
      <c r="G841">
        <v>1</v>
      </c>
      <c r="H841" t="s">
        <v>3756</v>
      </c>
      <c r="I841">
        <v>5</v>
      </c>
    </row>
    <row r="842" spans="2:9" x14ac:dyDescent="0.3">
      <c r="B842" t="s">
        <v>737</v>
      </c>
      <c r="C842" t="s">
        <v>2036</v>
      </c>
      <c r="D842" t="s">
        <v>2658</v>
      </c>
      <c r="E842" s="24">
        <v>40729</v>
      </c>
      <c r="F842">
        <v>10</v>
      </c>
      <c r="G842">
        <v>1</v>
      </c>
      <c r="H842" t="s">
        <v>3757</v>
      </c>
      <c r="I842">
        <v>10</v>
      </c>
    </row>
    <row r="843" spans="2:9" x14ac:dyDescent="0.3">
      <c r="B843" t="s">
        <v>3758</v>
      </c>
      <c r="C843" t="s">
        <v>3759</v>
      </c>
      <c r="D843" t="s">
        <v>2658</v>
      </c>
      <c r="E843" s="24">
        <v>42235</v>
      </c>
      <c r="F843">
        <v>5</v>
      </c>
      <c r="G843">
        <v>1</v>
      </c>
      <c r="H843" t="s">
        <v>3760</v>
      </c>
      <c r="I843">
        <v>5</v>
      </c>
    </row>
    <row r="844" spans="2:9" x14ac:dyDescent="0.3">
      <c r="B844" t="s">
        <v>738</v>
      </c>
      <c r="C844" t="s">
        <v>2037</v>
      </c>
      <c r="D844" t="s">
        <v>2658</v>
      </c>
      <c r="E844" s="24">
        <v>38812</v>
      </c>
      <c r="F844">
        <v>10</v>
      </c>
      <c r="G844">
        <v>1</v>
      </c>
      <c r="H844" t="s">
        <v>3761</v>
      </c>
      <c r="I844">
        <v>10</v>
      </c>
    </row>
    <row r="845" spans="2:9" x14ac:dyDescent="0.3">
      <c r="B845" t="s">
        <v>739</v>
      </c>
      <c r="C845" t="s">
        <v>2038</v>
      </c>
      <c r="D845" t="s">
        <v>2686</v>
      </c>
      <c r="E845" s="24">
        <v>36628</v>
      </c>
      <c r="F845">
        <v>10</v>
      </c>
      <c r="G845">
        <v>1</v>
      </c>
      <c r="H845" t="s">
        <v>3762</v>
      </c>
      <c r="I845">
        <v>10</v>
      </c>
    </row>
    <row r="846" spans="2:9" x14ac:dyDescent="0.3">
      <c r="B846" t="s">
        <v>3763</v>
      </c>
      <c r="C846" t="s">
        <v>3764</v>
      </c>
      <c r="D846" t="s">
        <v>2686</v>
      </c>
      <c r="E846" s="24">
        <v>42093</v>
      </c>
      <c r="F846">
        <v>1</v>
      </c>
      <c r="G846">
        <v>1</v>
      </c>
      <c r="H846" t="s">
        <v>3765</v>
      </c>
      <c r="I846">
        <v>1</v>
      </c>
    </row>
    <row r="847" spans="2:9" x14ac:dyDescent="0.3">
      <c r="B847" t="s">
        <v>3766</v>
      </c>
      <c r="C847" t="s">
        <v>3767</v>
      </c>
      <c r="D847" t="s">
        <v>2658</v>
      </c>
      <c r="E847" s="24">
        <v>42093</v>
      </c>
      <c r="F847">
        <v>1</v>
      </c>
      <c r="G847">
        <v>1</v>
      </c>
      <c r="H847" t="s">
        <v>3768</v>
      </c>
      <c r="I847">
        <v>1</v>
      </c>
    </row>
    <row r="848" spans="2:9" x14ac:dyDescent="0.3">
      <c r="B848" t="s">
        <v>3769</v>
      </c>
      <c r="C848" t="s">
        <v>3770</v>
      </c>
      <c r="D848" t="s">
        <v>2686</v>
      </c>
      <c r="E848" s="24">
        <v>42093</v>
      </c>
      <c r="F848">
        <v>1</v>
      </c>
      <c r="G848">
        <v>1</v>
      </c>
      <c r="H848" t="s">
        <v>3771</v>
      </c>
      <c r="I848">
        <v>1</v>
      </c>
    </row>
    <row r="849" spans="2:9" x14ac:dyDescent="0.3">
      <c r="B849" t="s">
        <v>740</v>
      </c>
      <c r="C849" t="s">
        <v>2039</v>
      </c>
      <c r="D849" t="s">
        <v>2658</v>
      </c>
      <c r="E849" s="24">
        <v>39455</v>
      </c>
      <c r="F849">
        <v>2</v>
      </c>
      <c r="G849">
        <v>1</v>
      </c>
      <c r="H849" t="s">
        <v>3772</v>
      </c>
      <c r="I849">
        <v>2</v>
      </c>
    </row>
    <row r="850" spans="2:9" x14ac:dyDescent="0.3">
      <c r="B850" t="s">
        <v>3773</v>
      </c>
      <c r="C850" t="s">
        <v>3774</v>
      </c>
      <c r="D850" t="s">
        <v>2658</v>
      </c>
      <c r="E850" s="24">
        <v>42093</v>
      </c>
      <c r="F850">
        <v>1</v>
      </c>
      <c r="G850">
        <v>1</v>
      </c>
      <c r="H850" t="s">
        <v>3775</v>
      </c>
      <c r="I850">
        <v>1</v>
      </c>
    </row>
    <row r="851" spans="2:9" x14ac:dyDescent="0.3">
      <c r="B851" t="s">
        <v>741</v>
      </c>
      <c r="C851" t="s">
        <v>2040</v>
      </c>
      <c r="D851" t="s">
        <v>2658</v>
      </c>
      <c r="E851" s="24">
        <v>39057</v>
      </c>
      <c r="F851">
        <v>5</v>
      </c>
      <c r="G851">
        <v>1</v>
      </c>
      <c r="H851" t="s">
        <v>3776</v>
      </c>
      <c r="I851">
        <v>5</v>
      </c>
    </row>
    <row r="852" spans="2:9" x14ac:dyDescent="0.3">
      <c r="B852" t="s">
        <v>3777</v>
      </c>
      <c r="C852" t="s">
        <v>3778</v>
      </c>
      <c r="D852" t="s">
        <v>2658</v>
      </c>
      <c r="E852" s="24">
        <v>41974</v>
      </c>
      <c r="F852">
        <v>2</v>
      </c>
      <c r="G852">
        <v>1</v>
      </c>
      <c r="H852" t="s">
        <v>3779</v>
      </c>
      <c r="I852">
        <v>2</v>
      </c>
    </row>
    <row r="853" spans="2:9" x14ac:dyDescent="0.3">
      <c r="B853" t="s">
        <v>742</v>
      </c>
      <c r="C853" t="s">
        <v>2041</v>
      </c>
      <c r="D853" t="s">
        <v>2658</v>
      </c>
      <c r="E853" s="24">
        <v>40317</v>
      </c>
      <c r="F853">
        <v>10</v>
      </c>
      <c r="G853">
        <v>1</v>
      </c>
      <c r="H853" t="s">
        <v>3780</v>
      </c>
      <c r="I853">
        <v>10</v>
      </c>
    </row>
    <row r="854" spans="2:9" x14ac:dyDescent="0.3">
      <c r="B854" t="s">
        <v>743</v>
      </c>
      <c r="C854" t="s">
        <v>2042</v>
      </c>
      <c r="D854" t="s">
        <v>2658</v>
      </c>
      <c r="E854" s="24">
        <v>38495</v>
      </c>
      <c r="F854">
        <v>10</v>
      </c>
      <c r="G854">
        <v>1</v>
      </c>
      <c r="H854" t="s">
        <v>3781</v>
      </c>
      <c r="I854">
        <v>10</v>
      </c>
    </row>
    <row r="855" spans="2:9" x14ac:dyDescent="0.3">
      <c r="B855" t="s">
        <v>744</v>
      </c>
      <c r="C855" t="s">
        <v>2043</v>
      </c>
      <c r="D855" t="s">
        <v>2658</v>
      </c>
      <c r="E855" s="24">
        <v>39377</v>
      </c>
      <c r="F855">
        <v>10</v>
      </c>
      <c r="G855">
        <v>1</v>
      </c>
      <c r="H855" t="s">
        <v>3782</v>
      </c>
      <c r="I855">
        <v>10</v>
      </c>
    </row>
    <row r="856" spans="2:9" x14ac:dyDescent="0.3">
      <c r="B856" t="s">
        <v>745</v>
      </c>
      <c r="C856" t="s">
        <v>2044</v>
      </c>
      <c r="D856" t="s">
        <v>2658</v>
      </c>
      <c r="E856" s="24">
        <v>35067</v>
      </c>
      <c r="F856">
        <v>10</v>
      </c>
      <c r="G856">
        <v>1</v>
      </c>
      <c r="H856" t="s">
        <v>3783</v>
      </c>
      <c r="I856">
        <v>10</v>
      </c>
    </row>
    <row r="857" spans="2:9" x14ac:dyDescent="0.3">
      <c r="B857" t="s">
        <v>746</v>
      </c>
      <c r="C857" t="s">
        <v>2045</v>
      </c>
      <c r="D857" t="s">
        <v>2658</v>
      </c>
      <c r="E857" s="24">
        <v>34907</v>
      </c>
      <c r="F857">
        <v>10</v>
      </c>
      <c r="G857">
        <v>1</v>
      </c>
      <c r="H857" t="s">
        <v>3784</v>
      </c>
      <c r="I857">
        <v>10</v>
      </c>
    </row>
    <row r="858" spans="2:9" x14ac:dyDescent="0.3">
      <c r="B858" t="s">
        <v>747</v>
      </c>
      <c r="C858" t="s">
        <v>2046</v>
      </c>
      <c r="D858" t="s">
        <v>2658</v>
      </c>
      <c r="E858" s="24">
        <v>38527</v>
      </c>
      <c r="F858">
        <v>5</v>
      </c>
      <c r="G858">
        <v>1</v>
      </c>
      <c r="H858" t="s">
        <v>3785</v>
      </c>
      <c r="I858">
        <v>5</v>
      </c>
    </row>
    <row r="859" spans="2:9" x14ac:dyDescent="0.3">
      <c r="B859" t="s">
        <v>748</v>
      </c>
      <c r="C859" t="s">
        <v>2047</v>
      </c>
      <c r="D859" t="s">
        <v>2658</v>
      </c>
      <c r="E859" s="24">
        <v>40248</v>
      </c>
      <c r="F859">
        <v>2</v>
      </c>
      <c r="G859">
        <v>1</v>
      </c>
      <c r="H859" t="s">
        <v>3786</v>
      </c>
      <c r="I859">
        <v>2</v>
      </c>
    </row>
    <row r="860" spans="2:9" x14ac:dyDescent="0.3">
      <c r="B860" t="s">
        <v>3787</v>
      </c>
      <c r="C860" t="s">
        <v>3788</v>
      </c>
      <c r="D860" t="s">
        <v>2658</v>
      </c>
      <c r="E860" s="24">
        <v>42194</v>
      </c>
      <c r="F860">
        <v>10</v>
      </c>
      <c r="G860">
        <v>1</v>
      </c>
      <c r="H860" t="s">
        <v>3789</v>
      </c>
      <c r="I860">
        <v>10</v>
      </c>
    </row>
    <row r="861" spans="2:9" x14ac:dyDescent="0.3">
      <c r="B861" t="s">
        <v>749</v>
      </c>
      <c r="C861" t="s">
        <v>2048</v>
      </c>
      <c r="D861" t="s">
        <v>2658</v>
      </c>
      <c r="E861" s="24">
        <v>38974</v>
      </c>
      <c r="F861">
        <v>2</v>
      </c>
      <c r="G861">
        <v>1</v>
      </c>
      <c r="H861" t="s">
        <v>3790</v>
      </c>
      <c r="I861">
        <v>2</v>
      </c>
    </row>
    <row r="862" spans="2:9" x14ac:dyDescent="0.3">
      <c r="B862" t="s">
        <v>750</v>
      </c>
      <c r="C862" t="s">
        <v>2049</v>
      </c>
      <c r="D862" t="s">
        <v>2658</v>
      </c>
      <c r="E862" s="24">
        <v>34738</v>
      </c>
      <c r="F862">
        <v>10</v>
      </c>
      <c r="G862">
        <v>1</v>
      </c>
      <c r="H862" t="s">
        <v>3791</v>
      </c>
      <c r="I862">
        <v>10</v>
      </c>
    </row>
    <row r="863" spans="2:9" x14ac:dyDescent="0.3">
      <c r="B863" t="s">
        <v>3792</v>
      </c>
      <c r="C863" t="s">
        <v>3793</v>
      </c>
      <c r="D863" t="s">
        <v>2658</v>
      </c>
      <c r="E863" s="24">
        <v>42642</v>
      </c>
      <c r="F863">
        <v>10</v>
      </c>
      <c r="G863">
        <v>1</v>
      </c>
      <c r="H863" t="s">
        <v>3794</v>
      </c>
      <c r="I863">
        <v>10</v>
      </c>
    </row>
    <row r="864" spans="2:9" x14ac:dyDescent="0.3">
      <c r="B864" t="s">
        <v>751</v>
      </c>
      <c r="C864" t="s">
        <v>2050</v>
      </c>
      <c r="D864" t="s">
        <v>2658</v>
      </c>
      <c r="E864" s="24">
        <v>35186</v>
      </c>
      <c r="F864">
        <v>1</v>
      </c>
      <c r="G864">
        <v>1</v>
      </c>
      <c r="H864" t="s">
        <v>3795</v>
      </c>
      <c r="I864">
        <v>1</v>
      </c>
    </row>
    <row r="865" spans="2:9" x14ac:dyDescent="0.3">
      <c r="B865" t="s">
        <v>752</v>
      </c>
      <c r="C865" t="s">
        <v>2051</v>
      </c>
      <c r="D865" t="s">
        <v>2658</v>
      </c>
      <c r="E865" s="24">
        <v>37277</v>
      </c>
      <c r="F865">
        <v>1</v>
      </c>
      <c r="G865">
        <v>1</v>
      </c>
      <c r="H865" t="s">
        <v>3796</v>
      </c>
      <c r="I865">
        <v>1</v>
      </c>
    </row>
    <row r="866" spans="2:9" x14ac:dyDescent="0.3">
      <c r="B866" t="s">
        <v>753</v>
      </c>
      <c r="C866" t="s">
        <v>2052</v>
      </c>
      <c r="D866" t="s">
        <v>2658</v>
      </c>
      <c r="E866" s="24">
        <v>37811</v>
      </c>
      <c r="F866">
        <v>5</v>
      </c>
      <c r="G866">
        <v>1</v>
      </c>
      <c r="H866" t="s">
        <v>3797</v>
      </c>
      <c r="I866">
        <v>5</v>
      </c>
    </row>
    <row r="867" spans="2:9" x14ac:dyDescent="0.3">
      <c r="B867" t="s">
        <v>3798</v>
      </c>
      <c r="C867" t="s">
        <v>3799</v>
      </c>
      <c r="D867" t="s">
        <v>2686</v>
      </c>
      <c r="E867" s="24">
        <v>42657</v>
      </c>
      <c r="F867">
        <v>10</v>
      </c>
      <c r="G867">
        <v>1</v>
      </c>
      <c r="H867" t="s">
        <v>3800</v>
      </c>
      <c r="I867">
        <v>10</v>
      </c>
    </row>
    <row r="868" spans="2:9" x14ac:dyDescent="0.3">
      <c r="B868" t="s">
        <v>754</v>
      </c>
      <c r="C868" t="s">
        <v>2053</v>
      </c>
      <c r="D868" t="s">
        <v>2658</v>
      </c>
      <c r="E868" s="24">
        <v>34829</v>
      </c>
      <c r="F868">
        <v>5</v>
      </c>
      <c r="G868">
        <v>1</v>
      </c>
      <c r="H868" t="s">
        <v>3801</v>
      </c>
      <c r="I868">
        <v>5</v>
      </c>
    </row>
    <row r="869" spans="2:9" x14ac:dyDescent="0.3">
      <c r="B869" t="s">
        <v>755</v>
      </c>
      <c r="C869" t="s">
        <v>2054</v>
      </c>
      <c r="D869" t="s">
        <v>2658</v>
      </c>
      <c r="E869" s="24">
        <v>39892</v>
      </c>
      <c r="F869">
        <v>10</v>
      </c>
      <c r="G869">
        <v>1</v>
      </c>
      <c r="H869" t="s">
        <v>3802</v>
      </c>
      <c r="I869">
        <v>10</v>
      </c>
    </row>
    <row r="870" spans="2:9" x14ac:dyDescent="0.3">
      <c r="B870" t="s">
        <v>3803</v>
      </c>
      <c r="C870" t="s">
        <v>2055</v>
      </c>
      <c r="D870" t="s">
        <v>2658</v>
      </c>
      <c r="E870" s="24">
        <v>42565</v>
      </c>
      <c r="F870">
        <v>2</v>
      </c>
      <c r="G870">
        <v>1</v>
      </c>
      <c r="H870" t="s">
        <v>3804</v>
      </c>
      <c r="I870">
        <v>2</v>
      </c>
    </row>
    <row r="871" spans="2:9" x14ac:dyDescent="0.3">
      <c r="B871" t="s">
        <v>3805</v>
      </c>
      <c r="C871" t="s">
        <v>3806</v>
      </c>
      <c r="D871" t="s">
        <v>2658</v>
      </c>
      <c r="E871" s="24">
        <v>42543</v>
      </c>
      <c r="F871">
        <v>10</v>
      </c>
      <c r="G871">
        <v>1</v>
      </c>
      <c r="H871" t="s">
        <v>3807</v>
      </c>
      <c r="I871">
        <v>10</v>
      </c>
    </row>
    <row r="872" spans="2:9" x14ac:dyDescent="0.3">
      <c r="B872" t="s">
        <v>756</v>
      </c>
      <c r="C872" t="s">
        <v>2056</v>
      </c>
      <c r="D872" t="s">
        <v>2658</v>
      </c>
      <c r="E872" s="24">
        <v>41177</v>
      </c>
      <c r="F872">
        <v>5</v>
      </c>
      <c r="G872">
        <v>1</v>
      </c>
      <c r="H872" t="s">
        <v>3808</v>
      </c>
      <c r="I872">
        <v>5</v>
      </c>
    </row>
    <row r="873" spans="2:9" x14ac:dyDescent="0.3">
      <c r="B873" t="s">
        <v>3809</v>
      </c>
      <c r="C873" t="s">
        <v>3810</v>
      </c>
      <c r="D873" t="s">
        <v>2658</v>
      </c>
      <c r="E873" s="24">
        <v>42675</v>
      </c>
      <c r="F873">
        <v>10</v>
      </c>
      <c r="G873">
        <v>1</v>
      </c>
      <c r="H873" t="s">
        <v>3811</v>
      </c>
      <c r="I873">
        <v>10</v>
      </c>
    </row>
    <row r="874" spans="2:9" x14ac:dyDescent="0.3">
      <c r="B874" t="s">
        <v>757</v>
      </c>
      <c r="C874" t="s">
        <v>2057</v>
      </c>
      <c r="D874" t="s">
        <v>2658</v>
      </c>
      <c r="E874" s="24">
        <v>38996</v>
      </c>
      <c r="F874">
        <v>10</v>
      </c>
      <c r="G874">
        <v>1</v>
      </c>
      <c r="H874" t="s">
        <v>3812</v>
      </c>
      <c r="I874">
        <v>10</v>
      </c>
    </row>
    <row r="875" spans="2:9" x14ac:dyDescent="0.3">
      <c r="B875" t="s">
        <v>758</v>
      </c>
      <c r="C875" t="s">
        <v>2058</v>
      </c>
      <c r="D875" t="s">
        <v>2658</v>
      </c>
      <c r="E875" s="24">
        <v>40189</v>
      </c>
      <c r="F875">
        <v>10</v>
      </c>
      <c r="G875">
        <v>1</v>
      </c>
      <c r="H875" t="s">
        <v>3813</v>
      </c>
      <c r="I875">
        <v>10</v>
      </c>
    </row>
    <row r="876" spans="2:9" x14ac:dyDescent="0.3">
      <c r="B876" t="s">
        <v>759</v>
      </c>
      <c r="C876" t="s">
        <v>2059</v>
      </c>
      <c r="D876" t="s">
        <v>2658</v>
      </c>
      <c r="E876" s="24">
        <v>39232</v>
      </c>
      <c r="F876">
        <v>10</v>
      </c>
      <c r="G876">
        <v>1</v>
      </c>
      <c r="H876" t="s">
        <v>3814</v>
      </c>
      <c r="I876">
        <v>10</v>
      </c>
    </row>
    <row r="877" spans="2:9" x14ac:dyDescent="0.3">
      <c r="B877" t="s">
        <v>760</v>
      </c>
      <c r="C877" t="s">
        <v>2060</v>
      </c>
      <c r="D877" t="s">
        <v>2658</v>
      </c>
      <c r="E877" s="24">
        <v>37161</v>
      </c>
      <c r="F877">
        <v>10</v>
      </c>
      <c r="G877">
        <v>1</v>
      </c>
      <c r="H877" t="s">
        <v>3815</v>
      </c>
      <c r="I877">
        <v>10</v>
      </c>
    </row>
    <row r="878" spans="2:9" x14ac:dyDescent="0.3">
      <c r="B878" t="s">
        <v>761</v>
      </c>
      <c r="C878" t="s">
        <v>2061</v>
      </c>
      <c r="D878" t="s">
        <v>2658</v>
      </c>
      <c r="E878" s="24">
        <v>38562</v>
      </c>
      <c r="F878">
        <v>5</v>
      </c>
      <c r="G878">
        <v>1</v>
      </c>
      <c r="H878" t="s">
        <v>3816</v>
      </c>
      <c r="I878">
        <v>5</v>
      </c>
    </row>
    <row r="879" spans="2:9" x14ac:dyDescent="0.3">
      <c r="B879" t="s">
        <v>3817</v>
      </c>
      <c r="C879" t="s">
        <v>3818</v>
      </c>
      <c r="D879" t="s">
        <v>2658</v>
      </c>
      <c r="E879" s="24">
        <v>40977</v>
      </c>
      <c r="F879">
        <v>10</v>
      </c>
      <c r="G879">
        <v>1</v>
      </c>
      <c r="H879" t="s">
        <v>3819</v>
      </c>
      <c r="I879">
        <v>10</v>
      </c>
    </row>
    <row r="880" spans="2:9" x14ac:dyDescent="0.3">
      <c r="B880" t="s">
        <v>762</v>
      </c>
      <c r="C880" t="s">
        <v>2062</v>
      </c>
      <c r="D880" t="s">
        <v>2658</v>
      </c>
      <c r="E880" s="24">
        <v>39282</v>
      </c>
      <c r="F880">
        <v>10</v>
      </c>
      <c r="G880">
        <v>1</v>
      </c>
      <c r="H880" t="s">
        <v>3820</v>
      </c>
      <c r="I880">
        <v>10</v>
      </c>
    </row>
    <row r="881" spans="2:9" x14ac:dyDescent="0.3">
      <c r="B881" t="s">
        <v>763</v>
      </c>
      <c r="C881" t="s">
        <v>2063</v>
      </c>
      <c r="D881" t="s">
        <v>2658</v>
      </c>
      <c r="E881" s="24">
        <v>39261</v>
      </c>
      <c r="F881">
        <v>1</v>
      </c>
      <c r="G881">
        <v>1</v>
      </c>
      <c r="H881" t="s">
        <v>3821</v>
      </c>
      <c r="I881">
        <v>1</v>
      </c>
    </row>
    <row r="882" spans="2:9" x14ac:dyDescent="0.3">
      <c r="B882" t="s">
        <v>1318</v>
      </c>
      <c r="C882" t="s">
        <v>2064</v>
      </c>
      <c r="D882" t="s">
        <v>2686</v>
      </c>
      <c r="E882" s="24">
        <v>36592</v>
      </c>
      <c r="F882">
        <v>10</v>
      </c>
      <c r="G882">
        <v>1</v>
      </c>
      <c r="H882" t="s">
        <v>3822</v>
      </c>
      <c r="I882">
        <v>10</v>
      </c>
    </row>
    <row r="883" spans="2:9" x14ac:dyDescent="0.3">
      <c r="B883" t="s">
        <v>3823</v>
      </c>
      <c r="C883" t="s">
        <v>3824</v>
      </c>
      <c r="D883" t="s">
        <v>2658</v>
      </c>
      <c r="E883" s="24">
        <v>42072</v>
      </c>
      <c r="F883">
        <v>1</v>
      </c>
      <c r="G883">
        <v>1</v>
      </c>
      <c r="H883" t="s">
        <v>3825</v>
      </c>
      <c r="I883">
        <v>1</v>
      </c>
    </row>
    <row r="884" spans="2:9" x14ac:dyDescent="0.3">
      <c r="B884" t="s">
        <v>3826</v>
      </c>
      <c r="C884" t="s">
        <v>3827</v>
      </c>
      <c r="D884" t="s">
        <v>2658</v>
      </c>
      <c r="E884" s="24">
        <v>42130</v>
      </c>
      <c r="F884">
        <v>10</v>
      </c>
      <c r="G884">
        <v>1</v>
      </c>
      <c r="H884" t="s">
        <v>3828</v>
      </c>
      <c r="I884">
        <v>10</v>
      </c>
    </row>
    <row r="885" spans="2:9" x14ac:dyDescent="0.3">
      <c r="B885" t="s">
        <v>764</v>
      </c>
      <c r="C885" t="s">
        <v>2065</v>
      </c>
      <c r="D885" t="s">
        <v>2658</v>
      </c>
      <c r="E885" s="24">
        <v>38523</v>
      </c>
      <c r="F885">
        <v>1</v>
      </c>
      <c r="G885">
        <v>1</v>
      </c>
      <c r="H885" t="s">
        <v>3829</v>
      </c>
      <c r="I885">
        <v>1</v>
      </c>
    </row>
    <row r="886" spans="2:9" x14ac:dyDescent="0.3">
      <c r="B886" t="s">
        <v>765</v>
      </c>
      <c r="C886" t="s">
        <v>2066</v>
      </c>
      <c r="D886" t="s">
        <v>2658</v>
      </c>
      <c r="E886" s="24">
        <v>35179</v>
      </c>
      <c r="F886">
        <v>10</v>
      </c>
      <c r="G886">
        <v>1</v>
      </c>
      <c r="H886" t="s">
        <v>3830</v>
      </c>
      <c r="I886">
        <v>10</v>
      </c>
    </row>
    <row r="887" spans="2:9" x14ac:dyDescent="0.3">
      <c r="B887" t="s">
        <v>3831</v>
      </c>
      <c r="C887" t="s">
        <v>3832</v>
      </c>
      <c r="D887" t="s">
        <v>2658</v>
      </c>
      <c r="E887" s="24">
        <v>34934</v>
      </c>
      <c r="F887">
        <v>10</v>
      </c>
      <c r="G887">
        <v>1</v>
      </c>
      <c r="H887" t="s">
        <v>3833</v>
      </c>
      <c r="I887">
        <v>10</v>
      </c>
    </row>
    <row r="888" spans="2:9" x14ac:dyDescent="0.3">
      <c r="B888" t="s">
        <v>766</v>
      </c>
      <c r="C888" t="s">
        <v>2067</v>
      </c>
      <c r="D888" t="s">
        <v>2686</v>
      </c>
      <c r="E888" s="24">
        <v>39629</v>
      </c>
      <c r="F888">
        <v>2</v>
      </c>
      <c r="G888">
        <v>1</v>
      </c>
      <c r="H888" t="s">
        <v>3834</v>
      </c>
      <c r="I888">
        <v>2</v>
      </c>
    </row>
    <row r="889" spans="2:9" x14ac:dyDescent="0.3">
      <c r="B889" t="s">
        <v>3835</v>
      </c>
      <c r="C889" t="s">
        <v>3836</v>
      </c>
      <c r="D889" t="s">
        <v>2658</v>
      </c>
      <c r="E889" s="24">
        <v>36663</v>
      </c>
      <c r="F889">
        <v>2</v>
      </c>
      <c r="G889">
        <v>1</v>
      </c>
      <c r="H889" t="s">
        <v>3837</v>
      </c>
      <c r="I889">
        <v>2</v>
      </c>
    </row>
    <row r="890" spans="2:9" x14ac:dyDescent="0.3">
      <c r="B890" t="s">
        <v>3838</v>
      </c>
      <c r="C890" t="s">
        <v>3839</v>
      </c>
      <c r="D890" t="s">
        <v>2658</v>
      </c>
      <c r="E890" s="24">
        <v>42552</v>
      </c>
      <c r="F890">
        <v>10</v>
      </c>
      <c r="G890">
        <v>1</v>
      </c>
      <c r="H890" t="s">
        <v>3840</v>
      </c>
      <c r="I890">
        <v>10</v>
      </c>
    </row>
    <row r="891" spans="2:9" x14ac:dyDescent="0.3">
      <c r="B891" t="s">
        <v>767</v>
      </c>
      <c r="C891" t="s">
        <v>2068</v>
      </c>
      <c r="D891" t="s">
        <v>2658</v>
      </c>
      <c r="E891" s="24">
        <v>40010</v>
      </c>
      <c r="F891">
        <v>10</v>
      </c>
      <c r="G891">
        <v>1</v>
      </c>
      <c r="H891" t="s">
        <v>3841</v>
      </c>
      <c r="I891">
        <v>10</v>
      </c>
    </row>
    <row r="892" spans="2:9" x14ac:dyDescent="0.3">
      <c r="B892" t="s">
        <v>768</v>
      </c>
      <c r="C892" t="s">
        <v>2069</v>
      </c>
      <c r="D892" t="s">
        <v>2658</v>
      </c>
      <c r="E892" s="24">
        <v>39232</v>
      </c>
      <c r="F892">
        <v>2</v>
      </c>
      <c r="G892">
        <v>1</v>
      </c>
      <c r="H892" t="s">
        <v>3842</v>
      </c>
      <c r="I892">
        <v>2</v>
      </c>
    </row>
    <row r="893" spans="2:9" x14ac:dyDescent="0.3">
      <c r="B893" t="s">
        <v>769</v>
      </c>
      <c r="C893" t="s">
        <v>2070</v>
      </c>
      <c r="D893" t="s">
        <v>2658</v>
      </c>
      <c r="E893" s="24">
        <v>41928</v>
      </c>
      <c r="F893">
        <v>2</v>
      </c>
      <c r="G893">
        <v>1</v>
      </c>
      <c r="H893" t="s">
        <v>3843</v>
      </c>
      <c r="I893">
        <v>2</v>
      </c>
    </row>
    <row r="894" spans="2:9" x14ac:dyDescent="0.3">
      <c r="B894" t="s">
        <v>770</v>
      </c>
      <c r="C894" t="s">
        <v>2071</v>
      </c>
      <c r="D894" t="s">
        <v>2658</v>
      </c>
      <c r="E894" s="24">
        <v>39115</v>
      </c>
      <c r="F894">
        <v>2</v>
      </c>
      <c r="G894">
        <v>1</v>
      </c>
      <c r="H894" t="s">
        <v>3844</v>
      </c>
      <c r="I894">
        <v>2</v>
      </c>
    </row>
    <row r="895" spans="2:9" x14ac:dyDescent="0.3">
      <c r="B895" t="s">
        <v>3845</v>
      </c>
      <c r="C895" t="s">
        <v>3846</v>
      </c>
      <c r="D895" t="s">
        <v>2658</v>
      </c>
      <c r="E895" s="24">
        <v>42584</v>
      </c>
      <c r="F895">
        <v>10</v>
      </c>
      <c r="G895">
        <v>1</v>
      </c>
      <c r="H895" t="s">
        <v>3847</v>
      </c>
      <c r="I895">
        <v>10</v>
      </c>
    </row>
    <row r="896" spans="2:9" x14ac:dyDescent="0.3">
      <c r="B896" t="s">
        <v>77</v>
      </c>
      <c r="C896" t="s">
        <v>2072</v>
      </c>
      <c r="D896" t="s">
        <v>2658</v>
      </c>
      <c r="E896" s="24">
        <v>39148</v>
      </c>
      <c r="F896">
        <v>10</v>
      </c>
      <c r="G896">
        <v>1</v>
      </c>
      <c r="H896" t="s">
        <v>3848</v>
      </c>
      <c r="I896">
        <v>10</v>
      </c>
    </row>
    <row r="897" spans="2:9" x14ac:dyDescent="0.3">
      <c r="B897" t="s">
        <v>771</v>
      </c>
      <c r="C897" t="s">
        <v>2073</v>
      </c>
      <c r="D897" t="s">
        <v>2658</v>
      </c>
      <c r="E897" s="24">
        <v>38131</v>
      </c>
      <c r="F897">
        <v>1</v>
      </c>
      <c r="G897">
        <v>1</v>
      </c>
      <c r="H897" t="s">
        <v>3849</v>
      </c>
      <c r="I897">
        <v>1</v>
      </c>
    </row>
    <row r="898" spans="2:9" x14ac:dyDescent="0.3">
      <c r="B898" t="s">
        <v>772</v>
      </c>
      <c r="C898" t="s">
        <v>2074</v>
      </c>
      <c r="D898" t="s">
        <v>2658</v>
      </c>
      <c r="E898" s="24">
        <v>36278</v>
      </c>
      <c r="F898">
        <v>2</v>
      </c>
      <c r="G898">
        <v>1</v>
      </c>
      <c r="H898" t="s">
        <v>3850</v>
      </c>
      <c r="I898">
        <v>2</v>
      </c>
    </row>
    <row r="899" spans="2:9" x14ac:dyDescent="0.3">
      <c r="B899" t="s">
        <v>773</v>
      </c>
      <c r="C899" t="s">
        <v>2075</v>
      </c>
      <c r="D899" t="s">
        <v>2658</v>
      </c>
      <c r="E899" s="24">
        <v>39071</v>
      </c>
      <c r="F899">
        <v>10</v>
      </c>
      <c r="G899">
        <v>1</v>
      </c>
      <c r="H899" t="s">
        <v>3851</v>
      </c>
      <c r="I899">
        <v>10</v>
      </c>
    </row>
    <row r="900" spans="2:9" x14ac:dyDescent="0.3">
      <c r="B900" t="s">
        <v>774</v>
      </c>
      <c r="C900" t="s">
        <v>2076</v>
      </c>
      <c r="D900" t="s">
        <v>2658</v>
      </c>
      <c r="E900" s="24">
        <v>41008</v>
      </c>
      <c r="F900">
        <v>1</v>
      </c>
      <c r="G900">
        <v>1</v>
      </c>
      <c r="H900" t="s">
        <v>3852</v>
      </c>
      <c r="I900">
        <v>1</v>
      </c>
    </row>
    <row r="901" spans="2:9" x14ac:dyDescent="0.3">
      <c r="B901" t="s">
        <v>775</v>
      </c>
      <c r="C901" t="s">
        <v>2077</v>
      </c>
      <c r="D901" t="s">
        <v>2658</v>
      </c>
      <c r="E901" s="24">
        <v>41347</v>
      </c>
      <c r="F901">
        <v>10</v>
      </c>
      <c r="G901">
        <v>1</v>
      </c>
      <c r="H901" t="s">
        <v>3853</v>
      </c>
      <c r="I901">
        <v>10</v>
      </c>
    </row>
    <row r="902" spans="2:9" x14ac:dyDescent="0.3">
      <c r="B902" t="s">
        <v>776</v>
      </c>
      <c r="C902" t="s">
        <v>2078</v>
      </c>
      <c r="D902" t="s">
        <v>2658</v>
      </c>
      <c r="E902" s="24">
        <v>40527</v>
      </c>
      <c r="F902">
        <v>10</v>
      </c>
      <c r="G902">
        <v>1</v>
      </c>
      <c r="H902" t="s">
        <v>3854</v>
      </c>
      <c r="I902">
        <v>10</v>
      </c>
    </row>
    <row r="903" spans="2:9" x14ac:dyDescent="0.3">
      <c r="B903" t="s">
        <v>3855</v>
      </c>
      <c r="C903" t="s">
        <v>3856</v>
      </c>
      <c r="D903" t="s">
        <v>2658</v>
      </c>
      <c r="E903" s="24">
        <v>42558</v>
      </c>
      <c r="F903">
        <v>2</v>
      </c>
      <c r="G903">
        <v>1</v>
      </c>
      <c r="H903" t="s">
        <v>3857</v>
      </c>
      <c r="I903">
        <v>2</v>
      </c>
    </row>
    <row r="904" spans="2:9" x14ac:dyDescent="0.3">
      <c r="B904" t="s">
        <v>3858</v>
      </c>
      <c r="C904" t="s">
        <v>3859</v>
      </c>
      <c r="D904" t="s">
        <v>2658</v>
      </c>
      <c r="E904" s="24">
        <v>42058</v>
      </c>
      <c r="F904">
        <v>5</v>
      </c>
      <c r="G904">
        <v>1</v>
      </c>
      <c r="H904" t="s">
        <v>3860</v>
      </c>
      <c r="I904">
        <v>5</v>
      </c>
    </row>
    <row r="905" spans="2:9" x14ac:dyDescent="0.3">
      <c r="B905" t="s">
        <v>777</v>
      </c>
      <c r="C905" t="s">
        <v>2079</v>
      </c>
      <c r="D905" t="s">
        <v>2658</v>
      </c>
      <c r="E905" s="24">
        <v>38152</v>
      </c>
      <c r="F905">
        <v>10</v>
      </c>
      <c r="G905">
        <v>1</v>
      </c>
      <c r="H905" t="s">
        <v>3861</v>
      </c>
      <c r="I905">
        <v>10</v>
      </c>
    </row>
    <row r="906" spans="2:9" x14ac:dyDescent="0.3">
      <c r="B906" t="s">
        <v>778</v>
      </c>
      <c r="C906" t="s">
        <v>2080</v>
      </c>
      <c r="D906" t="s">
        <v>2658</v>
      </c>
      <c r="E906" s="24">
        <v>36544</v>
      </c>
      <c r="F906">
        <v>10</v>
      </c>
      <c r="G906">
        <v>1</v>
      </c>
      <c r="H906" t="s">
        <v>3862</v>
      </c>
      <c r="I906">
        <v>10</v>
      </c>
    </row>
    <row r="907" spans="2:9" x14ac:dyDescent="0.3">
      <c r="B907" t="s">
        <v>3863</v>
      </c>
      <c r="C907" t="s">
        <v>3864</v>
      </c>
      <c r="D907" t="s">
        <v>2658</v>
      </c>
      <c r="E907" s="24">
        <v>41992</v>
      </c>
      <c r="F907">
        <v>10</v>
      </c>
      <c r="G907">
        <v>1</v>
      </c>
      <c r="H907" t="s">
        <v>3865</v>
      </c>
      <c r="I907">
        <v>10</v>
      </c>
    </row>
    <row r="908" spans="2:9" x14ac:dyDescent="0.3">
      <c r="B908" t="s">
        <v>779</v>
      </c>
      <c r="C908" t="s">
        <v>2081</v>
      </c>
      <c r="D908" t="s">
        <v>2658</v>
      </c>
      <c r="E908" s="24">
        <v>41166</v>
      </c>
      <c r="F908">
        <v>7</v>
      </c>
      <c r="G908">
        <v>1</v>
      </c>
      <c r="H908" t="s">
        <v>3866</v>
      </c>
      <c r="I908">
        <v>7</v>
      </c>
    </row>
    <row r="909" spans="2:9" x14ac:dyDescent="0.3">
      <c r="B909" t="s">
        <v>780</v>
      </c>
      <c r="C909" t="s">
        <v>2082</v>
      </c>
      <c r="D909" t="s">
        <v>2658</v>
      </c>
      <c r="E909" s="24">
        <v>36488</v>
      </c>
      <c r="F909">
        <v>2</v>
      </c>
      <c r="G909">
        <v>1</v>
      </c>
      <c r="H909" t="s">
        <v>3867</v>
      </c>
      <c r="I909">
        <v>2</v>
      </c>
    </row>
    <row r="910" spans="2:9" x14ac:dyDescent="0.3">
      <c r="B910" t="s">
        <v>781</v>
      </c>
      <c r="C910" t="s">
        <v>2083</v>
      </c>
      <c r="D910" t="s">
        <v>2658</v>
      </c>
      <c r="E910" s="24">
        <v>37743</v>
      </c>
      <c r="F910">
        <v>10</v>
      </c>
      <c r="G910">
        <v>1</v>
      </c>
      <c r="H910" t="s">
        <v>3868</v>
      </c>
      <c r="I910">
        <v>10</v>
      </c>
    </row>
    <row r="911" spans="2:9" x14ac:dyDescent="0.3">
      <c r="B911" t="s">
        <v>78</v>
      </c>
      <c r="C911" t="s">
        <v>2084</v>
      </c>
      <c r="D911" t="s">
        <v>2658</v>
      </c>
      <c r="E911" s="24">
        <v>35291</v>
      </c>
      <c r="F911">
        <v>1</v>
      </c>
      <c r="G911">
        <v>1</v>
      </c>
      <c r="H911" t="s">
        <v>3869</v>
      </c>
      <c r="I911">
        <v>1</v>
      </c>
    </row>
    <row r="912" spans="2:9" x14ac:dyDescent="0.3">
      <c r="B912" t="s">
        <v>782</v>
      </c>
      <c r="C912" t="s">
        <v>2085</v>
      </c>
      <c r="D912" t="s">
        <v>2658</v>
      </c>
      <c r="E912" s="24">
        <v>39336</v>
      </c>
      <c r="F912">
        <v>1</v>
      </c>
      <c r="G912">
        <v>1</v>
      </c>
      <c r="H912" t="s">
        <v>3870</v>
      </c>
      <c r="I912">
        <v>1</v>
      </c>
    </row>
    <row r="913" spans="2:9" x14ac:dyDescent="0.3">
      <c r="B913" t="s">
        <v>783</v>
      </c>
      <c r="C913" t="s">
        <v>2086</v>
      </c>
      <c r="D913" t="s">
        <v>2686</v>
      </c>
      <c r="E913" s="24">
        <v>36796</v>
      </c>
      <c r="F913">
        <v>10</v>
      </c>
      <c r="G913">
        <v>1</v>
      </c>
      <c r="H913" t="s">
        <v>3871</v>
      </c>
      <c r="I913">
        <v>10</v>
      </c>
    </row>
    <row r="914" spans="2:9" x14ac:dyDescent="0.3">
      <c r="B914" t="s">
        <v>79</v>
      </c>
      <c r="C914" t="s">
        <v>2087</v>
      </c>
      <c r="D914" t="s">
        <v>2658</v>
      </c>
      <c r="E914" s="24">
        <v>38142</v>
      </c>
      <c r="F914">
        <v>10</v>
      </c>
      <c r="G914">
        <v>1</v>
      </c>
      <c r="H914" t="s">
        <v>3872</v>
      </c>
      <c r="I914">
        <v>10</v>
      </c>
    </row>
    <row r="915" spans="2:9" x14ac:dyDescent="0.3">
      <c r="B915" t="s">
        <v>784</v>
      </c>
      <c r="C915" t="s">
        <v>2088</v>
      </c>
      <c r="D915" t="s">
        <v>2658</v>
      </c>
      <c r="E915" s="24">
        <v>37277</v>
      </c>
      <c r="F915">
        <v>10</v>
      </c>
      <c r="G915">
        <v>1</v>
      </c>
      <c r="H915" t="s">
        <v>3873</v>
      </c>
      <c r="I915">
        <v>10</v>
      </c>
    </row>
    <row r="916" spans="2:9" x14ac:dyDescent="0.3">
      <c r="B916" t="s">
        <v>23</v>
      </c>
      <c r="C916" t="s">
        <v>2089</v>
      </c>
      <c r="D916" t="s">
        <v>2658</v>
      </c>
      <c r="E916" s="24">
        <v>35326</v>
      </c>
      <c r="F916">
        <v>10</v>
      </c>
      <c r="G916">
        <v>1</v>
      </c>
      <c r="H916" t="s">
        <v>3874</v>
      </c>
      <c r="I916">
        <v>10</v>
      </c>
    </row>
    <row r="917" spans="2:9" x14ac:dyDescent="0.3">
      <c r="B917" t="s">
        <v>785</v>
      </c>
      <c r="C917" t="s">
        <v>3875</v>
      </c>
      <c r="D917" t="s">
        <v>2658</v>
      </c>
      <c r="E917" s="24">
        <v>36831</v>
      </c>
      <c r="F917">
        <v>5</v>
      </c>
      <c r="G917">
        <v>1</v>
      </c>
      <c r="H917" t="s">
        <v>3876</v>
      </c>
      <c r="I917">
        <v>5</v>
      </c>
    </row>
    <row r="918" spans="2:9" x14ac:dyDescent="0.3">
      <c r="B918" t="s">
        <v>786</v>
      </c>
      <c r="C918" t="s">
        <v>2090</v>
      </c>
      <c r="D918" t="s">
        <v>2658</v>
      </c>
      <c r="E918" s="24">
        <v>38359</v>
      </c>
      <c r="F918">
        <v>10</v>
      </c>
      <c r="G918">
        <v>1</v>
      </c>
      <c r="H918" t="s">
        <v>3877</v>
      </c>
      <c r="I918">
        <v>10</v>
      </c>
    </row>
    <row r="919" spans="2:9" x14ac:dyDescent="0.3">
      <c r="B919" t="s">
        <v>787</v>
      </c>
      <c r="C919" t="s">
        <v>2091</v>
      </c>
      <c r="D919" t="s">
        <v>2658</v>
      </c>
      <c r="E919" s="24">
        <v>38551</v>
      </c>
      <c r="F919">
        <v>10</v>
      </c>
      <c r="G919">
        <v>1</v>
      </c>
      <c r="H919" t="s">
        <v>3878</v>
      </c>
      <c r="I919">
        <v>10</v>
      </c>
    </row>
    <row r="920" spans="2:9" x14ac:dyDescent="0.3">
      <c r="B920" t="s">
        <v>788</v>
      </c>
      <c r="C920" t="s">
        <v>2092</v>
      </c>
      <c r="D920" t="s">
        <v>2658</v>
      </c>
      <c r="E920" s="24">
        <v>41011</v>
      </c>
      <c r="F920">
        <v>10</v>
      </c>
      <c r="G920">
        <v>1</v>
      </c>
      <c r="H920" t="s">
        <v>3879</v>
      </c>
      <c r="I920">
        <v>10</v>
      </c>
    </row>
    <row r="921" spans="2:9" x14ac:dyDescent="0.3">
      <c r="B921" t="s">
        <v>789</v>
      </c>
      <c r="C921" t="s">
        <v>2093</v>
      </c>
      <c r="D921" t="s">
        <v>2658</v>
      </c>
      <c r="E921" s="24">
        <v>36208</v>
      </c>
      <c r="F921">
        <v>10</v>
      </c>
      <c r="G921">
        <v>1</v>
      </c>
      <c r="H921" t="s">
        <v>3880</v>
      </c>
      <c r="I921">
        <v>10</v>
      </c>
    </row>
    <row r="922" spans="2:9" x14ac:dyDescent="0.3">
      <c r="B922" t="s">
        <v>790</v>
      </c>
      <c r="C922" t="s">
        <v>2094</v>
      </c>
      <c r="D922" t="s">
        <v>2658</v>
      </c>
      <c r="E922" s="24">
        <v>36705</v>
      </c>
      <c r="F922">
        <v>10</v>
      </c>
      <c r="G922">
        <v>1</v>
      </c>
      <c r="H922" t="s">
        <v>3881</v>
      </c>
      <c r="I922">
        <v>10</v>
      </c>
    </row>
    <row r="923" spans="2:9" x14ac:dyDescent="0.3">
      <c r="B923" t="s">
        <v>791</v>
      </c>
      <c r="C923" t="s">
        <v>2095</v>
      </c>
      <c r="D923" t="s">
        <v>2658</v>
      </c>
      <c r="E923" s="24">
        <v>38040</v>
      </c>
      <c r="F923">
        <v>10</v>
      </c>
      <c r="G923">
        <v>1</v>
      </c>
      <c r="H923" t="s">
        <v>3882</v>
      </c>
      <c r="I923">
        <v>10</v>
      </c>
    </row>
    <row r="924" spans="2:9" x14ac:dyDescent="0.3">
      <c r="B924" t="s">
        <v>792</v>
      </c>
      <c r="C924" t="s">
        <v>2096</v>
      </c>
      <c r="D924" t="s">
        <v>2658</v>
      </c>
      <c r="E924" s="24">
        <v>36781</v>
      </c>
      <c r="F924">
        <v>5</v>
      </c>
      <c r="G924">
        <v>1</v>
      </c>
      <c r="H924" t="s">
        <v>3883</v>
      </c>
      <c r="I924">
        <v>5</v>
      </c>
    </row>
    <row r="925" spans="2:9" x14ac:dyDescent="0.3">
      <c r="B925" t="s">
        <v>793</v>
      </c>
      <c r="C925" t="s">
        <v>2097</v>
      </c>
      <c r="D925" t="s">
        <v>2658</v>
      </c>
      <c r="E925" s="24">
        <v>38917</v>
      </c>
      <c r="F925">
        <v>2</v>
      </c>
      <c r="G925">
        <v>1</v>
      </c>
      <c r="H925" t="s">
        <v>3884</v>
      </c>
      <c r="I925">
        <v>2</v>
      </c>
    </row>
    <row r="926" spans="2:9" x14ac:dyDescent="0.3">
      <c r="B926" t="s">
        <v>794</v>
      </c>
      <c r="C926" t="s">
        <v>2098</v>
      </c>
      <c r="D926" t="s">
        <v>2658</v>
      </c>
      <c r="E926" s="24">
        <v>37753</v>
      </c>
      <c r="F926">
        <v>2</v>
      </c>
      <c r="G926">
        <v>1</v>
      </c>
      <c r="H926" t="s">
        <v>3885</v>
      </c>
      <c r="I926">
        <v>2</v>
      </c>
    </row>
    <row r="927" spans="2:9" x14ac:dyDescent="0.3">
      <c r="B927" t="s">
        <v>795</v>
      </c>
      <c r="C927" t="s">
        <v>2099</v>
      </c>
      <c r="D927" t="s">
        <v>2686</v>
      </c>
      <c r="E927" s="24">
        <v>38135</v>
      </c>
      <c r="F927">
        <v>10</v>
      </c>
      <c r="G927">
        <v>1</v>
      </c>
      <c r="H927" t="s">
        <v>3886</v>
      </c>
      <c r="I927">
        <v>10</v>
      </c>
    </row>
    <row r="928" spans="2:9" x14ac:dyDescent="0.3">
      <c r="B928" t="s">
        <v>3887</v>
      </c>
      <c r="C928" t="s">
        <v>3888</v>
      </c>
      <c r="D928" t="s">
        <v>2658</v>
      </c>
      <c r="E928" s="24">
        <v>42240</v>
      </c>
      <c r="F928">
        <v>10</v>
      </c>
      <c r="G928">
        <v>1</v>
      </c>
      <c r="H928" t="s">
        <v>3889</v>
      </c>
      <c r="I928">
        <v>10</v>
      </c>
    </row>
    <row r="929" spans="2:9" x14ac:dyDescent="0.3">
      <c r="B929" t="s">
        <v>796</v>
      </c>
      <c r="C929" t="s">
        <v>2100</v>
      </c>
      <c r="D929" t="s">
        <v>2658</v>
      </c>
      <c r="E929" s="24">
        <v>40669</v>
      </c>
      <c r="F929">
        <v>10</v>
      </c>
      <c r="G929">
        <v>1</v>
      </c>
      <c r="H929" t="s">
        <v>3890</v>
      </c>
      <c r="I929">
        <v>10</v>
      </c>
    </row>
    <row r="930" spans="2:9" x14ac:dyDescent="0.3">
      <c r="B930" t="s">
        <v>797</v>
      </c>
      <c r="C930" t="s">
        <v>2101</v>
      </c>
      <c r="D930" t="s">
        <v>2658</v>
      </c>
      <c r="E930" s="24">
        <v>39629</v>
      </c>
      <c r="F930">
        <v>1</v>
      </c>
      <c r="G930">
        <v>1</v>
      </c>
      <c r="H930" t="s">
        <v>3891</v>
      </c>
      <c r="I930">
        <v>1</v>
      </c>
    </row>
    <row r="931" spans="2:9" x14ac:dyDescent="0.3">
      <c r="B931" t="s">
        <v>3892</v>
      </c>
      <c r="C931" t="s">
        <v>3893</v>
      </c>
      <c r="D931" t="s">
        <v>2658</v>
      </c>
      <c r="E931" s="24">
        <v>42832</v>
      </c>
      <c r="F931">
        <v>1</v>
      </c>
      <c r="G931">
        <v>1</v>
      </c>
      <c r="H931" t="s">
        <v>3894</v>
      </c>
      <c r="I931">
        <v>1</v>
      </c>
    </row>
    <row r="932" spans="2:9" x14ac:dyDescent="0.3">
      <c r="B932" t="s">
        <v>3895</v>
      </c>
      <c r="C932" t="s">
        <v>3896</v>
      </c>
      <c r="D932" t="s">
        <v>2658</v>
      </c>
      <c r="E932" s="24">
        <v>42536</v>
      </c>
      <c r="F932">
        <v>1</v>
      </c>
      <c r="G932">
        <v>1</v>
      </c>
      <c r="H932" t="s">
        <v>3897</v>
      </c>
      <c r="I932">
        <v>1</v>
      </c>
    </row>
    <row r="933" spans="2:9" x14ac:dyDescent="0.3">
      <c r="B933" t="s">
        <v>798</v>
      </c>
      <c r="C933" t="s">
        <v>2102</v>
      </c>
      <c r="D933" t="s">
        <v>2658</v>
      </c>
      <c r="E933" s="24">
        <v>40996</v>
      </c>
      <c r="F933">
        <v>1</v>
      </c>
      <c r="G933">
        <v>1</v>
      </c>
      <c r="H933" t="s">
        <v>3898</v>
      </c>
      <c r="I933">
        <v>1</v>
      </c>
    </row>
    <row r="934" spans="2:9" x14ac:dyDescent="0.3">
      <c r="B934" t="s">
        <v>1319</v>
      </c>
      <c r="C934" t="s">
        <v>2103</v>
      </c>
      <c r="D934" t="s">
        <v>2658</v>
      </c>
      <c r="E934" s="24">
        <v>39343</v>
      </c>
      <c r="F934">
        <v>5</v>
      </c>
      <c r="G934">
        <v>1</v>
      </c>
      <c r="H934" t="s">
        <v>3899</v>
      </c>
      <c r="I934">
        <v>5</v>
      </c>
    </row>
    <row r="935" spans="2:9" x14ac:dyDescent="0.3">
      <c r="B935" t="s">
        <v>1320</v>
      </c>
      <c r="C935" t="s">
        <v>2104</v>
      </c>
      <c r="D935" t="s">
        <v>2658</v>
      </c>
      <c r="E935" s="24">
        <v>39251</v>
      </c>
      <c r="F935">
        <v>5</v>
      </c>
      <c r="G935">
        <v>1</v>
      </c>
      <c r="H935" t="s">
        <v>3900</v>
      </c>
      <c r="I935">
        <v>5</v>
      </c>
    </row>
    <row r="936" spans="2:9" x14ac:dyDescent="0.3">
      <c r="B936" t="s">
        <v>799</v>
      </c>
      <c r="C936" t="s">
        <v>2105</v>
      </c>
      <c r="D936" t="s">
        <v>2658</v>
      </c>
      <c r="E936" s="24">
        <v>39518</v>
      </c>
      <c r="F936">
        <v>5</v>
      </c>
      <c r="G936">
        <v>1</v>
      </c>
      <c r="H936" t="s">
        <v>3901</v>
      </c>
      <c r="I936">
        <v>5</v>
      </c>
    </row>
    <row r="937" spans="2:9" x14ac:dyDescent="0.3">
      <c r="B937" t="s">
        <v>800</v>
      </c>
      <c r="C937" t="s">
        <v>2106</v>
      </c>
      <c r="D937" t="s">
        <v>2658</v>
      </c>
      <c r="E937" s="24">
        <v>38701</v>
      </c>
      <c r="F937">
        <v>10</v>
      </c>
      <c r="G937">
        <v>1</v>
      </c>
      <c r="H937" t="s">
        <v>3902</v>
      </c>
      <c r="I937">
        <v>10</v>
      </c>
    </row>
    <row r="938" spans="2:9" x14ac:dyDescent="0.3">
      <c r="B938" t="s">
        <v>801</v>
      </c>
      <c r="C938" t="s">
        <v>2107</v>
      </c>
      <c r="D938" t="s">
        <v>2658</v>
      </c>
      <c r="E938" s="24">
        <v>39164</v>
      </c>
      <c r="F938">
        <v>5</v>
      </c>
      <c r="G938">
        <v>1</v>
      </c>
      <c r="H938" t="s">
        <v>3903</v>
      </c>
      <c r="I938">
        <v>5</v>
      </c>
    </row>
    <row r="939" spans="2:9" x14ac:dyDescent="0.3">
      <c r="B939" t="s">
        <v>802</v>
      </c>
      <c r="C939" t="s">
        <v>2108</v>
      </c>
      <c r="D939" t="s">
        <v>2658</v>
      </c>
      <c r="E939" s="24">
        <v>39164</v>
      </c>
      <c r="F939">
        <v>5</v>
      </c>
      <c r="G939">
        <v>1</v>
      </c>
      <c r="H939" t="s">
        <v>3904</v>
      </c>
      <c r="I939">
        <v>5</v>
      </c>
    </row>
    <row r="940" spans="2:9" x14ac:dyDescent="0.3">
      <c r="B940" t="s">
        <v>803</v>
      </c>
      <c r="C940" t="s">
        <v>2109</v>
      </c>
      <c r="D940" t="s">
        <v>2686</v>
      </c>
      <c r="E940" s="24">
        <v>41347</v>
      </c>
      <c r="F940">
        <v>5</v>
      </c>
      <c r="G940">
        <v>1</v>
      </c>
      <c r="H940" t="s">
        <v>3905</v>
      </c>
      <c r="I940">
        <v>5</v>
      </c>
    </row>
    <row r="941" spans="2:9" x14ac:dyDescent="0.3">
      <c r="B941" t="s">
        <v>804</v>
      </c>
      <c r="C941" t="s">
        <v>2110</v>
      </c>
      <c r="D941" t="s">
        <v>2658</v>
      </c>
      <c r="E941" s="24">
        <v>35060</v>
      </c>
      <c r="F941">
        <v>2</v>
      </c>
      <c r="G941">
        <v>1</v>
      </c>
      <c r="H941" t="s">
        <v>3906</v>
      </c>
      <c r="I941">
        <v>2</v>
      </c>
    </row>
    <row r="942" spans="2:9" x14ac:dyDescent="0.3">
      <c r="B942" t="s">
        <v>805</v>
      </c>
      <c r="C942" t="s">
        <v>2111</v>
      </c>
      <c r="D942" t="s">
        <v>2658</v>
      </c>
      <c r="E942" s="24">
        <v>41667</v>
      </c>
      <c r="F942">
        <v>10</v>
      </c>
      <c r="G942">
        <v>1</v>
      </c>
      <c r="H942" t="s">
        <v>3907</v>
      </c>
      <c r="I942">
        <v>10</v>
      </c>
    </row>
    <row r="943" spans="2:9" x14ac:dyDescent="0.3">
      <c r="B943" t="s">
        <v>806</v>
      </c>
      <c r="C943" t="s">
        <v>2112</v>
      </c>
      <c r="D943" t="s">
        <v>2658</v>
      </c>
      <c r="E943" s="24">
        <v>36278</v>
      </c>
      <c r="F943">
        <v>5</v>
      </c>
      <c r="G943">
        <v>1</v>
      </c>
      <c r="H943" t="s">
        <v>3908</v>
      </c>
      <c r="I943">
        <v>5</v>
      </c>
    </row>
    <row r="944" spans="2:9" x14ac:dyDescent="0.3">
      <c r="B944" t="s">
        <v>807</v>
      </c>
      <c r="C944" t="s">
        <v>2113</v>
      </c>
      <c r="D944" t="s">
        <v>2686</v>
      </c>
      <c r="E944" s="24">
        <v>37525</v>
      </c>
      <c r="F944">
        <v>10</v>
      </c>
      <c r="G944">
        <v>1</v>
      </c>
      <c r="H944" t="s">
        <v>3909</v>
      </c>
      <c r="I944">
        <v>10</v>
      </c>
    </row>
    <row r="945" spans="2:9" x14ac:dyDescent="0.3">
      <c r="B945" t="s">
        <v>808</v>
      </c>
      <c r="C945" t="s">
        <v>2114</v>
      </c>
      <c r="D945" t="s">
        <v>2658</v>
      </c>
      <c r="E945" s="24">
        <v>39042</v>
      </c>
      <c r="F945">
        <v>10</v>
      </c>
      <c r="G945">
        <v>1</v>
      </c>
      <c r="H945" t="s">
        <v>3910</v>
      </c>
      <c r="I945">
        <v>10</v>
      </c>
    </row>
    <row r="946" spans="2:9" x14ac:dyDescent="0.3">
      <c r="B946" t="s">
        <v>809</v>
      </c>
      <c r="C946" t="s">
        <v>2115</v>
      </c>
      <c r="D946" t="s">
        <v>2658</v>
      </c>
      <c r="E946" s="24">
        <v>39234</v>
      </c>
      <c r="F946">
        <v>10</v>
      </c>
      <c r="G946">
        <v>1</v>
      </c>
      <c r="H946" t="s">
        <v>3911</v>
      </c>
      <c r="I946">
        <v>10</v>
      </c>
    </row>
    <row r="947" spans="2:9" x14ac:dyDescent="0.3">
      <c r="B947" t="s">
        <v>3912</v>
      </c>
      <c r="C947" t="s">
        <v>3913</v>
      </c>
      <c r="D947" t="s">
        <v>2658</v>
      </c>
      <c r="E947" s="24">
        <v>42256</v>
      </c>
      <c r="F947">
        <v>10</v>
      </c>
      <c r="G947">
        <v>1</v>
      </c>
      <c r="H947" t="s">
        <v>3914</v>
      </c>
      <c r="I947">
        <v>10</v>
      </c>
    </row>
    <row r="948" spans="2:9" x14ac:dyDescent="0.3">
      <c r="B948" t="s">
        <v>810</v>
      </c>
      <c r="C948" t="s">
        <v>2116</v>
      </c>
      <c r="D948" t="s">
        <v>2658</v>
      </c>
      <c r="E948" s="24">
        <v>34738</v>
      </c>
      <c r="F948">
        <v>2</v>
      </c>
      <c r="G948">
        <v>1</v>
      </c>
      <c r="H948" t="s">
        <v>3915</v>
      </c>
      <c r="I948">
        <v>2</v>
      </c>
    </row>
    <row r="949" spans="2:9" x14ac:dyDescent="0.3">
      <c r="B949" t="s">
        <v>811</v>
      </c>
      <c r="C949" t="s">
        <v>3916</v>
      </c>
      <c r="D949" t="s">
        <v>2658</v>
      </c>
      <c r="E949" s="24">
        <v>41011</v>
      </c>
      <c r="F949">
        <v>2</v>
      </c>
      <c r="G949">
        <v>1</v>
      </c>
      <c r="H949" t="s">
        <v>3917</v>
      </c>
      <c r="I949">
        <v>2</v>
      </c>
    </row>
    <row r="950" spans="2:9" x14ac:dyDescent="0.3">
      <c r="B950" t="s">
        <v>3918</v>
      </c>
      <c r="C950" t="s">
        <v>3919</v>
      </c>
      <c r="D950" t="s">
        <v>2686</v>
      </c>
      <c r="E950" s="24">
        <v>42697</v>
      </c>
      <c r="F950">
        <v>10</v>
      </c>
      <c r="G950">
        <v>1</v>
      </c>
      <c r="H950" t="s">
        <v>3920</v>
      </c>
      <c r="I950">
        <v>10</v>
      </c>
    </row>
    <row r="951" spans="2:9" x14ac:dyDescent="0.3">
      <c r="B951" t="s">
        <v>812</v>
      </c>
      <c r="C951" t="s">
        <v>2117</v>
      </c>
      <c r="D951" t="s">
        <v>2658</v>
      </c>
      <c r="E951" s="24">
        <v>35158</v>
      </c>
      <c r="F951">
        <v>2</v>
      </c>
      <c r="G951">
        <v>1</v>
      </c>
      <c r="H951" t="s">
        <v>3921</v>
      </c>
      <c r="I951">
        <v>2</v>
      </c>
    </row>
    <row r="952" spans="2:9" x14ac:dyDescent="0.3">
      <c r="B952" t="s">
        <v>813</v>
      </c>
      <c r="C952" t="s">
        <v>2118</v>
      </c>
      <c r="D952" t="s">
        <v>2658</v>
      </c>
      <c r="E952" s="24">
        <v>37908</v>
      </c>
      <c r="F952">
        <v>2</v>
      </c>
      <c r="G952">
        <v>1</v>
      </c>
      <c r="H952" t="s">
        <v>3922</v>
      </c>
      <c r="I952">
        <v>2</v>
      </c>
    </row>
    <row r="953" spans="2:9" x14ac:dyDescent="0.3">
      <c r="B953" t="s">
        <v>814</v>
      </c>
      <c r="C953" t="s">
        <v>2119</v>
      </c>
      <c r="D953" t="s">
        <v>2658</v>
      </c>
      <c r="E953" s="24">
        <v>39175</v>
      </c>
      <c r="F953">
        <v>10</v>
      </c>
      <c r="G953">
        <v>1</v>
      </c>
      <c r="H953" t="s">
        <v>3923</v>
      </c>
      <c r="I953">
        <v>10</v>
      </c>
    </row>
    <row r="954" spans="2:9" x14ac:dyDescent="0.3">
      <c r="B954" t="s">
        <v>3924</v>
      </c>
      <c r="C954" t="s">
        <v>3925</v>
      </c>
      <c r="D954" t="s">
        <v>2658</v>
      </c>
      <c r="E954" s="24">
        <v>42611</v>
      </c>
      <c r="F954">
        <v>10</v>
      </c>
      <c r="G954">
        <v>1</v>
      </c>
      <c r="H954" t="s">
        <v>3926</v>
      </c>
      <c r="I954">
        <v>10</v>
      </c>
    </row>
    <row r="955" spans="2:9" x14ac:dyDescent="0.3">
      <c r="B955" t="s">
        <v>815</v>
      </c>
      <c r="C955" t="s">
        <v>2120</v>
      </c>
      <c r="D955" t="s">
        <v>2658</v>
      </c>
      <c r="E955" s="24">
        <v>40991</v>
      </c>
      <c r="F955">
        <v>10</v>
      </c>
      <c r="G955">
        <v>1</v>
      </c>
      <c r="H955" t="s">
        <v>3927</v>
      </c>
      <c r="I955">
        <v>10</v>
      </c>
    </row>
    <row r="956" spans="2:9" x14ac:dyDescent="0.3">
      <c r="B956" t="s">
        <v>816</v>
      </c>
      <c r="C956" t="s">
        <v>2121</v>
      </c>
      <c r="D956" t="s">
        <v>2658</v>
      </c>
      <c r="E956" s="24">
        <v>38126</v>
      </c>
      <c r="F956">
        <v>4</v>
      </c>
      <c r="G956">
        <v>1</v>
      </c>
      <c r="H956" t="s">
        <v>3928</v>
      </c>
      <c r="I956">
        <v>4</v>
      </c>
    </row>
    <row r="957" spans="2:9" x14ac:dyDescent="0.3">
      <c r="B957" t="s">
        <v>3929</v>
      </c>
      <c r="C957" t="s">
        <v>3930</v>
      </c>
      <c r="D957" t="s">
        <v>2658</v>
      </c>
      <c r="E957" s="24">
        <v>42431</v>
      </c>
      <c r="F957">
        <v>10</v>
      </c>
      <c r="G957">
        <v>1</v>
      </c>
      <c r="H957" t="s">
        <v>3931</v>
      </c>
      <c r="I957">
        <v>10</v>
      </c>
    </row>
    <row r="958" spans="2:9" x14ac:dyDescent="0.3">
      <c r="B958" t="s">
        <v>817</v>
      </c>
      <c r="C958" t="s">
        <v>2122</v>
      </c>
      <c r="D958" t="s">
        <v>2658</v>
      </c>
      <c r="E958" s="24">
        <v>38551</v>
      </c>
      <c r="F958">
        <v>1</v>
      </c>
      <c r="G958">
        <v>1</v>
      </c>
      <c r="H958" t="s">
        <v>3932</v>
      </c>
      <c r="I958">
        <v>1</v>
      </c>
    </row>
    <row r="959" spans="2:9" x14ac:dyDescent="0.3">
      <c r="B959" t="s">
        <v>818</v>
      </c>
      <c r="C959" t="s">
        <v>2123</v>
      </c>
      <c r="D959" t="s">
        <v>2658</v>
      </c>
      <c r="E959" s="24">
        <v>39260</v>
      </c>
      <c r="F959">
        <v>2</v>
      </c>
      <c r="G959">
        <v>1</v>
      </c>
      <c r="H959" t="s">
        <v>3933</v>
      </c>
      <c r="I959">
        <v>2</v>
      </c>
    </row>
    <row r="960" spans="2:9" x14ac:dyDescent="0.3">
      <c r="B960" t="s">
        <v>819</v>
      </c>
      <c r="C960" t="s">
        <v>2124</v>
      </c>
      <c r="D960" t="s">
        <v>2658</v>
      </c>
      <c r="E960" s="24">
        <v>37769</v>
      </c>
      <c r="F960">
        <v>10</v>
      </c>
      <c r="G960">
        <v>1</v>
      </c>
      <c r="H960" t="s">
        <v>3934</v>
      </c>
      <c r="I960">
        <v>10</v>
      </c>
    </row>
    <row r="961" spans="2:9" x14ac:dyDescent="0.3">
      <c r="B961" t="s">
        <v>820</v>
      </c>
      <c r="C961" t="s">
        <v>2125</v>
      </c>
      <c r="D961" t="s">
        <v>2658</v>
      </c>
      <c r="E961" s="24">
        <v>39546</v>
      </c>
      <c r="F961">
        <v>10</v>
      </c>
      <c r="G961">
        <v>1</v>
      </c>
      <c r="H961" t="s">
        <v>3935</v>
      </c>
      <c r="I961">
        <v>10</v>
      </c>
    </row>
    <row r="962" spans="2:9" x14ac:dyDescent="0.3">
      <c r="B962" t="s">
        <v>3936</v>
      </c>
      <c r="C962" t="s">
        <v>3937</v>
      </c>
      <c r="D962" t="s">
        <v>2658</v>
      </c>
      <c r="E962" s="24">
        <v>40186</v>
      </c>
      <c r="F962">
        <v>10</v>
      </c>
      <c r="G962">
        <v>1</v>
      </c>
      <c r="H962" t="s">
        <v>3938</v>
      </c>
      <c r="I962">
        <v>10</v>
      </c>
    </row>
    <row r="963" spans="2:9" x14ac:dyDescent="0.3">
      <c r="B963" t="s">
        <v>821</v>
      </c>
      <c r="C963" t="s">
        <v>2126</v>
      </c>
      <c r="D963" t="s">
        <v>2686</v>
      </c>
      <c r="E963" s="24">
        <v>40522</v>
      </c>
      <c r="F963">
        <v>10</v>
      </c>
      <c r="G963">
        <v>1</v>
      </c>
      <c r="H963" t="s">
        <v>3939</v>
      </c>
      <c r="I963">
        <v>10</v>
      </c>
    </row>
    <row r="964" spans="2:9" x14ac:dyDescent="0.3">
      <c r="B964" t="s">
        <v>822</v>
      </c>
      <c r="C964" t="s">
        <v>2127</v>
      </c>
      <c r="D964" t="s">
        <v>2658</v>
      </c>
      <c r="E964" s="24">
        <v>39115</v>
      </c>
      <c r="F964">
        <v>5</v>
      </c>
      <c r="G964">
        <v>1</v>
      </c>
      <c r="H964" t="s">
        <v>3940</v>
      </c>
      <c r="I964">
        <v>5</v>
      </c>
    </row>
    <row r="965" spans="2:9" x14ac:dyDescent="0.3">
      <c r="B965" t="s">
        <v>823</v>
      </c>
      <c r="C965" t="s">
        <v>2128</v>
      </c>
      <c r="D965" t="s">
        <v>2658</v>
      </c>
      <c r="E965" s="24">
        <v>39734</v>
      </c>
      <c r="F965">
        <v>10</v>
      </c>
      <c r="G965">
        <v>1</v>
      </c>
      <c r="H965" t="s">
        <v>3941</v>
      </c>
      <c r="I965">
        <v>10</v>
      </c>
    </row>
    <row r="966" spans="2:9" x14ac:dyDescent="0.3">
      <c r="B966" t="s">
        <v>824</v>
      </c>
      <c r="C966" t="s">
        <v>2129</v>
      </c>
      <c r="D966" t="s">
        <v>2686</v>
      </c>
      <c r="E966" s="24">
        <v>36985</v>
      </c>
      <c r="F966">
        <v>10</v>
      </c>
      <c r="G966">
        <v>1</v>
      </c>
      <c r="H966" t="s">
        <v>3942</v>
      </c>
      <c r="I966">
        <v>10</v>
      </c>
    </row>
    <row r="967" spans="2:9" x14ac:dyDescent="0.3">
      <c r="B967" t="s">
        <v>825</v>
      </c>
      <c r="C967" t="s">
        <v>2130</v>
      </c>
      <c r="D967" t="s">
        <v>2658</v>
      </c>
      <c r="E967" s="24">
        <v>39079</v>
      </c>
      <c r="F967">
        <v>10</v>
      </c>
      <c r="G967">
        <v>1</v>
      </c>
      <c r="H967" t="s">
        <v>3943</v>
      </c>
      <c r="I967">
        <v>10</v>
      </c>
    </row>
    <row r="968" spans="2:9" x14ac:dyDescent="0.3">
      <c r="B968" t="s">
        <v>3944</v>
      </c>
      <c r="C968" t="s">
        <v>3945</v>
      </c>
      <c r="D968" t="s">
        <v>2658</v>
      </c>
      <c r="E968" s="24">
        <v>42375</v>
      </c>
      <c r="F968">
        <v>10</v>
      </c>
      <c r="G968">
        <v>1</v>
      </c>
      <c r="H968" t="s">
        <v>3946</v>
      </c>
      <c r="I968">
        <v>10</v>
      </c>
    </row>
    <row r="969" spans="2:9" x14ac:dyDescent="0.3">
      <c r="B969" t="s">
        <v>24</v>
      </c>
      <c r="C969" t="s">
        <v>2131</v>
      </c>
      <c r="D969" t="s">
        <v>2658</v>
      </c>
      <c r="E969" s="24">
        <v>40057</v>
      </c>
      <c r="F969">
        <v>10</v>
      </c>
      <c r="G969">
        <v>1</v>
      </c>
      <c r="H969" t="s">
        <v>3947</v>
      </c>
      <c r="I969">
        <v>10</v>
      </c>
    </row>
    <row r="970" spans="2:9" x14ac:dyDescent="0.3">
      <c r="B970" t="s">
        <v>826</v>
      </c>
      <c r="C970" t="s">
        <v>2132</v>
      </c>
      <c r="D970" t="s">
        <v>2658</v>
      </c>
      <c r="E970" s="24">
        <v>41373</v>
      </c>
      <c r="F970">
        <v>2</v>
      </c>
      <c r="G970">
        <v>1</v>
      </c>
      <c r="H970" t="s">
        <v>3948</v>
      </c>
      <c r="I970">
        <v>2</v>
      </c>
    </row>
    <row r="971" spans="2:9" x14ac:dyDescent="0.3">
      <c r="B971" t="s">
        <v>827</v>
      </c>
      <c r="C971" t="s">
        <v>2133</v>
      </c>
      <c r="D971" t="s">
        <v>2686</v>
      </c>
      <c r="E971" s="24">
        <v>39069</v>
      </c>
      <c r="F971">
        <v>2</v>
      </c>
      <c r="G971">
        <v>1</v>
      </c>
      <c r="H971" t="s">
        <v>3949</v>
      </c>
      <c r="I971">
        <v>2</v>
      </c>
    </row>
    <row r="972" spans="2:9" x14ac:dyDescent="0.3">
      <c r="B972" t="s">
        <v>828</v>
      </c>
      <c r="C972" t="s">
        <v>2134</v>
      </c>
      <c r="D972" t="s">
        <v>2658</v>
      </c>
      <c r="E972" s="24">
        <v>38215</v>
      </c>
      <c r="F972">
        <v>2</v>
      </c>
      <c r="G972">
        <v>1</v>
      </c>
      <c r="H972" t="s">
        <v>3950</v>
      </c>
      <c r="I972">
        <v>2</v>
      </c>
    </row>
    <row r="973" spans="2:9" x14ac:dyDescent="0.3">
      <c r="B973" t="s">
        <v>829</v>
      </c>
      <c r="C973" t="s">
        <v>2135</v>
      </c>
      <c r="D973" t="s">
        <v>2658</v>
      </c>
      <c r="E973" s="24">
        <v>38229</v>
      </c>
      <c r="F973">
        <v>10</v>
      </c>
      <c r="G973">
        <v>1</v>
      </c>
      <c r="H973" t="s">
        <v>3951</v>
      </c>
      <c r="I973">
        <v>10</v>
      </c>
    </row>
    <row r="974" spans="2:9" x14ac:dyDescent="0.3">
      <c r="B974" t="s">
        <v>3952</v>
      </c>
      <c r="C974" t="s">
        <v>3953</v>
      </c>
      <c r="D974" t="s">
        <v>2658</v>
      </c>
      <c r="E974" s="24">
        <v>42145</v>
      </c>
      <c r="F974">
        <v>1</v>
      </c>
      <c r="G974">
        <v>1</v>
      </c>
      <c r="H974" t="s">
        <v>3954</v>
      </c>
      <c r="I974">
        <v>1</v>
      </c>
    </row>
    <row r="975" spans="2:9" x14ac:dyDescent="0.3">
      <c r="B975" t="s">
        <v>830</v>
      </c>
      <c r="C975" t="s">
        <v>2136</v>
      </c>
      <c r="D975" t="s">
        <v>2658</v>
      </c>
      <c r="E975" s="24">
        <v>35004</v>
      </c>
      <c r="F975">
        <v>10</v>
      </c>
      <c r="G975">
        <v>1</v>
      </c>
      <c r="H975" t="s">
        <v>3955</v>
      </c>
      <c r="I975">
        <v>10</v>
      </c>
    </row>
    <row r="976" spans="2:9" x14ac:dyDescent="0.3">
      <c r="B976" t="s">
        <v>831</v>
      </c>
      <c r="C976" t="s">
        <v>3956</v>
      </c>
      <c r="D976" t="s">
        <v>2658</v>
      </c>
      <c r="E976" s="24">
        <v>36439</v>
      </c>
      <c r="F976">
        <v>10</v>
      </c>
      <c r="G976">
        <v>1</v>
      </c>
      <c r="H976" t="s">
        <v>3957</v>
      </c>
      <c r="I976">
        <v>10</v>
      </c>
    </row>
    <row r="977" spans="2:9" x14ac:dyDescent="0.3">
      <c r="B977" t="s">
        <v>3958</v>
      </c>
      <c r="C977" t="s">
        <v>3959</v>
      </c>
      <c r="D977" t="s">
        <v>2686</v>
      </c>
      <c r="E977" s="24">
        <v>42670</v>
      </c>
      <c r="F977">
        <v>10</v>
      </c>
      <c r="G977">
        <v>1</v>
      </c>
      <c r="H977" t="s">
        <v>3960</v>
      </c>
      <c r="I977">
        <v>10</v>
      </c>
    </row>
    <row r="978" spans="2:9" x14ac:dyDescent="0.3">
      <c r="B978" t="s">
        <v>832</v>
      </c>
      <c r="C978" t="s">
        <v>2137</v>
      </c>
      <c r="D978" t="s">
        <v>2658</v>
      </c>
      <c r="E978" s="24">
        <v>38797</v>
      </c>
      <c r="F978">
        <v>10</v>
      </c>
      <c r="G978">
        <v>1</v>
      </c>
      <c r="H978" t="s">
        <v>3961</v>
      </c>
      <c r="I978">
        <v>10</v>
      </c>
    </row>
    <row r="979" spans="2:9" x14ac:dyDescent="0.3">
      <c r="B979" t="s">
        <v>833</v>
      </c>
      <c r="C979" t="s">
        <v>2138</v>
      </c>
      <c r="D979" t="s">
        <v>2658</v>
      </c>
      <c r="E979" s="24">
        <v>40311</v>
      </c>
      <c r="F979">
        <v>10</v>
      </c>
      <c r="G979">
        <v>1</v>
      </c>
      <c r="H979" t="s">
        <v>3962</v>
      </c>
      <c r="I979">
        <v>10</v>
      </c>
    </row>
    <row r="980" spans="2:9" x14ac:dyDescent="0.3">
      <c r="B980" t="s">
        <v>834</v>
      </c>
      <c r="C980" t="s">
        <v>2139</v>
      </c>
      <c r="D980" t="s">
        <v>2658</v>
      </c>
      <c r="E980" s="24">
        <v>39238</v>
      </c>
      <c r="F980">
        <v>2</v>
      </c>
      <c r="G980">
        <v>1</v>
      </c>
      <c r="H980" t="s">
        <v>3963</v>
      </c>
      <c r="I980">
        <v>2</v>
      </c>
    </row>
    <row r="981" spans="2:9" x14ac:dyDescent="0.3">
      <c r="B981" t="s">
        <v>835</v>
      </c>
      <c r="C981" t="s">
        <v>2140</v>
      </c>
      <c r="D981" t="s">
        <v>2658</v>
      </c>
      <c r="E981" s="24">
        <v>38750</v>
      </c>
      <c r="F981">
        <v>10</v>
      </c>
      <c r="G981">
        <v>1</v>
      </c>
      <c r="H981" t="s">
        <v>3964</v>
      </c>
      <c r="I981">
        <v>10</v>
      </c>
    </row>
    <row r="982" spans="2:9" x14ac:dyDescent="0.3">
      <c r="B982" t="s">
        <v>1321</v>
      </c>
      <c r="C982" t="s">
        <v>2141</v>
      </c>
      <c r="D982" t="s">
        <v>2658</v>
      </c>
      <c r="E982" s="24">
        <v>34887</v>
      </c>
      <c r="F982">
        <v>10</v>
      </c>
      <c r="G982">
        <v>1</v>
      </c>
      <c r="H982" t="s">
        <v>3965</v>
      </c>
      <c r="I982">
        <v>10</v>
      </c>
    </row>
    <row r="983" spans="2:9" x14ac:dyDescent="0.3">
      <c r="B983" t="s">
        <v>3966</v>
      </c>
      <c r="C983" t="s">
        <v>3967</v>
      </c>
      <c r="D983" t="s">
        <v>2658</v>
      </c>
      <c r="E983" s="24">
        <v>36761</v>
      </c>
      <c r="F983">
        <v>10</v>
      </c>
      <c r="G983">
        <v>1</v>
      </c>
      <c r="H983" t="s">
        <v>3968</v>
      </c>
      <c r="I983">
        <v>10</v>
      </c>
    </row>
    <row r="984" spans="2:9" x14ac:dyDescent="0.3">
      <c r="B984" t="s">
        <v>114</v>
      </c>
      <c r="C984" t="s">
        <v>2142</v>
      </c>
      <c r="D984" t="s">
        <v>2658</v>
      </c>
      <c r="E984" s="24">
        <v>39510</v>
      </c>
      <c r="F984">
        <v>1</v>
      </c>
      <c r="G984">
        <v>1</v>
      </c>
      <c r="H984" t="s">
        <v>3969</v>
      </c>
      <c r="I984">
        <v>1</v>
      </c>
    </row>
    <row r="985" spans="2:9" x14ac:dyDescent="0.3">
      <c r="B985" t="s">
        <v>836</v>
      </c>
      <c r="C985" t="s">
        <v>2143</v>
      </c>
      <c r="D985" t="s">
        <v>2658</v>
      </c>
      <c r="E985" s="24">
        <v>35081</v>
      </c>
      <c r="F985">
        <v>10</v>
      </c>
      <c r="G985">
        <v>1</v>
      </c>
      <c r="H985" t="s">
        <v>3970</v>
      </c>
      <c r="I985">
        <v>10</v>
      </c>
    </row>
    <row r="986" spans="2:9" x14ac:dyDescent="0.3">
      <c r="B986" t="s">
        <v>1322</v>
      </c>
      <c r="C986" t="s">
        <v>2144</v>
      </c>
      <c r="D986" t="s">
        <v>2686</v>
      </c>
      <c r="E986" s="24">
        <v>39416</v>
      </c>
      <c r="F986">
        <v>10</v>
      </c>
      <c r="G986">
        <v>1</v>
      </c>
      <c r="H986" t="s">
        <v>3971</v>
      </c>
      <c r="I986">
        <v>10</v>
      </c>
    </row>
    <row r="987" spans="2:9" x14ac:dyDescent="0.3">
      <c r="B987" t="s">
        <v>837</v>
      </c>
      <c r="C987" t="s">
        <v>2145</v>
      </c>
      <c r="D987" t="s">
        <v>2658</v>
      </c>
      <c r="E987" s="24">
        <v>37596</v>
      </c>
      <c r="F987">
        <v>10</v>
      </c>
      <c r="G987">
        <v>1</v>
      </c>
      <c r="H987" t="s">
        <v>3972</v>
      </c>
      <c r="I987">
        <v>10</v>
      </c>
    </row>
    <row r="988" spans="2:9" x14ac:dyDescent="0.3">
      <c r="B988" t="s">
        <v>1323</v>
      </c>
      <c r="C988" t="s">
        <v>2146</v>
      </c>
      <c r="D988" t="s">
        <v>2658</v>
      </c>
      <c r="E988" s="24">
        <v>35242</v>
      </c>
      <c r="F988">
        <v>10</v>
      </c>
      <c r="G988">
        <v>1</v>
      </c>
      <c r="H988" t="s">
        <v>3973</v>
      </c>
      <c r="I988">
        <v>10</v>
      </c>
    </row>
    <row r="989" spans="2:9" x14ac:dyDescent="0.3">
      <c r="B989" t="s">
        <v>3974</v>
      </c>
      <c r="C989" t="s">
        <v>3975</v>
      </c>
      <c r="D989" t="s">
        <v>2658</v>
      </c>
      <c r="E989" s="24">
        <v>42830</v>
      </c>
      <c r="F989">
        <v>10</v>
      </c>
      <c r="G989">
        <v>1</v>
      </c>
      <c r="H989" t="s">
        <v>3976</v>
      </c>
      <c r="I989">
        <v>10</v>
      </c>
    </row>
    <row r="990" spans="2:9" x14ac:dyDescent="0.3">
      <c r="B990" t="s">
        <v>838</v>
      </c>
      <c r="C990" t="s">
        <v>2147</v>
      </c>
      <c r="D990" t="s">
        <v>2658</v>
      </c>
      <c r="E990" s="24">
        <v>36593</v>
      </c>
      <c r="F990">
        <v>2</v>
      </c>
      <c r="G990">
        <v>1</v>
      </c>
      <c r="H990" t="s">
        <v>3977</v>
      </c>
      <c r="I990">
        <v>2</v>
      </c>
    </row>
    <row r="991" spans="2:9" x14ac:dyDescent="0.3">
      <c r="B991" t="s">
        <v>839</v>
      </c>
      <c r="C991" t="s">
        <v>2148</v>
      </c>
      <c r="D991" t="s">
        <v>2658</v>
      </c>
      <c r="E991" s="24">
        <v>37942</v>
      </c>
      <c r="F991">
        <v>10</v>
      </c>
      <c r="G991">
        <v>1</v>
      </c>
      <c r="H991" t="s">
        <v>3978</v>
      </c>
      <c r="I991">
        <v>10</v>
      </c>
    </row>
    <row r="992" spans="2:9" x14ac:dyDescent="0.3">
      <c r="B992" t="s">
        <v>3979</v>
      </c>
      <c r="C992" t="s">
        <v>3980</v>
      </c>
      <c r="D992" t="s">
        <v>2658</v>
      </c>
      <c r="E992" s="24">
        <v>41528</v>
      </c>
      <c r="F992">
        <v>10</v>
      </c>
      <c r="G992">
        <v>1</v>
      </c>
      <c r="H992" t="s">
        <v>3981</v>
      </c>
      <c r="I992">
        <v>10</v>
      </c>
    </row>
    <row r="993" spans="2:9" x14ac:dyDescent="0.3">
      <c r="B993" t="s">
        <v>840</v>
      </c>
      <c r="C993" t="s">
        <v>2149</v>
      </c>
      <c r="D993" t="s">
        <v>2658</v>
      </c>
      <c r="E993" s="24">
        <v>38296</v>
      </c>
      <c r="F993">
        <v>10</v>
      </c>
      <c r="G993">
        <v>1</v>
      </c>
      <c r="H993" t="s">
        <v>3982</v>
      </c>
      <c r="I993">
        <v>10</v>
      </c>
    </row>
    <row r="994" spans="2:9" x14ac:dyDescent="0.3">
      <c r="B994" t="s">
        <v>841</v>
      </c>
      <c r="C994" t="s">
        <v>2150</v>
      </c>
      <c r="D994" t="s">
        <v>2658</v>
      </c>
      <c r="E994" s="24">
        <v>37609</v>
      </c>
      <c r="F994">
        <v>10</v>
      </c>
      <c r="G994">
        <v>1</v>
      </c>
      <c r="H994" t="s">
        <v>3983</v>
      </c>
      <c r="I994">
        <v>10</v>
      </c>
    </row>
    <row r="995" spans="2:9" x14ac:dyDescent="0.3">
      <c r="B995" t="s">
        <v>842</v>
      </c>
      <c r="C995" t="s">
        <v>2151</v>
      </c>
      <c r="D995" t="s">
        <v>2658</v>
      </c>
      <c r="E995" s="24">
        <v>39687</v>
      </c>
      <c r="F995">
        <v>5</v>
      </c>
      <c r="G995">
        <v>1</v>
      </c>
      <c r="H995" t="s">
        <v>3984</v>
      </c>
      <c r="I995">
        <v>5</v>
      </c>
    </row>
    <row r="996" spans="2:9" x14ac:dyDescent="0.3">
      <c r="B996" t="s">
        <v>843</v>
      </c>
      <c r="C996" t="s">
        <v>2152</v>
      </c>
      <c r="D996" t="s">
        <v>2658</v>
      </c>
      <c r="E996" s="24">
        <v>40471</v>
      </c>
      <c r="F996">
        <v>10</v>
      </c>
      <c r="G996">
        <v>1</v>
      </c>
      <c r="H996" t="s">
        <v>3985</v>
      </c>
      <c r="I996">
        <v>10</v>
      </c>
    </row>
    <row r="997" spans="2:9" x14ac:dyDescent="0.3">
      <c r="B997" t="s">
        <v>3986</v>
      </c>
      <c r="C997" t="s">
        <v>3987</v>
      </c>
      <c r="D997" t="s">
        <v>2658</v>
      </c>
      <c r="E997" s="24">
        <v>42396</v>
      </c>
      <c r="F997">
        <v>10</v>
      </c>
      <c r="G997">
        <v>1</v>
      </c>
      <c r="H997" t="s">
        <v>3988</v>
      </c>
      <c r="I997">
        <v>10</v>
      </c>
    </row>
    <row r="998" spans="2:9" x14ac:dyDescent="0.3">
      <c r="B998" t="s">
        <v>844</v>
      </c>
      <c r="C998" t="s">
        <v>2153</v>
      </c>
      <c r="D998" t="s">
        <v>2658</v>
      </c>
      <c r="E998" s="24">
        <v>38245</v>
      </c>
      <c r="F998">
        <v>2</v>
      </c>
      <c r="G998">
        <v>1</v>
      </c>
      <c r="H998" t="s">
        <v>3989</v>
      </c>
      <c r="I998">
        <v>2</v>
      </c>
    </row>
    <row r="999" spans="2:9" x14ac:dyDescent="0.3">
      <c r="B999" t="s">
        <v>25</v>
      </c>
      <c r="C999" t="s">
        <v>2154</v>
      </c>
      <c r="D999" t="s">
        <v>2658</v>
      </c>
      <c r="E999" s="24">
        <v>37435</v>
      </c>
      <c r="F999">
        <v>5</v>
      </c>
      <c r="G999">
        <v>1</v>
      </c>
      <c r="H999" t="s">
        <v>3990</v>
      </c>
      <c r="I999">
        <v>5</v>
      </c>
    </row>
    <row r="1000" spans="2:9" x14ac:dyDescent="0.3">
      <c r="B1000" t="s">
        <v>80</v>
      </c>
      <c r="C1000" t="s">
        <v>2155</v>
      </c>
      <c r="D1000" t="s">
        <v>2658</v>
      </c>
      <c r="E1000" s="24">
        <v>40086</v>
      </c>
      <c r="F1000">
        <v>10</v>
      </c>
      <c r="G1000">
        <v>1</v>
      </c>
      <c r="H1000" t="s">
        <v>3991</v>
      </c>
      <c r="I1000">
        <v>10</v>
      </c>
    </row>
    <row r="1001" spans="2:9" x14ac:dyDescent="0.3">
      <c r="B1001" t="s">
        <v>845</v>
      </c>
      <c r="C1001" t="s">
        <v>2156</v>
      </c>
      <c r="D1001" t="s">
        <v>2658</v>
      </c>
      <c r="E1001" s="24">
        <v>34941</v>
      </c>
      <c r="F1001">
        <v>10</v>
      </c>
      <c r="G1001">
        <v>1</v>
      </c>
      <c r="H1001" t="s">
        <v>3992</v>
      </c>
      <c r="I1001">
        <v>10</v>
      </c>
    </row>
    <row r="1002" spans="2:9" x14ac:dyDescent="0.3">
      <c r="B1002" t="s">
        <v>846</v>
      </c>
      <c r="C1002" t="s">
        <v>2157</v>
      </c>
      <c r="D1002" t="s">
        <v>2686</v>
      </c>
      <c r="E1002" s="24">
        <v>39661</v>
      </c>
      <c r="F1002">
        <v>1</v>
      </c>
      <c r="G1002">
        <v>1</v>
      </c>
      <c r="H1002" t="s">
        <v>3993</v>
      </c>
      <c r="I1002">
        <v>1</v>
      </c>
    </row>
    <row r="1003" spans="2:9" x14ac:dyDescent="0.3">
      <c r="B1003" t="s">
        <v>847</v>
      </c>
      <c r="C1003" t="s">
        <v>2158</v>
      </c>
      <c r="D1003" t="s">
        <v>2658</v>
      </c>
      <c r="E1003" s="24">
        <v>37672</v>
      </c>
      <c r="F1003">
        <v>10</v>
      </c>
      <c r="G1003">
        <v>1</v>
      </c>
      <c r="H1003" t="s">
        <v>3994</v>
      </c>
      <c r="I1003">
        <v>10</v>
      </c>
    </row>
    <row r="1004" spans="2:9" x14ac:dyDescent="0.3">
      <c r="B1004" t="s">
        <v>848</v>
      </c>
      <c r="C1004" t="s">
        <v>2159</v>
      </c>
      <c r="D1004" t="s">
        <v>2658</v>
      </c>
      <c r="E1004" s="24">
        <v>39303</v>
      </c>
      <c r="F1004">
        <v>10</v>
      </c>
      <c r="G1004">
        <v>1</v>
      </c>
      <c r="H1004" t="s">
        <v>3995</v>
      </c>
      <c r="I1004">
        <v>10</v>
      </c>
    </row>
    <row r="1005" spans="2:9" x14ac:dyDescent="0.3">
      <c r="B1005" t="s">
        <v>849</v>
      </c>
      <c r="C1005" t="s">
        <v>2160</v>
      </c>
      <c r="D1005" t="s">
        <v>2658</v>
      </c>
      <c r="E1005" s="24">
        <v>40584</v>
      </c>
      <c r="F1005">
        <v>10</v>
      </c>
      <c r="G1005">
        <v>1</v>
      </c>
      <c r="H1005" t="s">
        <v>3996</v>
      </c>
      <c r="I1005">
        <v>10</v>
      </c>
    </row>
    <row r="1006" spans="2:9" x14ac:dyDescent="0.3">
      <c r="B1006" t="s">
        <v>850</v>
      </c>
      <c r="C1006" t="s">
        <v>2161</v>
      </c>
      <c r="D1006" t="s">
        <v>2658</v>
      </c>
      <c r="E1006" s="24">
        <v>40711</v>
      </c>
      <c r="F1006">
        <v>1</v>
      </c>
      <c r="G1006">
        <v>1</v>
      </c>
      <c r="H1006" t="s">
        <v>3997</v>
      </c>
      <c r="I1006">
        <v>1</v>
      </c>
    </row>
    <row r="1007" spans="2:9" x14ac:dyDescent="0.3">
      <c r="B1007" t="s">
        <v>851</v>
      </c>
      <c r="C1007" t="s">
        <v>2162</v>
      </c>
      <c r="D1007" t="s">
        <v>2686</v>
      </c>
      <c r="E1007" s="24">
        <v>40833</v>
      </c>
      <c r="F1007">
        <v>10</v>
      </c>
      <c r="G1007">
        <v>1</v>
      </c>
      <c r="H1007" t="s">
        <v>3998</v>
      </c>
      <c r="I1007">
        <v>10</v>
      </c>
    </row>
    <row r="1008" spans="2:9" x14ac:dyDescent="0.3">
      <c r="B1008" t="s">
        <v>852</v>
      </c>
      <c r="C1008" t="s">
        <v>2163</v>
      </c>
      <c r="D1008" t="s">
        <v>2658</v>
      </c>
      <c r="E1008" s="24">
        <v>34899</v>
      </c>
      <c r="F1008">
        <v>5</v>
      </c>
      <c r="G1008">
        <v>1</v>
      </c>
      <c r="H1008" t="s">
        <v>3999</v>
      </c>
      <c r="I1008">
        <v>5</v>
      </c>
    </row>
    <row r="1009" spans="2:9" x14ac:dyDescent="0.3">
      <c r="B1009" t="s">
        <v>853</v>
      </c>
      <c r="C1009" t="s">
        <v>2164</v>
      </c>
      <c r="D1009" t="s">
        <v>2658</v>
      </c>
      <c r="E1009" s="24">
        <v>39497</v>
      </c>
      <c r="F1009">
        <v>10</v>
      </c>
      <c r="G1009">
        <v>1</v>
      </c>
      <c r="H1009" t="s">
        <v>4000</v>
      </c>
      <c r="I1009">
        <v>10</v>
      </c>
    </row>
    <row r="1010" spans="2:9" x14ac:dyDescent="0.3">
      <c r="B1010" t="s">
        <v>854</v>
      </c>
      <c r="C1010" t="s">
        <v>2165</v>
      </c>
      <c r="D1010" t="s">
        <v>2686</v>
      </c>
      <c r="E1010" s="24">
        <v>36957</v>
      </c>
      <c r="F1010">
        <v>10</v>
      </c>
      <c r="G1010">
        <v>1</v>
      </c>
      <c r="H1010" t="s">
        <v>4001</v>
      </c>
      <c r="I1010">
        <v>10</v>
      </c>
    </row>
    <row r="1011" spans="2:9" x14ac:dyDescent="0.3">
      <c r="B1011" t="s">
        <v>855</v>
      </c>
      <c r="C1011" t="s">
        <v>2166</v>
      </c>
      <c r="D1011" t="s">
        <v>2658</v>
      </c>
      <c r="E1011" s="24">
        <v>37858</v>
      </c>
      <c r="F1011">
        <v>10</v>
      </c>
      <c r="G1011">
        <v>1</v>
      </c>
      <c r="H1011" t="s">
        <v>4002</v>
      </c>
      <c r="I1011">
        <v>10</v>
      </c>
    </row>
    <row r="1012" spans="2:9" x14ac:dyDescent="0.3">
      <c r="B1012" t="s">
        <v>856</v>
      </c>
      <c r="C1012" t="s">
        <v>2167</v>
      </c>
      <c r="D1012" t="s">
        <v>2686</v>
      </c>
      <c r="E1012" s="24">
        <v>39184</v>
      </c>
      <c r="F1012">
        <v>10</v>
      </c>
      <c r="G1012">
        <v>1</v>
      </c>
      <c r="H1012" t="s">
        <v>4003</v>
      </c>
      <c r="I1012">
        <v>10</v>
      </c>
    </row>
    <row r="1013" spans="2:9" x14ac:dyDescent="0.3">
      <c r="B1013" t="s">
        <v>856</v>
      </c>
      <c r="C1013" t="s">
        <v>2167</v>
      </c>
      <c r="D1013" t="s">
        <v>2681</v>
      </c>
      <c r="E1013" s="24">
        <v>39184</v>
      </c>
      <c r="F1013">
        <v>10</v>
      </c>
      <c r="G1013">
        <v>1</v>
      </c>
      <c r="H1013" t="s">
        <v>4003</v>
      </c>
      <c r="I1013">
        <v>10</v>
      </c>
    </row>
    <row r="1014" spans="2:9" x14ac:dyDescent="0.3">
      <c r="B1014" t="s">
        <v>857</v>
      </c>
      <c r="C1014" t="s">
        <v>2168</v>
      </c>
      <c r="D1014" t="s">
        <v>2658</v>
      </c>
      <c r="E1014" s="24">
        <v>41583</v>
      </c>
      <c r="F1014">
        <v>10</v>
      </c>
      <c r="G1014">
        <v>1</v>
      </c>
      <c r="H1014" t="s">
        <v>4004</v>
      </c>
      <c r="I1014">
        <v>10</v>
      </c>
    </row>
    <row r="1015" spans="2:9" x14ac:dyDescent="0.3">
      <c r="B1015" t="s">
        <v>4005</v>
      </c>
      <c r="C1015" t="s">
        <v>4006</v>
      </c>
      <c r="D1015" t="s">
        <v>2658</v>
      </c>
      <c r="E1015" s="24">
        <v>35613</v>
      </c>
      <c r="F1015">
        <v>10</v>
      </c>
      <c r="G1015">
        <v>1</v>
      </c>
      <c r="H1015" t="s">
        <v>4007</v>
      </c>
      <c r="I1015">
        <v>10</v>
      </c>
    </row>
    <row r="1016" spans="2:9" x14ac:dyDescent="0.3">
      <c r="B1016" t="s">
        <v>4008</v>
      </c>
      <c r="C1016" t="s">
        <v>4009</v>
      </c>
      <c r="D1016" t="s">
        <v>2658</v>
      </c>
      <c r="E1016" s="24">
        <v>42209</v>
      </c>
      <c r="F1016">
        <v>2</v>
      </c>
      <c r="G1016">
        <v>1</v>
      </c>
      <c r="H1016" t="s">
        <v>4010</v>
      </c>
      <c r="I1016">
        <v>2</v>
      </c>
    </row>
    <row r="1017" spans="2:9" x14ac:dyDescent="0.3">
      <c r="B1017" t="s">
        <v>858</v>
      </c>
      <c r="C1017" t="s">
        <v>2169</v>
      </c>
      <c r="D1017" t="s">
        <v>2658</v>
      </c>
      <c r="E1017" s="24">
        <v>38701</v>
      </c>
      <c r="F1017">
        <v>1</v>
      </c>
      <c r="G1017">
        <v>1</v>
      </c>
      <c r="H1017" t="s">
        <v>4011</v>
      </c>
      <c r="I1017">
        <v>1</v>
      </c>
    </row>
    <row r="1018" spans="2:9" x14ac:dyDescent="0.3">
      <c r="B1018" t="s">
        <v>1324</v>
      </c>
      <c r="C1018" t="s">
        <v>2170</v>
      </c>
      <c r="D1018" t="s">
        <v>2686</v>
      </c>
      <c r="E1018" s="24">
        <v>39148</v>
      </c>
      <c r="F1018">
        <v>10</v>
      </c>
      <c r="G1018">
        <v>1</v>
      </c>
      <c r="H1018" t="s">
        <v>4012</v>
      </c>
      <c r="I1018">
        <v>10</v>
      </c>
    </row>
    <row r="1019" spans="2:9" x14ac:dyDescent="0.3">
      <c r="B1019" t="s">
        <v>81</v>
      </c>
      <c r="C1019" t="s">
        <v>2171</v>
      </c>
      <c r="D1019" t="s">
        <v>2658</v>
      </c>
      <c r="E1019" s="24">
        <v>35613</v>
      </c>
      <c r="F1019">
        <v>10</v>
      </c>
      <c r="G1019">
        <v>1</v>
      </c>
      <c r="H1019" t="s">
        <v>4013</v>
      </c>
      <c r="I1019">
        <v>10</v>
      </c>
    </row>
    <row r="1020" spans="2:9" x14ac:dyDescent="0.3">
      <c r="B1020" t="s">
        <v>859</v>
      </c>
      <c r="C1020" t="s">
        <v>2172</v>
      </c>
      <c r="D1020" t="s">
        <v>2658</v>
      </c>
      <c r="E1020" s="24">
        <v>39127</v>
      </c>
      <c r="F1020">
        <v>10</v>
      </c>
      <c r="G1020">
        <v>1</v>
      </c>
      <c r="H1020" t="s">
        <v>4014</v>
      </c>
      <c r="I1020">
        <v>10</v>
      </c>
    </row>
    <row r="1021" spans="2:9" x14ac:dyDescent="0.3">
      <c r="B1021" t="s">
        <v>860</v>
      </c>
      <c r="C1021" t="s">
        <v>2173</v>
      </c>
      <c r="D1021" t="s">
        <v>2658</v>
      </c>
      <c r="E1021" s="24">
        <v>41467</v>
      </c>
      <c r="F1021">
        <v>1</v>
      </c>
      <c r="G1021">
        <v>1</v>
      </c>
      <c r="H1021" t="s">
        <v>4015</v>
      </c>
      <c r="I1021">
        <v>1</v>
      </c>
    </row>
    <row r="1022" spans="2:9" x14ac:dyDescent="0.3">
      <c r="B1022" t="s">
        <v>861</v>
      </c>
      <c r="C1022" t="s">
        <v>2174</v>
      </c>
      <c r="D1022" t="s">
        <v>2658</v>
      </c>
      <c r="E1022" s="24">
        <v>36034</v>
      </c>
      <c r="F1022">
        <v>1</v>
      </c>
      <c r="G1022">
        <v>1</v>
      </c>
      <c r="H1022" t="s">
        <v>4016</v>
      </c>
      <c r="I1022">
        <v>1</v>
      </c>
    </row>
    <row r="1023" spans="2:9" x14ac:dyDescent="0.3">
      <c r="B1023" t="s">
        <v>862</v>
      </c>
      <c r="C1023" t="s">
        <v>2175</v>
      </c>
      <c r="D1023" t="s">
        <v>2658</v>
      </c>
      <c r="E1023" s="24">
        <v>40240</v>
      </c>
      <c r="F1023">
        <v>10</v>
      </c>
      <c r="G1023">
        <v>1</v>
      </c>
      <c r="H1023" t="s">
        <v>4017</v>
      </c>
      <c r="I1023">
        <v>10</v>
      </c>
    </row>
    <row r="1024" spans="2:9" x14ac:dyDescent="0.3">
      <c r="B1024" t="s">
        <v>863</v>
      </c>
      <c r="C1024" t="s">
        <v>2176</v>
      </c>
      <c r="D1024" t="s">
        <v>2658</v>
      </c>
      <c r="E1024" s="24">
        <v>34787</v>
      </c>
      <c r="F1024">
        <v>1</v>
      </c>
      <c r="G1024">
        <v>1</v>
      </c>
      <c r="H1024" t="s">
        <v>4018</v>
      </c>
      <c r="I1024">
        <v>1</v>
      </c>
    </row>
    <row r="1025" spans="2:9" x14ac:dyDescent="0.3">
      <c r="B1025" t="s">
        <v>864</v>
      </c>
      <c r="C1025" t="s">
        <v>2177</v>
      </c>
      <c r="D1025" t="s">
        <v>2658</v>
      </c>
      <c r="E1025" s="24">
        <v>40980</v>
      </c>
      <c r="F1025">
        <v>1</v>
      </c>
      <c r="G1025">
        <v>1</v>
      </c>
      <c r="H1025" t="s">
        <v>4019</v>
      </c>
      <c r="I1025">
        <v>1</v>
      </c>
    </row>
    <row r="1026" spans="2:9" x14ac:dyDescent="0.3">
      <c r="B1026" t="s">
        <v>865</v>
      </c>
      <c r="C1026" t="s">
        <v>2178</v>
      </c>
      <c r="D1026" t="s">
        <v>2658</v>
      </c>
      <c r="E1026" s="24">
        <v>40450</v>
      </c>
      <c r="F1026">
        <v>1</v>
      </c>
      <c r="G1026">
        <v>1</v>
      </c>
      <c r="H1026" t="s">
        <v>4020</v>
      </c>
      <c r="I1026">
        <v>1</v>
      </c>
    </row>
    <row r="1027" spans="2:9" x14ac:dyDescent="0.3">
      <c r="B1027" t="s">
        <v>4021</v>
      </c>
      <c r="C1027" t="s">
        <v>4022</v>
      </c>
      <c r="D1027" t="s">
        <v>2658</v>
      </c>
      <c r="E1027" s="24">
        <v>42082</v>
      </c>
      <c r="F1027">
        <v>10</v>
      </c>
      <c r="G1027">
        <v>1</v>
      </c>
      <c r="H1027" t="s">
        <v>4023</v>
      </c>
      <c r="I1027">
        <v>10</v>
      </c>
    </row>
    <row r="1028" spans="2:9" x14ac:dyDescent="0.3">
      <c r="B1028" t="s">
        <v>4024</v>
      </c>
      <c r="C1028" t="s">
        <v>4025</v>
      </c>
      <c r="D1028" t="s">
        <v>2686</v>
      </c>
      <c r="E1028" s="24">
        <v>42237</v>
      </c>
      <c r="F1028">
        <v>10</v>
      </c>
      <c r="G1028">
        <v>1</v>
      </c>
      <c r="H1028" t="s">
        <v>4026</v>
      </c>
      <c r="I1028">
        <v>10</v>
      </c>
    </row>
    <row r="1029" spans="2:9" x14ac:dyDescent="0.3">
      <c r="B1029" t="s">
        <v>866</v>
      </c>
      <c r="C1029" t="s">
        <v>2179</v>
      </c>
      <c r="D1029" t="s">
        <v>2686</v>
      </c>
      <c r="E1029" s="24">
        <v>36362</v>
      </c>
      <c r="F1029">
        <v>10</v>
      </c>
      <c r="G1029">
        <v>1</v>
      </c>
      <c r="H1029" t="s">
        <v>4027</v>
      </c>
      <c r="I1029">
        <v>10</v>
      </c>
    </row>
    <row r="1030" spans="2:9" x14ac:dyDescent="0.3">
      <c r="B1030" t="s">
        <v>867</v>
      </c>
      <c r="C1030" t="s">
        <v>2180</v>
      </c>
      <c r="D1030" t="s">
        <v>2658</v>
      </c>
      <c r="E1030" s="24">
        <v>39157</v>
      </c>
      <c r="F1030">
        <v>10</v>
      </c>
      <c r="G1030">
        <v>1</v>
      </c>
      <c r="H1030" t="s">
        <v>4028</v>
      </c>
      <c r="I1030">
        <v>10</v>
      </c>
    </row>
    <row r="1031" spans="2:9" x14ac:dyDescent="0.3">
      <c r="B1031" t="s">
        <v>4029</v>
      </c>
      <c r="C1031" t="s">
        <v>2181</v>
      </c>
      <c r="D1031" t="s">
        <v>2686</v>
      </c>
      <c r="E1031" s="24">
        <v>42499</v>
      </c>
      <c r="F1031">
        <v>10</v>
      </c>
      <c r="G1031">
        <v>1</v>
      </c>
      <c r="H1031" t="s">
        <v>4030</v>
      </c>
      <c r="I1031">
        <v>10</v>
      </c>
    </row>
    <row r="1032" spans="2:9" x14ac:dyDescent="0.3">
      <c r="B1032" t="s">
        <v>868</v>
      </c>
      <c r="C1032" t="s">
        <v>2182</v>
      </c>
      <c r="D1032" t="s">
        <v>2658</v>
      </c>
      <c r="E1032" s="24">
        <v>35172</v>
      </c>
      <c r="F1032">
        <v>1</v>
      </c>
      <c r="G1032">
        <v>1</v>
      </c>
      <c r="H1032" t="s">
        <v>4031</v>
      </c>
      <c r="I1032">
        <v>1</v>
      </c>
    </row>
    <row r="1033" spans="2:9" x14ac:dyDescent="0.3">
      <c r="B1033" t="s">
        <v>869</v>
      </c>
      <c r="C1033" t="s">
        <v>2183</v>
      </c>
      <c r="D1033" t="s">
        <v>2658</v>
      </c>
      <c r="E1033" s="24">
        <v>40816</v>
      </c>
      <c r="F1033">
        <v>2</v>
      </c>
      <c r="G1033">
        <v>1</v>
      </c>
      <c r="H1033" t="s">
        <v>4032</v>
      </c>
      <c r="I1033">
        <v>2</v>
      </c>
    </row>
    <row r="1034" spans="2:9" x14ac:dyDescent="0.3">
      <c r="B1034" t="s">
        <v>870</v>
      </c>
      <c r="C1034" t="s">
        <v>2184</v>
      </c>
      <c r="D1034" t="s">
        <v>2658</v>
      </c>
      <c r="E1034" s="24">
        <v>39085</v>
      </c>
      <c r="F1034">
        <v>5</v>
      </c>
      <c r="G1034">
        <v>1</v>
      </c>
      <c r="H1034" t="s">
        <v>4033</v>
      </c>
      <c r="I1034">
        <v>5</v>
      </c>
    </row>
    <row r="1035" spans="2:9" x14ac:dyDescent="0.3">
      <c r="B1035" t="s">
        <v>871</v>
      </c>
      <c r="C1035" t="s">
        <v>2185</v>
      </c>
      <c r="D1035" t="s">
        <v>2658</v>
      </c>
      <c r="E1035" s="24">
        <v>38261</v>
      </c>
      <c r="F1035">
        <v>2</v>
      </c>
      <c r="G1035">
        <v>1</v>
      </c>
      <c r="H1035" t="s">
        <v>4034</v>
      </c>
      <c r="I1035">
        <v>2</v>
      </c>
    </row>
    <row r="1036" spans="2:9" x14ac:dyDescent="0.3">
      <c r="B1036" t="s">
        <v>872</v>
      </c>
      <c r="C1036" t="s">
        <v>2186</v>
      </c>
      <c r="D1036" t="s">
        <v>2658</v>
      </c>
      <c r="E1036" s="24">
        <v>40360</v>
      </c>
      <c r="F1036">
        <v>10</v>
      </c>
      <c r="G1036">
        <v>1</v>
      </c>
      <c r="H1036" t="s">
        <v>4035</v>
      </c>
      <c r="I1036">
        <v>10</v>
      </c>
    </row>
    <row r="1037" spans="2:9" x14ac:dyDescent="0.3">
      <c r="B1037" t="s">
        <v>873</v>
      </c>
      <c r="C1037" t="s">
        <v>2187</v>
      </c>
      <c r="D1037" t="s">
        <v>2686</v>
      </c>
      <c r="E1037" s="24">
        <v>39085</v>
      </c>
      <c r="F1037">
        <v>2</v>
      </c>
      <c r="G1037">
        <v>1</v>
      </c>
      <c r="H1037" t="s">
        <v>4036</v>
      </c>
      <c r="I1037">
        <v>2</v>
      </c>
    </row>
    <row r="1038" spans="2:9" x14ac:dyDescent="0.3">
      <c r="B1038" t="s">
        <v>4037</v>
      </c>
      <c r="C1038" t="s">
        <v>4038</v>
      </c>
      <c r="D1038" t="s">
        <v>2658</v>
      </c>
      <c r="E1038" s="24">
        <v>42509</v>
      </c>
      <c r="F1038">
        <v>10</v>
      </c>
      <c r="G1038">
        <v>1</v>
      </c>
      <c r="H1038" t="s">
        <v>4039</v>
      </c>
      <c r="I1038">
        <v>10</v>
      </c>
    </row>
    <row r="1039" spans="2:9" x14ac:dyDescent="0.3">
      <c r="B1039" t="s">
        <v>874</v>
      </c>
      <c r="C1039" t="s">
        <v>2188</v>
      </c>
      <c r="D1039" t="s">
        <v>2658</v>
      </c>
      <c r="E1039" s="24">
        <v>39051</v>
      </c>
      <c r="F1039">
        <v>5</v>
      </c>
      <c r="G1039">
        <v>1</v>
      </c>
      <c r="H1039" t="s">
        <v>4040</v>
      </c>
      <c r="I1039">
        <v>5</v>
      </c>
    </row>
    <row r="1040" spans="2:9" x14ac:dyDescent="0.3">
      <c r="B1040" t="s">
        <v>875</v>
      </c>
      <c r="C1040" t="s">
        <v>2189</v>
      </c>
      <c r="D1040" t="s">
        <v>2658</v>
      </c>
      <c r="E1040" s="24">
        <v>38407</v>
      </c>
      <c r="F1040">
        <v>1</v>
      </c>
      <c r="G1040">
        <v>1</v>
      </c>
      <c r="H1040" t="s">
        <v>4041</v>
      </c>
      <c r="I1040">
        <v>1</v>
      </c>
    </row>
    <row r="1041" spans="2:9" x14ac:dyDescent="0.3">
      <c r="B1041" t="s">
        <v>876</v>
      </c>
      <c r="C1041" t="s">
        <v>2190</v>
      </c>
      <c r="D1041" t="s">
        <v>2658</v>
      </c>
      <c r="E1041" s="24">
        <v>39458</v>
      </c>
      <c r="F1041">
        <v>10</v>
      </c>
      <c r="G1041">
        <v>1</v>
      </c>
      <c r="H1041" t="s">
        <v>4042</v>
      </c>
      <c r="I1041">
        <v>10</v>
      </c>
    </row>
    <row r="1042" spans="2:9" x14ac:dyDescent="0.3">
      <c r="B1042" t="s">
        <v>877</v>
      </c>
      <c r="C1042" t="s">
        <v>2191</v>
      </c>
      <c r="D1042" t="s">
        <v>2658</v>
      </c>
      <c r="E1042" s="24">
        <v>34829</v>
      </c>
      <c r="F1042">
        <v>10</v>
      </c>
      <c r="G1042">
        <v>1</v>
      </c>
      <c r="H1042" t="s">
        <v>4043</v>
      </c>
      <c r="I1042">
        <v>10</v>
      </c>
    </row>
    <row r="1043" spans="2:9" x14ac:dyDescent="0.3">
      <c r="B1043" t="s">
        <v>878</v>
      </c>
      <c r="C1043" t="s">
        <v>2192</v>
      </c>
      <c r="D1043" t="s">
        <v>2658</v>
      </c>
      <c r="E1043" s="24">
        <v>38680</v>
      </c>
      <c r="F1043">
        <v>10</v>
      </c>
      <c r="G1043">
        <v>1</v>
      </c>
      <c r="H1043" t="s">
        <v>4044</v>
      </c>
      <c r="I1043">
        <v>10</v>
      </c>
    </row>
    <row r="1044" spans="2:9" x14ac:dyDescent="0.3">
      <c r="B1044" t="s">
        <v>879</v>
      </c>
      <c r="C1044" t="s">
        <v>2193</v>
      </c>
      <c r="D1044" t="s">
        <v>2658</v>
      </c>
      <c r="E1044" s="24">
        <v>41270</v>
      </c>
      <c r="F1044">
        <v>10</v>
      </c>
      <c r="G1044">
        <v>1</v>
      </c>
      <c r="H1044" t="s">
        <v>4045</v>
      </c>
      <c r="I1044">
        <v>10</v>
      </c>
    </row>
    <row r="1045" spans="2:9" x14ac:dyDescent="0.3">
      <c r="B1045" t="s">
        <v>4046</v>
      </c>
      <c r="C1045" t="s">
        <v>4047</v>
      </c>
      <c r="D1045" t="s">
        <v>2658</v>
      </c>
      <c r="E1045" s="24">
        <v>42459</v>
      </c>
      <c r="F1045">
        <v>1</v>
      </c>
      <c r="G1045">
        <v>1</v>
      </c>
      <c r="H1045" t="s">
        <v>4048</v>
      </c>
      <c r="I1045">
        <v>1</v>
      </c>
    </row>
    <row r="1046" spans="2:9" x14ac:dyDescent="0.3">
      <c r="B1046" t="s">
        <v>880</v>
      </c>
      <c r="C1046" t="s">
        <v>2194</v>
      </c>
      <c r="D1046" t="s">
        <v>2658</v>
      </c>
      <c r="E1046" s="24">
        <v>40409</v>
      </c>
      <c r="F1046">
        <v>10</v>
      </c>
      <c r="G1046">
        <v>1</v>
      </c>
      <c r="H1046" t="s">
        <v>4049</v>
      </c>
      <c r="I1046">
        <v>10</v>
      </c>
    </row>
    <row r="1047" spans="2:9" x14ac:dyDescent="0.3">
      <c r="B1047" t="s">
        <v>881</v>
      </c>
      <c r="C1047" t="s">
        <v>2195</v>
      </c>
      <c r="D1047" t="s">
        <v>2658</v>
      </c>
      <c r="E1047" s="24">
        <v>41933</v>
      </c>
      <c r="F1047">
        <v>10</v>
      </c>
      <c r="G1047">
        <v>1</v>
      </c>
      <c r="H1047" t="s">
        <v>4050</v>
      </c>
      <c r="I1047">
        <v>10</v>
      </c>
    </row>
    <row r="1048" spans="2:9" x14ac:dyDescent="0.3">
      <c r="B1048" t="s">
        <v>1325</v>
      </c>
      <c r="C1048" t="s">
        <v>2196</v>
      </c>
      <c r="D1048" t="s">
        <v>2658</v>
      </c>
      <c r="E1048" s="24">
        <v>34899</v>
      </c>
      <c r="F1048">
        <v>2</v>
      </c>
      <c r="G1048">
        <v>1</v>
      </c>
      <c r="H1048" t="s">
        <v>4051</v>
      </c>
      <c r="I1048">
        <v>2</v>
      </c>
    </row>
    <row r="1049" spans="2:9" x14ac:dyDescent="0.3">
      <c r="B1049" t="s">
        <v>882</v>
      </c>
      <c r="C1049" t="s">
        <v>2197</v>
      </c>
      <c r="D1049" t="s">
        <v>2658</v>
      </c>
      <c r="E1049" s="24">
        <v>34738</v>
      </c>
      <c r="F1049">
        <v>2</v>
      </c>
      <c r="G1049">
        <v>1</v>
      </c>
      <c r="H1049" t="s">
        <v>4052</v>
      </c>
      <c r="I1049">
        <v>2</v>
      </c>
    </row>
    <row r="1050" spans="2:9" x14ac:dyDescent="0.3">
      <c r="B1050" t="s">
        <v>883</v>
      </c>
      <c r="C1050" t="s">
        <v>2198</v>
      </c>
      <c r="D1050" t="s">
        <v>2686</v>
      </c>
      <c r="E1050" s="24">
        <v>36677</v>
      </c>
      <c r="F1050">
        <v>10</v>
      </c>
      <c r="G1050">
        <v>1</v>
      </c>
      <c r="H1050" t="s">
        <v>4053</v>
      </c>
      <c r="I1050">
        <v>10</v>
      </c>
    </row>
    <row r="1051" spans="2:9" x14ac:dyDescent="0.3">
      <c r="B1051" t="s">
        <v>84</v>
      </c>
      <c r="C1051" t="s">
        <v>2199</v>
      </c>
      <c r="D1051" t="s">
        <v>2658</v>
      </c>
      <c r="E1051" s="24">
        <v>34738</v>
      </c>
      <c r="F1051">
        <v>2</v>
      </c>
      <c r="G1051">
        <v>1</v>
      </c>
      <c r="H1051" t="s">
        <v>4054</v>
      </c>
      <c r="I1051">
        <v>2</v>
      </c>
    </row>
    <row r="1052" spans="2:9" x14ac:dyDescent="0.3">
      <c r="B1052" t="s">
        <v>884</v>
      </c>
      <c r="C1052" t="s">
        <v>2200</v>
      </c>
      <c r="D1052" t="s">
        <v>2658</v>
      </c>
      <c r="E1052" s="24">
        <v>40507</v>
      </c>
      <c r="F1052">
        <v>5</v>
      </c>
      <c r="G1052">
        <v>1</v>
      </c>
      <c r="H1052" t="s">
        <v>4055</v>
      </c>
      <c r="I1052">
        <v>5</v>
      </c>
    </row>
    <row r="1053" spans="2:9" x14ac:dyDescent="0.3">
      <c r="B1053" t="s">
        <v>885</v>
      </c>
      <c r="C1053" t="s">
        <v>2201</v>
      </c>
      <c r="D1053" t="s">
        <v>2658</v>
      </c>
      <c r="E1053" s="24">
        <v>34738</v>
      </c>
      <c r="F1053">
        <v>2</v>
      </c>
      <c r="G1053">
        <v>1</v>
      </c>
      <c r="H1053" t="s">
        <v>4056</v>
      </c>
      <c r="I1053">
        <v>2</v>
      </c>
    </row>
    <row r="1054" spans="2:9" x14ac:dyDescent="0.3">
      <c r="B1054" t="s">
        <v>4057</v>
      </c>
      <c r="C1054" t="s">
        <v>4058</v>
      </c>
      <c r="D1054" t="s">
        <v>2658</v>
      </c>
      <c r="E1054" s="24">
        <v>42257</v>
      </c>
      <c r="F1054">
        <v>10</v>
      </c>
      <c r="G1054">
        <v>1</v>
      </c>
      <c r="H1054" t="s">
        <v>4059</v>
      </c>
      <c r="I1054">
        <v>10</v>
      </c>
    </row>
    <row r="1055" spans="2:9" x14ac:dyDescent="0.3">
      <c r="B1055" t="s">
        <v>886</v>
      </c>
      <c r="C1055" t="s">
        <v>2202</v>
      </c>
      <c r="D1055" t="s">
        <v>2658</v>
      </c>
      <c r="E1055" s="24">
        <v>40274</v>
      </c>
      <c r="F1055">
        <v>10</v>
      </c>
      <c r="G1055">
        <v>1</v>
      </c>
      <c r="H1055" t="s">
        <v>4060</v>
      </c>
      <c r="I1055">
        <v>10</v>
      </c>
    </row>
    <row r="1056" spans="2:9" x14ac:dyDescent="0.3">
      <c r="B1056" t="s">
        <v>887</v>
      </c>
      <c r="C1056" t="s">
        <v>2203</v>
      </c>
      <c r="D1056" t="s">
        <v>2686</v>
      </c>
      <c r="E1056" s="24">
        <v>36362</v>
      </c>
      <c r="F1056">
        <v>10</v>
      </c>
      <c r="G1056">
        <v>1</v>
      </c>
      <c r="H1056" t="s">
        <v>4061</v>
      </c>
      <c r="I1056">
        <v>10</v>
      </c>
    </row>
    <row r="1057" spans="2:9" x14ac:dyDescent="0.3">
      <c r="B1057" t="s">
        <v>82</v>
      </c>
      <c r="C1057" t="s">
        <v>2204</v>
      </c>
      <c r="D1057" t="s">
        <v>2658</v>
      </c>
      <c r="E1057" s="24">
        <v>38072</v>
      </c>
      <c r="F1057">
        <v>10</v>
      </c>
      <c r="G1057">
        <v>1</v>
      </c>
      <c r="H1057" t="s">
        <v>4062</v>
      </c>
      <c r="I1057">
        <v>10</v>
      </c>
    </row>
    <row r="1058" spans="2:9" x14ac:dyDescent="0.3">
      <c r="B1058" t="s">
        <v>85</v>
      </c>
      <c r="C1058" t="s">
        <v>2205</v>
      </c>
      <c r="D1058" t="s">
        <v>2658</v>
      </c>
      <c r="E1058" s="24">
        <v>39136</v>
      </c>
      <c r="F1058">
        <v>10</v>
      </c>
      <c r="G1058">
        <v>1</v>
      </c>
      <c r="H1058" t="s">
        <v>4063</v>
      </c>
      <c r="I1058">
        <v>10</v>
      </c>
    </row>
    <row r="1059" spans="2:9" x14ac:dyDescent="0.3">
      <c r="B1059" t="s">
        <v>888</v>
      </c>
      <c r="C1059" t="s">
        <v>2206</v>
      </c>
      <c r="D1059" t="s">
        <v>2658</v>
      </c>
      <c r="E1059" s="24">
        <v>36278</v>
      </c>
      <c r="F1059">
        <v>10</v>
      </c>
      <c r="G1059">
        <v>1</v>
      </c>
      <c r="H1059" t="s">
        <v>4064</v>
      </c>
      <c r="I1059">
        <v>10</v>
      </c>
    </row>
    <row r="1060" spans="2:9" x14ac:dyDescent="0.3">
      <c r="B1060" t="s">
        <v>889</v>
      </c>
      <c r="C1060" t="s">
        <v>2207</v>
      </c>
      <c r="D1060" t="s">
        <v>2658</v>
      </c>
      <c r="E1060" s="24">
        <v>38888</v>
      </c>
      <c r="F1060">
        <v>1</v>
      </c>
      <c r="G1060">
        <v>1</v>
      </c>
      <c r="H1060" t="s">
        <v>4065</v>
      </c>
      <c r="I1060">
        <v>1</v>
      </c>
    </row>
    <row r="1061" spans="2:9" x14ac:dyDescent="0.3">
      <c r="B1061" t="s">
        <v>890</v>
      </c>
      <c r="C1061" t="s">
        <v>2208</v>
      </c>
      <c r="D1061" t="s">
        <v>2658</v>
      </c>
      <c r="E1061" s="24">
        <v>40632</v>
      </c>
      <c r="F1061">
        <v>10</v>
      </c>
      <c r="G1061">
        <v>1</v>
      </c>
      <c r="H1061" t="s">
        <v>4066</v>
      </c>
      <c r="I1061">
        <v>10</v>
      </c>
    </row>
    <row r="1062" spans="2:9" x14ac:dyDescent="0.3">
      <c r="B1062" t="s">
        <v>891</v>
      </c>
      <c r="C1062" t="s">
        <v>2209</v>
      </c>
      <c r="D1062" t="s">
        <v>2658</v>
      </c>
      <c r="E1062" s="24">
        <v>40812</v>
      </c>
      <c r="F1062">
        <v>10</v>
      </c>
      <c r="G1062">
        <v>1</v>
      </c>
      <c r="H1062" t="s">
        <v>4067</v>
      </c>
      <c r="I1062">
        <v>10</v>
      </c>
    </row>
    <row r="1063" spans="2:9" x14ac:dyDescent="0.3">
      <c r="B1063" t="s">
        <v>86</v>
      </c>
      <c r="C1063" t="s">
        <v>2210</v>
      </c>
      <c r="D1063" t="s">
        <v>2658</v>
      </c>
      <c r="E1063" s="24">
        <v>38175</v>
      </c>
      <c r="F1063">
        <v>10</v>
      </c>
      <c r="G1063">
        <v>1</v>
      </c>
      <c r="H1063" t="s">
        <v>4068</v>
      </c>
      <c r="I1063">
        <v>10</v>
      </c>
    </row>
    <row r="1064" spans="2:9" x14ac:dyDescent="0.3">
      <c r="B1064" t="s">
        <v>892</v>
      </c>
      <c r="C1064" t="s">
        <v>2211</v>
      </c>
      <c r="D1064" t="s">
        <v>2658</v>
      </c>
      <c r="E1064" s="24">
        <v>39128</v>
      </c>
      <c r="F1064">
        <v>10</v>
      </c>
      <c r="G1064">
        <v>1</v>
      </c>
      <c r="H1064" t="s">
        <v>4069</v>
      </c>
      <c r="I1064">
        <v>10</v>
      </c>
    </row>
    <row r="1065" spans="2:9" x14ac:dyDescent="0.3">
      <c r="B1065" t="s">
        <v>893</v>
      </c>
      <c r="C1065" t="s">
        <v>2212</v>
      </c>
      <c r="D1065" t="s">
        <v>2658</v>
      </c>
      <c r="E1065" s="24">
        <v>34787</v>
      </c>
      <c r="F1065">
        <v>10</v>
      </c>
      <c r="G1065">
        <v>1</v>
      </c>
      <c r="H1065" t="s">
        <v>4070</v>
      </c>
      <c r="I1065">
        <v>10</v>
      </c>
    </row>
    <row r="1066" spans="2:9" x14ac:dyDescent="0.3">
      <c r="B1066" t="s">
        <v>894</v>
      </c>
      <c r="C1066" t="s">
        <v>2213</v>
      </c>
      <c r="D1066" t="s">
        <v>2658</v>
      </c>
      <c r="E1066" s="24">
        <v>37998</v>
      </c>
      <c r="F1066">
        <v>10</v>
      </c>
      <c r="G1066">
        <v>1</v>
      </c>
      <c r="H1066" t="s">
        <v>4071</v>
      </c>
      <c r="I1066">
        <v>10</v>
      </c>
    </row>
    <row r="1067" spans="2:9" x14ac:dyDescent="0.3">
      <c r="B1067" t="s">
        <v>895</v>
      </c>
      <c r="C1067" t="s">
        <v>2214</v>
      </c>
      <c r="D1067" t="s">
        <v>2658</v>
      </c>
      <c r="E1067" s="24">
        <v>39195</v>
      </c>
      <c r="F1067">
        <v>2</v>
      </c>
      <c r="G1067">
        <v>1</v>
      </c>
      <c r="H1067" t="s">
        <v>4072</v>
      </c>
      <c r="I1067">
        <v>2</v>
      </c>
    </row>
    <row r="1068" spans="2:9" x14ac:dyDescent="0.3">
      <c r="B1068" t="s">
        <v>83</v>
      </c>
      <c r="C1068" t="s">
        <v>2215</v>
      </c>
      <c r="D1068" t="s">
        <v>2658</v>
      </c>
      <c r="E1068" s="24">
        <v>34787</v>
      </c>
      <c r="F1068">
        <v>1</v>
      </c>
      <c r="G1068">
        <v>1</v>
      </c>
      <c r="H1068" t="s">
        <v>4073</v>
      </c>
      <c r="I1068">
        <v>1</v>
      </c>
    </row>
    <row r="1069" spans="2:9" x14ac:dyDescent="0.3">
      <c r="B1069" t="s">
        <v>896</v>
      </c>
      <c r="C1069" t="s">
        <v>2216</v>
      </c>
      <c r="D1069" t="s">
        <v>2658</v>
      </c>
      <c r="E1069" s="24">
        <v>40709</v>
      </c>
      <c r="F1069">
        <v>1</v>
      </c>
      <c r="G1069">
        <v>1</v>
      </c>
      <c r="H1069" t="s">
        <v>4074</v>
      </c>
      <c r="I1069">
        <v>1</v>
      </c>
    </row>
    <row r="1070" spans="2:9" x14ac:dyDescent="0.3">
      <c r="B1070" t="s">
        <v>4075</v>
      </c>
      <c r="C1070" t="s">
        <v>4076</v>
      </c>
      <c r="D1070" t="s">
        <v>2686</v>
      </c>
      <c r="E1070" s="24">
        <v>42346</v>
      </c>
      <c r="F1070">
        <v>10</v>
      </c>
      <c r="G1070">
        <v>1</v>
      </c>
      <c r="H1070" t="s">
        <v>4077</v>
      </c>
      <c r="I1070">
        <v>10</v>
      </c>
    </row>
    <row r="1071" spans="2:9" x14ac:dyDescent="0.3">
      <c r="B1071" t="s">
        <v>4078</v>
      </c>
      <c r="C1071" t="s">
        <v>4079</v>
      </c>
      <c r="D1071" t="s">
        <v>2686</v>
      </c>
      <c r="E1071" s="24">
        <v>41554</v>
      </c>
      <c r="F1071">
        <v>1</v>
      </c>
      <c r="G1071">
        <v>1</v>
      </c>
      <c r="H1071" t="s">
        <v>4080</v>
      </c>
      <c r="I1071">
        <v>1</v>
      </c>
    </row>
    <row r="1072" spans="2:9" x14ac:dyDescent="0.3">
      <c r="B1072" t="s">
        <v>4081</v>
      </c>
      <c r="C1072" t="s">
        <v>4082</v>
      </c>
      <c r="D1072" t="s">
        <v>2658</v>
      </c>
      <c r="E1072" s="24">
        <v>42536</v>
      </c>
      <c r="F1072">
        <v>10</v>
      </c>
      <c r="G1072">
        <v>1</v>
      </c>
      <c r="H1072" t="s">
        <v>4083</v>
      </c>
      <c r="I1072">
        <v>10</v>
      </c>
    </row>
    <row r="1073" spans="2:9" x14ac:dyDescent="0.3">
      <c r="B1073" t="s">
        <v>1326</v>
      </c>
      <c r="C1073" t="s">
        <v>2217</v>
      </c>
      <c r="D1073" t="s">
        <v>2658</v>
      </c>
      <c r="E1073" s="24">
        <v>40344</v>
      </c>
      <c r="F1073">
        <v>10</v>
      </c>
      <c r="G1073">
        <v>1</v>
      </c>
      <c r="H1073" t="s">
        <v>4084</v>
      </c>
      <c r="I1073">
        <v>10</v>
      </c>
    </row>
    <row r="1074" spans="2:9" x14ac:dyDescent="0.3">
      <c r="B1074" t="s">
        <v>897</v>
      </c>
      <c r="C1074" t="s">
        <v>2218</v>
      </c>
      <c r="D1074" t="s">
        <v>2658</v>
      </c>
      <c r="E1074" s="24">
        <v>38853</v>
      </c>
      <c r="F1074">
        <v>10</v>
      </c>
      <c r="G1074">
        <v>1</v>
      </c>
      <c r="H1074" t="s">
        <v>4085</v>
      </c>
      <c r="I1074">
        <v>10</v>
      </c>
    </row>
    <row r="1075" spans="2:9" x14ac:dyDescent="0.3">
      <c r="B1075" t="s">
        <v>898</v>
      </c>
      <c r="C1075" t="s">
        <v>2219</v>
      </c>
      <c r="D1075" t="s">
        <v>2686</v>
      </c>
      <c r="E1075" s="24">
        <v>39597</v>
      </c>
      <c r="F1075">
        <v>10</v>
      </c>
      <c r="G1075">
        <v>1</v>
      </c>
      <c r="H1075" t="s">
        <v>4086</v>
      </c>
      <c r="I1075">
        <v>10</v>
      </c>
    </row>
    <row r="1076" spans="2:9" x14ac:dyDescent="0.3">
      <c r="B1076" t="s">
        <v>899</v>
      </c>
      <c r="C1076" t="s">
        <v>2220</v>
      </c>
      <c r="D1076" t="s">
        <v>2658</v>
      </c>
      <c r="E1076" s="24">
        <v>39115</v>
      </c>
      <c r="F1076">
        <v>5</v>
      </c>
      <c r="G1076">
        <v>1</v>
      </c>
      <c r="H1076" t="s">
        <v>4087</v>
      </c>
      <c r="I1076">
        <v>5</v>
      </c>
    </row>
    <row r="1077" spans="2:9" x14ac:dyDescent="0.3">
      <c r="B1077" t="s">
        <v>4088</v>
      </c>
      <c r="C1077" t="s">
        <v>4089</v>
      </c>
      <c r="D1077" t="s">
        <v>2658</v>
      </c>
      <c r="E1077" s="24">
        <v>42235</v>
      </c>
      <c r="F1077">
        <v>10</v>
      </c>
      <c r="G1077">
        <v>1</v>
      </c>
      <c r="H1077" t="s">
        <v>4090</v>
      </c>
      <c r="I1077">
        <v>10</v>
      </c>
    </row>
    <row r="1078" spans="2:9" x14ac:dyDescent="0.3">
      <c r="B1078" t="s">
        <v>900</v>
      </c>
      <c r="C1078" t="s">
        <v>2221</v>
      </c>
      <c r="D1078" t="s">
        <v>2658</v>
      </c>
      <c r="E1078" s="24">
        <v>39079</v>
      </c>
      <c r="F1078">
        <v>5</v>
      </c>
      <c r="G1078">
        <v>1</v>
      </c>
      <c r="H1078" t="s">
        <v>4091</v>
      </c>
      <c r="I1078">
        <v>5</v>
      </c>
    </row>
    <row r="1079" spans="2:9" x14ac:dyDescent="0.3">
      <c r="B1079" t="s">
        <v>901</v>
      </c>
      <c r="C1079" t="s">
        <v>2222</v>
      </c>
      <c r="D1079" t="s">
        <v>2658</v>
      </c>
      <c r="E1079" s="24">
        <v>37370</v>
      </c>
      <c r="F1079">
        <v>2</v>
      </c>
      <c r="G1079">
        <v>1</v>
      </c>
      <c r="H1079" t="s">
        <v>4092</v>
      </c>
      <c r="I1079">
        <v>2</v>
      </c>
    </row>
    <row r="1080" spans="2:9" x14ac:dyDescent="0.3">
      <c r="B1080" t="s">
        <v>902</v>
      </c>
      <c r="C1080" t="s">
        <v>2223</v>
      </c>
      <c r="D1080" t="s">
        <v>2658</v>
      </c>
      <c r="E1080" s="24">
        <v>36787</v>
      </c>
      <c r="F1080">
        <v>10</v>
      </c>
      <c r="G1080">
        <v>1</v>
      </c>
      <c r="H1080" t="s">
        <v>4093</v>
      </c>
      <c r="I1080">
        <v>10</v>
      </c>
    </row>
    <row r="1081" spans="2:9" x14ac:dyDescent="0.3">
      <c r="B1081" t="s">
        <v>4094</v>
      </c>
      <c r="C1081" t="s">
        <v>4095</v>
      </c>
      <c r="D1081" t="s">
        <v>2658</v>
      </c>
      <c r="E1081" s="24">
        <v>42681</v>
      </c>
      <c r="F1081">
        <v>10</v>
      </c>
      <c r="G1081">
        <v>1</v>
      </c>
      <c r="H1081" t="s">
        <v>4096</v>
      </c>
      <c r="I1081">
        <v>10</v>
      </c>
    </row>
    <row r="1082" spans="2:9" x14ac:dyDescent="0.3">
      <c r="B1082" t="s">
        <v>903</v>
      </c>
      <c r="C1082" t="s">
        <v>2224</v>
      </c>
      <c r="D1082" t="s">
        <v>2686</v>
      </c>
      <c r="E1082" s="24">
        <v>36871</v>
      </c>
      <c r="F1082">
        <v>10</v>
      </c>
      <c r="G1082">
        <v>1</v>
      </c>
      <c r="H1082" t="s">
        <v>4097</v>
      </c>
      <c r="I1082">
        <v>10</v>
      </c>
    </row>
    <row r="1083" spans="2:9" x14ac:dyDescent="0.3">
      <c r="B1083" t="s">
        <v>4098</v>
      </c>
      <c r="C1083" t="s">
        <v>4099</v>
      </c>
      <c r="D1083" t="s">
        <v>2658</v>
      </c>
      <c r="E1083" s="24">
        <v>42150</v>
      </c>
      <c r="F1083">
        <v>2</v>
      </c>
      <c r="G1083">
        <v>1</v>
      </c>
      <c r="H1083" t="s">
        <v>4100</v>
      </c>
      <c r="I1083">
        <v>2</v>
      </c>
    </row>
    <row r="1084" spans="2:9" x14ac:dyDescent="0.3">
      <c r="B1084" t="s">
        <v>904</v>
      </c>
      <c r="C1084" t="s">
        <v>2225</v>
      </c>
      <c r="D1084" t="s">
        <v>2658</v>
      </c>
      <c r="E1084" s="24">
        <v>39122</v>
      </c>
      <c r="F1084">
        <v>10</v>
      </c>
      <c r="G1084">
        <v>1</v>
      </c>
      <c r="H1084" t="s">
        <v>4101</v>
      </c>
      <c r="I1084">
        <v>10</v>
      </c>
    </row>
    <row r="1085" spans="2:9" x14ac:dyDescent="0.3">
      <c r="B1085" t="s">
        <v>4102</v>
      </c>
      <c r="C1085" t="s">
        <v>4103</v>
      </c>
      <c r="D1085" t="s">
        <v>2658</v>
      </c>
      <c r="E1085" s="24">
        <v>42835</v>
      </c>
      <c r="F1085">
        <v>10</v>
      </c>
      <c r="G1085">
        <v>1</v>
      </c>
      <c r="H1085" t="s">
        <v>4104</v>
      </c>
      <c r="I1085">
        <v>10</v>
      </c>
    </row>
    <row r="1086" spans="2:9" x14ac:dyDescent="0.3">
      <c r="B1086" t="s">
        <v>4105</v>
      </c>
      <c r="C1086" t="s">
        <v>4106</v>
      </c>
      <c r="D1086" t="s">
        <v>2658</v>
      </c>
      <c r="E1086" s="24">
        <v>42696</v>
      </c>
      <c r="F1086">
        <v>10</v>
      </c>
      <c r="G1086">
        <v>1</v>
      </c>
      <c r="H1086" t="s">
        <v>4107</v>
      </c>
      <c r="I1086">
        <v>10</v>
      </c>
    </row>
    <row r="1087" spans="2:9" x14ac:dyDescent="0.3">
      <c r="B1087" t="s">
        <v>4108</v>
      </c>
      <c r="C1087" t="s">
        <v>4109</v>
      </c>
      <c r="D1087" t="s">
        <v>2658</v>
      </c>
      <c r="E1087" s="24">
        <v>42558</v>
      </c>
      <c r="F1087">
        <v>10</v>
      </c>
      <c r="G1087">
        <v>1</v>
      </c>
      <c r="H1087" t="s">
        <v>4110</v>
      </c>
      <c r="I1087">
        <v>10</v>
      </c>
    </row>
    <row r="1088" spans="2:9" x14ac:dyDescent="0.3">
      <c r="B1088" t="s">
        <v>905</v>
      </c>
      <c r="C1088" t="s">
        <v>4111</v>
      </c>
      <c r="D1088" t="s">
        <v>2658</v>
      </c>
      <c r="E1088" s="24">
        <v>36488</v>
      </c>
      <c r="F1088">
        <v>5</v>
      </c>
      <c r="G1088">
        <v>1</v>
      </c>
      <c r="H1088" t="s">
        <v>4112</v>
      </c>
      <c r="I1088">
        <v>5</v>
      </c>
    </row>
    <row r="1089" spans="2:9" x14ac:dyDescent="0.3">
      <c r="B1089" t="s">
        <v>906</v>
      </c>
      <c r="C1089" t="s">
        <v>2226</v>
      </c>
      <c r="D1089" t="s">
        <v>2658</v>
      </c>
      <c r="E1089" s="24">
        <v>40884</v>
      </c>
      <c r="F1089">
        <v>5</v>
      </c>
      <c r="G1089">
        <v>1</v>
      </c>
      <c r="H1089" t="s">
        <v>4113</v>
      </c>
      <c r="I1089">
        <v>5</v>
      </c>
    </row>
    <row r="1090" spans="2:9" x14ac:dyDescent="0.3">
      <c r="B1090" t="s">
        <v>907</v>
      </c>
      <c r="C1090" t="s">
        <v>2227</v>
      </c>
      <c r="D1090" t="s">
        <v>2658</v>
      </c>
      <c r="E1090" s="24">
        <v>37722</v>
      </c>
      <c r="F1090">
        <v>10</v>
      </c>
      <c r="G1090">
        <v>1</v>
      </c>
      <c r="H1090" t="s">
        <v>4114</v>
      </c>
      <c r="I1090">
        <v>10</v>
      </c>
    </row>
    <row r="1091" spans="2:9" x14ac:dyDescent="0.3">
      <c r="B1091" t="s">
        <v>908</v>
      </c>
      <c r="C1091" t="s">
        <v>2228</v>
      </c>
      <c r="D1091" t="s">
        <v>2658</v>
      </c>
      <c r="E1091" s="24">
        <v>37362</v>
      </c>
      <c r="F1091">
        <v>10</v>
      </c>
      <c r="G1091">
        <v>1</v>
      </c>
      <c r="H1091" t="s">
        <v>4115</v>
      </c>
      <c r="I1091">
        <v>10</v>
      </c>
    </row>
    <row r="1092" spans="2:9" x14ac:dyDescent="0.3">
      <c r="B1092" t="s">
        <v>909</v>
      </c>
      <c r="C1092" t="s">
        <v>2229</v>
      </c>
      <c r="D1092" t="s">
        <v>2658</v>
      </c>
      <c r="E1092" s="24">
        <v>39360</v>
      </c>
      <c r="F1092">
        <v>10</v>
      </c>
      <c r="G1092">
        <v>1</v>
      </c>
      <c r="H1092" t="s">
        <v>4116</v>
      </c>
      <c r="I1092">
        <v>10</v>
      </c>
    </row>
    <row r="1093" spans="2:9" x14ac:dyDescent="0.3">
      <c r="B1093" t="s">
        <v>4117</v>
      </c>
      <c r="C1093" t="s">
        <v>4118</v>
      </c>
      <c r="D1093" t="s">
        <v>2658</v>
      </c>
      <c r="E1093" s="24">
        <v>42242</v>
      </c>
      <c r="F1093">
        <v>10</v>
      </c>
      <c r="G1093">
        <v>1</v>
      </c>
      <c r="H1093" t="s">
        <v>4119</v>
      </c>
      <c r="I1093">
        <v>10</v>
      </c>
    </row>
    <row r="1094" spans="2:9" x14ac:dyDescent="0.3">
      <c r="B1094" t="s">
        <v>910</v>
      </c>
      <c r="C1094" t="s">
        <v>2230</v>
      </c>
      <c r="D1094" t="s">
        <v>2658</v>
      </c>
      <c r="E1094" s="24">
        <v>39458</v>
      </c>
      <c r="F1094">
        <v>10</v>
      </c>
      <c r="G1094">
        <v>1</v>
      </c>
      <c r="H1094" t="s">
        <v>4120</v>
      </c>
      <c r="I1094">
        <v>10</v>
      </c>
    </row>
    <row r="1095" spans="2:9" x14ac:dyDescent="0.3">
      <c r="B1095" t="s">
        <v>4121</v>
      </c>
      <c r="C1095" t="s">
        <v>4122</v>
      </c>
      <c r="D1095" t="s">
        <v>2658</v>
      </c>
      <c r="E1095" s="24">
        <v>42268</v>
      </c>
      <c r="F1095">
        <v>10</v>
      </c>
      <c r="G1095">
        <v>1</v>
      </c>
      <c r="H1095" t="s">
        <v>4123</v>
      </c>
      <c r="I1095">
        <v>10</v>
      </c>
    </row>
    <row r="1096" spans="2:9" x14ac:dyDescent="0.3">
      <c r="B1096" t="s">
        <v>911</v>
      </c>
      <c r="C1096" t="s">
        <v>2231</v>
      </c>
      <c r="D1096" t="s">
        <v>2686</v>
      </c>
      <c r="E1096" s="24">
        <v>40273</v>
      </c>
      <c r="F1096">
        <v>10</v>
      </c>
      <c r="G1096">
        <v>1</v>
      </c>
      <c r="H1096" t="s">
        <v>4124</v>
      </c>
      <c r="I1096">
        <v>10</v>
      </c>
    </row>
    <row r="1097" spans="2:9" x14ac:dyDescent="0.3">
      <c r="B1097" t="s">
        <v>912</v>
      </c>
      <c r="C1097" t="s">
        <v>2232</v>
      </c>
      <c r="D1097" t="s">
        <v>2658</v>
      </c>
      <c r="E1097" s="24">
        <v>39084</v>
      </c>
      <c r="F1097">
        <v>10</v>
      </c>
      <c r="G1097">
        <v>1</v>
      </c>
      <c r="H1097" t="s">
        <v>4125</v>
      </c>
      <c r="I1097">
        <v>10</v>
      </c>
    </row>
    <row r="1098" spans="2:9" x14ac:dyDescent="0.3">
      <c r="B1098" t="s">
        <v>913</v>
      </c>
      <c r="C1098" t="s">
        <v>2233</v>
      </c>
      <c r="D1098" t="s">
        <v>2658</v>
      </c>
      <c r="E1098" s="24">
        <v>34983</v>
      </c>
      <c r="F1098">
        <v>2</v>
      </c>
      <c r="G1098">
        <v>1</v>
      </c>
      <c r="H1098" t="s">
        <v>4126</v>
      </c>
      <c r="I1098">
        <v>2</v>
      </c>
    </row>
    <row r="1099" spans="2:9" x14ac:dyDescent="0.3">
      <c r="B1099" t="s">
        <v>914</v>
      </c>
      <c r="C1099" t="s">
        <v>2234</v>
      </c>
      <c r="D1099" t="s">
        <v>2658</v>
      </c>
      <c r="E1099" s="24">
        <v>34829</v>
      </c>
      <c r="F1099">
        <v>10</v>
      </c>
      <c r="G1099">
        <v>1</v>
      </c>
      <c r="H1099" t="s">
        <v>4127</v>
      </c>
      <c r="I1099">
        <v>10</v>
      </c>
    </row>
    <row r="1100" spans="2:9" x14ac:dyDescent="0.3">
      <c r="B1100" t="s">
        <v>915</v>
      </c>
      <c r="C1100" t="s">
        <v>2235</v>
      </c>
      <c r="D1100" t="s">
        <v>2658</v>
      </c>
      <c r="E1100" s="24">
        <v>40820</v>
      </c>
      <c r="F1100">
        <v>1</v>
      </c>
      <c r="G1100">
        <v>1</v>
      </c>
      <c r="H1100" t="s">
        <v>4128</v>
      </c>
      <c r="I1100">
        <v>1</v>
      </c>
    </row>
    <row r="1101" spans="2:9" x14ac:dyDescent="0.3">
      <c r="B1101" t="s">
        <v>916</v>
      </c>
      <c r="C1101" t="s">
        <v>2236</v>
      </c>
      <c r="D1101" t="s">
        <v>2658</v>
      </c>
      <c r="E1101" s="24">
        <v>40415</v>
      </c>
      <c r="F1101">
        <v>1</v>
      </c>
      <c r="G1101">
        <v>1</v>
      </c>
      <c r="H1101" t="s">
        <v>4129</v>
      </c>
      <c r="I1101">
        <v>1</v>
      </c>
    </row>
    <row r="1102" spans="2:9" x14ac:dyDescent="0.3">
      <c r="B1102" t="s">
        <v>917</v>
      </c>
      <c r="C1102" t="s">
        <v>2237</v>
      </c>
      <c r="D1102" t="s">
        <v>2658</v>
      </c>
      <c r="E1102" s="24">
        <v>38792</v>
      </c>
      <c r="F1102">
        <v>2</v>
      </c>
      <c r="G1102">
        <v>1</v>
      </c>
      <c r="H1102" t="s">
        <v>4130</v>
      </c>
      <c r="I1102">
        <v>2</v>
      </c>
    </row>
    <row r="1103" spans="2:9" x14ac:dyDescent="0.3">
      <c r="B1103" t="s">
        <v>4131</v>
      </c>
      <c r="C1103" t="s">
        <v>4132</v>
      </c>
      <c r="D1103" t="s">
        <v>2658</v>
      </c>
      <c r="E1103" s="24">
        <v>42408</v>
      </c>
      <c r="F1103">
        <v>10</v>
      </c>
      <c r="G1103">
        <v>1</v>
      </c>
      <c r="H1103" t="s">
        <v>4133</v>
      </c>
      <c r="I1103">
        <v>10</v>
      </c>
    </row>
    <row r="1104" spans="2:9" x14ac:dyDescent="0.3">
      <c r="B1104" t="s">
        <v>918</v>
      </c>
      <c r="C1104" t="s">
        <v>2238</v>
      </c>
      <c r="D1104" t="s">
        <v>2686</v>
      </c>
      <c r="E1104" s="24">
        <v>38583</v>
      </c>
      <c r="F1104">
        <v>10</v>
      </c>
      <c r="G1104">
        <v>1</v>
      </c>
      <c r="H1104" t="s">
        <v>4134</v>
      </c>
      <c r="I1104">
        <v>10</v>
      </c>
    </row>
    <row r="1105" spans="2:9" x14ac:dyDescent="0.3">
      <c r="B1105" t="s">
        <v>919</v>
      </c>
      <c r="C1105" t="s">
        <v>2239</v>
      </c>
      <c r="D1105" t="s">
        <v>2658</v>
      </c>
      <c r="E1105" s="24">
        <v>34948</v>
      </c>
      <c r="F1105">
        <v>5</v>
      </c>
      <c r="G1105">
        <v>1</v>
      </c>
      <c r="H1105" t="s">
        <v>4135</v>
      </c>
      <c r="I1105">
        <v>5</v>
      </c>
    </row>
    <row r="1106" spans="2:9" x14ac:dyDescent="0.3">
      <c r="B1106" t="s">
        <v>4136</v>
      </c>
      <c r="C1106" t="s">
        <v>4137</v>
      </c>
      <c r="D1106" t="s">
        <v>2658</v>
      </c>
      <c r="E1106" s="24">
        <v>42538</v>
      </c>
      <c r="F1106">
        <v>10</v>
      </c>
      <c r="G1106">
        <v>1</v>
      </c>
      <c r="H1106" t="s">
        <v>4138</v>
      </c>
      <c r="I1106">
        <v>10</v>
      </c>
    </row>
    <row r="1107" spans="2:9" x14ac:dyDescent="0.3">
      <c r="B1107" t="s">
        <v>920</v>
      </c>
      <c r="C1107" t="s">
        <v>2240</v>
      </c>
      <c r="D1107" t="s">
        <v>2658</v>
      </c>
      <c r="E1107" s="24">
        <v>35158</v>
      </c>
      <c r="F1107">
        <v>10</v>
      </c>
      <c r="G1107">
        <v>1</v>
      </c>
      <c r="H1107" t="s">
        <v>4139</v>
      </c>
      <c r="I1107">
        <v>10</v>
      </c>
    </row>
    <row r="1108" spans="2:9" x14ac:dyDescent="0.3">
      <c r="B1108" t="s">
        <v>1327</v>
      </c>
      <c r="C1108" t="s">
        <v>2241</v>
      </c>
      <c r="D1108" t="s">
        <v>2658</v>
      </c>
      <c r="E1108" s="24">
        <v>35046</v>
      </c>
      <c r="F1108">
        <v>5</v>
      </c>
      <c r="G1108">
        <v>1</v>
      </c>
      <c r="H1108" t="s">
        <v>4140</v>
      </c>
      <c r="I1108">
        <v>5</v>
      </c>
    </row>
    <row r="1109" spans="2:9" x14ac:dyDescent="0.3">
      <c r="B1109" t="s">
        <v>921</v>
      </c>
      <c r="C1109" t="s">
        <v>2242</v>
      </c>
      <c r="D1109" t="s">
        <v>2658</v>
      </c>
      <c r="E1109" s="24">
        <v>38357</v>
      </c>
      <c r="F1109">
        <v>2</v>
      </c>
      <c r="G1109">
        <v>1</v>
      </c>
      <c r="H1109" t="s">
        <v>4141</v>
      </c>
      <c r="I1109">
        <v>2</v>
      </c>
    </row>
    <row r="1110" spans="2:9" x14ac:dyDescent="0.3">
      <c r="B1110" t="s">
        <v>922</v>
      </c>
      <c r="C1110" t="s">
        <v>2243</v>
      </c>
      <c r="D1110" t="s">
        <v>2658</v>
      </c>
      <c r="E1110" s="24">
        <v>40478</v>
      </c>
      <c r="F1110">
        <v>10</v>
      </c>
      <c r="G1110">
        <v>1</v>
      </c>
      <c r="H1110" t="s">
        <v>4142</v>
      </c>
      <c r="I1110">
        <v>10</v>
      </c>
    </row>
    <row r="1111" spans="2:9" x14ac:dyDescent="0.3">
      <c r="B1111" t="s">
        <v>4143</v>
      </c>
      <c r="C1111" t="s">
        <v>2244</v>
      </c>
      <c r="D1111" t="s">
        <v>2658</v>
      </c>
      <c r="E1111" s="24">
        <v>42776</v>
      </c>
      <c r="F1111">
        <v>1</v>
      </c>
      <c r="G1111">
        <v>1</v>
      </c>
      <c r="H1111" t="s">
        <v>4144</v>
      </c>
      <c r="I1111">
        <v>1</v>
      </c>
    </row>
    <row r="1112" spans="2:9" x14ac:dyDescent="0.3">
      <c r="B1112" t="s">
        <v>923</v>
      </c>
      <c r="C1112" t="s">
        <v>2245</v>
      </c>
      <c r="D1112" t="s">
        <v>2658</v>
      </c>
      <c r="E1112" s="24">
        <v>38520</v>
      </c>
      <c r="F1112">
        <v>5</v>
      </c>
      <c r="G1112">
        <v>1</v>
      </c>
      <c r="H1112" t="s">
        <v>4145</v>
      </c>
      <c r="I1112">
        <v>5</v>
      </c>
    </row>
    <row r="1113" spans="2:9" x14ac:dyDescent="0.3">
      <c r="B1113" t="s">
        <v>924</v>
      </c>
      <c r="C1113" t="s">
        <v>2246</v>
      </c>
      <c r="D1113" t="s">
        <v>2658</v>
      </c>
      <c r="E1113" s="24">
        <v>37853</v>
      </c>
      <c r="F1113">
        <v>10</v>
      </c>
      <c r="G1113">
        <v>1</v>
      </c>
      <c r="H1113" t="s">
        <v>4146</v>
      </c>
      <c r="I1113">
        <v>10</v>
      </c>
    </row>
    <row r="1114" spans="2:9" x14ac:dyDescent="0.3">
      <c r="B1114" t="s">
        <v>925</v>
      </c>
      <c r="C1114" t="s">
        <v>2247</v>
      </c>
      <c r="D1114" t="s">
        <v>2658</v>
      </c>
      <c r="E1114" s="24">
        <v>40994</v>
      </c>
      <c r="F1114">
        <v>1</v>
      </c>
      <c r="G1114">
        <v>1</v>
      </c>
      <c r="H1114" t="s">
        <v>4147</v>
      </c>
      <c r="I1114">
        <v>1</v>
      </c>
    </row>
    <row r="1115" spans="2:9" x14ac:dyDescent="0.3">
      <c r="B1115" t="s">
        <v>926</v>
      </c>
      <c r="C1115" t="s">
        <v>2248</v>
      </c>
      <c r="D1115" t="s">
        <v>2658</v>
      </c>
      <c r="E1115" s="24">
        <v>41164</v>
      </c>
      <c r="F1115">
        <v>2</v>
      </c>
      <c r="G1115">
        <v>1</v>
      </c>
      <c r="H1115" t="s">
        <v>4148</v>
      </c>
      <c r="I1115">
        <v>2</v>
      </c>
    </row>
    <row r="1116" spans="2:9" x14ac:dyDescent="0.3">
      <c r="B1116" t="s">
        <v>927</v>
      </c>
      <c r="C1116" t="s">
        <v>2249</v>
      </c>
      <c r="D1116" t="s">
        <v>2658</v>
      </c>
      <c r="E1116" s="24">
        <v>40542</v>
      </c>
      <c r="F1116">
        <v>10</v>
      </c>
      <c r="G1116">
        <v>1</v>
      </c>
      <c r="H1116" t="s">
        <v>4149</v>
      </c>
      <c r="I1116">
        <v>10</v>
      </c>
    </row>
    <row r="1117" spans="2:9" x14ac:dyDescent="0.3">
      <c r="B1117" t="s">
        <v>928</v>
      </c>
      <c r="C1117" t="s">
        <v>2250</v>
      </c>
      <c r="D1117" t="s">
        <v>2658</v>
      </c>
      <c r="E1117" s="24">
        <v>37770</v>
      </c>
      <c r="F1117">
        <v>10</v>
      </c>
      <c r="G1117">
        <v>1</v>
      </c>
      <c r="H1117" t="s">
        <v>4150</v>
      </c>
      <c r="I1117">
        <v>10</v>
      </c>
    </row>
    <row r="1118" spans="2:9" x14ac:dyDescent="0.3">
      <c r="B1118" t="s">
        <v>929</v>
      </c>
      <c r="C1118" t="s">
        <v>2251</v>
      </c>
      <c r="D1118" t="s">
        <v>2658</v>
      </c>
      <c r="E1118" s="24">
        <v>38084</v>
      </c>
      <c r="F1118">
        <v>10</v>
      </c>
      <c r="G1118">
        <v>1</v>
      </c>
      <c r="H1118" t="s">
        <v>4151</v>
      </c>
      <c r="I1118">
        <v>10</v>
      </c>
    </row>
    <row r="1119" spans="2:9" x14ac:dyDescent="0.3">
      <c r="B1119" t="s">
        <v>930</v>
      </c>
      <c r="C1119" t="s">
        <v>2252</v>
      </c>
      <c r="D1119" t="s">
        <v>2658</v>
      </c>
      <c r="E1119" s="24">
        <v>39111</v>
      </c>
      <c r="F1119">
        <v>2</v>
      </c>
      <c r="G1119">
        <v>1</v>
      </c>
      <c r="H1119" t="s">
        <v>4152</v>
      </c>
      <c r="I1119">
        <v>2</v>
      </c>
    </row>
    <row r="1120" spans="2:9" x14ac:dyDescent="0.3">
      <c r="B1120" t="s">
        <v>931</v>
      </c>
      <c r="C1120" t="s">
        <v>2253</v>
      </c>
      <c r="D1120" t="s">
        <v>2658</v>
      </c>
      <c r="E1120" s="24">
        <v>39149</v>
      </c>
      <c r="F1120">
        <v>10</v>
      </c>
      <c r="G1120">
        <v>1</v>
      </c>
      <c r="H1120" t="s">
        <v>4153</v>
      </c>
      <c r="I1120">
        <v>10</v>
      </c>
    </row>
    <row r="1121" spans="2:9" x14ac:dyDescent="0.3">
      <c r="B1121" t="s">
        <v>932</v>
      </c>
      <c r="C1121" t="s">
        <v>2254</v>
      </c>
      <c r="D1121" t="s">
        <v>2658</v>
      </c>
      <c r="E1121" s="24">
        <v>38723</v>
      </c>
      <c r="F1121">
        <v>2</v>
      </c>
      <c r="G1121">
        <v>1</v>
      </c>
      <c r="H1121" t="s">
        <v>4154</v>
      </c>
      <c r="I1121">
        <v>2</v>
      </c>
    </row>
    <row r="1122" spans="2:9" x14ac:dyDescent="0.3">
      <c r="B1122" t="s">
        <v>933</v>
      </c>
      <c r="C1122" t="s">
        <v>4155</v>
      </c>
      <c r="D1122" t="s">
        <v>2658</v>
      </c>
      <c r="E1122" s="24">
        <v>39324</v>
      </c>
      <c r="F1122">
        <v>5</v>
      </c>
      <c r="G1122">
        <v>1</v>
      </c>
      <c r="H1122" t="s">
        <v>4156</v>
      </c>
      <c r="I1122">
        <v>5</v>
      </c>
    </row>
    <row r="1123" spans="2:9" x14ac:dyDescent="0.3">
      <c r="B1123" t="s">
        <v>934</v>
      </c>
      <c r="C1123" t="s">
        <v>2255</v>
      </c>
      <c r="D1123" t="s">
        <v>2686</v>
      </c>
      <c r="E1123" s="24">
        <v>36250</v>
      </c>
      <c r="F1123">
        <v>10</v>
      </c>
      <c r="G1123">
        <v>1</v>
      </c>
      <c r="H1123" t="s">
        <v>4157</v>
      </c>
      <c r="I1123">
        <v>10</v>
      </c>
    </row>
    <row r="1124" spans="2:9" x14ac:dyDescent="0.3">
      <c r="B1124" t="s">
        <v>935</v>
      </c>
      <c r="C1124" t="s">
        <v>2256</v>
      </c>
      <c r="D1124" t="s">
        <v>2658</v>
      </c>
      <c r="E1124" s="24">
        <v>38721</v>
      </c>
      <c r="F1124">
        <v>10</v>
      </c>
      <c r="G1124">
        <v>1</v>
      </c>
      <c r="H1124" t="s">
        <v>4158</v>
      </c>
      <c r="I1124">
        <v>10</v>
      </c>
    </row>
    <row r="1125" spans="2:9" x14ac:dyDescent="0.3">
      <c r="B1125" t="s">
        <v>4159</v>
      </c>
      <c r="C1125" t="s">
        <v>4160</v>
      </c>
      <c r="D1125" t="s">
        <v>2658</v>
      </c>
      <c r="E1125" s="24">
        <v>42563</v>
      </c>
      <c r="F1125">
        <v>10</v>
      </c>
      <c r="G1125">
        <v>1</v>
      </c>
      <c r="H1125" t="s">
        <v>4161</v>
      </c>
      <c r="I1125">
        <v>10</v>
      </c>
    </row>
    <row r="1126" spans="2:9" x14ac:dyDescent="0.3">
      <c r="B1126" t="s">
        <v>4162</v>
      </c>
      <c r="C1126" t="s">
        <v>4163</v>
      </c>
      <c r="D1126" t="s">
        <v>2658</v>
      </c>
      <c r="E1126" s="24">
        <v>42418</v>
      </c>
      <c r="F1126">
        <v>10</v>
      </c>
      <c r="G1126">
        <v>1</v>
      </c>
      <c r="H1126" t="s">
        <v>4164</v>
      </c>
      <c r="I1126">
        <v>10</v>
      </c>
    </row>
    <row r="1127" spans="2:9" x14ac:dyDescent="0.3">
      <c r="B1127" t="s">
        <v>1328</v>
      </c>
      <c r="C1127" t="s">
        <v>2257</v>
      </c>
      <c r="D1127" t="s">
        <v>2658</v>
      </c>
      <c r="E1127" s="24">
        <v>36880</v>
      </c>
      <c r="F1127">
        <v>10</v>
      </c>
      <c r="G1127">
        <v>1</v>
      </c>
      <c r="H1127" t="s">
        <v>4165</v>
      </c>
      <c r="I1127">
        <v>10</v>
      </c>
    </row>
    <row r="1128" spans="2:9" x14ac:dyDescent="0.3">
      <c r="B1128" t="s">
        <v>1329</v>
      </c>
      <c r="C1128" t="s">
        <v>2258</v>
      </c>
      <c r="D1128" t="s">
        <v>2658</v>
      </c>
      <c r="E1128" s="24">
        <v>37679</v>
      </c>
      <c r="F1128">
        <v>2</v>
      </c>
      <c r="G1128">
        <v>1</v>
      </c>
      <c r="H1128" t="s">
        <v>4166</v>
      </c>
      <c r="I1128">
        <v>2</v>
      </c>
    </row>
    <row r="1129" spans="2:9" x14ac:dyDescent="0.3">
      <c r="B1129" t="s">
        <v>936</v>
      </c>
      <c r="C1129" t="s">
        <v>2259</v>
      </c>
      <c r="D1129" t="s">
        <v>2658</v>
      </c>
      <c r="E1129" s="24">
        <v>37790</v>
      </c>
      <c r="F1129">
        <v>2</v>
      </c>
      <c r="G1129">
        <v>1</v>
      </c>
      <c r="H1129" t="s">
        <v>4167</v>
      </c>
      <c r="I1129">
        <v>2</v>
      </c>
    </row>
    <row r="1130" spans="2:9" x14ac:dyDescent="0.3">
      <c r="B1130" t="s">
        <v>4168</v>
      </c>
      <c r="C1130" t="s">
        <v>4169</v>
      </c>
      <c r="D1130" t="s">
        <v>2658</v>
      </c>
      <c r="E1130" s="24">
        <v>42811</v>
      </c>
      <c r="F1130">
        <v>10</v>
      </c>
      <c r="G1130">
        <v>1</v>
      </c>
      <c r="H1130" t="s">
        <v>4170</v>
      </c>
      <c r="I1130">
        <v>10</v>
      </c>
    </row>
    <row r="1131" spans="2:9" x14ac:dyDescent="0.3">
      <c r="B1131" t="s">
        <v>937</v>
      </c>
      <c r="C1131" t="s">
        <v>2260</v>
      </c>
      <c r="D1131" t="s">
        <v>2658</v>
      </c>
      <c r="E1131" s="24">
        <v>39510</v>
      </c>
      <c r="F1131">
        <v>2</v>
      </c>
      <c r="G1131">
        <v>1</v>
      </c>
      <c r="H1131" t="s">
        <v>4171</v>
      </c>
      <c r="I1131">
        <v>2</v>
      </c>
    </row>
    <row r="1132" spans="2:9" x14ac:dyDescent="0.3">
      <c r="B1132" t="s">
        <v>938</v>
      </c>
      <c r="C1132" t="s">
        <v>2261</v>
      </c>
      <c r="D1132" t="s">
        <v>2658</v>
      </c>
      <c r="E1132" s="24">
        <v>40331</v>
      </c>
      <c r="F1132">
        <v>2</v>
      </c>
      <c r="G1132">
        <v>1</v>
      </c>
      <c r="H1132" t="s">
        <v>4172</v>
      </c>
      <c r="I1132">
        <v>2</v>
      </c>
    </row>
    <row r="1133" spans="2:9" x14ac:dyDescent="0.3">
      <c r="B1133" t="s">
        <v>939</v>
      </c>
      <c r="C1133" t="s">
        <v>2262</v>
      </c>
      <c r="D1133" t="s">
        <v>2658</v>
      </c>
      <c r="E1133" s="24">
        <v>35165</v>
      </c>
      <c r="F1133">
        <v>10</v>
      </c>
      <c r="G1133">
        <v>100</v>
      </c>
      <c r="H1133" t="s">
        <v>4173</v>
      </c>
      <c r="I1133">
        <v>10</v>
      </c>
    </row>
    <row r="1134" spans="2:9" x14ac:dyDescent="0.3">
      <c r="B1134" t="s">
        <v>940</v>
      </c>
      <c r="C1134" t="s">
        <v>2263</v>
      </c>
      <c r="D1134" t="s">
        <v>2658</v>
      </c>
      <c r="E1134" s="24">
        <v>36565</v>
      </c>
      <c r="F1134">
        <v>1</v>
      </c>
      <c r="G1134">
        <v>1</v>
      </c>
      <c r="H1134" t="s">
        <v>4174</v>
      </c>
      <c r="I1134">
        <v>1</v>
      </c>
    </row>
    <row r="1135" spans="2:9" x14ac:dyDescent="0.3">
      <c r="B1135" t="s">
        <v>941</v>
      </c>
      <c r="C1135" t="s">
        <v>2264</v>
      </c>
      <c r="D1135" t="s">
        <v>2686</v>
      </c>
      <c r="E1135" s="24">
        <v>40037</v>
      </c>
      <c r="F1135">
        <v>10</v>
      </c>
      <c r="G1135">
        <v>1</v>
      </c>
      <c r="H1135" t="s">
        <v>4175</v>
      </c>
      <c r="I1135">
        <v>10</v>
      </c>
    </row>
    <row r="1136" spans="2:9" x14ac:dyDescent="0.3">
      <c r="B1136" t="s">
        <v>942</v>
      </c>
      <c r="C1136" t="s">
        <v>2265</v>
      </c>
      <c r="D1136" t="s">
        <v>2658</v>
      </c>
      <c r="E1136" s="24">
        <v>39086</v>
      </c>
      <c r="F1136">
        <v>1</v>
      </c>
      <c r="G1136">
        <v>1</v>
      </c>
      <c r="H1136" t="s">
        <v>4176</v>
      </c>
      <c r="I1136">
        <v>1</v>
      </c>
    </row>
    <row r="1137" spans="2:9" x14ac:dyDescent="0.3">
      <c r="B1137" t="s">
        <v>943</v>
      </c>
      <c r="C1137" t="s">
        <v>2266</v>
      </c>
      <c r="D1137" t="s">
        <v>2658</v>
      </c>
      <c r="E1137" s="24">
        <v>34787</v>
      </c>
      <c r="F1137">
        <v>10</v>
      </c>
      <c r="G1137">
        <v>1</v>
      </c>
      <c r="H1137" t="s">
        <v>4177</v>
      </c>
      <c r="I1137">
        <v>10</v>
      </c>
    </row>
    <row r="1138" spans="2:9" x14ac:dyDescent="0.3">
      <c r="B1138" t="s">
        <v>944</v>
      </c>
      <c r="C1138" t="s">
        <v>2267</v>
      </c>
      <c r="D1138" t="s">
        <v>2658</v>
      </c>
      <c r="E1138" s="24">
        <v>39157</v>
      </c>
      <c r="F1138">
        <v>5</v>
      </c>
      <c r="G1138">
        <v>1</v>
      </c>
      <c r="H1138" t="s">
        <v>4178</v>
      </c>
      <c r="I1138">
        <v>5</v>
      </c>
    </row>
    <row r="1139" spans="2:9" x14ac:dyDescent="0.3">
      <c r="B1139" t="s">
        <v>945</v>
      </c>
      <c r="C1139" t="s">
        <v>2268</v>
      </c>
      <c r="D1139" t="s">
        <v>2658</v>
      </c>
      <c r="E1139" s="24">
        <v>38615</v>
      </c>
      <c r="F1139">
        <v>10</v>
      </c>
      <c r="G1139">
        <v>1</v>
      </c>
      <c r="H1139" t="s">
        <v>4179</v>
      </c>
      <c r="I1139">
        <v>10</v>
      </c>
    </row>
    <row r="1140" spans="2:9" x14ac:dyDescent="0.3">
      <c r="B1140" t="s">
        <v>946</v>
      </c>
      <c r="C1140" t="s">
        <v>2269</v>
      </c>
      <c r="D1140" t="s">
        <v>2658</v>
      </c>
      <c r="E1140" s="24">
        <v>36251</v>
      </c>
      <c r="F1140">
        <v>1</v>
      </c>
      <c r="G1140">
        <v>1</v>
      </c>
      <c r="H1140" t="s">
        <v>4180</v>
      </c>
      <c r="I1140">
        <v>1</v>
      </c>
    </row>
    <row r="1141" spans="2:9" x14ac:dyDescent="0.3">
      <c r="B1141" t="s">
        <v>947</v>
      </c>
      <c r="C1141" t="s">
        <v>4181</v>
      </c>
      <c r="D1141" t="s">
        <v>2658</v>
      </c>
      <c r="E1141" s="24">
        <v>38980</v>
      </c>
      <c r="F1141">
        <v>10</v>
      </c>
      <c r="G1141">
        <v>1</v>
      </c>
      <c r="H1141" t="s">
        <v>4182</v>
      </c>
      <c r="I1141">
        <v>10</v>
      </c>
    </row>
    <row r="1142" spans="2:9" x14ac:dyDescent="0.3">
      <c r="B1142" t="s">
        <v>4183</v>
      </c>
      <c r="C1142" t="s">
        <v>4184</v>
      </c>
      <c r="D1142" t="s">
        <v>2658</v>
      </c>
      <c r="E1142" s="24">
        <v>42235</v>
      </c>
      <c r="F1142">
        <v>5</v>
      </c>
      <c r="G1142">
        <v>1</v>
      </c>
      <c r="H1142" t="s">
        <v>4185</v>
      </c>
      <c r="I1142">
        <v>5</v>
      </c>
    </row>
    <row r="1143" spans="2:9" x14ac:dyDescent="0.3">
      <c r="B1143" t="s">
        <v>100</v>
      </c>
      <c r="C1143" t="s">
        <v>2270</v>
      </c>
      <c r="D1143" t="s">
        <v>2658</v>
      </c>
      <c r="E1143" s="24">
        <v>35529</v>
      </c>
      <c r="F1143">
        <v>1</v>
      </c>
      <c r="G1143">
        <v>1</v>
      </c>
      <c r="H1143" t="s">
        <v>4186</v>
      </c>
      <c r="I1143">
        <v>1</v>
      </c>
    </row>
    <row r="1144" spans="2:9" x14ac:dyDescent="0.3">
      <c r="B1144" t="s">
        <v>948</v>
      </c>
      <c r="C1144" t="s">
        <v>2271</v>
      </c>
      <c r="D1144" t="s">
        <v>2658</v>
      </c>
      <c r="E1144" s="24">
        <v>35375</v>
      </c>
      <c r="F1144">
        <v>1</v>
      </c>
      <c r="G1144">
        <v>1</v>
      </c>
      <c r="H1144" t="s">
        <v>4187</v>
      </c>
      <c r="I1144">
        <v>1</v>
      </c>
    </row>
    <row r="1145" spans="2:9" x14ac:dyDescent="0.3">
      <c r="B1145" t="s">
        <v>949</v>
      </c>
      <c r="C1145" t="s">
        <v>2272</v>
      </c>
      <c r="D1145" t="s">
        <v>2658</v>
      </c>
      <c r="E1145" s="24">
        <v>36628</v>
      </c>
      <c r="F1145">
        <v>10</v>
      </c>
      <c r="G1145">
        <v>1</v>
      </c>
      <c r="H1145" t="s">
        <v>4188</v>
      </c>
      <c r="I1145">
        <v>10</v>
      </c>
    </row>
    <row r="1146" spans="2:9" x14ac:dyDescent="0.3">
      <c r="B1146" t="s">
        <v>950</v>
      </c>
      <c r="C1146" t="s">
        <v>2273</v>
      </c>
      <c r="D1146" t="s">
        <v>2658</v>
      </c>
      <c r="E1146" s="24">
        <v>40459</v>
      </c>
      <c r="F1146">
        <v>10</v>
      </c>
      <c r="G1146">
        <v>1</v>
      </c>
      <c r="H1146" t="s">
        <v>4189</v>
      </c>
      <c r="I1146">
        <v>10</v>
      </c>
    </row>
    <row r="1147" spans="2:9" x14ac:dyDescent="0.3">
      <c r="B1147" t="s">
        <v>951</v>
      </c>
      <c r="C1147" t="s">
        <v>2274</v>
      </c>
      <c r="D1147" t="s">
        <v>2686</v>
      </c>
      <c r="E1147" s="24">
        <v>39272</v>
      </c>
      <c r="F1147">
        <v>10</v>
      </c>
      <c r="G1147">
        <v>1</v>
      </c>
      <c r="H1147" t="s">
        <v>4190</v>
      </c>
      <c r="I1147">
        <v>10</v>
      </c>
    </row>
    <row r="1148" spans="2:9" x14ac:dyDescent="0.3">
      <c r="B1148" t="s">
        <v>952</v>
      </c>
      <c r="C1148" t="s">
        <v>2275</v>
      </c>
      <c r="D1148" t="s">
        <v>2658</v>
      </c>
      <c r="E1148" s="24">
        <v>38407</v>
      </c>
      <c r="F1148">
        <v>10</v>
      </c>
      <c r="G1148">
        <v>1</v>
      </c>
      <c r="H1148" t="s">
        <v>4191</v>
      </c>
      <c r="I1148">
        <v>10</v>
      </c>
    </row>
    <row r="1149" spans="2:9" x14ac:dyDescent="0.3">
      <c r="B1149" t="s">
        <v>953</v>
      </c>
      <c r="C1149" t="s">
        <v>2276</v>
      </c>
      <c r="D1149" t="s">
        <v>2658</v>
      </c>
      <c r="E1149" s="24">
        <v>39623</v>
      </c>
      <c r="F1149">
        <v>10</v>
      </c>
      <c r="G1149">
        <v>1</v>
      </c>
      <c r="H1149" t="s">
        <v>4192</v>
      </c>
      <c r="I1149">
        <v>10</v>
      </c>
    </row>
    <row r="1150" spans="2:9" x14ac:dyDescent="0.3">
      <c r="B1150" t="s">
        <v>954</v>
      </c>
      <c r="C1150" t="s">
        <v>2277</v>
      </c>
      <c r="D1150" t="s">
        <v>2658</v>
      </c>
      <c r="E1150" s="24">
        <v>35697</v>
      </c>
      <c r="F1150">
        <v>10</v>
      </c>
      <c r="G1150">
        <v>1</v>
      </c>
      <c r="H1150" t="s">
        <v>4193</v>
      </c>
      <c r="I1150">
        <v>10</v>
      </c>
    </row>
    <row r="1151" spans="2:9" x14ac:dyDescent="0.3">
      <c r="B1151" t="s">
        <v>955</v>
      </c>
      <c r="C1151" t="s">
        <v>2278</v>
      </c>
      <c r="D1151" t="s">
        <v>2686</v>
      </c>
      <c r="E1151" s="24">
        <v>40889</v>
      </c>
      <c r="F1151">
        <v>1</v>
      </c>
      <c r="G1151">
        <v>1</v>
      </c>
      <c r="H1151" t="s">
        <v>4194</v>
      </c>
      <c r="I1151">
        <v>1</v>
      </c>
    </row>
    <row r="1152" spans="2:9" x14ac:dyDescent="0.3">
      <c r="B1152" t="s">
        <v>956</v>
      </c>
      <c r="C1152" t="s">
        <v>2279</v>
      </c>
      <c r="D1152" t="s">
        <v>2658</v>
      </c>
      <c r="E1152" s="24">
        <v>38846</v>
      </c>
      <c r="F1152">
        <v>2</v>
      </c>
      <c r="G1152">
        <v>1</v>
      </c>
      <c r="H1152" t="s">
        <v>4195</v>
      </c>
      <c r="I1152">
        <v>2</v>
      </c>
    </row>
    <row r="1153" spans="2:9" x14ac:dyDescent="0.3">
      <c r="B1153" t="s">
        <v>957</v>
      </c>
      <c r="C1153" t="s">
        <v>2280</v>
      </c>
      <c r="D1153" t="s">
        <v>2658</v>
      </c>
      <c r="E1153" s="24">
        <v>34990</v>
      </c>
      <c r="F1153">
        <v>10</v>
      </c>
      <c r="G1153">
        <v>1</v>
      </c>
      <c r="H1153" t="s">
        <v>4196</v>
      </c>
      <c r="I1153">
        <v>10</v>
      </c>
    </row>
    <row r="1154" spans="2:9" x14ac:dyDescent="0.3">
      <c r="B1154" t="s">
        <v>958</v>
      </c>
      <c r="C1154" t="s">
        <v>2281</v>
      </c>
      <c r="D1154" t="s">
        <v>2658</v>
      </c>
      <c r="E1154" s="24">
        <v>39619</v>
      </c>
      <c r="F1154">
        <v>10</v>
      </c>
      <c r="G1154">
        <v>1</v>
      </c>
      <c r="H1154" t="s">
        <v>4197</v>
      </c>
      <c r="I1154">
        <v>10</v>
      </c>
    </row>
    <row r="1155" spans="2:9" x14ac:dyDescent="0.3">
      <c r="B1155" t="s">
        <v>4198</v>
      </c>
      <c r="C1155" t="s">
        <v>4199</v>
      </c>
      <c r="D1155" t="s">
        <v>2658</v>
      </c>
      <c r="E1155" s="24">
        <v>42613</v>
      </c>
      <c r="F1155">
        <v>10</v>
      </c>
      <c r="G1155">
        <v>1</v>
      </c>
      <c r="H1155" t="s">
        <v>4200</v>
      </c>
      <c r="I1155">
        <v>10</v>
      </c>
    </row>
    <row r="1156" spans="2:9" x14ac:dyDescent="0.3">
      <c r="B1156" t="s">
        <v>959</v>
      </c>
      <c r="C1156" t="s">
        <v>2282</v>
      </c>
      <c r="D1156" t="s">
        <v>2658</v>
      </c>
      <c r="E1156" s="24">
        <v>35802</v>
      </c>
      <c r="F1156">
        <v>10</v>
      </c>
      <c r="G1156">
        <v>1</v>
      </c>
      <c r="H1156" t="s">
        <v>4201</v>
      </c>
      <c r="I1156">
        <v>10</v>
      </c>
    </row>
    <row r="1157" spans="2:9" x14ac:dyDescent="0.3">
      <c r="B1157" t="s">
        <v>960</v>
      </c>
      <c r="C1157" t="s">
        <v>2283</v>
      </c>
      <c r="D1157" t="s">
        <v>2658</v>
      </c>
      <c r="E1157" s="24">
        <v>38782</v>
      </c>
      <c r="F1157">
        <v>5</v>
      </c>
      <c r="G1157">
        <v>1</v>
      </c>
      <c r="H1157" t="s">
        <v>4202</v>
      </c>
      <c r="I1157">
        <v>5</v>
      </c>
    </row>
    <row r="1158" spans="2:9" x14ac:dyDescent="0.3">
      <c r="B1158" t="s">
        <v>4203</v>
      </c>
      <c r="C1158" t="s">
        <v>4204</v>
      </c>
      <c r="D1158" t="s">
        <v>2658</v>
      </c>
      <c r="E1158" s="24">
        <v>40095</v>
      </c>
      <c r="F1158">
        <v>10</v>
      </c>
      <c r="G1158">
        <v>1</v>
      </c>
      <c r="H1158" t="s">
        <v>4205</v>
      </c>
      <c r="I1158">
        <v>10</v>
      </c>
    </row>
    <row r="1159" spans="2:9" x14ac:dyDescent="0.3">
      <c r="B1159" t="s">
        <v>961</v>
      </c>
      <c r="C1159" t="s">
        <v>2284</v>
      </c>
      <c r="D1159" t="s">
        <v>2658</v>
      </c>
      <c r="E1159" s="24">
        <v>39519</v>
      </c>
      <c r="F1159">
        <v>10</v>
      </c>
      <c r="G1159">
        <v>1</v>
      </c>
      <c r="H1159" t="s">
        <v>4206</v>
      </c>
      <c r="I1159">
        <v>10</v>
      </c>
    </row>
    <row r="1160" spans="2:9" x14ac:dyDescent="0.3">
      <c r="B1160" t="s">
        <v>962</v>
      </c>
      <c r="C1160" t="s">
        <v>2285</v>
      </c>
      <c r="D1160" t="s">
        <v>2658</v>
      </c>
      <c r="E1160" s="24">
        <v>39128</v>
      </c>
      <c r="F1160">
        <v>2</v>
      </c>
      <c r="G1160">
        <v>1</v>
      </c>
      <c r="H1160" t="s">
        <v>4207</v>
      </c>
      <c r="I1160">
        <v>2</v>
      </c>
    </row>
    <row r="1161" spans="2:9" x14ac:dyDescent="0.3">
      <c r="B1161" t="s">
        <v>963</v>
      </c>
      <c r="C1161" t="s">
        <v>4208</v>
      </c>
      <c r="D1161" t="s">
        <v>2658</v>
      </c>
      <c r="E1161" s="24">
        <v>40150</v>
      </c>
      <c r="F1161">
        <v>10</v>
      </c>
      <c r="G1161">
        <v>1</v>
      </c>
      <c r="H1161" t="s">
        <v>4209</v>
      </c>
      <c r="I1161">
        <v>10</v>
      </c>
    </row>
    <row r="1162" spans="2:9" x14ac:dyDescent="0.3">
      <c r="B1162" t="s">
        <v>964</v>
      </c>
      <c r="C1162" t="s">
        <v>2286</v>
      </c>
      <c r="D1162" t="s">
        <v>2686</v>
      </c>
      <c r="E1162" s="24">
        <v>36838</v>
      </c>
      <c r="F1162">
        <v>10</v>
      </c>
      <c r="G1162">
        <v>1</v>
      </c>
      <c r="H1162" t="s">
        <v>4210</v>
      </c>
      <c r="I1162">
        <v>10</v>
      </c>
    </row>
    <row r="1163" spans="2:9" x14ac:dyDescent="0.3">
      <c r="B1163" t="s">
        <v>965</v>
      </c>
      <c r="C1163" t="s">
        <v>2287</v>
      </c>
      <c r="D1163" t="s">
        <v>2658</v>
      </c>
      <c r="E1163" s="24">
        <v>39777</v>
      </c>
      <c r="F1163">
        <v>1</v>
      </c>
      <c r="G1163">
        <v>1</v>
      </c>
      <c r="H1163" t="s">
        <v>4211</v>
      </c>
      <c r="I1163">
        <v>1</v>
      </c>
    </row>
    <row r="1164" spans="2:9" x14ac:dyDescent="0.3">
      <c r="B1164" t="s">
        <v>966</v>
      </c>
      <c r="C1164" t="s">
        <v>2288</v>
      </c>
      <c r="D1164" t="s">
        <v>2658</v>
      </c>
      <c r="E1164" s="24">
        <v>40711</v>
      </c>
      <c r="F1164">
        <v>1</v>
      </c>
      <c r="G1164">
        <v>1</v>
      </c>
      <c r="H1164" t="s">
        <v>4212</v>
      </c>
      <c r="I1164">
        <v>1</v>
      </c>
    </row>
    <row r="1165" spans="2:9" x14ac:dyDescent="0.3">
      <c r="B1165" t="s">
        <v>87</v>
      </c>
      <c r="C1165" t="s">
        <v>2289</v>
      </c>
      <c r="D1165" t="s">
        <v>2658</v>
      </c>
      <c r="E1165" s="24">
        <v>35032</v>
      </c>
      <c r="F1165">
        <v>10</v>
      </c>
      <c r="G1165">
        <v>1</v>
      </c>
      <c r="H1165" t="s">
        <v>4213</v>
      </c>
      <c r="I1165">
        <v>10</v>
      </c>
    </row>
    <row r="1166" spans="2:9" x14ac:dyDescent="0.3">
      <c r="B1166" t="s">
        <v>967</v>
      </c>
      <c r="C1166" t="s">
        <v>2290</v>
      </c>
      <c r="D1166" t="s">
        <v>2658</v>
      </c>
      <c r="E1166" s="24">
        <v>35032</v>
      </c>
      <c r="F1166">
        <v>10</v>
      </c>
      <c r="G1166">
        <v>1</v>
      </c>
      <c r="H1166" t="s">
        <v>4214</v>
      </c>
      <c r="I1166">
        <v>10</v>
      </c>
    </row>
    <row r="1167" spans="2:9" x14ac:dyDescent="0.3">
      <c r="B1167" t="s">
        <v>968</v>
      </c>
      <c r="C1167" t="s">
        <v>2291</v>
      </c>
      <c r="D1167" t="s">
        <v>2658</v>
      </c>
      <c r="E1167" s="24">
        <v>39407</v>
      </c>
      <c r="F1167">
        <v>10</v>
      </c>
      <c r="G1167">
        <v>1</v>
      </c>
      <c r="H1167" t="s">
        <v>4215</v>
      </c>
      <c r="I1167">
        <v>10</v>
      </c>
    </row>
    <row r="1168" spans="2:9" x14ac:dyDescent="0.3">
      <c r="B1168" t="s">
        <v>88</v>
      </c>
      <c r="C1168" t="s">
        <v>2292</v>
      </c>
      <c r="D1168" t="s">
        <v>2658</v>
      </c>
      <c r="E1168" s="24">
        <v>34738</v>
      </c>
      <c r="F1168">
        <v>10</v>
      </c>
      <c r="G1168">
        <v>1</v>
      </c>
      <c r="H1168" t="s">
        <v>4216</v>
      </c>
      <c r="I1168">
        <v>10</v>
      </c>
    </row>
    <row r="1169" spans="2:9" x14ac:dyDescent="0.3">
      <c r="B1169" t="s">
        <v>1330</v>
      </c>
      <c r="C1169" t="s">
        <v>2293</v>
      </c>
      <c r="D1169" t="s">
        <v>2658</v>
      </c>
      <c r="E1169" s="24">
        <v>35095</v>
      </c>
      <c r="F1169">
        <v>10</v>
      </c>
      <c r="G1169">
        <v>1</v>
      </c>
      <c r="H1169" t="s">
        <v>4217</v>
      </c>
      <c r="I1169">
        <v>10</v>
      </c>
    </row>
    <row r="1170" spans="2:9" x14ac:dyDescent="0.3">
      <c r="B1170" t="s">
        <v>969</v>
      </c>
      <c r="C1170" t="s">
        <v>2294</v>
      </c>
      <c r="D1170" t="s">
        <v>2658</v>
      </c>
      <c r="E1170" s="24">
        <v>38656</v>
      </c>
      <c r="F1170">
        <v>1</v>
      </c>
      <c r="G1170">
        <v>1</v>
      </c>
      <c r="H1170" t="s">
        <v>4218</v>
      </c>
      <c r="I1170">
        <v>1</v>
      </c>
    </row>
    <row r="1171" spans="2:9" x14ac:dyDescent="0.3">
      <c r="B1171" t="s">
        <v>970</v>
      </c>
      <c r="C1171" t="s">
        <v>2295</v>
      </c>
      <c r="D1171" t="s">
        <v>2658</v>
      </c>
      <c r="E1171" s="24">
        <v>41365</v>
      </c>
      <c r="F1171">
        <v>10</v>
      </c>
      <c r="G1171">
        <v>1</v>
      </c>
      <c r="H1171" t="s">
        <v>4219</v>
      </c>
      <c r="I1171">
        <v>10</v>
      </c>
    </row>
    <row r="1172" spans="2:9" x14ac:dyDescent="0.3">
      <c r="B1172" t="s">
        <v>971</v>
      </c>
      <c r="C1172" t="s">
        <v>2296</v>
      </c>
      <c r="D1172" t="s">
        <v>2658</v>
      </c>
      <c r="E1172" s="24">
        <v>38708</v>
      </c>
      <c r="F1172">
        <v>10</v>
      </c>
      <c r="G1172">
        <v>1</v>
      </c>
      <c r="H1172" t="s">
        <v>4220</v>
      </c>
      <c r="I1172">
        <v>10</v>
      </c>
    </row>
    <row r="1173" spans="2:9" x14ac:dyDescent="0.3">
      <c r="B1173" t="s">
        <v>972</v>
      </c>
      <c r="C1173" t="s">
        <v>2297</v>
      </c>
      <c r="D1173" t="s">
        <v>2658</v>
      </c>
      <c r="E1173" s="24">
        <v>40480</v>
      </c>
      <c r="F1173">
        <v>1</v>
      </c>
      <c r="G1173">
        <v>1</v>
      </c>
      <c r="H1173" t="s">
        <v>4221</v>
      </c>
      <c r="I1173">
        <v>1</v>
      </c>
    </row>
    <row r="1174" spans="2:9" x14ac:dyDescent="0.3">
      <c r="B1174" t="s">
        <v>973</v>
      </c>
      <c r="C1174" t="s">
        <v>2298</v>
      </c>
      <c r="D1174" t="s">
        <v>2658</v>
      </c>
      <c r="E1174" s="24">
        <v>38575</v>
      </c>
      <c r="F1174">
        <v>10</v>
      </c>
      <c r="G1174">
        <v>1</v>
      </c>
      <c r="H1174" t="s">
        <v>4222</v>
      </c>
      <c r="I1174">
        <v>10</v>
      </c>
    </row>
    <row r="1175" spans="2:9" x14ac:dyDescent="0.3">
      <c r="B1175" t="s">
        <v>974</v>
      </c>
      <c r="C1175" t="s">
        <v>2299</v>
      </c>
      <c r="D1175" t="s">
        <v>2658</v>
      </c>
      <c r="E1175" s="24">
        <v>37753</v>
      </c>
      <c r="F1175">
        <v>1</v>
      </c>
      <c r="G1175">
        <v>1</v>
      </c>
      <c r="H1175" t="s">
        <v>4223</v>
      </c>
      <c r="I1175">
        <v>1</v>
      </c>
    </row>
    <row r="1176" spans="2:9" x14ac:dyDescent="0.3">
      <c r="B1176" t="s">
        <v>975</v>
      </c>
      <c r="C1176" t="s">
        <v>2300</v>
      </c>
      <c r="D1176" t="s">
        <v>2658</v>
      </c>
      <c r="E1176" s="24">
        <v>35032</v>
      </c>
      <c r="F1176">
        <v>10</v>
      </c>
      <c r="G1176">
        <v>1</v>
      </c>
      <c r="H1176" t="s">
        <v>4224</v>
      </c>
      <c r="I1176">
        <v>10</v>
      </c>
    </row>
    <row r="1177" spans="2:9" x14ac:dyDescent="0.3">
      <c r="B1177" t="s">
        <v>976</v>
      </c>
      <c r="C1177" t="s">
        <v>2301</v>
      </c>
      <c r="D1177" t="s">
        <v>2658</v>
      </c>
      <c r="E1177" s="24">
        <v>39428</v>
      </c>
      <c r="F1177">
        <v>10</v>
      </c>
      <c r="G1177">
        <v>1</v>
      </c>
      <c r="H1177" t="s">
        <v>4225</v>
      </c>
      <c r="I1177">
        <v>10</v>
      </c>
    </row>
    <row r="1178" spans="2:9" x14ac:dyDescent="0.3">
      <c r="B1178" t="s">
        <v>977</v>
      </c>
      <c r="C1178" t="s">
        <v>2302</v>
      </c>
      <c r="D1178" t="s">
        <v>2658</v>
      </c>
      <c r="E1178" s="24">
        <v>40539</v>
      </c>
      <c r="F1178">
        <v>10</v>
      </c>
      <c r="G1178">
        <v>1</v>
      </c>
      <c r="H1178" t="s">
        <v>4226</v>
      </c>
      <c r="I1178">
        <v>10</v>
      </c>
    </row>
    <row r="1179" spans="2:9" x14ac:dyDescent="0.3">
      <c r="B1179" t="s">
        <v>978</v>
      </c>
      <c r="C1179" t="s">
        <v>2303</v>
      </c>
      <c r="D1179" t="s">
        <v>2658</v>
      </c>
      <c r="E1179" s="24">
        <v>38112</v>
      </c>
      <c r="F1179">
        <v>10</v>
      </c>
      <c r="G1179">
        <v>1</v>
      </c>
      <c r="H1179" t="s">
        <v>4227</v>
      </c>
      <c r="I1179">
        <v>10</v>
      </c>
    </row>
    <row r="1180" spans="2:9" x14ac:dyDescent="0.3">
      <c r="B1180" t="s">
        <v>979</v>
      </c>
      <c r="C1180" t="s">
        <v>2304</v>
      </c>
      <c r="D1180" t="s">
        <v>2686</v>
      </c>
      <c r="E1180" s="24">
        <v>39412</v>
      </c>
      <c r="F1180">
        <v>10</v>
      </c>
      <c r="G1180">
        <v>1</v>
      </c>
      <c r="H1180" t="s">
        <v>4228</v>
      </c>
      <c r="I1180">
        <v>10</v>
      </c>
    </row>
    <row r="1181" spans="2:9" x14ac:dyDescent="0.3">
      <c r="B1181" t="s">
        <v>980</v>
      </c>
      <c r="C1181" t="s">
        <v>2305</v>
      </c>
      <c r="D1181" t="s">
        <v>2658</v>
      </c>
      <c r="E1181" s="24">
        <v>38594</v>
      </c>
      <c r="F1181">
        <v>10</v>
      </c>
      <c r="G1181">
        <v>1</v>
      </c>
      <c r="H1181" t="s">
        <v>4229</v>
      </c>
      <c r="I1181">
        <v>10</v>
      </c>
    </row>
    <row r="1182" spans="2:9" x14ac:dyDescent="0.3">
      <c r="B1182" t="s">
        <v>981</v>
      </c>
      <c r="C1182" t="s">
        <v>2306</v>
      </c>
      <c r="D1182" t="s">
        <v>2658</v>
      </c>
      <c r="E1182" s="24">
        <v>38820</v>
      </c>
      <c r="F1182">
        <v>10</v>
      </c>
      <c r="G1182">
        <v>1</v>
      </c>
      <c r="H1182" t="s">
        <v>4230</v>
      </c>
      <c r="I1182">
        <v>10</v>
      </c>
    </row>
    <row r="1183" spans="2:9" x14ac:dyDescent="0.3">
      <c r="B1183" t="s">
        <v>982</v>
      </c>
      <c r="C1183" t="s">
        <v>2307</v>
      </c>
      <c r="D1183" t="s">
        <v>2658</v>
      </c>
      <c r="E1183" s="24">
        <v>38754</v>
      </c>
      <c r="F1183">
        <v>10</v>
      </c>
      <c r="G1183">
        <v>1</v>
      </c>
      <c r="H1183" t="s">
        <v>4231</v>
      </c>
      <c r="I1183">
        <v>10</v>
      </c>
    </row>
    <row r="1184" spans="2:9" x14ac:dyDescent="0.3">
      <c r="B1184" t="s">
        <v>4232</v>
      </c>
      <c r="C1184" t="s">
        <v>4233</v>
      </c>
      <c r="D1184" t="s">
        <v>2658</v>
      </c>
      <c r="E1184" s="24">
        <v>42696</v>
      </c>
      <c r="F1184">
        <v>1</v>
      </c>
      <c r="G1184">
        <v>1</v>
      </c>
      <c r="H1184" t="s">
        <v>4234</v>
      </c>
      <c r="I1184">
        <v>1</v>
      </c>
    </row>
    <row r="1185" spans="2:9" x14ac:dyDescent="0.3">
      <c r="B1185" t="s">
        <v>983</v>
      </c>
      <c r="C1185" t="s">
        <v>2308</v>
      </c>
      <c r="D1185" t="s">
        <v>2658</v>
      </c>
      <c r="E1185" s="24">
        <v>34759</v>
      </c>
      <c r="F1185">
        <v>10</v>
      </c>
      <c r="G1185">
        <v>1</v>
      </c>
      <c r="H1185" t="s">
        <v>4235</v>
      </c>
      <c r="I1185">
        <v>10</v>
      </c>
    </row>
    <row r="1186" spans="2:9" x14ac:dyDescent="0.3">
      <c r="B1186" t="s">
        <v>984</v>
      </c>
      <c r="C1186" t="s">
        <v>2309</v>
      </c>
      <c r="D1186" t="s">
        <v>2658</v>
      </c>
      <c r="E1186" s="24">
        <v>41177</v>
      </c>
      <c r="F1186">
        <v>2</v>
      </c>
      <c r="G1186">
        <v>1</v>
      </c>
      <c r="H1186" t="s">
        <v>4236</v>
      </c>
      <c r="I1186">
        <v>2</v>
      </c>
    </row>
    <row r="1187" spans="2:9" x14ac:dyDescent="0.3">
      <c r="B1187" t="s">
        <v>985</v>
      </c>
      <c r="C1187" t="s">
        <v>2310</v>
      </c>
      <c r="D1187" t="s">
        <v>2658</v>
      </c>
      <c r="E1187" s="24">
        <v>39609</v>
      </c>
      <c r="F1187">
        <v>8</v>
      </c>
      <c r="G1187">
        <v>1</v>
      </c>
      <c r="H1187" t="s">
        <v>4237</v>
      </c>
      <c r="I1187">
        <v>8</v>
      </c>
    </row>
    <row r="1188" spans="2:9" x14ac:dyDescent="0.3">
      <c r="B1188" t="s">
        <v>89</v>
      </c>
      <c r="C1188" t="s">
        <v>2311</v>
      </c>
      <c r="D1188" t="s">
        <v>2658</v>
      </c>
      <c r="E1188" s="24">
        <v>39489</v>
      </c>
      <c r="F1188">
        <v>10</v>
      </c>
      <c r="G1188">
        <v>1</v>
      </c>
      <c r="H1188" t="s">
        <v>4238</v>
      </c>
      <c r="I1188">
        <v>10</v>
      </c>
    </row>
    <row r="1189" spans="2:9" x14ac:dyDescent="0.3">
      <c r="B1189" t="s">
        <v>986</v>
      </c>
      <c r="C1189" t="s">
        <v>2312</v>
      </c>
      <c r="D1189" t="s">
        <v>2658</v>
      </c>
      <c r="E1189" s="24">
        <v>40518</v>
      </c>
      <c r="F1189">
        <v>10</v>
      </c>
      <c r="G1189">
        <v>1</v>
      </c>
      <c r="H1189" t="s">
        <v>4239</v>
      </c>
      <c r="I1189">
        <v>10</v>
      </c>
    </row>
    <row r="1190" spans="2:9" x14ac:dyDescent="0.3">
      <c r="B1190" t="s">
        <v>987</v>
      </c>
      <c r="C1190" t="s">
        <v>2313</v>
      </c>
      <c r="D1190" t="s">
        <v>2658</v>
      </c>
      <c r="E1190" s="24">
        <v>36299</v>
      </c>
      <c r="F1190">
        <v>5</v>
      </c>
      <c r="G1190">
        <v>1</v>
      </c>
      <c r="H1190" t="s">
        <v>4240</v>
      </c>
      <c r="I1190">
        <v>5</v>
      </c>
    </row>
    <row r="1191" spans="2:9" x14ac:dyDescent="0.3">
      <c r="B1191" t="s">
        <v>988</v>
      </c>
      <c r="C1191" t="s">
        <v>2314</v>
      </c>
      <c r="D1191" t="s">
        <v>2658</v>
      </c>
      <c r="E1191" s="24">
        <v>34745</v>
      </c>
      <c r="F1191">
        <v>10</v>
      </c>
      <c r="G1191">
        <v>1</v>
      </c>
      <c r="H1191" t="s">
        <v>4241</v>
      </c>
      <c r="I1191">
        <v>10</v>
      </c>
    </row>
    <row r="1192" spans="2:9" x14ac:dyDescent="0.3">
      <c r="B1192" t="s">
        <v>989</v>
      </c>
      <c r="C1192" t="s">
        <v>2315</v>
      </c>
      <c r="D1192" t="s">
        <v>2658</v>
      </c>
      <c r="E1192" s="24">
        <v>38833</v>
      </c>
      <c r="F1192">
        <v>1</v>
      </c>
      <c r="G1192">
        <v>1</v>
      </c>
      <c r="H1192" t="s">
        <v>4242</v>
      </c>
      <c r="I1192">
        <v>1</v>
      </c>
    </row>
    <row r="1193" spans="2:9" x14ac:dyDescent="0.3">
      <c r="B1193" t="s">
        <v>990</v>
      </c>
      <c r="C1193" t="s">
        <v>1826</v>
      </c>
      <c r="D1193" t="s">
        <v>2658</v>
      </c>
      <c r="E1193" s="24">
        <v>41120</v>
      </c>
      <c r="F1193">
        <v>2</v>
      </c>
      <c r="G1193">
        <v>1</v>
      </c>
      <c r="H1193" t="s">
        <v>4243</v>
      </c>
      <c r="I1193">
        <v>2</v>
      </c>
    </row>
    <row r="1194" spans="2:9" x14ac:dyDescent="0.3">
      <c r="B1194" t="s">
        <v>991</v>
      </c>
      <c r="C1194" t="s">
        <v>1827</v>
      </c>
      <c r="D1194" t="s">
        <v>2658</v>
      </c>
      <c r="E1194" s="24">
        <v>40116</v>
      </c>
      <c r="F1194">
        <v>10</v>
      </c>
      <c r="G1194">
        <v>1</v>
      </c>
      <c r="H1194" t="s">
        <v>4244</v>
      </c>
      <c r="I1194">
        <v>10</v>
      </c>
    </row>
    <row r="1195" spans="2:9" x14ac:dyDescent="0.3">
      <c r="B1195" t="s">
        <v>992</v>
      </c>
      <c r="C1195" t="s">
        <v>2316</v>
      </c>
      <c r="D1195" t="s">
        <v>2658</v>
      </c>
      <c r="E1195" s="24">
        <v>34787</v>
      </c>
      <c r="F1195">
        <v>5</v>
      </c>
      <c r="G1195">
        <v>1</v>
      </c>
      <c r="H1195" t="s">
        <v>4245</v>
      </c>
      <c r="I1195">
        <v>5</v>
      </c>
    </row>
    <row r="1196" spans="2:9" x14ac:dyDescent="0.3">
      <c r="B1196" t="s">
        <v>993</v>
      </c>
      <c r="C1196" t="s">
        <v>2317</v>
      </c>
      <c r="D1196" t="s">
        <v>2686</v>
      </c>
      <c r="E1196" s="24">
        <v>36719</v>
      </c>
      <c r="F1196">
        <v>1</v>
      </c>
      <c r="G1196">
        <v>1</v>
      </c>
      <c r="H1196" t="s">
        <v>4246</v>
      </c>
      <c r="I1196">
        <v>1</v>
      </c>
    </row>
    <row r="1197" spans="2:9" x14ac:dyDescent="0.3">
      <c r="B1197" t="s">
        <v>994</v>
      </c>
      <c r="C1197" t="s">
        <v>2318</v>
      </c>
      <c r="D1197" t="s">
        <v>2658</v>
      </c>
      <c r="E1197" s="24">
        <v>39071</v>
      </c>
      <c r="F1197">
        <v>10</v>
      </c>
      <c r="G1197">
        <v>1</v>
      </c>
      <c r="H1197" t="s">
        <v>4247</v>
      </c>
      <c r="I1197">
        <v>10</v>
      </c>
    </row>
    <row r="1198" spans="2:9" x14ac:dyDescent="0.3">
      <c r="B1198" t="s">
        <v>995</v>
      </c>
      <c r="C1198" t="s">
        <v>2319</v>
      </c>
      <c r="D1198" t="s">
        <v>2658</v>
      </c>
      <c r="E1198" s="24">
        <v>37623</v>
      </c>
      <c r="F1198">
        <v>2</v>
      </c>
      <c r="G1198">
        <v>1</v>
      </c>
      <c r="H1198" t="s">
        <v>4248</v>
      </c>
      <c r="I1198">
        <v>2</v>
      </c>
    </row>
    <row r="1199" spans="2:9" x14ac:dyDescent="0.3">
      <c r="B1199" t="s">
        <v>996</v>
      </c>
      <c r="C1199" t="s">
        <v>2320</v>
      </c>
      <c r="D1199" t="s">
        <v>2658</v>
      </c>
      <c r="E1199" s="24">
        <v>40884</v>
      </c>
      <c r="F1199">
        <v>1</v>
      </c>
      <c r="G1199">
        <v>1</v>
      </c>
      <c r="H1199" t="s">
        <v>4249</v>
      </c>
      <c r="I1199">
        <v>1</v>
      </c>
    </row>
    <row r="1200" spans="2:9" x14ac:dyDescent="0.3">
      <c r="B1200" t="s">
        <v>997</v>
      </c>
      <c r="C1200" t="s">
        <v>2321</v>
      </c>
      <c r="D1200" t="s">
        <v>2658</v>
      </c>
      <c r="E1200" s="24">
        <v>40731</v>
      </c>
      <c r="F1200">
        <v>10</v>
      </c>
      <c r="G1200">
        <v>1</v>
      </c>
      <c r="H1200" t="s">
        <v>4250</v>
      </c>
      <c r="I1200">
        <v>10</v>
      </c>
    </row>
    <row r="1201" spans="2:9" x14ac:dyDescent="0.3">
      <c r="B1201" t="s">
        <v>4251</v>
      </c>
      <c r="C1201" t="s">
        <v>4252</v>
      </c>
      <c r="D1201" t="s">
        <v>2658</v>
      </c>
      <c r="E1201" s="24">
        <v>42628</v>
      </c>
      <c r="F1201">
        <v>10</v>
      </c>
      <c r="G1201">
        <v>1</v>
      </c>
      <c r="H1201" t="s">
        <v>4253</v>
      </c>
      <c r="I1201">
        <v>10</v>
      </c>
    </row>
    <row r="1202" spans="2:9" x14ac:dyDescent="0.3">
      <c r="B1202" t="s">
        <v>998</v>
      </c>
      <c r="C1202" t="s">
        <v>2322</v>
      </c>
      <c r="D1202" t="s">
        <v>2658</v>
      </c>
      <c r="E1202" s="24">
        <v>39402</v>
      </c>
      <c r="F1202">
        <v>10</v>
      </c>
      <c r="G1202">
        <v>1</v>
      </c>
      <c r="H1202" t="s">
        <v>4254</v>
      </c>
      <c r="I1202">
        <v>10</v>
      </c>
    </row>
    <row r="1203" spans="2:9" x14ac:dyDescent="0.3">
      <c r="B1203" t="s">
        <v>999</v>
      </c>
      <c r="C1203" t="s">
        <v>2323</v>
      </c>
      <c r="D1203" t="s">
        <v>2658</v>
      </c>
      <c r="E1203" s="24">
        <v>38777</v>
      </c>
      <c r="F1203">
        <v>1</v>
      </c>
      <c r="G1203">
        <v>1</v>
      </c>
      <c r="H1203" t="s">
        <v>4255</v>
      </c>
      <c r="I1203">
        <v>1</v>
      </c>
    </row>
    <row r="1204" spans="2:9" x14ac:dyDescent="0.3">
      <c r="B1204" t="s">
        <v>4256</v>
      </c>
      <c r="C1204" t="s">
        <v>4257</v>
      </c>
      <c r="D1204" t="s">
        <v>2658</v>
      </c>
      <c r="E1204" s="24">
        <v>42263</v>
      </c>
      <c r="F1204">
        <v>10</v>
      </c>
      <c r="G1204">
        <v>1</v>
      </c>
      <c r="H1204" t="s">
        <v>4258</v>
      </c>
      <c r="I1204">
        <v>10</v>
      </c>
    </row>
    <row r="1205" spans="2:9" x14ac:dyDescent="0.3">
      <c r="B1205" t="s">
        <v>1000</v>
      </c>
      <c r="C1205" t="s">
        <v>2324</v>
      </c>
      <c r="D1205" t="s">
        <v>2658</v>
      </c>
      <c r="E1205" s="24">
        <v>39111</v>
      </c>
      <c r="F1205">
        <v>10</v>
      </c>
      <c r="G1205">
        <v>1</v>
      </c>
      <c r="H1205" t="s">
        <v>4259</v>
      </c>
      <c r="I1205">
        <v>10</v>
      </c>
    </row>
    <row r="1206" spans="2:9" x14ac:dyDescent="0.3">
      <c r="B1206" t="s">
        <v>26</v>
      </c>
      <c r="C1206" t="s">
        <v>2325</v>
      </c>
      <c r="D1206" t="s">
        <v>2658</v>
      </c>
      <c r="E1206" s="24">
        <v>34886</v>
      </c>
      <c r="F1206">
        <v>10</v>
      </c>
      <c r="G1206">
        <v>1</v>
      </c>
      <c r="H1206" t="s">
        <v>4260</v>
      </c>
      <c r="I1206">
        <v>10</v>
      </c>
    </row>
    <row r="1207" spans="2:9" x14ac:dyDescent="0.3">
      <c r="B1207" t="s">
        <v>1001</v>
      </c>
      <c r="C1207" t="s">
        <v>2326</v>
      </c>
      <c r="D1207" t="s">
        <v>2658</v>
      </c>
      <c r="E1207" s="24">
        <v>34948</v>
      </c>
      <c r="F1207">
        <v>10</v>
      </c>
      <c r="G1207">
        <v>1</v>
      </c>
      <c r="H1207" t="s">
        <v>4261</v>
      </c>
      <c r="I1207">
        <v>10</v>
      </c>
    </row>
    <row r="1208" spans="2:9" x14ac:dyDescent="0.3">
      <c r="B1208" t="s">
        <v>1002</v>
      </c>
      <c r="C1208" t="s">
        <v>2327</v>
      </c>
      <c r="D1208" t="s">
        <v>2658</v>
      </c>
      <c r="E1208" s="24">
        <v>38481</v>
      </c>
      <c r="F1208">
        <v>10</v>
      </c>
      <c r="G1208">
        <v>1</v>
      </c>
      <c r="H1208" t="s">
        <v>4262</v>
      </c>
      <c r="I1208">
        <v>10</v>
      </c>
    </row>
    <row r="1209" spans="2:9" x14ac:dyDescent="0.3">
      <c r="B1209" t="s">
        <v>1003</v>
      </c>
      <c r="C1209" t="s">
        <v>2328</v>
      </c>
      <c r="D1209" t="s">
        <v>2658</v>
      </c>
      <c r="E1209" s="24">
        <v>38784</v>
      </c>
      <c r="F1209">
        <v>10</v>
      </c>
      <c r="G1209">
        <v>1</v>
      </c>
      <c r="H1209" t="s">
        <v>4263</v>
      </c>
      <c r="I1209">
        <v>10</v>
      </c>
    </row>
    <row r="1210" spans="2:9" x14ac:dyDescent="0.3">
      <c r="B1210" t="s">
        <v>4264</v>
      </c>
      <c r="C1210" t="s">
        <v>4265</v>
      </c>
      <c r="D1210" t="s">
        <v>2686</v>
      </c>
      <c r="E1210" s="24">
        <v>42537</v>
      </c>
      <c r="F1210">
        <v>10</v>
      </c>
      <c r="G1210">
        <v>1</v>
      </c>
      <c r="H1210" t="s">
        <v>4266</v>
      </c>
      <c r="I1210">
        <v>10</v>
      </c>
    </row>
    <row r="1211" spans="2:9" x14ac:dyDescent="0.3">
      <c r="B1211" t="s">
        <v>1004</v>
      </c>
      <c r="C1211" t="s">
        <v>2329</v>
      </c>
      <c r="D1211" t="s">
        <v>2658</v>
      </c>
      <c r="E1211" s="24">
        <v>34745</v>
      </c>
      <c r="F1211">
        <v>10</v>
      </c>
      <c r="G1211">
        <v>1</v>
      </c>
      <c r="H1211" t="s">
        <v>4267</v>
      </c>
      <c r="I1211">
        <v>10</v>
      </c>
    </row>
    <row r="1212" spans="2:9" x14ac:dyDescent="0.3">
      <c r="B1212" t="s">
        <v>1005</v>
      </c>
      <c r="C1212" t="s">
        <v>2330</v>
      </c>
      <c r="D1212" t="s">
        <v>2686</v>
      </c>
      <c r="E1212" s="24">
        <v>38315</v>
      </c>
      <c r="F1212">
        <v>10</v>
      </c>
      <c r="G1212">
        <v>1</v>
      </c>
      <c r="H1212" t="s">
        <v>4268</v>
      </c>
      <c r="I1212">
        <v>10</v>
      </c>
    </row>
    <row r="1213" spans="2:9" x14ac:dyDescent="0.3">
      <c r="B1213" t="s">
        <v>4269</v>
      </c>
      <c r="C1213" t="s">
        <v>4270</v>
      </c>
      <c r="D1213" t="s">
        <v>2658</v>
      </c>
      <c r="E1213" s="24">
        <v>42340</v>
      </c>
      <c r="F1213">
        <v>10</v>
      </c>
      <c r="G1213">
        <v>1</v>
      </c>
      <c r="H1213" t="s">
        <v>4271</v>
      </c>
      <c r="I1213">
        <v>10</v>
      </c>
    </row>
    <row r="1214" spans="2:9" x14ac:dyDescent="0.3">
      <c r="B1214" t="s">
        <v>1331</v>
      </c>
      <c r="C1214" t="s">
        <v>2331</v>
      </c>
      <c r="D1214" t="s">
        <v>2686</v>
      </c>
      <c r="E1214" s="24">
        <v>36971</v>
      </c>
      <c r="F1214">
        <v>1</v>
      </c>
      <c r="G1214">
        <v>1</v>
      </c>
      <c r="H1214" t="s">
        <v>4272</v>
      </c>
      <c r="I1214">
        <v>1</v>
      </c>
    </row>
    <row r="1215" spans="2:9" x14ac:dyDescent="0.3">
      <c r="B1215" t="s">
        <v>1006</v>
      </c>
      <c r="C1215" t="s">
        <v>2332</v>
      </c>
      <c r="D1215" t="s">
        <v>2658</v>
      </c>
      <c r="E1215" s="24">
        <v>38406</v>
      </c>
      <c r="F1215">
        <v>10</v>
      </c>
      <c r="G1215">
        <v>1</v>
      </c>
      <c r="H1215" t="s">
        <v>4273</v>
      </c>
      <c r="I1215">
        <v>10</v>
      </c>
    </row>
    <row r="1216" spans="2:9" x14ac:dyDescent="0.3">
      <c r="B1216" t="s">
        <v>1340</v>
      </c>
      <c r="C1216" t="s">
        <v>2643</v>
      </c>
      <c r="D1216" t="s">
        <v>2686</v>
      </c>
      <c r="E1216" s="24">
        <v>42696</v>
      </c>
      <c r="F1216">
        <v>10</v>
      </c>
      <c r="G1216">
        <v>1</v>
      </c>
      <c r="H1216" t="s">
        <v>4274</v>
      </c>
      <c r="I1216">
        <v>10</v>
      </c>
    </row>
    <row r="1217" spans="2:9" x14ac:dyDescent="0.3">
      <c r="B1217" t="s">
        <v>1007</v>
      </c>
      <c r="C1217" t="s">
        <v>2333</v>
      </c>
      <c r="D1217" t="s">
        <v>2658</v>
      </c>
      <c r="E1217" s="24">
        <v>37586</v>
      </c>
      <c r="F1217">
        <v>10</v>
      </c>
      <c r="G1217">
        <v>1</v>
      </c>
      <c r="H1217" t="s">
        <v>4275</v>
      </c>
      <c r="I1217">
        <v>10</v>
      </c>
    </row>
    <row r="1218" spans="2:9" x14ac:dyDescent="0.3">
      <c r="B1218" t="s">
        <v>1008</v>
      </c>
      <c r="C1218" t="s">
        <v>2334</v>
      </c>
      <c r="D1218" t="s">
        <v>2658</v>
      </c>
      <c r="E1218" s="24">
        <v>35263</v>
      </c>
      <c r="F1218">
        <v>10</v>
      </c>
      <c r="G1218">
        <v>1</v>
      </c>
      <c r="H1218" t="s">
        <v>4276</v>
      </c>
      <c r="I1218">
        <v>10</v>
      </c>
    </row>
    <row r="1219" spans="2:9" x14ac:dyDescent="0.3">
      <c r="B1219" t="s">
        <v>1009</v>
      </c>
      <c r="C1219" t="s">
        <v>2335</v>
      </c>
      <c r="D1219" t="s">
        <v>2658</v>
      </c>
      <c r="E1219" s="24">
        <v>34829</v>
      </c>
      <c r="F1219">
        <v>10</v>
      </c>
      <c r="G1219">
        <v>1</v>
      </c>
      <c r="H1219" t="s">
        <v>4277</v>
      </c>
      <c r="I1219">
        <v>10</v>
      </c>
    </row>
    <row r="1220" spans="2:9" x14ac:dyDescent="0.3">
      <c r="B1220" t="s">
        <v>1010</v>
      </c>
      <c r="C1220" t="s">
        <v>2336</v>
      </c>
      <c r="D1220" t="s">
        <v>2658</v>
      </c>
      <c r="E1220" s="24">
        <v>40686</v>
      </c>
      <c r="F1220">
        <v>10</v>
      </c>
      <c r="G1220">
        <v>1</v>
      </c>
      <c r="H1220" t="s">
        <v>4278</v>
      </c>
      <c r="I1220">
        <v>10</v>
      </c>
    </row>
    <row r="1221" spans="2:9" x14ac:dyDescent="0.3">
      <c r="B1221" t="s">
        <v>1011</v>
      </c>
      <c r="C1221" t="s">
        <v>2337</v>
      </c>
      <c r="D1221" t="s">
        <v>2658</v>
      </c>
      <c r="E1221" s="24">
        <v>39106</v>
      </c>
      <c r="F1221">
        <v>2</v>
      </c>
      <c r="G1221">
        <v>1</v>
      </c>
      <c r="H1221" t="s">
        <v>4279</v>
      </c>
      <c r="I1221">
        <v>2</v>
      </c>
    </row>
    <row r="1222" spans="2:9" x14ac:dyDescent="0.3">
      <c r="B1222" t="s">
        <v>90</v>
      </c>
      <c r="C1222" t="s">
        <v>2338</v>
      </c>
      <c r="D1222" t="s">
        <v>2658</v>
      </c>
      <c r="E1222" s="24">
        <v>37760</v>
      </c>
      <c r="F1222">
        <v>10</v>
      </c>
      <c r="G1222">
        <v>1</v>
      </c>
      <c r="H1222" t="s">
        <v>4280</v>
      </c>
      <c r="I1222">
        <v>10</v>
      </c>
    </row>
    <row r="1223" spans="2:9" x14ac:dyDescent="0.3">
      <c r="B1223" t="s">
        <v>1012</v>
      </c>
      <c r="C1223" t="s">
        <v>2339</v>
      </c>
      <c r="D1223" t="s">
        <v>2658</v>
      </c>
      <c r="E1223" s="24">
        <v>38803</v>
      </c>
      <c r="F1223">
        <v>1</v>
      </c>
      <c r="G1223">
        <v>1</v>
      </c>
      <c r="H1223" t="s">
        <v>4281</v>
      </c>
      <c r="I1223">
        <v>1</v>
      </c>
    </row>
    <row r="1224" spans="2:9" x14ac:dyDescent="0.3">
      <c r="B1224" t="s">
        <v>1013</v>
      </c>
      <c r="C1224" t="s">
        <v>2340</v>
      </c>
      <c r="D1224" t="s">
        <v>2658</v>
      </c>
      <c r="E1224" s="24">
        <v>40150</v>
      </c>
      <c r="F1224">
        <v>10</v>
      </c>
      <c r="G1224">
        <v>1</v>
      </c>
      <c r="H1224" t="s">
        <v>4282</v>
      </c>
      <c r="I1224">
        <v>10</v>
      </c>
    </row>
    <row r="1225" spans="2:9" x14ac:dyDescent="0.3">
      <c r="B1225" t="s">
        <v>1014</v>
      </c>
      <c r="C1225" t="s">
        <v>2341</v>
      </c>
      <c r="D1225" t="s">
        <v>2658</v>
      </c>
      <c r="E1225" s="24">
        <v>35641</v>
      </c>
      <c r="F1225">
        <v>10</v>
      </c>
      <c r="G1225">
        <v>1</v>
      </c>
      <c r="H1225" t="s">
        <v>4283</v>
      </c>
      <c r="I1225">
        <v>10</v>
      </c>
    </row>
    <row r="1226" spans="2:9" x14ac:dyDescent="0.3">
      <c r="B1226" t="s">
        <v>1015</v>
      </c>
      <c r="C1226" t="s">
        <v>2342</v>
      </c>
      <c r="D1226" t="s">
        <v>2658</v>
      </c>
      <c r="E1226" s="24">
        <v>39101</v>
      </c>
      <c r="F1226">
        <v>1</v>
      </c>
      <c r="G1226">
        <v>1</v>
      </c>
      <c r="H1226" t="s">
        <v>4284</v>
      </c>
      <c r="I1226">
        <v>1</v>
      </c>
    </row>
    <row r="1227" spans="2:9" x14ac:dyDescent="0.3">
      <c r="B1227" t="s">
        <v>1016</v>
      </c>
      <c r="C1227" t="s">
        <v>4285</v>
      </c>
      <c r="D1227" t="s">
        <v>2658</v>
      </c>
      <c r="E1227" s="24">
        <v>38604</v>
      </c>
      <c r="F1227">
        <v>10</v>
      </c>
      <c r="G1227">
        <v>1</v>
      </c>
      <c r="H1227" t="s">
        <v>4286</v>
      </c>
      <c r="I1227">
        <v>10</v>
      </c>
    </row>
    <row r="1228" spans="2:9" x14ac:dyDescent="0.3">
      <c r="B1228" t="s">
        <v>4287</v>
      </c>
      <c r="C1228" t="s">
        <v>4288</v>
      </c>
      <c r="D1228" t="s">
        <v>2686</v>
      </c>
      <c r="E1228" s="24">
        <v>40456</v>
      </c>
      <c r="F1228">
        <v>10</v>
      </c>
      <c r="G1228">
        <v>1</v>
      </c>
      <c r="H1228" t="s">
        <v>4289</v>
      </c>
      <c r="I1228">
        <v>10</v>
      </c>
    </row>
    <row r="1229" spans="2:9" x14ac:dyDescent="0.3">
      <c r="B1229" t="s">
        <v>1017</v>
      </c>
      <c r="C1229" t="s">
        <v>2343</v>
      </c>
      <c r="D1229" t="s">
        <v>2658</v>
      </c>
      <c r="E1229" s="24">
        <v>39078</v>
      </c>
      <c r="F1229">
        <v>10</v>
      </c>
      <c r="G1229">
        <v>1</v>
      </c>
      <c r="H1229" t="s">
        <v>4290</v>
      </c>
      <c r="I1229">
        <v>10</v>
      </c>
    </row>
    <row r="1230" spans="2:9" x14ac:dyDescent="0.3">
      <c r="B1230" t="s">
        <v>4291</v>
      </c>
      <c r="C1230" t="s">
        <v>4292</v>
      </c>
      <c r="D1230" t="s">
        <v>2658</v>
      </c>
      <c r="E1230" s="24">
        <v>42242</v>
      </c>
      <c r="F1230">
        <v>10</v>
      </c>
      <c r="G1230">
        <v>1</v>
      </c>
      <c r="H1230" t="s">
        <v>4293</v>
      </c>
      <c r="I1230">
        <v>10</v>
      </c>
    </row>
    <row r="1231" spans="2:9" x14ac:dyDescent="0.3">
      <c r="B1231" t="s">
        <v>1018</v>
      </c>
      <c r="C1231" t="s">
        <v>2344</v>
      </c>
      <c r="D1231" t="s">
        <v>2658</v>
      </c>
      <c r="E1231" s="24">
        <v>34759</v>
      </c>
      <c r="F1231">
        <v>1</v>
      </c>
      <c r="G1231">
        <v>1</v>
      </c>
      <c r="H1231" t="s">
        <v>4294</v>
      </c>
      <c r="I1231">
        <v>1</v>
      </c>
    </row>
    <row r="1232" spans="2:9" x14ac:dyDescent="0.3">
      <c r="B1232" t="s">
        <v>4295</v>
      </c>
      <c r="C1232" t="s">
        <v>4296</v>
      </c>
      <c r="D1232" t="s">
        <v>2658</v>
      </c>
      <c r="E1232" s="24">
        <v>42864</v>
      </c>
      <c r="F1232">
        <v>5</v>
      </c>
      <c r="G1232">
        <v>1</v>
      </c>
      <c r="H1232" t="s">
        <v>4297</v>
      </c>
      <c r="I1232">
        <v>5</v>
      </c>
    </row>
    <row r="1233" spans="2:9" x14ac:dyDescent="0.3">
      <c r="B1233" t="s">
        <v>1019</v>
      </c>
      <c r="C1233" t="s">
        <v>2345</v>
      </c>
      <c r="D1233" t="s">
        <v>2658</v>
      </c>
      <c r="E1233" s="24">
        <v>40988</v>
      </c>
      <c r="F1233">
        <v>2</v>
      </c>
      <c r="G1233">
        <v>1</v>
      </c>
      <c r="H1233" t="s">
        <v>4298</v>
      </c>
      <c r="I1233">
        <v>2</v>
      </c>
    </row>
    <row r="1234" spans="2:9" x14ac:dyDescent="0.3">
      <c r="B1234" t="s">
        <v>1020</v>
      </c>
      <c r="C1234" t="s">
        <v>2346</v>
      </c>
      <c r="D1234" t="s">
        <v>2658</v>
      </c>
      <c r="E1234" s="24">
        <v>35655</v>
      </c>
      <c r="F1234">
        <v>10</v>
      </c>
      <c r="G1234">
        <v>1</v>
      </c>
      <c r="H1234" t="s">
        <v>4299</v>
      </c>
      <c r="I1234">
        <v>10</v>
      </c>
    </row>
    <row r="1235" spans="2:9" x14ac:dyDescent="0.3">
      <c r="B1235" t="s">
        <v>1021</v>
      </c>
      <c r="C1235" t="s">
        <v>2347</v>
      </c>
      <c r="D1235" t="s">
        <v>2658</v>
      </c>
      <c r="E1235" s="24">
        <v>41716</v>
      </c>
      <c r="F1235">
        <v>10</v>
      </c>
      <c r="G1235">
        <v>1</v>
      </c>
      <c r="H1235" t="s">
        <v>4300</v>
      </c>
      <c r="I1235">
        <v>10</v>
      </c>
    </row>
    <row r="1236" spans="2:9" x14ac:dyDescent="0.3">
      <c r="B1236" t="s">
        <v>1022</v>
      </c>
      <c r="C1236" t="s">
        <v>2348</v>
      </c>
      <c r="D1236" t="s">
        <v>2658</v>
      </c>
      <c r="E1236" s="24">
        <v>34878</v>
      </c>
      <c r="F1236">
        <v>10</v>
      </c>
      <c r="G1236">
        <v>1</v>
      </c>
      <c r="H1236" t="s">
        <v>4301</v>
      </c>
      <c r="I1236">
        <v>10</v>
      </c>
    </row>
    <row r="1237" spans="2:9" x14ac:dyDescent="0.3">
      <c r="B1237" t="s">
        <v>1023</v>
      </c>
      <c r="C1237" t="s">
        <v>2349</v>
      </c>
      <c r="D1237" t="s">
        <v>2658</v>
      </c>
      <c r="E1237" s="24">
        <v>40833</v>
      </c>
      <c r="F1237">
        <v>10</v>
      </c>
      <c r="G1237">
        <v>1</v>
      </c>
      <c r="H1237" t="s">
        <v>4302</v>
      </c>
      <c r="I1237">
        <v>10</v>
      </c>
    </row>
    <row r="1238" spans="2:9" x14ac:dyDescent="0.3">
      <c r="B1238" t="s">
        <v>1024</v>
      </c>
      <c r="C1238" t="s">
        <v>2350</v>
      </c>
      <c r="D1238" t="s">
        <v>2658</v>
      </c>
      <c r="E1238" s="24">
        <v>38986</v>
      </c>
      <c r="F1238">
        <v>10</v>
      </c>
      <c r="G1238">
        <v>1</v>
      </c>
      <c r="H1238" t="s">
        <v>4303</v>
      </c>
      <c r="I1238">
        <v>10</v>
      </c>
    </row>
    <row r="1239" spans="2:9" x14ac:dyDescent="0.3">
      <c r="B1239" t="s">
        <v>1025</v>
      </c>
      <c r="C1239" t="s">
        <v>2351</v>
      </c>
      <c r="D1239" t="s">
        <v>2658</v>
      </c>
      <c r="E1239" s="24">
        <v>39315</v>
      </c>
      <c r="F1239">
        <v>10</v>
      </c>
      <c r="G1239">
        <v>1</v>
      </c>
      <c r="H1239" t="s">
        <v>4304</v>
      </c>
      <c r="I1239">
        <v>10</v>
      </c>
    </row>
    <row r="1240" spans="2:9" x14ac:dyDescent="0.3">
      <c r="B1240" t="s">
        <v>1026</v>
      </c>
      <c r="C1240" t="s">
        <v>2352</v>
      </c>
      <c r="D1240" t="s">
        <v>2658</v>
      </c>
      <c r="E1240" s="24">
        <v>41117</v>
      </c>
      <c r="F1240">
        <v>10</v>
      </c>
      <c r="G1240">
        <v>1</v>
      </c>
      <c r="H1240" t="s">
        <v>4305</v>
      </c>
      <c r="I1240">
        <v>10</v>
      </c>
    </row>
    <row r="1241" spans="2:9" x14ac:dyDescent="0.3">
      <c r="B1241" t="s">
        <v>4306</v>
      </c>
      <c r="C1241" t="s">
        <v>4307</v>
      </c>
      <c r="D1241" t="s">
        <v>2658</v>
      </c>
      <c r="E1241" s="24">
        <v>42439</v>
      </c>
      <c r="F1241">
        <v>2</v>
      </c>
      <c r="G1241">
        <v>1</v>
      </c>
      <c r="H1241" t="s">
        <v>4308</v>
      </c>
      <c r="I1241">
        <v>2</v>
      </c>
    </row>
    <row r="1242" spans="2:9" x14ac:dyDescent="0.3">
      <c r="B1242" t="s">
        <v>1027</v>
      </c>
      <c r="C1242" t="s">
        <v>2353</v>
      </c>
      <c r="D1242" t="s">
        <v>2658</v>
      </c>
      <c r="E1242" s="24">
        <v>40675</v>
      </c>
      <c r="F1242">
        <v>10</v>
      </c>
      <c r="G1242">
        <v>1</v>
      </c>
      <c r="H1242" t="s">
        <v>4309</v>
      </c>
      <c r="I1242">
        <v>10</v>
      </c>
    </row>
    <row r="1243" spans="2:9" x14ac:dyDescent="0.3">
      <c r="B1243" t="s">
        <v>1028</v>
      </c>
      <c r="C1243" t="s">
        <v>2354</v>
      </c>
      <c r="D1243" t="s">
        <v>2658</v>
      </c>
      <c r="E1243" s="24">
        <v>34787</v>
      </c>
      <c r="F1243">
        <v>10</v>
      </c>
      <c r="G1243">
        <v>1</v>
      </c>
      <c r="H1243" t="s">
        <v>4310</v>
      </c>
      <c r="I1243">
        <v>10</v>
      </c>
    </row>
    <row r="1244" spans="2:9" x14ac:dyDescent="0.3">
      <c r="B1244" t="s">
        <v>4311</v>
      </c>
      <c r="C1244" t="s">
        <v>4312</v>
      </c>
      <c r="D1244" t="s">
        <v>2658</v>
      </c>
      <c r="E1244" s="24">
        <v>42552</v>
      </c>
      <c r="F1244">
        <v>2</v>
      </c>
      <c r="G1244">
        <v>1</v>
      </c>
      <c r="H1244" t="s">
        <v>4313</v>
      </c>
      <c r="I1244">
        <v>2</v>
      </c>
    </row>
    <row r="1245" spans="2:9" x14ac:dyDescent="0.3">
      <c r="B1245" t="s">
        <v>1029</v>
      </c>
      <c r="C1245" t="s">
        <v>2355</v>
      </c>
      <c r="D1245" t="s">
        <v>2686</v>
      </c>
      <c r="E1245" s="24">
        <v>40869</v>
      </c>
      <c r="F1245">
        <v>10</v>
      </c>
      <c r="G1245">
        <v>1</v>
      </c>
      <c r="H1245" t="s">
        <v>4314</v>
      </c>
      <c r="I1245">
        <v>10</v>
      </c>
    </row>
    <row r="1246" spans="2:9" x14ac:dyDescent="0.3">
      <c r="B1246" t="s">
        <v>4315</v>
      </c>
      <c r="C1246" t="s">
        <v>4316</v>
      </c>
      <c r="D1246" t="s">
        <v>2658</v>
      </c>
      <c r="E1246" s="24">
        <v>42713</v>
      </c>
      <c r="F1246">
        <v>5</v>
      </c>
      <c r="G1246">
        <v>1</v>
      </c>
      <c r="H1246" t="s">
        <v>4317</v>
      </c>
      <c r="I1246">
        <v>5</v>
      </c>
    </row>
    <row r="1247" spans="2:9" x14ac:dyDescent="0.3">
      <c r="B1247" t="s">
        <v>1332</v>
      </c>
      <c r="C1247" t="s">
        <v>2356</v>
      </c>
      <c r="D1247" t="s">
        <v>2686</v>
      </c>
      <c r="E1247" s="24">
        <v>39224</v>
      </c>
      <c r="F1247">
        <v>10</v>
      </c>
      <c r="G1247">
        <v>1</v>
      </c>
      <c r="H1247" t="s">
        <v>4318</v>
      </c>
      <c r="I1247">
        <v>10</v>
      </c>
    </row>
    <row r="1248" spans="2:9" x14ac:dyDescent="0.3">
      <c r="B1248" t="s">
        <v>1333</v>
      </c>
      <c r="C1248" t="s">
        <v>2357</v>
      </c>
      <c r="D1248" t="s">
        <v>2658</v>
      </c>
      <c r="E1248" s="24">
        <v>38817</v>
      </c>
      <c r="F1248">
        <v>10</v>
      </c>
      <c r="G1248">
        <v>1</v>
      </c>
      <c r="H1248" t="s">
        <v>4319</v>
      </c>
      <c r="I1248">
        <v>10</v>
      </c>
    </row>
    <row r="1249" spans="2:9" x14ac:dyDescent="0.3">
      <c r="B1249" t="s">
        <v>1030</v>
      </c>
      <c r="C1249" t="s">
        <v>2358</v>
      </c>
      <c r="D1249" t="s">
        <v>2686</v>
      </c>
      <c r="E1249" s="24">
        <v>38519</v>
      </c>
      <c r="F1249">
        <v>10</v>
      </c>
      <c r="G1249">
        <v>1</v>
      </c>
      <c r="H1249" t="s">
        <v>4320</v>
      </c>
      <c r="I1249">
        <v>10</v>
      </c>
    </row>
    <row r="1250" spans="2:9" x14ac:dyDescent="0.3">
      <c r="B1250" t="s">
        <v>4321</v>
      </c>
      <c r="C1250" t="s">
        <v>4322</v>
      </c>
      <c r="D1250" t="s">
        <v>2658</v>
      </c>
      <c r="E1250" s="24">
        <v>42033</v>
      </c>
      <c r="F1250">
        <v>10</v>
      </c>
      <c r="G1250">
        <v>1</v>
      </c>
      <c r="H1250" t="s">
        <v>4323</v>
      </c>
      <c r="I1250">
        <v>10</v>
      </c>
    </row>
    <row r="1251" spans="2:9" x14ac:dyDescent="0.3">
      <c r="B1251" t="s">
        <v>1031</v>
      </c>
      <c r="C1251" t="s">
        <v>2359</v>
      </c>
      <c r="D1251" t="s">
        <v>2658</v>
      </c>
      <c r="E1251" s="24">
        <v>39510</v>
      </c>
      <c r="F1251">
        <v>2</v>
      </c>
      <c r="G1251">
        <v>1</v>
      </c>
      <c r="H1251" t="s">
        <v>4324</v>
      </c>
      <c r="I1251">
        <v>2</v>
      </c>
    </row>
    <row r="1252" spans="2:9" x14ac:dyDescent="0.3">
      <c r="B1252" t="s">
        <v>4325</v>
      </c>
      <c r="C1252" t="s">
        <v>4326</v>
      </c>
      <c r="D1252" t="s">
        <v>2658</v>
      </c>
      <c r="E1252" s="24">
        <v>42830</v>
      </c>
      <c r="F1252">
        <v>10</v>
      </c>
      <c r="G1252">
        <v>1</v>
      </c>
      <c r="H1252" t="s">
        <v>4327</v>
      </c>
      <c r="I1252">
        <v>10</v>
      </c>
    </row>
    <row r="1253" spans="2:9" x14ac:dyDescent="0.3">
      <c r="B1253" t="s">
        <v>1032</v>
      </c>
      <c r="C1253" t="s">
        <v>2360</v>
      </c>
      <c r="D1253" t="s">
        <v>2658</v>
      </c>
      <c r="E1253" s="24">
        <v>35081</v>
      </c>
      <c r="F1253">
        <v>1</v>
      </c>
      <c r="G1253">
        <v>1</v>
      </c>
      <c r="H1253" t="s">
        <v>4328</v>
      </c>
      <c r="I1253">
        <v>1</v>
      </c>
    </row>
    <row r="1254" spans="2:9" x14ac:dyDescent="0.3">
      <c r="B1254" t="s">
        <v>1033</v>
      </c>
      <c r="C1254" t="s">
        <v>2361</v>
      </c>
      <c r="D1254" t="s">
        <v>2658</v>
      </c>
      <c r="E1254" s="24">
        <v>41905</v>
      </c>
      <c r="F1254">
        <v>10</v>
      </c>
      <c r="G1254">
        <v>1</v>
      </c>
      <c r="H1254" t="s">
        <v>4329</v>
      </c>
      <c r="I1254">
        <v>10</v>
      </c>
    </row>
    <row r="1255" spans="2:9" x14ac:dyDescent="0.3">
      <c r="B1255" t="s">
        <v>4330</v>
      </c>
      <c r="C1255" t="s">
        <v>4331</v>
      </c>
      <c r="D1255" t="s">
        <v>2658</v>
      </c>
      <c r="E1255" s="24">
        <v>42250</v>
      </c>
      <c r="F1255">
        <v>10</v>
      </c>
      <c r="G1255">
        <v>1</v>
      </c>
      <c r="H1255" t="s">
        <v>4332</v>
      </c>
      <c r="I1255">
        <v>10</v>
      </c>
    </row>
    <row r="1256" spans="2:9" x14ac:dyDescent="0.3">
      <c r="B1256" t="s">
        <v>1034</v>
      </c>
      <c r="C1256" t="s">
        <v>2362</v>
      </c>
      <c r="D1256" t="s">
        <v>2658</v>
      </c>
      <c r="E1256" s="24">
        <v>40884</v>
      </c>
      <c r="F1256">
        <v>2</v>
      </c>
      <c r="G1256">
        <v>1</v>
      </c>
      <c r="H1256" t="s">
        <v>4333</v>
      </c>
      <c r="I1256">
        <v>2</v>
      </c>
    </row>
    <row r="1257" spans="2:9" x14ac:dyDescent="0.3">
      <c r="B1257" t="s">
        <v>1035</v>
      </c>
      <c r="C1257" t="s">
        <v>2363</v>
      </c>
      <c r="D1257" t="s">
        <v>2658</v>
      </c>
      <c r="E1257" s="24">
        <v>41913</v>
      </c>
      <c r="F1257">
        <v>10</v>
      </c>
      <c r="G1257">
        <v>1</v>
      </c>
      <c r="H1257" t="s">
        <v>4334</v>
      </c>
      <c r="I1257">
        <v>10</v>
      </c>
    </row>
    <row r="1258" spans="2:9" x14ac:dyDescent="0.3">
      <c r="B1258" t="s">
        <v>1036</v>
      </c>
      <c r="C1258" t="s">
        <v>2364</v>
      </c>
      <c r="D1258" t="s">
        <v>2658</v>
      </c>
      <c r="E1258" s="24">
        <v>40150</v>
      </c>
      <c r="F1258">
        <v>1</v>
      </c>
      <c r="G1258">
        <v>1</v>
      </c>
      <c r="H1258" t="s">
        <v>4335</v>
      </c>
      <c r="I1258">
        <v>1</v>
      </c>
    </row>
    <row r="1259" spans="2:9" x14ac:dyDescent="0.3">
      <c r="B1259" t="s">
        <v>1037</v>
      </c>
      <c r="C1259" t="s">
        <v>2365</v>
      </c>
      <c r="D1259" t="s">
        <v>2658</v>
      </c>
      <c r="E1259" s="24">
        <v>40641</v>
      </c>
      <c r="F1259">
        <v>10</v>
      </c>
      <c r="G1259">
        <v>1</v>
      </c>
      <c r="H1259" t="s">
        <v>4336</v>
      </c>
      <c r="I1259">
        <v>10</v>
      </c>
    </row>
    <row r="1260" spans="2:9" x14ac:dyDescent="0.3">
      <c r="B1260" t="s">
        <v>1038</v>
      </c>
      <c r="C1260" t="s">
        <v>2366</v>
      </c>
      <c r="D1260" t="s">
        <v>2658</v>
      </c>
      <c r="E1260" s="24">
        <v>36971</v>
      </c>
      <c r="F1260">
        <v>10</v>
      </c>
      <c r="G1260">
        <v>1</v>
      </c>
      <c r="H1260" t="s">
        <v>4337</v>
      </c>
      <c r="I1260">
        <v>10</v>
      </c>
    </row>
    <row r="1261" spans="2:9" x14ac:dyDescent="0.3">
      <c r="B1261" t="s">
        <v>1039</v>
      </c>
      <c r="C1261" t="s">
        <v>2367</v>
      </c>
      <c r="D1261" t="s">
        <v>2658</v>
      </c>
      <c r="E1261" s="24">
        <v>39042</v>
      </c>
      <c r="F1261">
        <v>2</v>
      </c>
      <c r="G1261">
        <v>1</v>
      </c>
      <c r="H1261" t="s">
        <v>4338</v>
      </c>
      <c r="I1261">
        <v>2</v>
      </c>
    </row>
    <row r="1262" spans="2:9" x14ac:dyDescent="0.3">
      <c r="B1262" t="s">
        <v>1040</v>
      </c>
      <c r="C1262" t="s">
        <v>2368</v>
      </c>
      <c r="D1262" t="s">
        <v>2658</v>
      </c>
      <c r="E1262" s="24">
        <v>34990</v>
      </c>
      <c r="F1262">
        <v>10</v>
      </c>
      <c r="G1262">
        <v>1</v>
      </c>
      <c r="H1262" t="s">
        <v>4339</v>
      </c>
      <c r="I1262">
        <v>10</v>
      </c>
    </row>
    <row r="1263" spans="2:9" x14ac:dyDescent="0.3">
      <c r="B1263" t="s">
        <v>4340</v>
      </c>
      <c r="C1263" t="s">
        <v>4341</v>
      </c>
      <c r="D1263" t="s">
        <v>2658</v>
      </c>
      <c r="E1263" s="24">
        <v>42324</v>
      </c>
      <c r="F1263">
        <v>10</v>
      </c>
      <c r="G1263">
        <v>1</v>
      </c>
      <c r="H1263" t="s">
        <v>4342</v>
      </c>
      <c r="I1263">
        <v>10</v>
      </c>
    </row>
    <row r="1264" spans="2:9" x14ac:dyDescent="0.3">
      <c r="B1264" t="s">
        <v>1041</v>
      </c>
      <c r="C1264" t="s">
        <v>2369</v>
      </c>
      <c r="D1264" t="s">
        <v>2658</v>
      </c>
      <c r="E1264" s="24">
        <v>38495</v>
      </c>
      <c r="F1264">
        <v>5</v>
      </c>
      <c r="G1264">
        <v>1</v>
      </c>
      <c r="H1264" t="s">
        <v>4343</v>
      </c>
      <c r="I1264">
        <v>5</v>
      </c>
    </row>
    <row r="1265" spans="2:9" x14ac:dyDescent="0.3">
      <c r="B1265" t="s">
        <v>91</v>
      </c>
      <c r="C1265" t="s">
        <v>2370</v>
      </c>
      <c r="D1265" t="s">
        <v>2658</v>
      </c>
      <c r="E1265" s="24">
        <v>34815</v>
      </c>
      <c r="F1265">
        <v>10</v>
      </c>
      <c r="G1265">
        <v>1</v>
      </c>
      <c r="H1265" t="s">
        <v>4344</v>
      </c>
      <c r="I1265">
        <v>10</v>
      </c>
    </row>
    <row r="1266" spans="2:9" x14ac:dyDescent="0.3">
      <c r="B1266" t="s">
        <v>4345</v>
      </c>
      <c r="C1266" t="s">
        <v>4346</v>
      </c>
      <c r="D1266" t="s">
        <v>2658</v>
      </c>
      <c r="E1266" s="24">
        <v>42257</v>
      </c>
      <c r="F1266">
        <v>10</v>
      </c>
      <c r="G1266">
        <v>1</v>
      </c>
      <c r="H1266" t="s">
        <v>4347</v>
      </c>
      <c r="I1266">
        <v>10</v>
      </c>
    </row>
    <row r="1267" spans="2:9" x14ac:dyDescent="0.3">
      <c r="B1267" t="s">
        <v>1042</v>
      </c>
      <c r="C1267" t="s">
        <v>2371</v>
      </c>
      <c r="D1267" t="s">
        <v>2658</v>
      </c>
      <c r="E1267" s="24">
        <v>36598</v>
      </c>
      <c r="F1267">
        <v>5</v>
      </c>
      <c r="G1267">
        <v>1</v>
      </c>
      <c r="H1267" t="s">
        <v>4348</v>
      </c>
      <c r="I1267">
        <v>5</v>
      </c>
    </row>
    <row r="1268" spans="2:9" x14ac:dyDescent="0.3">
      <c r="B1268" t="s">
        <v>1043</v>
      </c>
      <c r="C1268" t="s">
        <v>2372</v>
      </c>
      <c r="D1268" t="s">
        <v>2658</v>
      </c>
      <c r="E1268" s="24">
        <v>35375</v>
      </c>
      <c r="F1268">
        <v>10</v>
      </c>
      <c r="G1268">
        <v>1</v>
      </c>
      <c r="H1268" t="s">
        <v>4349</v>
      </c>
      <c r="I1268">
        <v>10</v>
      </c>
    </row>
    <row r="1269" spans="2:9" x14ac:dyDescent="0.3">
      <c r="B1269" t="s">
        <v>1044</v>
      </c>
      <c r="C1269" t="s">
        <v>2373</v>
      </c>
      <c r="D1269" t="s">
        <v>2658</v>
      </c>
      <c r="E1269" s="24">
        <v>34759</v>
      </c>
      <c r="F1269">
        <v>10</v>
      </c>
      <c r="G1269">
        <v>1</v>
      </c>
      <c r="H1269" t="s">
        <v>4350</v>
      </c>
      <c r="I1269">
        <v>10</v>
      </c>
    </row>
    <row r="1270" spans="2:9" x14ac:dyDescent="0.3">
      <c r="B1270" t="s">
        <v>4351</v>
      </c>
      <c r="C1270" t="s">
        <v>4352</v>
      </c>
      <c r="D1270" t="s">
        <v>2686</v>
      </c>
      <c r="E1270" s="24">
        <v>42523</v>
      </c>
      <c r="F1270">
        <v>10</v>
      </c>
      <c r="G1270">
        <v>1</v>
      </c>
      <c r="H1270" t="s">
        <v>4353</v>
      </c>
      <c r="I1270">
        <v>10</v>
      </c>
    </row>
    <row r="1271" spans="2:9" x14ac:dyDescent="0.3">
      <c r="B1271" t="s">
        <v>1045</v>
      </c>
      <c r="C1271" t="s">
        <v>2374</v>
      </c>
      <c r="D1271" t="s">
        <v>2658</v>
      </c>
      <c r="E1271" s="24">
        <v>38446</v>
      </c>
      <c r="F1271">
        <v>10</v>
      </c>
      <c r="G1271">
        <v>1</v>
      </c>
      <c r="H1271" t="s">
        <v>4354</v>
      </c>
      <c r="I1271">
        <v>10</v>
      </c>
    </row>
    <row r="1272" spans="2:9" x14ac:dyDescent="0.3">
      <c r="B1272" t="s">
        <v>1046</v>
      </c>
      <c r="C1272" t="s">
        <v>2375</v>
      </c>
      <c r="D1272" t="s">
        <v>2658</v>
      </c>
      <c r="E1272" s="24">
        <v>39498</v>
      </c>
      <c r="F1272">
        <v>10</v>
      </c>
      <c r="G1272">
        <v>1</v>
      </c>
      <c r="H1272" t="s">
        <v>4355</v>
      </c>
      <c r="I1272">
        <v>10</v>
      </c>
    </row>
    <row r="1273" spans="2:9" x14ac:dyDescent="0.3">
      <c r="B1273" t="s">
        <v>4356</v>
      </c>
      <c r="C1273" t="s">
        <v>4357</v>
      </c>
      <c r="D1273" t="s">
        <v>2658</v>
      </c>
      <c r="E1273" s="24">
        <v>42213</v>
      </c>
      <c r="F1273">
        <v>1</v>
      </c>
      <c r="G1273">
        <v>1</v>
      </c>
      <c r="H1273" t="s">
        <v>4358</v>
      </c>
      <c r="I1273">
        <v>1</v>
      </c>
    </row>
    <row r="1274" spans="2:9" x14ac:dyDescent="0.3">
      <c r="B1274" t="s">
        <v>1047</v>
      </c>
      <c r="C1274" t="s">
        <v>2376</v>
      </c>
      <c r="D1274" t="s">
        <v>2658</v>
      </c>
      <c r="E1274" s="24">
        <v>39027</v>
      </c>
      <c r="F1274">
        <v>10</v>
      </c>
      <c r="G1274">
        <v>1</v>
      </c>
      <c r="H1274" t="s">
        <v>4359</v>
      </c>
      <c r="I1274">
        <v>10</v>
      </c>
    </row>
    <row r="1275" spans="2:9" x14ac:dyDescent="0.3">
      <c r="B1275" t="s">
        <v>1048</v>
      </c>
      <c r="C1275" t="s">
        <v>2377</v>
      </c>
      <c r="D1275" t="s">
        <v>2658</v>
      </c>
      <c r="E1275" s="24">
        <v>39681</v>
      </c>
      <c r="F1275">
        <v>10</v>
      </c>
      <c r="G1275">
        <v>1</v>
      </c>
      <c r="H1275" t="s">
        <v>4360</v>
      </c>
      <c r="I1275">
        <v>10</v>
      </c>
    </row>
    <row r="1276" spans="2:9" x14ac:dyDescent="0.3">
      <c r="B1276" t="s">
        <v>1049</v>
      </c>
      <c r="C1276" t="s">
        <v>2378</v>
      </c>
      <c r="D1276" t="s">
        <v>2658</v>
      </c>
      <c r="E1276" s="24">
        <v>36278</v>
      </c>
      <c r="F1276">
        <v>10</v>
      </c>
      <c r="G1276">
        <v>1</v>
      </c>
      <c r="H1276" t="s">
        <v>4361</v>
      </c>
      <c r="I1276">
        <v>10</v>
      </c>
    </row>
    <row r="1277" spans="2:9" x14ac:dyDescent="0.3">
      <c r="B1277" t="s">
        <v>92</v>
      </c>
      <c r="C1277" t="s">
        <v>2379</v>
      </c>
      <c r="D1277" t="s">
        <v>2658</v>
      </c>
      <c r="E1277" s="24">
        <v>34948</v>
      </c>
      <c r="F1277">
        <v>2</v>
      </c>
      <c r="G1277">
        <v>1</v>
      </c>
      <c r="H1277" t="s">
        <v>4362</v>
      </c>
      <c r="I1277">
        <v>2</v>
      </c>
    </row>
    <row r="1278" spans="2:9" x14ac:dyDescent="0.3">
      <c r="B1278" t="s">
        <v>4363</v>
      </c>
      <c r="C1278" t="s">
        <v>4364</v>
      </c>
      <c r="D1278" t="s">
        <v>2658</v>
      </c>
      <c r="E1278" s="24">
        <v>42076</v>
      </c>
      <c r="F1278">
        <v>1</v>
      </c>
      <c r="G1278">
        <v>1</v>
      </c>
      <c r="H1278" t="s">
        <v>4365</v>
      </c>
      <c r="I1278">
        <v>1</v>
      </c>
    </row>
    <row r="1279" spans="2:9" x14ac:dyDescent="0.3">
      <c r="B1279" t="s">
        <v>1050</v>
      </c>
      <c r="C1279" t="s">
        <v>2380</v>
      </c>
      <c r="D1279" t="s">
        <v>2686</v>
      </c>
      <c r="E1279" s="24">
        <v>38013</v>
      </c>
      <c r="F1279">
        <v>5</v>
      </c>
      <c r="G1279">
        <v>1</v>
      </c>
      <c r="H1279" t="s">
        <v>4366</v>
      </c>
      <c r="I1279">
        <v>5</v>
      </c>
    </row>
    <row r="1280" spans="2:9" x14ac:dyDescent="0.3">
      <c r="B1280" t="s">
        <v>1051</v>
      </c>
      <c r="C1280" t="s">
        <v>2381</v>
      </c>
      <c r="D1280" t="s">
        <v>2658</v>
      </c>
      <c r="E1280" s="24">
        <v>35207</v>
      </c>
      <c r="F1280">
        <v>10</v>
      </c>
      <c r="G1280">
        <v>1</v>
      </c>
      <c r="H1280" t="s">
        <v>4367</v>
      </c>
      <c r="I1280">
        <v>10</v>
      </c>
    </row>
    <row r="1281" spans="2:9" x14ac:dyDescent="0.3">
      <c r="B1281" t="s">
        <v>4368</v>
      </c>
      <c r="C1281" t="s">
        <v>2382</v>
      </c>
      <c r="D1281" t="s">
        <v>2658</v>
      </c>
      <c r="E1281" s="24">
        <v>42443</v>
      </c>
      <c r="F1281">
        <v>10</v>
      </c>
      <c r="G1281">
        <v>1</v>
      </c>
      <c r="H1281" t="s">
        <v>4369</v>
      </c>
      <c r="I1281">
        <v>10</v>
      </c>
    </row>
    <row r="1282" spans="2:9" x14ac:dyDescent="0.3">
      <c r="B1282" t="s">
        <v>1052</v>
      </c>
      <c r="C1282" t="s">
        <v>2383</v>
      </c>
      <c r="D1282" t="s">
        <v>2686</v>
      </c>
      <c r="E1282" s="24">
        <v>39297</v>
      </c>
      <c r="F1282">
        <v>10</v>
      </c>
      <c r="G1282">
        <v>1</v>
      </c>
      <c r="H1282" t="s">
        <v>4370</v>
      </c>
      <c r="I1282">
        <v>10</v>
      </c>
    </row>
    <row r="1283" spans="2:9" x14ac:dyDescent="0.3">
      <c r="B1283" t="s">
        <v>1053</v>
      </c>
      <c r="C1283" t="s">
        <v>2384</v>
      </c>
      <c r="D1283" t="s">
        <v>2658</v>
      </c>
      <c r="E1283" s="24">
        <v>38055</v>
      </c>
      <c r="F1283">
        <v>2</v>
      </c>
      <c r="G1283">
        <v>1</v>
      </c>
      <c r="H1283" t="s">
        <v>4371</v>
      </c>
      <c r="I1283">
        <v>2</v>
      </c>
    </row>
    <row r="1284" spans="2:9" x14ac:dyDescent="0.3">
      <c r="B1284" t="s">
        <v>1054</v>
      </c>
      <c r="C1284" t="s">
        <v>2385</v>
      </c>
      <c r="D1284" t="s">
        <v>2658</v>
      </c>
      <c r="E1284" s="24">
        <v>36104</v>
      </c>
      <c r="F1284">
        <v>1</v>
      </c>
      <c r="G1284">
        <v>1</v>
      </c>
      <c r="H1284" t="s">
        <v>4372</v>
      </c>
      <c r="I1284">
        <v>1</v>
      </c>
    </row>
    <row r="1285" spans="2:9" x14ac:dyDescent="0.3">
      <c r="B1285" t="s">
        <v>1055</v>
      </c>
      <c r="C1285" t="s">
        <v>2386</v>
      </c>
      <c r="D1285" t="s">
        <v>2658</v>
      </c>
      <c r="E1285" s="24">
        <v>39545</v>
      </c>
      <c r="F1285">
        <v>10</v>
      </c>
      <c r="G1285">
        <v>1</v>
      </c>
      <c r="H1285" t="s">
        <v>4373</v>
      </c>
      <c r="I1285">
        <v>10</v>
      </c>
    </row>
    <row r="1286" spans="2:9" x14ac:dyDescent="0.3">
      <c r="B1286" t="s">
        <v>4374</v>
      </c>
      <c r="C1286" t="s">
        <v>4375</v>
      </c>
      <c r="D1286" t="s">
        <v>2658</v>
      </c>
      <c r="E1286" s="24">
        <v>39092</v>
      </c>
      <c r="F1286">
        <v>1</v>
      </c>
      <c r="G1286">
        <v>1</v>
      </c>
      <c r="H1286" t="s">
        <v>4376</v>
      </c>
      <c r="I1286">
        <v>1</v>
      </c>
    </row>
    <row r="1287" spans="2:9" x14ac:dyDescent="0.3">
      <c r="B1287" t="s">
        <v>1056</v>
      </c>
      <c r="C1287" t="s">
        <v>2387</v>
      </c>
      <c r="D1287" t="s">
        <v>2658</v>
      </c>
      <c r="E1287" s="24">
        <v>39111</v>
      </c>
      <c r="F1287">
        <v>10</v>
      </c>
      <c r="G1287">
        <v>1</v>
      </c>
      <c r="H1287" t="s">
        <v>4377</v>
      </c>
      <c r="I1287">
        <v>10</v>
      </c>
    </row>
    <row r="1288" spans="2:9" x14ac:dyDescent="0.3">
      <c r="B1288" t="s">
        <v>1057</v>
      </c>
      <c r="C1288" t="s">
        <v>2388</v>
      </c>
      <c r="D1288" t="s">
        <v>2658</v>
      </c>
      <c r="E1288" s="24">
        <v>40318</v>
      </c>
      <c r="F1288">
        <v>10</v>
      </c>
      <c r="G1288">
        <v>1</v>
      </c>
      <c r="H1288" t="s">
        <v>4378</v>
      </c>
      <c r="I1288">
        <v>10</v>
      </c>
    </row>
    <row r="1289" spans="2:9" x14ac:dyDescent="0.3">
      <c r="B1289" t="s">
        <v>1058</v>
      </c>
      <c r="C1289" t="s">
        <v>2389</v>
      </c>
      <c r="D1289" t="s">
        <v>2658</v>
      </c>
      <c r="E1289" s="24">
        <v>36187</v>
      </c>
      <c r="F1289">
        <v>10</v>
      </c>
      <c r="G1289">
        <v>1</v>
      </c>
      <c r="H1289" t="s">
        <v>4379</v>
      </c>
      <c r="I1289">
        <v>10</v>
      </c>
    </row>
    <row r="1290" spans="2:9" x14ac:dyDescent="0.3">
      <c r="B1290" t="s">
        <v>1059</v>
      </c>
      <c r="C1290" t="s">
        <v>2390</v>
      </c>
      <c r="D1290" t="s">
        <v>2658</v>
      </c>
      <c r="E1290" s="24">
        <v>35347</v>
      </c>
      <c r="F1290">
        <v>10</v>
      </c>
      <c r="G1290">
        <v>1</v>
      </c>
      <c r="H1290" t="s">
        <v>4380</v>
      </c>
      <c r="I1290">
        <v>10</v>
      </c>
    </row>
    <row r="1291" spans="2:9" x14ac:dyDescent="0.3">
      <c r="B1291" t="s">
        <v>4381</v>
      </c>
      <c r="C1291" t="s">
        <v>4382</v>
      </c>
      <c r="D1291" t="s">
        <v>2658</v>
      </c>
      <c r="E1291" s="24">
        <v>42151</v>
      </c>
      <c r="F1291">
        <v>1</v>
      </c>
      <c r="G1291">
        <v>1</v>
      </c>
      <c r="H1291" t="s">
        <v>4383</v>
      </c>
      <c r="I1291">
        <v>1</v>
      </c>
    </row>
    <row r="1292" spans="2:9" x14ac:dyDescent="0.3">
      <c r="B1292" t="s">
        <v>1060</v>
      </c>
      <c r="C1292" t="s">
        <v>2391</v>
      </c>
      <c r="D1292" t="s">
        <v>2686</v>
      </c>
      <c r="E1292" s="24">
        <v>37041</v>
      </c>
      <c r="F1292">
        <v>10</v>
      </c>
      <c r="G1292">
        <v>1</v>
      </c>
      <c r="H1292" t="s">
        <v>4384</v>
      </c>
      <c r="I1292">
        <v>10</v>
      </c>
    </row>
    <row r="1293" spans="2:9" x14ac:dyDescent="0.3">
      <c r="B1293" t="s">
        <v>1061</v>
      </c>
      <c r="C1293" t="s">
        <v>2392</v>
      </c>
      <c r="D1293" t="s">
        <v>2658</v>
      </c>
      <c r="E1293" s="24">
        <v>36992</v>
      </c>
      <c r="F1293">
        <v>2</v>
      </c>
      <c r="G1293">
        <v>1</v>
      </c>
      <c r="H1293" t="s">
        <v>4385</v>
      </c>
      <c r="I1293">
        <v>2</v>
      </c>
    </row>
    <row r="1294" spans="2:9" x14ac:dyDescent="0.3">
      <c r="B1294" t="s">
        <v>1062</v>
      </c>
      <c r="C1294" t="s">
        <v>2393</v>
      </c>
      <c r="D1294" t="s">
        <v>2658</v>
      </c>
      <c r="E1294" s="24">
        <v>37862</v>
      </c>
      <c r="F1294">
        <v>10</v>
      </c>
      <c r="G1294">
        <v>1</v>
      </c>
      <c r="H1294" t="s">
        <v>4386</v>
      </c>
      <c r="I1294">
        <v>10</v>
      </c>
    </row>
    <row r="1295" spans="2:9" x14ac:dyDescent="0.3">
      <c r="B1295" t="s">
        <v>1063</v>
      </c>
      <c r="C1295" t="s">
        <v>4387</v>
      </c>
      <c r="D1295" t="s">
        <v>2658</v>
      </c>
      <c r="E1295" s="24">
        <v>40246</v>
      </c>
      <c r="F1295">
        <v>5</v>
      </c>
      <c r="G1295">
        <v>1</v>
      </c>
      <c r="H1295" t="s">
        <v>4388</v>
      </c>
      <c r="I1295">
        <v>5</v>
      </c>
    </row>
    <row r="1296" spans="2:9" x14ac:dyDescent="0.3">
      <c r="B1296" t="s">
        <v>1064</v>
      </c>
      <c r="C1296" t="s">
        <v>2394</v>
      </c>
      <c r="D1296" t="s">
        <v>2658</v>
      </c>
      <c r="E1296" s="24">
        <v>39141</v>
      </c>
      <c r="F1296">
        <v>1</v>
      </c>
      <c r="G1296">
        <v>1</v>
      </c>
      <c r="H1296" t="s">
        <v>4389</v>
      </c>
      <c r="I1296">
        <v>1</v>
      </c>
    </row>
    <row r="1297" spans="2:9" x14ac:dyDescent="0.3">
      <c r="B1297" t="s">
        <v>1065</v>
      </c>
      <c r="C1297" t="s">
        <v>2395</v>
      </c>
      <c r="D1297" t="s">
        <v>2658</v>
      </c>
      <c r="E1297" s="24">
        <v>41894</v>
      </c>
      <c r="F1297">
        <v>10</v>
      </c>
      <c r="G1297">
        <v>1</v>
      </c>
      <c r="H1297" t="s">
        <v>4390</v>
      </c>
      <c r="I1297">
        <v>10</v>
      </c>
    </row>
    <row r="1298" spans="2:9" x14ac:dyDescent="0.3">
      <c r="B1298" t="s">
        <v>1066</v>
      </c>
      <c r="C1298" t="s">
        <v>2396</v>
      </c>
      <c r="D1298" t="s">
        <v>2658</v>
      </c>
      <c r="E1298" s="24">
        <v>39071</v>
      </c>
      <c r="F1298">
        <v>10</v>
      </c>
      <c r="G1298">
        <v>1</v>
      </c>
      <c r="H1298" t="s">
        <v>4391</v>
      </c>
      <c r="I1298">
        <v>10</v>
      </c>
    </row>
    <row r="1299" spans="2:9" x14ac:dyDescent="0.3">
      <c r="B1299" t="s">
        <v>1334</v>
      </c>
      <c r="C1299" t="s">
        <v>2397</v>
      </c>
      <c r="D1299" t="s">
        <v>2658</v>
      </c>
      <c r="E1299" s="24">
        <v>36670</v>
      </c>
      <c r="F1299">
        <v>10</v>
      </c>
      <c r="G1299">
        <v>1</v>
      </c>
      <c r="H1299" t="s">
        <v>4392</v>
      </c>
      <c r="I1299">
        <v>10</v>
      </c>
    </row>
    <row r="1300" spans="2:9" x14ac:dyDescent="0.3">
      <c r="B1300" t="s">
        <v>1067</v>
      </c>
      <c r="C1300" t="s">
        <v>2398</v>
      </c>
      <c r="D1300" t="s">
        <v>2658</v>
      </c>
      <c r="E1300" s="24">
        <v>38810</v>
      </c>
      <c r="F1300">
        <v>2</v>
      </c>
      <c r="G1300">
        <v>1</v>
      </c>
      <c r="H1300" t="s">
        <v>4393</v>
      </c>
      <c r="I1300">
        <v>2</v>
      </c>
    </row>
    <row r="1301" spans="2:9" x14ac:dyDescent="0.3">
      <c r="B1301" t="s">
        <v>1068</v>
      </c>
      <c r="C1301" t="s">
        <v>2399</v>
      </c>
      <c r="D1301" t="s">
        <v>2658</v>
      </c>
      <c r="E1301" s="24">
        <v>35025</v>
      </c>
      <c r="F1301">
        <v>2</v>
      </c>
      <c r="G1301">
        <v>1</v>
      </c>
      <c r="H1301" t="s">
        <v>4394</v>
      </c>
      <c r="I1301">
        <v>2</v>
      </c>
    </row>
    <row r="1302" spans="2:9" x14ac:dyDescent="0.3">
      <c r="B1302" t="s">
        <v>1069</v>
      </c>
      <c r="C1302" t="s">
        <v>2400</v>
      </c>
      <c r="D1302" t="s">
        <v>2686</v>
      </c>
      <c r="E1302" s="24">
        <v>36852</v>
      </c>
      <c r="F1302">
        <v>10</v>
      </c>
      <c r="G1302">
        <v>1</v>
      </c>
      <c r="H1302" t="s">
        <v>4395</v>
      </c>
      <c r="I1302">
        <v>10</v>
      </c>
    </row>
    <row r="1303" spans="2:9" x14ac:dyDescent="0.3">
      <c r="B1303" t="s">
        <v>4396</v>
      </c>
      <c r="C1303" t="s">
        <v>4397</v>
      </c>
      <c r="D1303" t="s">
        <v>2658</v>
      </c>
      <c r="E1303" s="24">
        <v>42569</v>
      </c>
      <c r="F1303">
        <v>10</v>
      </c>
      <c r="G1303">
        <v>1</v>
      </c>
      <c r="H1303" t="s">
        <v>4398</v>
      </c>
      <c r="I1303">
        <v>10</v>
      </c>
    </row>
    <row r="1304" spans="2:9" x14ac:dyDescent="0.3">
      <c r="B1304" t="s">
        <v>1070</v>
      </c>
      <c r="C1304" t="s">
        <v>2401</v>
      </c>
      <c r="D1304" t="s">
        <v>2658</v>
      </c>
      <c r="E1304" s="24">
        <v>37998</v>
      </c>
      <c r="F1304">
        <v>1</v>
      </c>
      <c r="G1304">
        <v>1</v>
      </c>
      <c r="H1304" t="s">
        <v>4399</v>
      </c>
      <c r="I1304">
        <v>1</v>
      </c>
    </row>
    <row r="1305" spans="2:9" x14ac:dyDescent="0.3">
      <c r="B1305" t="s">
        <v>1071</v>
      </c>
      <c r="C1305" t="s">
        <v>2402</v>
      </c>
      <c r="D1305" t="s">
        <v>2658</v>
      </c>
      <c r="E1305" s="24">
        <v>36369</v>
      </c>
      <c r="F1305">
        <v>1</v>
      </c>
      <c r="G1305">
        <v>1</v>
      </c>
      <c r="H1305" t="s">
        <v>4400</v>
      </c>
      <c r="I1305">
        <v>1</v>
      </c>
    </row>
    <row r="1306" spans="2:9" x14ac:dyDescent="0.3">
      <c r="B1306" t="s">
        <v>4401</v>
      </c>
      <c r="C1306" t="s">
        <v>4402</v>
      </c>
      <c r="D1306" t="s">
        <v>2658</v>
      </c>
      <c r="E1306" s="24">
        <v>40773</v>
      </c>
      <c r="F1306">
        <v>2</v>
      </c>
      <c r="G1306">
        <v>1</v>
      </c>
      <c r="H1306" t="s">
        <v>4403</v>
      </c>
      <c r="I1306">
        <v>2</v>
      </c>
    </row>
    <row r="1307" spans="2:9" x14ac:dyDescent="0.3">
      <c r="B1307" t="s">
        <v>4404</v>
      </c>
      <c r="C1307" t="s">
        <v>4405</v>
      </c>
      <c r="D1307" t="s">
        <v>2658</v>
      </c>
      <c r="E1307" s="24">
        <v>38692</v>
      </c>
      <c r="F1307">
        <v>10</v>
      </c>
      <c r="G1307">
        <v>1</v>
      </c>
      <c r="H1307" t="s">
        <v>4406</v>
      </c>
      <c r="I1307">
        <v>10</v>
      </c>
    </row>
    <row r="1308" spans="2:9" x14ac:dyDescent="0.3">
      <c r="B1308" t="s">
        <v>1072</v>
      </c>
      <c r="C1308" t="s">
        <v>2403</v>
      </c>
      <c r="D1308" t="s">
        <v>2658</v>
      </c>
      <c r="E1308" s="24">
        <v>34878</v>
      </c>
      <c r="F1308">
        <v>10</v>
      </c>
      <c r="G1308">
        <v>1</v>
      </c>
      <c r="H1308" t="s">
        <v>4407</v>
      </c>
      <c r="I1308">
        <v>10</v>
      </c>
    </row>
    <row r="1309" spans="2:9" x14ac:dyDescent="0.3">
      <c r="B1309" t="s">
        <v>93</v>
      </c>
      <c r="C1309" t="s">
        <v>2404</v>
      </c>
      <c r="D1309" t="s">
        <v>2658</v>
      </c>
      <c r="E1309" s="24">
        <v>36137</v>
      </c>
      <c r="F1309">
        <v>1</v>
      </c>
      <c r="G1309">
        <v>1</v>
      </c>
      <c r="H1309" t="s">
        <v>4408</v>
      </c>
      <c r="I1309">
        <v>1</v>
      </c>
    </row>
    <row r="1310" spans="2:9" x14ac:dyDescent="0.3">
      <c r="B1310" t="s">
        <v>4409</v>
      </c>
      <c r="C1310" t="s">
        <v>4410</v>
      </c>
      <c r="D1310" t="s">
        <v>2658</v>
      </c>
      <c r="E1310" s="24">
        <v>42594</v>
      </c>
      <c r="F1310">
        <v>10</v>
      </c>
      <c r="G1310">
        <v>1</v>
      </c>
      <c r="H1310" t="s">
        <v>4411</v>
      </c>
      <c r="I1310">
        <v>10</v>
      </c>
    </row>
    <row r="1311" spans="2:9" x14ac:dyDescent="0.3">
      <c r="B1311" t="s">
        <v>1073</v>
      </c>
      <c r="C1311" t="s">
        <v>2405</v>
      </c>
      <c r="D1311" t="s">
        <v>2658</v>
      </c>
      <c r="E1311" s="24">
        <v>39281</v>
      </c>
      <c r="F1311">
        <v>1</v>
      </c>
      <c r="G1311">
        <v>1</v>
      </c>
      <c r="H1311" t="s">
        <v>4412</v>
      </c>
      <c r="I1311">
        <v>1</v>
      </c>
    </row>
    <row r="1312" spans="2:9" x14ac:dyDescent="0.3">
      <c r="B1312" t="s">
        <v>4413</v>
      </c>
      <c r="C1312" t="s">
        <v>4414</v>
      </c>
      <c r="D1312" t="s">
        <v>2658</v>
      </c>
      <c r="E1312" s="24">
        <v>42745</v>
      </c>
      <c r="F1312">
        <v>1</v>
      </c>
      <c r="G1312">
        <v>1</v>
      </c>
      <c r="H1312" t="s">
        <v>4415</v>
      </c>
      <c r="I1312">
        <v>1</v>
      </c>
    </row>
    <row r="1313" spans="2:9" x14ac:dyDescent="0.3">
      <c r="B1313" t="s">
        <v>1074</v>
      </c>
      <c r="C1313" t="s">
        <v>2406</v>
      </c>
      <c r="D1313" t="s">
        <v>2686</v>
      </c>
      <c r="E1313" s="24">
        <v>41059</v>
      </c>
      <c r="F1313">
        <v>10</v>
      </c>
      <c r="G1313">
        <v>1</v>
      </c>
      <c r="H1313" t="s">
        <v>4416</v>
      </c>
      <c r="I1313">
        <v>10</v>
      </c>
    </row>
    <row r="1314" spans="2:9" x14ac:dyDescent="0.3">
      <c r="B1314" t="s">
        <v>1075</v>
      </c>
      <c r="C1314" t="s">
        <v>2407</v>
      </c>
      <c r="D1314" t="s">
        <v>2658</v>
      </c>
      <c r="E1314" s="24">
        <v>39071</v>
      </c>
      <c r="F1314">
        <v>10</v>
      </c>
      <c r="G1314">
        <v>1</v>
      </c>
      <c r="H1314" t="s">
        <v>4417</v>
      </c>
      <c r="I1314">
        <v>10</v>
      </c>
    </row>
    <row r="1315" spans="2:9" x14ac:dyDescent="0.3">
      <c r="B1315" t="s">
        <v>4418</v>
      </c>
      <c r="C1315" t="s">
        <v>4419</v>
      </c>
      <c r="D1315" t="s">
        <v>2658</v>
      </c>
      <c r="E1315" s="24">
        <v>35655</v>
      </c>
      <c r="F1315">
        <v>10</v>
      </c>
      <c r="G1315">
        <v>1</v>
      </c>
      <c r="H1315" t="s">
        <v>4420</v>
      </c>
      <c r="I1315">
        <v>10</v>
      </c>
    </row>
    <row r="1316" spans="2:9" x14ac:dyDescent="0.3">
      <c r="B1316" t="s">
        <v>1076</v>
      </c>
      <c r="C1316" t="s">
        <v>2408</v>
      </c>
      <c r="D1316" t="s">
        <v>2658</v>
      </c>
      <c r="E1316" s="24">
        <v>35074</v>
      </c>
      <c r="F1316">
        <v>10</v>
      </c>
      <c r="G1316">
        <v>1</v>
      </c>
      <c r="H1316" t="s">
        <v>4421</v>
      </c>
      <c r="I1316">
        <v>10</v>
      </c>
    </row>
    <row r="1317" spans="2:9" x14ac:dyDescent="0.3">
      <c r="B1317" t="s">
        <v>115</v>
      </c>
      <c r="C1317" t="s">
        <v>2409</v>
      </c>
      <c r="D1317" t="s">
        <v>2658</v>
      </c>
      <c r="E1317" s="24">
        <v>39595</v>
      </c>
      <c r="F1317">
        <v>3</v>
      </c>
      <c r="G1317">
        <v>1</v>
      </c>
      <c r="H1317" t="s">
        <v>4422</v>
      </c>
      <c r="I1317">
        <v>3</v>
      </c>
    </row>
    <row r="1318" spans="2:9" x14ac:dyDescent="0.3">
      <c r="B1318" t="s">
        <v>1077</v>
      </c>
      <c r="C1318" t="s">
        <v>2410</v>
      </c>
      <c r="D1318" t="s">
        <v>2658</v>
      </c>
      <c r="E1318" s="24">
        <v>38559</v>
      </c>
      <c r="F1318">
        <v>10</v>
      </c>
      <c r="G1318">
        <v>1</v>
      </c>
      <c r="H1318" t="s">
        <v>4423</v>
      </c>
      <c r="I1318">
        <v>10</v>
      </c>
    </row>
    <row r="1319" spans="2:9" x14ac:dyDescent="0.3">
      <c r="B1319" t="s">
        <v>1078</v>
      </c>
      <c r="C1319" t="s">
        <v>2411</v>
      </c>
      <c r="D1319" t="s">
        <v>2686</v>
      </c>
      <c r="E1319" s="24">
        <v>36516</v>
      </c>
      <c r="F1319">
        <v>2</v>
      </c>
      <c r="G1319">
        <v>1</v>
      </c>
      <c r="H1319" t="s">
        <v>4424</v>
      </c>
      <c r="I1319">
        <v>2</v>
      </c>
    </row>
    <row r="1320" spans="2:9" x14ac:dyDescent="0.3">
      <c r="B1320" t="s">
        <v>1079</v>
      </c>
      <c r="C1320" t="s">
        <v>2412</v>
      </c>
      <c r="D1320" t="s">
        <v>2658</v>
      </c>
      <c r="E1320" s="24">
        <v>40555</v>
      </c>
      <c r="F1320">
        <v>1</v>
      </c>
      <c r="G1320">
        <v>1</v>
      </c>
      <c r="H1320" t="s">
        <v>4425</v>
      </c>
      <c r="I1320">
        <v>1</v>
      </c>
    </row>
    <row r="1321" spans="2:9" x14ac:dyDescent="0.3">
      <c r="B1321" t="s">
        <v>4426</v>
      </c>
      <c r="C1321" t="s">
        <v>4427</v>
      </c>
      <c r="D1321" t="s">
        <v>2658</v>
      </c>
      <c r="E1321" s="24">
        <v>40112</v>
      </c>
      <c r="F1321">
        <v>10</v>
      </c>
      <c r="G1321">
        <v>1</v>
      </c>
      <c r="H1321" t="s">
        <v>4428</v>
      </c>
      <c r="I1321">
        <v>10</v>
      </c>
    </row>
    <row r="1322" spans="2:9" x14ac:dyDescent="0.3">
      <c r="B1322" t="s">
        <v>1335</v>
      </c>
      <c r="C1322" t="s">
        <v>2413</v>
      </c>
      <c r="D1322" t="s">
        <v>2658</v>
      </c>
      <c r="E1322" s="24">
        <v>41640</v>
      </c>
      <c r="F1322">
        <v>10</v>
      </c>
      <c r="G1322">
        <v>1</v>
      </c>
      <c r="H1322" t="s">
        <v>4429</v>
      </c>
      <c r="I1322">
        <v>10</v>
      </c>
    </row>
    <row r="1323" spans="2:9" x14ac:dyDescent="0.3">
      <c r="B1323" t="s">
        <v>1080</v>
      </c>
      <c r="C1323" t="s">
        <v>2414</v>
      </c>
      <c r="D1323" t="s">
        <v>2658</v>
      </c>
      <c r="E1323" s="24">
        <v>35053</v>
      </c>
      <c r="F1323">
        <v>10</v>
      </c>
      <c r="G1323">
        <v>1</v>
      </c>
      <c r="H1323" t="s">
        <v>4430</v>
      </c>
      <c r="I1323">
        <v>10</v>
      </c>
    </row>
    <row r="1324" spans="2:9" x14ac:dyDescent="0.3">
      <c r="B1324" t="s">
        <v>1081</v>
      </c>
      <c r="C1324" t="s">
        <v>2415</v>
      </c>
      <c r="D1324" t="s">
        <v>2658</v>
      </c>
      <c r="E1324" s="24">
        <v>37851</v>
      </c>
      <c r="F1324">
        <v>10</v>
      </c>
      <c r="G1324">
        <v>1</v>
      </c>
      <c r="H1324" t="s">
        <v>4431</v>
      </c>
      <c r="I1324">
        <v>10</v>
      </c>
    </row>
    <row r="1325" spans="2:9" x14ac:dyDescent="0.3">
      <c r="B1325" t="s">
        <v>1082</v>
      </c>
      <c r="C1325" t="s">
        <v>2416</v>
      </c>
      <c r="D1325" t="s">
        <v>2686</v>
      </c>
      <c r="E1325" s="24">
        <v>36271</v>
      </c>
      <c r="F1325">
        <v>10</v>
      </c>
      <c r="G1325">
        <v>1</v>
      </c>
      <c r="H1325" t="s">
        <v>4432</v>
      </c>
      <c r="I1325">
        <v>10</v>
      </c>
    </row>
    <row r="1326" spans="2:9" x14ac:dyDescent="0.3">
      <c r="B1326" t="s">
        <v>1083</v>
      </c>
      <c r="C1326" t="s">
        <v>2417</v>
      </c>
      <c r="D1326" t="s">
        <v>2658</v>
      </c>
      <c r="E1326" s="24">
        <v>39210</v>
      </c>
      <c r="F1326">
        <v>10</v>
      </c>
      <c r="G1326">
        <v>1</v>
      </c>
      <c r="H1326" t="s">
        <v>4433</v>
      </c>
      <c r="I1326">
        <v>10</v>
      </c>
    </row>
    <row r="1327" spans="2:9" x14ac:dyDescent="0.3">
      <c r="B1327" t="s">
        <v>4434</v>
      </c>
      <c r="C1327" t="s">
        <v>4435</v>
      </c>
      <c r="D1327" t="s">
        <v>2658</v>
      </c>
      <c r="E1327" s="24">
        <v>39322</v>
      </c>
      <c r="F1327">
        <v>10</v>
      </c>
      <c r="G1327">
        <v>1</v>
      </c>
      <c r="H1327" t="s">
        <v>4436</v>
      </c>
      <c r="I1327">
        <v>10</v>
      </c>
    </row>
    <row r="1328" spans="2:9" x14ac:dyDescent="0.3">
      <c r="B1328" t="s">
        <v>109</v>
      </c>
      <c r="C1328" t="s">
        <v>2418</v>
      </c>
      <c r="D1328" t="s">
        <v>2658</v>
      </c>
      <c r="E1328" s="24">
        <v>40802</v>
      </c>
      <c r="F1328">
        <v>10</v>
      </c>
      <c r="G1328">
        <v>1</v>
      </c>
      <c r="H1328" t="s">
        <v>4437</v>
      </c>
      <c r="I1328">
        <v>10</v>
      </c>
    </row>
    <row r="1329" spans="2:9" x14ac:dyDescent="0.3">
      <c r="B1329" t="s">
        <v>1084</v>
      </c>
      <c r="C1329" t="s">
        <v>2419</v>
      </c>
      <c r="D1329" t="s">
        <v>2658</v>
      </c>
      <c r="E1329" s="24">
        <v>35410</v>
      </c>
      <c r="F1329">
        <v>10</v>
      </c>
      <c r="G1329">
        <v>1</v>
      </c>
      <c r="H1329" t="s">
        <v>4438</v>
      </c>
      <c r="I1329">
        <v>10</v>
      </c>
    </row>
    <row r="1330" spans="2:9" x14ac:dyDescent="0.3">
      <c r="B1330" t="s">
        <v>1085</v>
      </c>
      <c r="C1330" t="s">
        <v>2420</v>
      </c>
      <c r="D1330" t="s">
        <v>2658</v>
      </c>
      <c r="E1330" s="24">
        <v>38509</v>
      </c>
      <c r="F1330">
        <v>10</v>
      </c>
      <c r="G1330">
        <v>1</v>
      </c>
      <c r="H1330" t="s">
        <v>4439</v>
      </c>
      <c r="I1330">
        <v>10</v>
      </c>
    </row>
    <row r="1331" spans="2:9" x14ac:dyDescent="0.3">
      <c r="B1331" t="s">
        <v>4440</v>
      </c>
      <c r="C1331" t="s">
        <v>4441</v>
      </c>
      <c r="D1331" t="s">
        <v>2658</v>
      </c>
      <c r="E1331" s="24">
        <v>42576</v>
      </c>
      <c r="F1331">
        <v>1</v>
      </c>
      <c r="G1331">
        <v>1</v>
      </c>
      <c r="H1331" t="s">
        <v>4442</v>
      </c>
      <c r="I1331">
        <v>1</v>
      </c>
    </row>
    <row r="1332" spans="2:9" x14ac:dyDescent="0.3">
      <c r="B1332" t="s">
        <v>94</v>
      </c>
      <c r="C1332" t="s">
        <v>4443</v>
      </c>
      <c r="D1332" t="s">
        <v>2658</v>
      </c>
      <c r="E1332" s="24">
        <v>36558</v>
      </c>
      <c r="F1332">
        <v>10</v>
      </c>
      <c r="G1332">
        <v>1</v>
      </c>
      <c r="H1332" t="s">
        <v>4444</v>
      </c>
      <c r="I1332">
        <v>10</v>
      </c>
    </row>
    <row r="1333" spans="2:9" x14ac:dyDescent="0.3">
      <c r="B1333" t="s">
        <v>1086</v>
      </c>
      <c r="C1333" t="s">
        <v>2421</v>
      </c>
      <c r="D1333" t="s">
        <v>2658</v>
      </c>
      <c r="E1333" s="24">
        <v>34955</v>
      </c>
      <c r="F1333">
        <v>10</v>
      </c>
      <c r="G1333">
        <v>1</v>
      </c>
      <c r="H1333" t="s">
        <v>4445</v>
      </c>
      <c r="I1333">
        <v>10</v>
      </c>
    </row>
    <row r="1334" spans="2:9" x14ac:dyDescent="0.3">
      <c r="B1334" t="s">
        <v>1087</v>
      </c>
      <c r="C1334" t="s">
        <v>2422</v>
      </c>
      <c r="D1334" t="s">
        <v>2658</v>
      </c>
      <c r="E1334" s="24">
        <v>37712</v>
      </c>
      <c r="F1334">
        <v>10</v>
      </c>
      <c r="G1334">
        <v>1</v>
      </c>
      <c r="H1334" t="s">
        <v>4446</v>
      </c>
      <c r="I1334">
        <v>10</v>
      </c>
    </row>
    <row r="1335" spans="2:9" x14ac:dyDescent="0.3">
      <c r="B1335" t="s">
        <v>1088</v>
      </c>
      <c r="C1335" t="s">
        <v>2423</v>
      </c>
      <c r="D1335" t="s">
        <v>2658</v>
      </c>
      <c r="E1335" s="24">
        <v>40583</v>
      </c>
      <c r="F1335">
        <v>10</v>
      </c>
      <c r="G1335">
        <v>1</v>
      </c>
      <c r="H1335" t="s">
        <v>4447</v>
      </c>
      <c r="I1335">
        <v>10</v>
      </c>
    </row>
    <row r="1336" spans="2:9" x14ac:dyDescent="0.3">
      <c r="B1336" t="s">
        <v>1089</v>
      </c>
      <c r="C1336" t="s">
        <v>2424</v>
      </c>
      <c r="D1336" t="s">
        <v>2658</v>
      </c>
      <c r="E1336" s="24">
        <v>37753</v>
      </c>
      <c r="F1336">
        <v>1</v>
      </c>
      <c r="G1336">
        <v>1</v>
      </c>
      <c r="H1336" t="s">
        <v>4448</v>
      </c>
      <c r="I1336">
        <v>1</v>
      </c>
    </row>
    <row r="1337" spans="2:9" x14ac:dyDescent="0.3">
      <c r="B1337" t="s">
        <v>1090</v>
      </c>
      <c r="C1337" t="s">
        <v>2425</v>
      </c>
      <c r="D1337" t="s">
        <v>2658</v>
      </c>
      <c r="E1337" s="24">
        <v>38750</v>
      </c>
      <c r="F1337">
        <v>2</v>
      </c>
      <c r="G1337">
        <v>1</v>
      </c>
      <c r="H1337" t="s">
        <v>4449</v>
      </c>
      <c r="I1337">
        <v>2</v>
      </c>
    </row>
    <row r="1338" spans="2:9" x14ac:dyDescent="0.3">
      <c r="B1338" t="s">
        <v>1091</v>
      </c>
      <c r="C1338" t="s">
        <v>2426</v>
      </c>
      <c r="D1338" t="s">
        <v>2658</v>
      </c>
      <c r="E1338" s="24">
        <v>35039</v>
      </c>
      <c r="F1338">
        <v>10</v>
      </c>
      <c r="G1338">
        <v>1</v>
      </c>
      <c r="H1338" t="s">
        <v>4450</v>
      </c>
      <c r="I1338">
        <v>10</v>
      </c>
    </row>
    <row r="1339" spans="2:9" x14ac:dyDescent="0.3">
      <c r="B1339" t="s">
        <v>1092</v>
      </c>
      <c r="C1339" t="s">
        <v>2427</v>
      </c>
      <c r="D1339" t="s">
        <v>2658</v>
      </c>
      <c r="E1339" s="24">
        <v>36868</v>
      </c>
      <c r="F1339">
        <v>2</v>
      </c>
      <c r="G1339">
        <v>1</v>
      </c>
      <c r="H1339" t="s">
        <v>4451</v>
      </c>
      <c r="I1339">
        <v>2</v>
      </c>
    </row>
    <row r="1340" spans="2:9" x14ac:dyDescent="0.3">
      <c r="B1340" t="s">
        <v>1093</v>
      </c>
      <c r="C1340" t="s">
        <v>2428</v>
      </c>
      <c r="D1340" t="s">
        <v>2658</v>
      </c>
      <c r="E1340" s="24">
        <v>37869</v>
      </c>
      <c r="F1340">
        <v>10</v>
      </c>
      <c r="G1340">
        <v>1</v>
      </c>
      <c r="H1340" t="s">
        <v>4452</v>
      </c>
      <c r="I1340">
        <v>10</v>
      </c>
    </row>
    <row r="1341" spans="2:9" x14ac:dyDescent="0.3">
      <c r="B1341" t="s">
        <v>1094</v>
      </c>
      <c r="C1341" t="s">
        <v>2429</v>
      </c>
      <c r="D1341" t="s">
        <v>2658</v>
      </c>
      <c r="E1341" s="24">
        <v>38546</v>
      </c>
      <c r="F1341">
        <v>2</v>
      </c>
      <c r="G1341">
        <v>1</v>
      </c>
      <c r="H1341" t="s">
        <v>4453</v>
      </c>
      <c r="I1341">
        <v>2</v>
      </c>
    </row>
    <row r="1342" spans="2:9" x14ac:dyDescent="0.3">
      <c r="B1342" t="s">
        <v>1095</v>
      </c>
      <c r="C1342" t="s">
        <v>2430</v>
      </c>
      <c r="D1342" t="s">
        <v>2658</v>
      </c>
      <c r="E1342" s="24">
        <v>34844</v>
      </c>
      <c r="F1342">
        <v>2</v>
      </c>
      <c r="G1342">
        <v>1</v>
      </c>
      <c r="H1342" t="s">
        <v>4454</v>
      </c>
      <c r="I1342">
        <v>2</v>
      </c>
    </row>
    <row r="1343" spans="2:9" x14ac:dyDescent="0.3">
      <c r="B1343" t="s">
        <v>1096</v>
      </c>
      <c r="C1343" t="s">
        <v>2431</v>
      </c>
      <c r="D1343" t="s">
        <v>2658</v>
      </c>
      <c r="E1343" s="24">
        <v>39497</v>
      </c>
      <c r="F1343">
        <v>10</v>
      </c>
      <c r="G1343">
        <v>1</v>
      </c>
      <c r="H1343" t="s">
        <v>4455</v>
      </c>
      <c r="I1343">
        <v>10</v>
      </c>
    </row>
    <row r="1344" spans="2:9" x14ac:dyDescent="0.3">
      <c r="B1344" t="s">
        <v>1097</v>
      </c>
      <c r="C1344" t="s">
        <v>2432</v>
      </c>
      <c r="D1344" t="s">
        <v>2658</v>
      </c>
      <c r="E1344" s="24">
        <v>40522</v>
      </c>
      <c r="F1344">
        <v>10</v>
      </c>
      <c r="G1344">
        <v>1</v>
      </c>
      <c r="H1344" t="s">
        <v>4456</v>
      </c>
      <c r="I1344">
        <v>10</v>
      </c>
    </row>
    <row r="1345" spans="2:9" x14ac:dyDescent="0.3">
      <c r="B1345" t="s">
        <v>1098</v>
      </c>
      <c r="C1345" t="s">
        <v>2433</v>
      </c>
      <c r="D1345" t="s">
        <v>2658</v>
      </c>
      <c r="E1345" s="24">
        <v>40571</v>
      </c>
      <c r="F1345">
        <v>10</v>
      </c>
      <c r="G1345">
        <v>1</v>
      </c>
      <c r="H1345" t="s">
        <v>4457</v>
      </c>
      <c r="I1345">
        <v>10</v>
      </c>
    </row>
    <row r="1346" spans="2:9" x14ac:dyDescent="0.3">
      <c r="B1346" t="s">
        <v>1099</v>
      </c>
      <c r="C1346" t="s">
        <v>2434</v>
      </c>
      <c r="D1346" t="s">
        <v>2658</v>
      </c>
      <c r="E1346" s="24">
        <v>41205</v>
      </c>
      <c r="F1346">
        <v>5</v>
      </c>
      <c r="G1346">
        <v>1</v>
      </c>
      <c r="H1346" t="s">
        <v>4458</v>
      </c>
      <c r="I1346">
        <v>5</v>
      </c>
    </row>
    <row r="1347" spans="2:9" x14ac:dyDescent="0.3">
      <c r="B1347" t="s">
        <v>1100</v>
      </c>
      <c r="C1347" t="s">
        <v>2435</v>
      </c>
      <c r="D1347" t="s">
        <v>2658</v>
      </c>
      <c r="E1347" s="24">
        <v>40331</v>
      </c>
      <c r="F1347">
        <v>1</v>
      </c>
      <c r="G1347">
        <v>1</v>
      </c>
      <c r="H1347" t="s">
        <v>4459</v>
      </c>
      <c r="I1347">
        <v>1</v>
      </c>
    </row>
    <row r="1348" spans="2:9" x14ac:dyDescent="0.3">
      <c r="B1348" t="s">
        <v>1101</v>
      </c>
      <c r="C1348" t="s">
        <v>2436</v>
      </c>
      <c r="D1348" t="s">
        <v>2658</v>
      </c>
      <c r="E1348" s="24">
        <v>35802</v>
      </c>
      <c r="F1348">
        <v>10</v>
      </c>
      <c r="G1348">
        <v>1</v>
      </c>
      <c r="H1348" t="s">
        <v>4460</v>
      </c>
      <c r="I1348">
        <v>10</v>
      </c>
    </row>
    <row r="1349" spans="2:9" x14ac:dyDescent="0.3">
      <c r="B1349" t="s">
        <v>1102</v>
      </c>
      <c r="C1349" t="s">
        <v>2437</v>
      </c>
      <c r="D1349" t="s">
        <v>2658</v>
      </c>
      <c r="E1349" s="24">
        <v>35263</v>
      </c>
      <c r="F1349">
        <v>10</v>
      </c>
      <c r="G1349">
        <v>1</v>
      </c>
      <c r="H1349" t="s">
        <v>4461</v>
      </c>
      <c r="I1349">
        <v>10</v>
      </c>
    </row>
    <row r="1350" spans="2:9" x14ac:dyDescent="0.3">
      <c r="B1350" t="s">
        <v>1103</v>
      </c>
      <c r="C1350" t="s">
        <v>2438</v>
      </c>
      <c r="D1350" t="s">
        <v>2658</v>
      </c>
      <c r="E1350" s="24">
        <v>36684</v>
      </c>
      <c r="F1350">
        <v>1</v>
      </c>
      <c r="G1350">
        <v>1</v>
      </c>
      <c r="H1350" t="s">
        <v>4462</v>
      </c>
      <c r="I1350">
        <v>1</v>
      </c>
    </row>
    <row r="1351" spans="2:9" x14ac:dyDescent="0.3">
      <c r="B1351" t="s">
        <v>1104</v>
      </c>
      <c r="C1351" t="s">
        <v>2439</v>
      </c>
      <c r="D1351" t="s">
        <v>2658</v>
      </c>
      <c r="E1351" s="24">
        <v>38624</v>
      </c>
      <c r="F1351">
        <v>10</v>
      </c>
      <c r="G1351">
        <v>1</v>
      </c>
      <c r="H1351" t="s">
        <v>4463</v>
      </c>
      <c r="I1351">
        <v>10</v>
      </c>
    </row>
    <row r="1352" spans="2:9" x14ac:dyDescent="0.3">
      <c r="B1352" t="s">
        <v>1105</v>
      </c>
      <c r="C1352" t="s">
        <v>2440</v>
      </c>
      <c r="D1352" t="s">
        <v>2658</v>
      </c>
      <c r="E1352" s="24">
        <v>38778</v>
      </c>
      <c r="F1352">
        <v>1</v>
      </c>
      <c r="G1352">
        <v>1</v>
      </c>
      <c r="H1352" t="s">
        <v>4464</v>
      </c>
      <c r="I1352">
        <v>1</v>
      </c>
    </row>
    <row r="1353" spans="2:9" x14ac:dyDescent="0.3">
      <c r="B1353" t="s">
        <v>1106</v>
      </c>
      <c r="C1353" t="s">
        <v>4465</v>
      </c>
      <c r="D1353" t="s">
        <v>2658</v>
      </c>
      <c r="E1353" s="24">
        <v>34738</v>
      </c>
      <c r="F1353">
        <v>1</v>
      </c>
      <c r="G1353">
        <v>1</v>
      </c>
      <c r="H1353" t="s">
        <v>4466</v>
      </c>
      <c r="I1353">
        <v>1</v>
      </c>
    </row>
    <row r="1354" spans="2:9" x14ac:dyDescent="0.3">
      <c r="B1354" t="s">
        <v>1107</v>
      </c>
      <c r="C1354" t="s">
        <v>2441</v>
      </c>
      <c r="D1354" t="s">
        <v>2658</v>
      </c>
      <c r="E1354" s="24">
        <v>40130</v>
      </c>
      <c r="F1354">
        <v>2</v>
      </c>
      <c r="G1354">
        <v>1</v>
      </c>
      <c r="H1354" t="s">
        <v>4467</v>
      </c>
      <c r="I1354">
        <v>2</v>
      </c>
    </row>
    <row r="1355" spans="2:9" x14ac:dyDescent="0.3">
      <c r="B1355" t="s">
        <v>27</v>
      </c>
      <c r="C1355" t="s">
        <v>2442</v>
      </c>
      <c r="D1355" t="s">
        <v>2658</v>
      </c>
      <c r="E1355" s="24">
        <v>38831</v>
      </c>
      <c r="F1355">
        <v>5</v>
      </c>
      <c r="G1355">
        <v>1</v>
      </c>
      <c r="H1355" t="s">
        <v>4468</v>
      </c>
      <c r="I1355">
        <v>5</v>
      </c>
    </row>
    <row r="1356" spans="2:9" x14ac:dyDescent="0.3">
      <c r="B1356" t="s">
        <v>1108</v>
      </c>
      <c r="C1356" t="s">
        <v>2443</v>
      </c>
      <c r="D1356" t="s">
        <v>2658</v>
      </c>
      <c r="E1356" s="24">
        <v>41908</v>
      </c>
      <c r="F1356">
        <v>10</v>
      </c>
      <c r="G1356">
        <v>1</v>
      </c>
      <c r="H1356" t="s">
        <v>4469</v>
      </c>
      <c r="I1356">
        <v>10</v>
      </c>
    </row>
    <row r="1357" spans="2:9" x14ac:dyDescent="0.3">
      <c r="B1357" t="s">
        <v>1109</v>
      </c>
      <c r="C1357" t="s">
        <v>2444</v>
      </c>
      <c r="D1357" t="s">
        <v>2658</v>
      </c>
      <c r="E1357" s="24">
        <v>38176</v>
      </c>
      <c r="F1357">
        <v>1</v>
      </c>
      <c r="G1357">
        <v>1</v>
      </c>
      <c r="H1357" t="s">
        <v>4470</v>
      </c>
      <c r="I1357">
        <v>1</v>
      </c>
    </row>
    <row r="1358" spans="2:9" x14ac:dyDescent="0.3">
      <c r="B1358" t="s">
        <v>1110</v>
      </c>
      <c r="C1358" t="s">
        <v>2445</v>
      </c>
      <c r="D1358" t="s">
        <v>2658</v>
      </c>
      <c r="E1358" s="24">
        <v>36446</v>
      </c>
      <c r="F1358">
        <v>10</v>
      </c>
      <c r="G1358">
        <v>1</v>
      </c>
      <c r="H1358" t="s">
        <v>4471</v>
      </c>
      <c r="I1358">
        <v>10</v>
      </c>
    </row>
    <row r="1359" spans="2:9" x14ac:dyDescent="0.3">
      <c r="B1359" t="s">
        <v>116</v>
      </c>
      <c r="C1359" t="s">
        <v>2446</v>
      </c>
      <c r="D1359" t="s">
        <v>2658</v>
      </c>
      <c r="E1359" s="24">
        <v>38401</v>
      </c>
      <c r="F1359">
        <v>1</v>
      </c>
      <c r="G1359">
        <v>1</v>
      </c>
      <c r="H1359" t="s">
        <v>4472</v>
      </c>
      <c r="I1359">
        <v>1</v>
      </c>
    </row>
    <row r="1360" spans="2:9" x14ac:dyDescent="0.3">
      <c r="B1360" t="s">
        <v>1111</v>
      </c>
      <c r="C1360" t="s">
        <v>2447</v>
      </c>
      <c r="D1360" t="s">
        <v>2658</v>
      </c>
      <c r="E1360" s="24">
        <v>34899</v>
      </c>
      <c r="F1360">
        <v>2</v>
      </c>
      <c r="G1360">
        <v>1</v>
      </c>
      <c r="H1360" t="s">
        <v>4473</v>
      </c>
      <c r="I1360">
        <v>2</v>
      </c>
    </row>
    <row r="1361" spans="2:9" x14ac:dyDescent="0.3">
      <c r="B1361" t="s">
        <v>1112</v>
      </c>
      <c r="C1361" t="s">
        <v>2448</v>
      </c>
      <c r="D1361" t="s">
        <v>2658</v>
      </c>
      <c r="E1361" s="24">
        <v>39373</v>
      </c>
      <c r="F1361">
        <v>10</v>
      </c>
      <c r="G1361">
        <v>1</v>
      </c>
      <c r="H1361" t="s">
        <v>4474</v>
      </c>
      <c r="I1361">
        <v>10</v>
      </c>
    </row>
    <row r="1362" spans="2:9" x14ac:dyDescent="0.3">
      <c r="B1362" t="s">
        <v>1113</v>
      </c>
      <c r="C1362" t="s">
        <v>2449</v>
      </c>
      <c r="D1362" t="s">
        <v>2658</v>
      </c>
      <c r="E1362" s="24">
        <v>39155</v>
      </c>
      <c r="F1362">
        <v>5</v>
      </c>
      <c r="G1362">
        <v>1</v>
      </c>
      <c r="H1362" t="s">
        <v>4475</v>
      </c>
      <c r="I1362">
        <v>5</v>
      </c>
    </row>
    <row r="1363" spans="2:9" x14ac:dyDescent="0.3">
      <c r="B1363" t="s">
        <v>1114</v>
      </c>
      <c r="C1363" t="s">
        <v>2450</v>
      </c>
      <c r="D1363" t="s">
        <v>2658</v>
      </c>
      <c r="E1363" s="24">
        <v>39595</v>
      </c>
      <c r="F1363">
        <v>10</v>
      </c>
      <c r="G1363">
        <v>1</v>
      </c>
      <c r="H1363" t="s">
        <v>4476</v>
      </c>
      <c r="I1363">
        <v>10</v>
      </c>
    </row>
    <row r="1364" spans="2:9" x14ac:dyDescent="0.3">
      <c r="B1364" t="s">
        <v>1115</v>
      </c>
      <c r="C1364" t="s">
        <v>2451</v>
      </c>
      <c r="D1364" t="s">
        <v>2686</v>
      </c>
      <c r="E1364" s="24">
        <v>39079</v>
      </c>
      <c r="F1364">
        <v>10</v>
      </c>
      <c r="G1364">
        <v>1</v>
      </c>
      <c r="H1364" t="s">
        <v>4477</v>
      </c>
      <c r="I1364">
        <v>10</v>
      </c>
    </row>
    <row r="1365" spans="2:9" x14ac:dyDescent="0.3">
      <c r="B1365" t="s">
        <v>1116</v>
      </c>
      <c r="C1365" t="s">
        <v>4478</v>
      </c>
      <c r="D1365" t="s">
        <v>2658</v>
      </c>
      <c r="E1365" s="24">
        <v>40550</v>
      </c>
      <c r="F1365">
        <v>5</v>
      </c>
      <c r="G1365">
        <v>1</v>
      </c>
      <c r="H1365" t="s">
        <v>4479</v>
      </c>
      <c r="I1365">
        <v>5</v>
      </c>
    </row>
    <row r="1366" spans="2:9" x14ac:dyDescent="0.3">
      <c r="B1366" t="s">
        <v>1117</v>
      </c>
      <c r="C1366" t="s">
        <v>2452</v>
      </c>
      <c r="D1366" t="s">
        <v>2658</v>
      </c>
      <c r="E1366" s="24">
        <v>37398</v>
      </c>
      <c r="F1366">
        <v>1</v>
      </c>
      <c r="G1366">
        <v>1</v>
      </c>
      <c r="H1366" t="s">
        <v>4480</v>
      </c>
      <c r="I1366">
        <v>1</v>
      </c>
    </row>
    <row r="1367" spans="2:9" x14ac:dyDescent="0.3">
      <c r="B1367" t="s">
        <v>1118</v>
      </c>
      <c r="C1367" t="s">
        <v>2453</v>
      </c>
      <c r="D1367" t="s">
        <v>2658</v>
      </c>
      <c r="E1367" s="24">
        <v>38518</v>
      </c>
      <c r="F1367">
        <v>10</v>
      </c>
      <c r="G1367">
        <v>1</v>
      </c>
      <c r="H1367" t="s">
        <v>4481</v>
      </c>
      <c r="I1367">
        <v>10</v>
      </c>
    </row>
    <row r="1368" spans="2:9" x14ac:dyDescent="0.3">
      <c r="B1368" t="s">
        <v>1119</v>
      </c>
      <c r="C1368" t="s">
        <v>2454</v>
      </c>
      <c r="D1368" t="s">
        <v>2658</v>
      </c>
      <c r="E1368" s="24">
        <v>34829</v>
      </c>
      <c r="F1368">
        <v>10</v>
      </c>
      <c r="G1368">
        <v>1</v>
      </c>
      <c r="H1368" t="s">
        <v>4482</v>
      </c>
      <c r="I1368">
        <v>10</v>
      </c>
    </row>
    <row r="1369" spans="2:9" x14ac:dyDescent="0.3">
      <c r="B1369" t="s">
        <v>1120</v>
      </c>
      <c r="C1369" t="s">
        <v>2455</v>
      </c>
      <c r="D1369" t="s">
        <v>2658</v>
      </c>
      <c r="E1369" s="24">
        <v>39065</v>
      </c>
      <c r="F1369">
        <v>10</v>
      </c>
      <c r="G1369">
        <v>1</v>
      </c>
      <c r="H1369" t="s">
        <v>4483</v>
      </c>
      <c r="I1369">
        <v>10</v>
      </c>
    </row>
    <row r="1370" spans="2:9" x14ac:dyDescent="0.3">
      <c r="B1370" t="s">
        <v>1121</v>
      </c>
      <c r="C1370" t="s">
        <v>2456</v>
      </c>
      <c r="D1370" t="s">
        <v>2658</v>
      </c>
      <c r="E1370" s="24">
        <v>37917</v>
      </c>
      <c r="F1370">
        <v>1</v>
      </c>
      <c r="G1370">
        <v>1</v>
      </c>
      <c r="H1370" t="s">
        <v>4484</v>
      </c>
      <c r="I1370">
        <v>1</v>
      </c>
    </row>
    <row r="1371" spans="2:9" x14ac:dyDescent="0.3">
      <c r="B1371" t="s">
        <v>1122</v>
      </c>
      <c r="C1371" t="s">
        <v>2457</v>
      </c>
      <c r="D1371" t="s">
        <v>2658</v>
      </c>
      <c r="E1371" s="24">
        <v>38644</v>
      </c>
      <c r="F1371">
        <v>2</v>
      </c>
      <c r="G1371">
        <v>1</v>
      </c>
      <c r="H1371" t="s">
        <v>4485</v>
      </c>
      <c r="I1371">
        <v>2</v>
      </c>
    </row>
    <row r="1372" spans="2:9" x14ac:dyDescent="0.3">
      <c r="B1372" t="s">
        <v>1123</v>
      </c>
      <c r="C1372" t="s">
        <v>2458</v>
      </c>
      <c r="D1372" t="s">
        <v>2658</v>
      </c>
      <c r="E1372" s="24">
        <v>41058</v>
      </c>
      <c r="F1372">
        <v>1</v>
      </c>
      <c r="G1372">
        <v>1</v>
      </c>
      <c r="H1372" t="s">
        <v>4486</v>
      </c>
      <c r="I1372">
        <v>1</v>
      </c>
    </row>
    <row r="1373" spans="2:9" x14ac:dyDescent="0.3">
      <c r="B1373" t="s">
        <v>1124</v>
      </c>
      <c r="C1373" t="s">
        <v>2459</v>
      </c>
      <c r="D1373" t="s">
        <v>2658</v>
      </c>
      <c r="E1373" s="24">
        <v>35039</v>
      </c>
      <c r="F1373">
        <v>10</v>
      </c>
      <c r="G1373">
        <v>1</v>
      </c>
      <c r="H1373" t="s">
        <v>4487</v>
      </c>
      <c r="I1373">
        <v>10</v>
      </c>
    </row>
    <row r="1374" spans="2:9" x14ac:dyDescent="0.3">
      <c r="B1374" t="s">
        <v>1125</v>
      </c>
      <c r="C1374" t="s">
        <v>2460</v>
      </c>
      <c r="D1374" t="s">
        <v>2658</v>
      </c>
      <c r="E1374" s="24">
        <v>38846</v>
      </c>
      <c r="F1374">
        <v>10</v>
      </c>
      <c r="G1374">
        <v>1</v>
      </c>
      <c r="H1374" t="s">
        <v>4488</v>
      </c>
      <c r="I1374">
        <v>10</v>
      </c>
    </row>
    <row r="1375" spans="2:9" x14ac:dyDescent="0.3">
      <c r="B1375" t="s">
        <v>1126</v>
      </c>
      <c r="C1375" t="s">
        <v>2461</v>
      </c>
      <c r="D1375" t="s">
        <v>2658</v>
      </c>
      <c r="E1375" s="24">
        <v>40709</v>
      </c>
      <c r="F1375">
        <v>2</v>
      </c>
      <c r="G1375">
        <v>1</v>
      </c>
      <c r="H1375" t="s">
        <v>4489</v>
      </c>
      <c r="I1375">
        <v>2</v>
      </c>
    </row>
    <row r="1376" spans="2:9" x14ac:dyDescent="0.3">
      <c r="B1376" t="s">
        <v>1127</v>
      </c>
      <c r="C1376" t="s">
        <v>2462</v>
      </c>
      <c r="D1376" t="s">
        <v>2658</v>
      </c>
      <c r="E1376" s="24">
        <v>40224</v>
      </c>
      <c r="F1376">
        <v>10</v>
      </c>
      <c r="G1376">
        <v>1</v>
      </c>
      <c r="H1376" t="s">
        <v>4490</v>
      </c>
      <c r="I1376">
        <v>10</v>
      </c>
    </row>
    <row r="1377" spans="2:9" x14ac:dyDescent="0.3">
      <c r="B1377" t="s">
        <v>95</v>
      </c>
      <c r="C1377" t="s">
        <v>2463</v>
      </c>
      <c r="D1377" t="s">
        <v>2658</v>
      </c>
      <c r="E1377" s="24">
        <v>36516</v>
      </c>
      <c r="F1377">
        <v>10</v>
      </c>
      <c r="G1377">
        <v>1</v>
      </c>
      <c r="H1377" t="s">
        <v>4491</v>
      </c>
      <c r="I1377">
        <v>10</v>
      </c>
    </row>
    <row r="1378" spans="2:9" x14ac:dyDescent="0.3">
      <c r="B1378" t="s">
        <v>4492</v>
      </c>
      <c r="C1378" t="s">
        <v>4493</v>
      </c>
      <c r="D1378" t="s">
        <v>2658</v>
      </c>
      <c r="E1378" s="24">
        <v>42227</v>
      </c>
      <c r="F1378">
        <v>10</v>
      </c>
      <c r="G1378">
        <v>1</v>
      </c>
      <c r="H1378" t="s">
        <v>4494</v>
      </c>
      <c r="I1378">
        <v>10</v>
      </c>
    </row>
    <row r="1379" spans="2:9" x14ac:dyDescent="0.3">
      <c r="B1379" t="s">
        <v>1128</v>
      </c>
      <c r="C1379" t="s">
        <v>2464</v>
      </c>
      <c r="D1379" t="s">
        <v>2658</v>
      </c>
      <c r="E1379" s="24">
        <v>34907</v>
      </c>
      <c r="F1379">
        <v>10</v>
      </c>
      <c r="G1379">
        <v>1</v>
      </c>
      <c r="H1379" t="s">
        <v>4495</v>
      </c>
      <c r="I1379">
        <v>10</v>
      </c>
    </row>
    <row r="1380" spans="2:9" x14ac:dyDescent="0.3">
      <c r="B1380" t="s">
        <v>1129</v>
      </c>
      <c r="C1380" t="s">
        <v>2465</v>
      </c>
      <c r="D1380" t="s">
        <v>2658</v>
      </c>
      <c r="E1380" s="24">
        <v>36880</v>
      </c>
      <c r="F1380">
        <v>2</v>
      </c>
      <c r="G1380">
        <v>1</v>
      </c>
      <c r="H1380" t="s">
        <v>4496</v>
      </c>
      <c r="I1380">
        <v>2</v>
      </c>
    </row>
    <row r="1381" spans="2:9" x14ac:dyDescent="0.3">
      <c r="B1381" t="s">
        <v>1130</v>
      </c>
      <c r="C1381" t="s">
        <v>2466</v>
      </c>
      <c r="D1381" t="s">
        <v>2658</v>
      </c>
      <c r="E1381" s="24">
        <v>39321</v>
      </c>
      <c r="F1381">
        <v>1</v>
      </c>
      <c r="G1381">
        <v>1</v>
      </c>
      <c r="H1381" t="s">
        <v>4497</v>
      </c>
      <c r="I1381">
        <v>1</v>
      </c>
    </row>
    <row r="1382" spans="2:9" x14ac:dyDescent="0.3">
      <c r="B1382" t="s">
        <v>1131</v>
      </c>
      <c r="C1382" t="s">
        <v>2467</v>
      </c>
      <c r="D1382" t="s">
        <v>2658</v>
      </c>
      <c r="E1382" s="24">
        <v>38989</v>
      </c>
      <c r="F1382">
        <v>10</v>
      </c>
      <c r="G1382">
        <v>1</v>
      </c>
      <c r="H1382" t="s">
        <v>4498</v>
      </c>
      <c r="I1382">
        <v>10</v>
      </c>
    </row>
    <row r="1383" spans="2:9" x14ac:dyDescent="0.3">
      <c r="B1383" t="s">
        <v>1132</v>
      </c>
      <c r="C1383" t="s">
        <v>2468</v>
      </c>
      <c r="D1383" t="s">
        <v>2658</v>
      </c>
      <c r="E1383" s="24">
        <v>40308</v>
      </c>
      <c r="F1383">
        <v>10</v>
      </c>
      <c r="G1383">
        <v>1</v>
      </c>
      <c r="H1383" t="s">
        <v>4499</v>
      </c>
      <c r="I1383">
        <v>10</v>
      </c>
    </row>
    <row r="1384" spans="2:9" x14ac:dyDescent="0.3">
      <c r="B1384" t="s">
        <v>1133</v>
      </c>
      <c r="C1384" t="s">
        <v>2469</v>
      </c>
      <c r="D1384" t="s">
        <v>2658</v>
      </c>
      <c r="E1384" s="24">
        <v>39087</v>
      </c>
      <c r="F1384">
        <v>1</v>
      </c>
      <c r="G1384">
        <v>1</v>
      </c>
      <c r="H1384" t="s">
        <v>4500</v>
      </c>
      <c r="I1384">
        <v>1</v>
      </c>
    </row>
    <row r="1385" spans="2:9" x14ac:dyDescent="0.3">
      <c r="B1385" t="s">
        <v>1134</v>
      </c>
      <c r="C1385" t="s">
        <v>2470</v>
      </c>
      <c r="D1385" t="s">
        <v>2686</v>
      </c>
      <c r="E1385" s="24">
        <v>39497</v>
      </c>
      <c r="F1385">
        <v>10</v>
      </c>
      <c r="G1385">
        <v>1</v>
      </c>
      <c r="H1385" t="s">
        <v>4501</v>
      </c>
      <c r="I1385">
        <v>10</v>
      </c>
    </row>
    <row r="1386" spans="2:9" x14ac:dyDescent="0.3">
      <c r="B1386" t="s">
        <v>1135</v>
      </c>
      <c r="C1386" t="s">
        <v>2471</v>
      </c>
      <c r="D1386" t="s">
        <v>2658</v>
      </c>
      <c r="E1386" s="24">
        <v>41249</v>
      </c>
      <c r="F1386">
        <v>10</v>
      </c>
      <c r="G1386">
        <v>1</v>
      </c>
      <c r="H1386" t="s">
        <v>4502</v>
      </c>
      <c r="I1386">
        <v>10</v>
      </c>
    </row>
    <row r="1387" spans="2:9" x14ac:dyDescent="0.3">
      <c r="B1387" t="s">
        <v>1136</v>
      </c>
      <c r="C1387" t="s">
        <v>2472</v>
      </c>
      <c r="D1387" t="s">
        <v>2686</v>
      </c>
      <c r="E1387" s="24">
        <v>40316</v>
      </c>
      <c r="F1387">
        <v>10</v>
      </c>
      <c r="G1387">
        <v>1</v>
      </c>
      <c r="H1387" t="s">
        <v>4503</v>
      </c>
      <c r="I1387">
        <v>10</v>
      </c>
    </row>
    <row r="1388" spans="2:9" x14ac:dyDescent="0.3">
      <c r="B1388" t="s">
        <v>1137</v>
      </c>
      <c r="C1388" t="s">
        <v>2473</v>
      </c>
      <c r="D1388" t="s">
        <v>2686</v>
      </c>
      <c r="E1388" s="24">
        <v>39272</v>
      </c>
      <c r="F1388">
        <v>10</v>
      </c>
      <c r="G1388">
        <v>1</v>
      </c>
      <c r="H1388" t="s">
        <v>4504</v>
      </c>
      <c r="I1388">
        <v>10</v>
      </c>
    </row>
    <row r="1389" spans="2:9" x14ac:dyDescent="0.3">
      <c r="B1389" t="s">
        <v>4505</v>
      </c>
      <c r="C1389" t="s">
        <v>4506</v>
      </c>
      <c r="D1389" t="s">
        <v>2658</v>
      </c>
      <c r="E1389" s="24">
        <v>42817</v>
      </c>
      <c r="F1389">
        <v>10</v>
      </c>
      <c r="G1389">
        <v>1</v>
      </c>
      <c r="H1389" t="s">
        <v>4507</v>
      </c>
      <c r="I1389">
        <v>10</v>
      </c>
    </row>
    <row r="1390" spans="2:9" x14ac:dyDescent="0.3">
      <c r="B1390" t="s">
        <v>97</v>
      </c>
      <c r="C1390" t="s">
        <v>2474</v>
      </c>
      <c r="D1390" t="s">
        <v>2658</v>
      </c>
      <c r="E1390" s="24">
        <v>36251</v>
      </c>
      <c r="F1390">
        <v>10</v>
      </c>
      <c r="G1390">
        <v>1</v>
      </c>
      <c r="H1390" t="s">
        <v>4508</v>
      </c>
      <c r="I1390">
        <v>10</v>
      </c>
    </row>
    <row r="1391" spans="2:9" x14ac:dyDescent="0.3">
      <c r="B1391" t="s">
        <v>97</v>
      </c>
      <c r="C1391" t="s">
        <v>2474</v>
      </c>
      <c r="D1391" t="s">
        <v>3173</v>
      </c>
      <c r="E1391" s="24">
        <v>36251</v>
      </c>
      <c r="F1391">
        <v>10</v>
      </c>
      <c r="G1391">
        <v>1</v>
      </c>
      <c r="H1391" t="s">
        <v>4509</v>
      </c>
      <c r="I1391">
        <v>10</v>
      </c>
    </row>
    <row r="1392" spans="2:9" x14ac:dyDescent="0.3">
      <c r="B1392" t="s">
        <v>1138</v>
      </c>
      <c r="C1392" t="s">
        <v>2475</v>
      </c>
      <c r="D1392" t="s">
        <v>2658</v>
      </c>
      <c r="E1392" s="24">
        <v>36572</v>
      </c>
      <c r="F1392">
        <v>1</v>
      </c>
      <c r="G1392">
        <v>1</v>
      </c>
      <c r="H1392" t="s">
        <v>4510</v>
      </c>
      <c r="I1392">
        <v>1</v>
      </c>
    </row>
    <row r="1393" spans="2:9" x14ac:dyDescent="0.3">
      <c r="B1393" t="s">
        <v>98</v>
      </c>
      <c r="C1393" t="s">
        <v>2476</v>
      </c>
      <c r="D1393" t="s">
        <v>2658</v>
      </c>
      <c r="E1393" s="24">
        <v>34801</v>
      </c>
      <c r="F1393">
        <v>10</v>
      </c>
      <c r="G1393">
        <v>1</v>
      </c>
      <c r="H1393" t="s">
        <v>4511</v>
      </c>
      <c r="I1393">
        <v>10</v>
      </c>
    </row>
    <row r="1394" spans="2:9" x14ac:dyDescent="0.3">
      <c r="B1394" t="s">
        <v>1139</v>
      </c>
      <c r="C1394" t="s">
        <v>2477</v>
      </c>
      <c r="D1394" t="s">
        <v>2658</v>
      </c>
      <c r="E1394" s="24">
        <v>37881</v>
      </c>
      <c r="F1394">
        <v>10</v>
      </c>
      <c r="G1394">
        <v>1</v>
      </c>
      <c r="H1394" t="s">
        <v>4512</v>
      </c>
      <c r="I1394">
        <v>10</v>
      </c>
    </row>
    <row r="1395" spans="2:9" x14ac:dyDescent="0.3">
      <c r="B1395" t="s">
        <v>99</v>
      </c>
      <c r="C1395" t="s">
        <v>2478</v>
      </c>
      <c r="D1395" t="s">
        <v>2658</v>
      </c>
      <c r="E1395" s="24">
        <v>36117</v>
      </c>
      <c r="F1395">
        <v>1</v>
      </c>
      <c r="G1395">
        <v>1</v>
      </c>
      <c r="H1395" t="s">
        <v>4513</v>
      </c>
      <c r="I1395">
        <v>1</v>
      </c>
    </row>
    <row r="1396" spans="2:9" x14ac:dyDescent="0.3">
      <c r="B1396" t="s">
        <v>1140</v>
      </c>
      <c r="C1396" t="s">
        <v>2479</v>
      </c>
      <c r="D1396" t="s">
        <v>2658</v>
      </c>
      <c r="E1396" s="24">
        <v>35970</v>
      </c>
      <c r="F1396">
        <v>10</v>
      </c>
      <c r="G1396">
        <v>1</v>
      </c>
      <c r="H1396" t="s">
        <v>4514</v>
      </c>
      <c r="I1396">
        <v>10</v>
      </c>
    </row>
    <row r="1397" spans="2:9" x14ac:dyDescent="0.3">
      <c r="B1397" t="s">
        <v>1141</v>
      </c>
      <c r="C1397" t="s">
        <v>2480</v>
      </c>
      <c r="D1397" t="s">
        <v>2658</v>
      </c>
      <c r="E1397" s="24">
        <v>37768</v>
      </c>
      <c r="F1397">
        <v>10</v>
      </c>
      <c r="G1397">
        <v>1</v>
      </c>
      <c r="H1397" t="s">
        <v>4515</v>
      </c>
      <c r="I1397">
        <v>10</v>
      </c>
    </row>
    <row r="1398" spans="2:9" x14ac:dyDescent="0.3">
      <c r="B1398" t="s">
        <v>1142</v>
      </c>
      <c r="C1398" t="s">
        <v>2481</v>
      </c>
      <c r="D1398" t="s">
        <v>2658</v>
      </c>
      <c r="E1398" s="24">
        <v>35998</v>
      </c>
      <c r="F1398">
        <v>2</v>
      </c>
      <c r="G1398">
        <v>1</v>
      </c>
      <c r="H1398" t="s">
        <v>4516</v>
      </c>
      <c r="I1398">
        <v>2</v>
      </c>
    </row>
    <row r="1399" spans="2:9" x14ac:dyDescent="0.3">
      <c r="B1399" t="s">
        <v>4517</v>
      </c>
      <c r="C1399" t="s">
        <v>2481</v>
      </c>
      <c r="D1399" t="s">
        <v>2658</v>
      </c>
      <c r="E1399" s="24">
        <v>39757</v>
      </c>
      <c r="F1399">
        <v>2</v>
      </c>
      <c r="G1399">
        <v>1</v>
      </c>
      <c r="H1399" t="s">
        <v>4518</v>
      </c>
      <c r="I1399">
        <v>2</v>
      </c>
    </row>
    <row r="1400" spans="2:9" x14ac:dyDescent="0.3">
      <c r="B1400" t="s">
        <v>1143</v>
      </c>
      <c r="C1400" t="s">
        <v>2482</v>
      </c>
      <c r="D1400" t="s">
        <v>2658</v>
      </c>
      <c r="E1400" s="24">
        <v>35158</v>
      </c>
      <c r="F1400">
        <v>1</v>
      </c>
      <c r="G1400">
        <v>1</v>
      </c>
      <c r="H1400" t="s">
        <v>4519</v>
      </c>
      <c r="I1400">
        <v>1</v>
      </c>
    </row>
    <row r="1401" spans="2:9" x14ac:dyDescent="0.3">
      <c r="B1401" t="s">
        <v>1144</v>
      </c>
      <c r="C1401" t="s">
        <v>2483</v>
      </c>
      <c r="D1401" t="s">
        <v>2658</v>
      </c>
      <c r="E1401" s="24">
        <v>37676</v>
      </c>
      <c r="F1401">
        <v>10</v>
      </c>
      <c r="G1401">
        <v>1</v>
      </c>
      <c r="H1401" t="s">
        <v>4520</v>
      </c>
      <c r="I1401">
        <v>10</v>
      </c>
    </row>
    <row r="1402" spans="2:9" x14ac:dyDescent="0.3">
      <c r="B1402" t="s">
        <v>117</v>
      </c>
      <c r="C1402" t="s">
        <v>2484</v>
      </c>
      <c r="D1402" t="s">
        <v>2658</v>
      </c>
      <c r="E1402" s="24">
        <v>36117</v>
      </c>
      <c r="F1402">
        <v>10</v>
      </c>
      <c r="G1402">
        <v>1</v>
      </c>
      <c r="H1402" t="s">
        <v>4521</v>
      </c>
      <c r="I1402">
        <v>10</v>
      </c>
    </row>
    <row r="1403" spans="2:9" x14ac:dyDescent="0.3">
      <c r="B1403" t="s">
        <v>1145</v>
      </c>
      <c r="C1403" t="s">
        <v>2485</v>
      </c>
      <c r="D1403" t="s">
        <v>2658</v>
      </c>
      <c r="E1403" s="24">
        <v>41038</v>
      </c>
      <c r="F1403">
        <v>10</v>
      </c>
      <c r="G1403">
        <v>1</v>
      </c>
      <c r="H1403" t="s">
        <v>4522</v>
      </c>
      <c r="I1403">
        <v>10</v>
      </c>
    </row>
    <row r="1404" spans="2:9" x14ac:dyDescent="0.3">
      <c r="B1404" t="s">
        <v>1146</v>
      </c>
      <c r="C1404" t="s">
        <v>2486</v>
      </c>
      <c r="D1404" t="s">
        <v>2658</v>
      </c>
      <c r="E1404" s="24">
        <v>37277</v>
      </c>
      <c r="F1404">
        <v>2</v>
      </c>
      <c r="G1404">
        <v>1</v>
      </c>
      <c r="H1404" t="s">
        <v>4523</v>
      </c>
      <c r="I1404">
        <v>2</v>
      </c>
    </row>
    <row r="1405" spans="2:9" x14ac:dyDescent="0.3">
      <c r="B1405" t="s">
        <v>1147</v>
      </c>
      <c r="C1405" t="s">
        <v>2487</v>
      </c>
      <c r="D1405" t="s">
        <v>2658</v>
      </c>
      <c r="E1405" s="24">
        <v>40652</v>
      </c>
      <c r="F1405">
        <v>10</v>
      </c>
      <c r="G1405">
        <v>1</v>
      </c>
      <c r="H1405" t="s">
        <v>4524</v>
      </c>
      <c r="I1405">
        <v>10</v>
      </c>
    </row>
    <row r="1406" spans="2:9" x14ac:dyDescent="0.3">
      <c r="B1406" t="s">
        <v>4525</v>
      </c>
      <c r="C1406" t="s">
        <v>4526</v>
      </c>
      <c r="D1406" t="s">
        <v>2658</v>
      </c>
      <c r="E1406" s="24">
        <v>42719</v>
      </c>
      <c r="F1406">
        <v>2</v>
      </c>
      <c r="G1406">
        <v>1</v>
      </c>
      <c r="H1406" t="s">
        <v>4527</v>
      </c>
      <c r="I1406">
        <v>2</v>
      </c>
    </row>
    <row r="1407" spans="2:9" x14ac:dyDescent="0.3">
      <c r="B1407" t="s">
        <v>1148</v>
      </c>
      <c r="C1407" t="s">
        <v>2488</v>
      </c>
      <c r="D1407" t="s">
        <v>2658</v>
      </c>
      <c r="E1407" s="24">
        <v>35571</v>
      </c>
      <c r="F1407">
        <v>10</v>
      </c>
      <c r="G1407">
        <v>1</v>
      </c>
      <c r="H1407" t="s">
        <v>4528</v>
      </c>
      <c r="I1407">
        <v>10</v>
      </c>
    </row>
    <row r="1408" spans="2:9" x14ac:dyDescent="0.3">
      <c r="B1408" t="s">
        <v>1149</v>
      </c>
      <c r="C1408" t="s">
        <v>2489</v>
      </c>
      <c r="D1408" t="s">
        <v>2658</v>
      </c>
      <c r="E1408" s="24">
        <v>38224</v>
      </c>
      <c r="F1408">
        <v>1</v>
      </c>
      <c r="G1408">
        <v>1</v>
      </c>
      <c r="H1408" t="s">
        <v>4529</v>
      </c>
      <c r="I1408">
        <v>1</v>
      </c>
    </row>
    <row r="1409" spans="2:9" x14ac:dyDescent="0.3">
      <c r="B1409" t="s">
        <v>1150</v>
      </c>
      <c r="C1409" t="s">
        <v>2490</v>
      </c>
      <c r="D1409" t="s">
        <v>2658</v>
      </c>
      <c r="E1409" s="24">
        <v>40794</v>
      </c>
      <c r="F1409">
        <v>10</v>
      </c>
      <c r="G1409">
        <v>1</v>
      </c>
      <c r="H1409" t="s">
        <v>4530</v>
      </c>
      <c r="I1409">
        <v>10</v>
      </c>
    </row>
    <row r="1410" spans="2:9" x14ac:dyDescent="0.3">
      <c r="B1410" t="s">
        <v>4531</v>
      </c>
      <c r="C1410" t="s">
        <v>4532</v>
      </c>
      <c r="D1410" t="s">
        <v>2658</v>
      </c>
      <c r="E1410" s="24">
        <v>42412</v>
      </c>
      <c r="F1410">
        <v>10</v>
      </c>
      <c r="G1410">
        <v>1</v>
      </c>
      <c r="H1410" t="s">
        <v>4533</v>
      </c>
      <c r="I1410">
        <v>10</v>
      </c>
    </row>
    <row r="1411" spans="2:9" x14ac:dyDescent="0.3">
      <c r="B1411" t="s">
        <v>1151</v>
      </c>
      <c r="C1411" t="s">
        <v>4534</v>
      </c>
      <c r="D1411" t="s">
        <v>2686</v>
      </c>
      <c r="E1411" s="24">
        <v>40794</v>
      </c>
      <c r="F1411">
        <v>10</v>
      </c>
      <c r="G1411">
        <v>1</v>
      </c>
      <c r="H1411" t="s">
        <v>4535</v>
      </c>
      <c r="I1411">
        <v>10</v>
      </c>
    </row>
    <row r="1412" spans="2:9" x14ac:dyDescent="0.3">
      <c r="B1412" t="s">
        <v>1152</v>
      </c>
      <c r="C1412" t="s">
        <v>2491</v>
      </c>
      <c r="D1412" t="s">
        <v>2658</v>
      </c>
      <c r="E1412" s="24">
        <v>38957</v>
      </c>
      <c r="F1412">
        <v>5</v>
      </c>
      <c r="G1412">
        <v>1</v>
      </c>
      <c r="H1412" t="s">
        <v>4536</v>
      </c>
      <c r="I1412">
        <v>5</v>
      </c>
    </row>
    <row r="1413" spans="2:9" x14ac:dyDescent="0.3">
      <c r="B1413" t="s">
        <v>1153</v>
      </c>
      <c r="C1413" t="s">
        <v>2492</v>
      </c>
      <c r="D1413" t="s">
        <v>2658</v>
      </c>
      <c r="E1413" s="24">
        <v>40492</v>
      </c>
      <c r="F1413">
        <v>2</v>
      </c>
      <c r="G1413">
        <v>1</v>
      </c>
      <c r="H1413" t="s">
        <v>4537</v>
      </c>
      <c r="I1413">
        <v>2</v>
      </c>
    </row>
    <row r="1414" spans="2:9" x14ac:dyDescent="0.3">
      <c r="B1414" t="s">
        <v>1154</v>
      </c>
      <c r="C1414" t="s">
        <v>2493</v>
      </c>
      <c r="D1414" t="s">
        <v>2658</v>
      </c>
      <c r="E1414" s="24">
        <v>40375</v>
      </c>
      <c r="F1414">
        <v>10</v>
      </c>
      <c r="G1414">
        <v>1</v>
      </c>
      <c r="H1414" t="s">
        <v>4538</v>
      </c>
      <c r="I1414">
        <v>10</v>
      </c>
    </row>
    <row r="1415" spans="2:9" x14ac:dyDescent="0.3">
      <c r="B1415" t="s">
        <v>4539</v>
      </c>
      <c r="C1415" t="s">
        <v>4540</v>
      </c>
      <c r="D1415" t="s">
        <v>2658</v>
      </c>
      <c r="E1415" s="24">
        <v>42733</v>
      </c>
      <c r="F1415">
        <v>10</v>
      </c>
      <c r="G1415">
        <v>1</v>
      </c>
      <c r="H1415" t="s">
        <v>4541</v>
      </c>
      <c r="I1415">
        <v>10</v>
      </c>
    </row>
    <row r="1416" spans="2:9" x14ac:dyDescent="0.3">
      <c r="B1416" t="s">
        <v>1155</v>
      </c>
      <c r="C1416" t="s">
        <v>2494</v>
      </c>
      <c r="D1416" t="s">
        <v>2658</v>
      </c>
      <c r="E1416" s="24">
        <v>38239</v>
      </c>
      <c r="F1416">
        <v>1</v>
      </c>
      <c r="G1416">
        <v>1</v>
      </c>
      <c r="H1416" t="s">
        <v>4542</v>
      </c>
      <c r="I1416">
        <v>1</v>
      </c>
    </row>
    <row r="1417" spans="2:9" x14ac:dyDescent="0.3">
      <c r="B1417" t="s">
        <v>1156</v>
      </c>
      <c r="C1417" t="s">
        <v>2495</v>
      </c>
      <c r="D1417" t="s">
        <v>2686</v>
      </c>
      <c r="E1417" s="24">
        <v>40247</v>
      </c>
      <c r="F1417">
        <v>10</v>
      </c>
      <c r="G1417">
        <v>1</v>
      </c>
      <c r="H1417" t="s">
        <v>4543</v>
      </c>
      <c r="I1417">
        <v>10</v>
      </c>
    </row>
    <row r="1418" spans="2:9" x14ac:dyDescent="0.3">
      <c r="B1418" t="s">
        <v>1157</v>
      </c>
      <c r="C1418" t="s">
        <v>2496</v>
      </c>
      <c r="D1418" t="s">
        <v>2658</v>
      </c>
      <c r="E1418" s="24">
        <v>40605</v>
      </c>
      <c r="F1418">
        <v>1</v>
      </c>
      <c r="G1418">
        <v>1</v>
      </c>
      <c r="H1418" t="s">
        <v>4544</v>
      </c>
      <c r="I1418">
        <v>1</v>
      </c>
    </row>
    <row r="1419" spans="2:9" x14ac:dyDescent="0.3">
      <c r="B1419" t="s">
        <v>1158</v>
      </c>
      <c r="C1419" t="s">
        <v>2497</v>
      </c>
      <c r="D1419" t="s">
        <v>2658</v>
      </c>
      <c r="E1419" s="24">
        <v>36733</v>
      </c>
      <c r="F1419">
        <v>10</v>
      </c>
      <c r="G1419">
        <v>1</v>
      </c>
      <c r="H1419" t="s">
        <v>4545</v>
      </c>
      <c r="I1419">
        <v>10</v>
      </c>
    </row>
    <row r="1420" spans="2:9" x14ac:dyDescent="0.3">
      <c r="B1420" t="s">
        <v>1159</v>
      </c>
      <c r="C1420" t="s">
        <v>2498</v>
      </c>
      <c r="D1420" t="s">
        <v>2686</v>
      </c>
      <c r="E1420" s="24">
        <v>39139</v>
      </c>
      <c r="F1420">
        <v>10</v>
      </c>
      <c r="G1420">
        <v>1</v>
      </c>
      <c r="H1420" t="s">
        <v>4546</v>
      </c>
      <c r="I1420">
        <v>10</v>
      </c>
    </row>
    <row r="1421" spans="2:9" x14ac:dyDescent="0.3">
      <c r="B1421" t="s">
        <v>1160</v>
      </c>
      <c r="C1421" t="s">
        <v>4547</v>
      </c>
      <c r="D1421" t="s">
        <v>2658</v>
      </c>
      <c r="E1421" s="24">
        <v>39219</v>
      </c>
      <c r="F1421">
        <v>10</v>
      </c>
      <c r="G1421">
        <v>1</v>
      </c>
      <c r="H1421" t="s">
        <v>4548</v>
      </c>
      <c r="I1421">
        <v>10</v>
      </c>
    </row>
    <row r="1422" spans="2:9" x14ac:dyDescent="0.3">
      <c r="B1422" t="s">
        <v>1161</v>
      </c>
      <c r="C1422" t="s">
        <v>2499</v>
      </c>
      <c r="D1422" t="s">
        <v>2658</v>
      </c>
      <c r="E1422" s="24">
        <v>40228</v>
      </c>
      <c r="F1422">
        <v>10</v>
      </c>
      <c r="G1422">
        <v>1</v>
      </c>
      <c r="H1422" t="s">
        <v>4549</v>
      </c>
      <c r="I1422">
        <v>10</v>
      </c>
    </row>
    <row r="1423" spans="2:9" x14ac:dyDescent="0.3">
      <c r="B1423" t="s">
        <v>1162</v>
      </c>
      <c r="C1423" t="s">
        <v>2500</v>
      </c>
      <c r="D1423" t="s">
        <v>2658</v>
      </c>
      <c r="E1423" s="24">
        <v>39174</v>
      </c>
      <c r="F1423">
        <v>10</v>
      </c>
      <c r="G1423">
        <v>1</v>
      </c>
      <c r="H1423" t="s">
        <v>4550</v>
      </c>
      <c r="I1423">
        <v>10</v>
      </c>
    </row>
    <row r="1424" spans="2:9" x14ac:dyDescent="0.3">
      <c r="B1424" t="s">
        <v>101</v>
      </c>
      <c r="C1424" t="s">
        <v>2501</v>
      </c>
      <c r="D1424" t="s">
        <v>2658</v>
      </c>
      <c r="E1424" s="24">
        <v>34941</v>
      </c>
      <c r="F1424">
        <v>2</v>
      </c>
      <c r="G1424">
        <v>1</v>
      </c>
      <c r="H1424" t="s">
        <v>4551</v>
      </c>
      <c r="I1424">
        <v>2</v>
      </c>
    </row>
    <row r="1425" spans="2:9" x14ac:dyDescent="0.3">
      <c r="B1425" t="s">
        <v>1163</v>
      </c>
      <c r="C1425" t="s">
        <v>2502</v>
      </c>
      <c r="D1425" t="s">
        <v>2658</v>
      </c>
      <c r="E1425" s="24">
        <v>34821</v>
      </c>
      <c r="F1425">
        <v>10</v>
      </c>
      <c r="G1425">
        <v>1</v>
      </c>
      <c r="H1425" t="s">
        <v>4552</v>
      </c>
      <c r="I1425">
        <v>10</v>
      </c>
    </row>
    <row r="1426" spans="2:9" x14ac:dyDescent="0.3">
      <c r="B1426" t="s">
        <v>1164</v>
      </c>
      <c r="C1426" t="s">
        <v>2503</v>
      </c>
      <c r="D1426" t="s">
        <v>2658</v>
      </c>
      <c r="E1426" s="24">
        <v>36684</v>
      </c>
      <c r="F1426">
        <v>1</v>
      </c>
      <c r="G1426">
        <v>1</v>
      </c>
      <c r="H1426" t="s">
        <v>4553</v>
      </c>
      <c r="I1426">
        <v>1</v>
      </c>
    </row>
    <row r="1427" spans="2:9" x14ac:dyDescent="0.3">
      <c r="B1427" t="s">
        <v>1165</v>
      </c>
      <c r="C1427" t="s">
        <v>2504</v>
      </c>
      <c r="D1427" t="s">
        <v>2686</v>
      </c>
      <c r="E1427" s="24">
        <v>40938</v>
      </c>
      <c r="F1427">
        <v>10</v>
      </c>
      <c r="G1427">
        <v>1</v>
      </c>
      <c r="H1427" t="s">
        <v>4554</v>
      </c>
      <c r="I1427">
        <v>10</v>
      </c>
    </row>
    <row r="1428" spans="2:9" x14ac:dyDescent="0.3">
      <c r="B1428" t="s">
        <v>4555</v>
      </c>
      <c r="C1428" t="s">
        <v>4556</v>
      </c>
      <c r="D1428" t="s">
        <v>2658</v>
      </c>
      <c r="E1428" s="24">
        <v>42499</v>
      </c>
      <c r="F1428">
        <v>10</v>
      </c>
      <c r="G1428">
        <v>1</v>
      </c>
      <c r="H1428" t="s">
        <v>4557</v>
      </c>
      <c r="I1428">
        <v>10</v>
      </c>
    </row>
    <row r="1429" spans="2:9" x14ac:dyDescent="0.3">
      <c r="B1429" t="s">
        <v>1166</v>
      </c>
      <c r="C1429" t="s">
        <v>2505</v>
      </c>
      <c r="D1429" t="s">
        <v>2658</v>
      </c>
      <c r="E1429" s="24">
        <v>40375</v>
      </c>
      <c r="F1429">
        <v>10</v>
      </c>
      <c r="G1429">
        <v>1</v>
      </c>
      <c r="H1429" t="s">
        <v>4558</v>
      </c>
      <c r="I1429">
        <v>10</v>
      </c>
    </row>
    <row r="1430" spans="2:9" x14ac:dyDescent="0.3">
      <c r="B1430" t="s">
        <v>1167</v>
      </c>
      <c r="C1430" t="s">
        <v>2506</v>
      </c>
      <c r="D1430" t="s">
        <v>2658</v>
      </c>
      <c r="E1430" s="24">
        <v>39098</v>
      </c>
      <c r="F1430">
        <v>5</v>
      </c>
      <c r="G1430">
        <v>1</v>
      </c>
      <c r="H1430" t="s">
        <v>4559</v>
      </c>
      <c r="I1430">
        <v>5</v>
      </c>
    </row>
    <row r="1431" spans="2:9" x14ac:dyDescent="0.3">
      <c r="B1431" t="s">
        <v>1168</v>
      </c>
      <c r="C1431" t="s">
        <v>2507</v>
      </c>
      <c r="D1431" t="s">
        <v>2658</v>
      </c>
      <c r="E1431" s="24">
        <v>39125</v>
      </c>
      <c r="F1431">
        <v>10</v>
      </c>
      <c r="G1431">
        <v>1</v>
      </c>
      <c r="H1431" t="s">
        <v>4560</v>
      </c>
      <c r="I1431">
        <v>10</v>
      </c>
    </row>
    <row r="1432" spans="2:9" x14ac:dyDescent="0.3">
      <c r="B1432" t="s">
        <v>1336</v>
      </c>
      <c r="C1432" t="s">
        <v>2508</v>
      </c>
      <c r="D1432" t="s">
        <v>2686</v>
      </c>
      <c r="E1432" s="24">
        <v>40830</v>
      </c>
      <c r="F1432">
        <v>10</v>
      </c>
      <c r="G1432">
        <v>1</v>
      </c>
      <c r="H1432" t="s">
        <v>4561</v>
      </c>
      <c r="I1432">
        <v>10</v>
      </c>
    </row>
    <row r="1433" spans="2:9" x14ac:dyDescent="0.3">
      <c r="B1433" t="s">
        <v>1169</v>
      </c>
      <c r="C1433" t="s">
        <v>2509</v>
      </c>
      <c r="D1433" t="s">
        <v>2658</v>
      </c>
      <c r="E1433" s="24">
        <v>34969</v>
      </c>
      <c r="F1433">
        <v>10</v>
      </c>
      <c r="G1433">
        <v>1</v>
      </c>
      <c r="H1433" t="s">
        <v>4562</v>
      </c>
      <c r="I1433">
        <v>10</v>
      </c>
    </row>
    <row r="1434" spans="2:9" x14ac:dyDescent="0.3">
      <c r="B1434" t="s">
        <v>1170</v>
      </c>
      <c r="C1434" t="s">
        <v>2510</v>
      </c>
      <c r="D1434" t="s">
        <v>2686</v>
      </c>
      <c r="E1434" s="24">
        <v>37879</v>
      </c>
      <c r="F1434">
        <v>10</v>
      </c>
      <c r="G1434">
        <v>1</v>
      </c>
      <c r="H1434" t="s">
        <v>4563</v>
      </c>
      <c r="I1434">
        <v>10</v>
      </c>
    </row>
    <row r="1435" spans="2:9" x14ac:dyDescent="0.3">
      <c r="B1435" t="s">
        <v>1171</v>
      </c>
      <c r="C1435" t="s">
        <v>2511</v>
      </c>
      <c r="D1435" t="s">
        <v>2658</v>
      </c>
      <c r="E1435" s="24">
        <v>39246</v>
      </c>
      <c r="F1435">
        <v>1</v>
      </c>
      <c r="G1435">
        <v>1</v>
      </c>
      <c r="H1435" t="s">
        <v>4564</v>
      </c>
      <c r="I1435">
        <v>1</v>
      </c>
    </row>
    <row r="1436" spans="2:9" x14ac:dyDescent="0.3">
      <c r="B1436" t="s">
        <v>1172</v>
      </c>
      <c r="C1436" t="s">
        <v>2512</v>
      </c>
      <c r="D1436" t="s">
        <v>2658</v>
      </c>
      <c r="E1436" s="24">
        <v>39119</v>
      </c>
      <c r="F1436">
        <v>10</v>
      </c>
      <c r="G1436">
        <v>1</v>
      </c>
      <c r="H1436" t="s">
        <v>4565</v>
      </c>
      <c r="I1436">
        <v>10</v>
      </c>
    </row>
    <row r="1437" spans="2:9" x14ac:dyDescent="0.3">
      <c r="B1437" t="s">
        <v>1173</v>
      </c>
      <c r="C1437" t="s">
        <v>2513</v>
      </c>
      <c r="D1437" t="s">
        <v>2658</v>
      </c>
      <c r="E1437" s="24">
        <v>38744</v>
      </c>
      <c r="F1437">
        <v>10</v>
      </c>
      <c r="G1437">
        <v>1</v>
      </c>
      <c r="H1437" t="s">
        <v>4566</v>
      </c>
      <c r="I1437">
        <v>10</v>
      </c>
    </row>
    <row r="1438" spans="2:9" x14ac:dyDescent="0.3">
      <c r="B1438" t="s">
        <v>1174</v>
      </c>
      <c r="C1438" t="s">
        <v>2514</v>
      </c>
      <c r="D1438" t="s">
        <v>2658</v>
      </c>
      <c r="E1438" s="24">
        <v>36840</v>
      </c>
      <c r="F1438">
        <v>10</v>
      </c>
      <c r="G1438">
        <v>1</v>
      </c>
      <c r="H1438" t="s">
        <v>4567</v>
      </c>
      <c r="I1438">
        <v>10</v>
      </c>
    </row>
    <row r="1439" spans="2:9" x14ac:dyDescent="0.3">
      <c r="B1439" t="s">
        <v>1175</v>
      </c>
      <c r="C1439" t="s">
        <v>2515</v>
      </c>
      <c r="D1439" t="s">
        <v>2658</v>
      </c>
      <c r="E1439" s="24">
        <v>37755</v>
      </c>
      <c r="F1439">
        <v>10</v>
      </c>
      <c r="G1439">
        <v>1</v>
      </c>
      <c r="H1439" t="s">
        <v>4568</v>
      </c>
      <c r="I1439">
        <v>10</v>
      </c>
    </row>
    <row r="1440" spans="2:9" x14ac:dyDescent="0.3">
      <c r="B1440" t="s">
        <v>1176</v>
      </c>
      <c r="C1440" t="s">
        <v>2516</v>
      </c>
      <c r="D1440" t="s">
        <v>2658</v>
      </c>
      <c r="E1440" s="24">
        <v>38254</v>
      </c>
      <c r="F1440">
        <v>1</v>
      </c>
      <c r="G1440">
        <v>1</v>
      </c>
      <c r="H1440" t="s">
        <v>4569</v>
      </c>
      <c r="I1440">
        <v>1</v>
      </c>
    </row>
    <row r="1441" spans="2:9" x14ac:dyDescent="0.3">
      <c r="B1441" t="s">
        <v>4570</v>
      </c>
      <c r="C1441" t="s">
        <v>4571</v>
      </c>
      <c r="D1441" t="s">
        <v>2658</v>
      </c>
      <c r="E1441" s="24">
        <v>42718</v>
      </c>
      <c r="F1441">
        <v>10</v>
      </c>
      <c r="G1441">
        <v>1</v>
      </c>
      <c r="H1441" t="s">
        <v>4572</v>
      </c>
      <c r="I1441">
        <v>10</v>
      </c>
    </row>
    <row r="1442" spans="2:9" x14ac:dyDescent="0.3">
      <c r="B1442" t="s">
        <v>1177</v>
      </c>
      <c r="C1442" t="s">
        <v>2517</v>
      </c>
      <c r="D1442" t="s">
        <v>2658</v>
      </c>
      <c r="E1442" s="24">
        <v>36460</v>
      </c>
      <c r="F1442">
        <v>10</v>
      </c>
      <c r="G1442">
        <v>1</v>
      </c>
      <c r="H1442" t="s">
        <v>4573</v>
      </c>
      <c r="I1442">
        <v>10</v>
      </c>
    </row>
    <row r="1443" spans="2:9" x14ac:dyDescent="0.3">
      <c r="B1443" t="s">
        <v>1178</v>
      </c>
      <c r="C1443" t="s">
        <v>2518</v>
      </c>
      <c r="D1443" t="s">
        <v>2658</v>
      </c>
      <c r="E1443" s="24">
        <v>35109</v>
      </c>
      <c r="F1443">
        <v>10</v>
      </c>
      <c r="G1443">
        <v>1</v>
      </c>
      <c r="H1443" t="s">
        <v>4574</v>
      </c>
      <c r="I1443">
        <v>10</v>
      </c>
    </row>
    <row r="1444" spans="2:9" x14ac:dyDescent="0.3">
      <c r="B1444" t="s">
        <v>1179</v>
      </c>
      <c r="C1444" t="s">
        <v>2519</v>
      </c>
      <c r="D1444" t="s">
        <v>2686</v>
      </c>
      <c r="E1444" s="24">
        <v>37656</v>
      </c>
      <c r="F1444">
        <v>10</v>
      </c>
      <c r="G1444">
        <v>1</v>
      </c>
      <c r="H1444" t="s">
        <v>4575</v>
      </c>
      <c r="I1444">
        <v>10</v>
      </c>
    </row>
    <row r="1445" spans="2:9" x14ac:dyDescent="0.3">
      <c r="B1445" t="s">
        <v>1337</v>
      </c>
      <c r="C1445" t="s">
        <v>2520</v>
      </c>
      <c r="D1445" t="s">
        <v>2686</v>
      </c>
      <c r="E1445" s="24">
        <v>37172</v>
      </c>
      <c r="F1445">
        <v>10</v>
      </c>
      <c r="G1445">
        <v>1</v>
      </c>
      <c r="H1445" t="s">
        <v>4576</v>
      </c>
      <c r="I1445">
        <v>10</v>
      </c>
    </row>
    <row r="1446" spans="2:9" x14ac:dyDescent="0.3">
      <c r="B1446" t="s">
        <v>1180</v>
      </c>
      <c r="C1446" t="s">
        <v>2521</v>
      </c>
      <c r="D1446" t="s">
        <v>2658</v>
      </c>
      <c r="E1446" s="24">
        <v>34983</v>
      </c>
      <c r="F1446">
        <v>10</v>
      </c>
      <c r="G1446">
        <v>1</v>
      </c>
      <c r="H1446" t="s">
        <v>4577</v>
      </c>
      <c r="I1446">
        <v>10</v>
      </c>
    </row>
    <row r="1447" spans="2:9" x14ac:dyDescent="0.3">
      <c r="B1447" t="s">
        <v>102</v>
      </c>
      <c r="C1447" t="s">
        <v>2522</v>
      </c>
      <c r="D1447" t="s">
        <v>2658</v>
      </c>
      <c r="E1447" s="24">
        <v>37585</v>
      </c>
      <c r="F1447">
        <v>5</v>
      </c>
      <c r="G1447">
        <v>1</v>
      </c>
      <c r="H1447" t="s">
        <v>4578</v>
      </c>
      <c r="I1447">
        <v>5</v>
      </c>
    </row>
    <row r="1448" spans="2:9" x14ac:dyDescent="0.3">
      <c r="B1448" t="s">
        <v>103</v>
      </c>
      <c r="C1448" t="s">
        <v>2523</v>
      </c>
      <c r="D1448" t="s">
        <v>2658</v>
      </c>
      <c r="E1448" s="24">
        <v>39049</v>
      </c>
      <c r="F1448">
        <v>10</v>
      </c>
      <c r="G1448">
        <v>1</v>
      </c>
      <c r="H1448" t="s">
        <v>4579</v>
      </c>
      <c r="I1448">
        <v>10</v>
      </c>
    </row>
    <row r="1449" spans="2:9" x14ac:dyDescent="0.3">
      <c r="B1449" t="s">
        <v>4580</v>
      </c>
      <c r="C1449" t="s">
        <v>4581</v>
      </c>
      <c r="D1449" t="s">
        <v>2658</v>
      </c>
      <c r="E1449" s="24">
        <v>42144</v>
      </c>
      <c r="F1449">
        <v>10</v>
      </c>
      <c r="G1449">
        <v>1</v>
      </c>
      <c r="H1449" t="s">
        <v>4582</v>
      </c>
      <c r="I1449">
        <v>10</v>
      </c>
    </row>
    <row r="1450" spans="2:9" x14ac:dyDescent="0.3">
      <c r="B1450" t="s">
        <v>1181</v>
      </c>
      <c r="C1450" t="s">
        <v>2524</v>
      </c>
      <c r="D1450" t="s">
        <v>2658</v>
      </c>
      <c r="E1450" s="24">
        <v>40781</v>
      </c>
      <c r="F1450">
        <v>10</v>
      </c>
      <c r="G1450">
        <v>1</v>
      </c>
      <c r="H1450" t="s">
        <v>4583</v>
      </c>
      <c r="I1450">
        <v>10</v>
      </c>
    </row>
    <row r="1451" spans="2:9" x14ac:dyDescent="0.3">
      <c r="B1451" t="s">
        <v>1182</v>
      </c>
      <c r="C1451" t="s">
        <v>2525</v>
      </c>
      <c r="D1451" t="s">
        <v>2658</v>
      </c>
      <c r="E1451" s="24">
        <v>38145</v>
      </c>
      <c r="F1451">
        <v>1</v>
      </c>
      <c r="G1451">
        <v>1</v>
      </c>
      <c r="H1451" t="s">
        <v>4584</v>
      </c>
      <c r="I1451">
        <v>1</v>
      </c>
    </row>
    <row r="1452" spans="2:9" x14ac:dyDescent="0.3">
      <c r="B1452" t="s">
        <v>1182</v>
      </c>
      <c r="C1452" t="s">
        <v>2525</v>
      </c>
      <c r="D1452" t="s">
        <v>3173</v>
      </c>
      <c r="E1452" s="24">
        <v>38145</v>
      </c>
      <c r="F1452">
        <v>1</v>
      </c>
      <c r="G1452">
        <v>1</v>
      </c>
      <c r="H1452" t="s">
        <v>4584</v>
      </c>
      <c r="I1452">
        <v>1</v>
      </c>
    </row>
    <row r="1453" spans="2:9" x14ac:dyDescent="0.3">
      <c r="B1453" t="s">
        <v>1183</v>
      </c>
      <c r="C1453" t="s">
        <v>2526</v>
      </c>
      <c r="D1453" t="s">
        <v>2658</v>
      </c>
      <c r="E1453" s="24">
        <v>40263</v>
      </c>
      <c r="F1453">
        <v>10</v>
      </c>
      <c r="G1453">
        <v>1</v>
      </c>
      <c r="H1453" t="s">
        <v>4585</v>
      </c>
      <c r="I1453">
        <v>10</v>
      </c>
    </row>
    <row r="1454" spans="2:9" x14ac:dyDescent="0.3">
      <c r="B1454" t="s">
        <v>125</v>
      </c>
      <c r="C1454" t="s">
        <v>2527</v>
      </c>
      <c r="D1454" t="s">
        <v>2658</v>
      </c>
      <c r="E1454" s="24">
        <v>36943</v>
      </c>
      <c r="F1454">
        <v>10</v>
      </c>
      <c r="G1454">
        <v>1</v>
      </c>
      <c r="H1454" t="s">
        <v>4586</v>
      </c>
      <c r="I1454">
        <v>10</v>
      </c>
    </row>
    <row r="1455" spans="2:9" x14ac:dyDescent="0.3">
      <c r="B1455" t="s">
        <v>1184</v>
      </c>
      <c r="C1455" t="s">
        <v>2528</v>
      </c>
      <c r="D1455" t="s">
        <v>2658</v>
      </c>
      <c r="E1455" s="24">
        <v>35894</v>
      </c>
      <c r="F1455">
        <v>10</v>
      </c>
      <c r="G1455">
        <v>1</v>
      </c>
      <c r="H1455" t="s">
        <v>4587</v>
      </c>
      <c r="I1455">
        <v>10</v>
      </c>
    </row>
    <row r="1456" spans="2:9" x14ac:dyDescent="0.3">
      <c r="B1456" t="s">
        <v>1185</v>
      </c>
      <c r="C1456" t="s">
        <v>2529</v>
      </c>
      <c r="D1456" t="s">
        <v>2658</v>
      </c>
      <c r="E1456" s="24">
        <v>39444</v>
      </c>
      <c r="F1456">
        <v>10</v>
      </c>
      <c r="G1456">
        <v>1</v>
      </c>
      <c r="H1456" t="s">
        <v>4588</v>
      </c>
      <c r="I1456">
        <v>10</v>
      </c>
    </row>
    <row r="1457" spans="2:9" x14ac:dyDescent="0.3">
      <c r="B1457" t="s">
        <v>1186</v>
      </c>
      <c r="C1457" t="s">
        <v>2530</v>
      </c>
      <c r="D1457" t="s">
        <v>2658</v>
      </c>
      <c r="E1457" s="24">
        <v>40844</v>
      </c>
      <c r="F1457">
        <v>1</v>
      </c>
      <c r="G1457">
        <v>1</v>
      </c>
      <c r="H1457" t="s">
        <v>4589</v>
      </c>
      <c r="I1457">
        <v>1</v>
      </c>
    </row>
    <row r="1458" spans="2:9" x14ac:dyDescent="0.3">
      <c r="B1458" t="s">
        <v>1187</v>
      </c>
      <c r="C1458" t="s">
        <v>2531</v>
      </c>
      <c r="D1458" t="s">
        <v>2658</v>
      </c>
      <c r="E1458" s="24">
        <v>38699</v>
      </c>
      <c r="F1458">
        <v>1</v>
      </c>
      <c r="G1458">
        <v>1</v>
      </c>
      <c r="H1458" t="s">
        <v>4590</v>
      </c>
      <c r="I1458">
        <v>1</v>
      </c>
    </row>
    <row r="1459" spans="2:9" x14ac:dyDescent="0.3">
      <c r="B1459" t="s">
        <v>4591</v>
      </c>
      <c r="C1459" t="s">
        <v>4592</v>
      </c>
      <c r="D1459" t="s">
        <v>2658</v>
      </c>
      <c r="E1459" s="24">
        <v>42340</v>
      </c>
      <c r="F1459">
        <v>10</v>
      </c>
      <c r="G1459">
        <v>1</v>
      </c>
      <c r="H1459" t="s">
        <v>4593</v>
      </c>
      <c r="I1459">
        <v>10</v>
      </c>
    </row>
    <row r="1460" spans="2:9" x14ac:dyDescent="0.3">
      <c r="B1460" t="s">
        <v>1188</v>
      </c>
      <c r="C1460" t="s">
        <v>2532</v>
      </c>
      <c r="D1460" t="s">
        <v>2658</v>
      </c>
      <c r="E1460" s="24">
        <v>36516</v>
      </c>
      <c r="F1460">
        <v>10</v>
      </c>
      <c r="G1460">
        <v>1</v>
      </c>
      <c r="H1460" t="s">
        <v>4594</v>
      </c>
      <c r="I1460">
        <v>10</v>
      </c>
    </row>
    <row r="1461" spans="2:9" x14ac:dyDescent="0.3">
      <c r="B1461" t="s">
        <v>1189</v>
      </c>
      <c r="C1461" t="s">
        <v>2533</v>
      </c>
      <c r="D1461" t="s">
        <v>2658</v>
      </c>
      <c r="E1461" s="24">
        <v>39135</v>
      </c>
      <c r="F1461">
        <v>10</v>
      </c>
      <c r="G1461">
        <v>1</v>
      </c>
      <c r="H1461" t="s">
        <v>4595</v>
      </c>
      <c r="I1461">
        <v>10</v>
      </c>
    </row>
    <row r="1462" spans="2:9" x14ac:dyDescent="0.3">
      <c r="B1462" t="s">
        <v>1190</v>
      </c>
      <c r="C1462" t="s">
        <v>2534</v>
      </c>
      <c r="D1462" t="s">
        <v>2658</v>
      </c>
      <c r="E1462" s="24">
        <v>36819</v>
      </c>
      <c r="F1462">
        <v>10</v>
      </c>
      <c r="G1462">
        <v>1</v>
      </c>
      <c r="H1462" t="s">
        <v>4596</v>
      </c>
      <c r="I1462">
        <v>10</v>
      </c>
    </row>
    <row r="1463" spans="2:9" x14ac:dyDescent="0.3">
      <c r="B1463" t="s">
        <v>1191</v>
      </c>
      <c r="C1463" t="s">
        <v>2535</v>
      </c>
      <c r="D1463" t="s">
        <v>2658</v>
      </c>
      <c r="E1463" s="24">
        <v>34829</v>
      </c>
      <c r="F1463">
        <v>2</v>
      </c>
      <c r="G1463">
        <v>1</v>
      </c>
      <c r="H1463" t="s">
        <v>4597</v>
      </c>
      <c r="I1463">
        <v>2</v>
      </c>
    </row>
    <row r="1464" spans="2:9" x14ac:dyDescent="0.3">
      <c r="B1464" t="s">
        <v>1192</v>
      </c>
      <c r="C1464" t="s">
        <v>2536</v>
      </c>
      <c r="D1464" t="s">
        <v>2658</v>
      </c>
      <c r="E1464" s="24">
        <v>39503</v>
      </c>
      <c r="F1464">
        <v>10</v>
      </c>
      <c r="G1464">
        <v>1</v>
      </c>
      <c r="H1464" t="s">
        <v>4598</v>
      </c>
      <c r="I1464">
        <v>10</v>
      </c>
    </row>
    <row r="1465" spans="2:9" x14ac:dyDescent="0.3">
      <c r="B1465" t="s">
        <v>96</v>
      </c>
      <c r="C1465" t="s">
        <v>2537</v>
      </c>
      <c r="D1465" t="s">
        <v>2658</v>
      </c>
      <c r="E1465" s="24">
        <v>39121</v>
      </c>
      <c r="F1465">
        <v>2</v>
      </c>
      <c r="G1465">
        <v>1</v>
      </c>
      <c r="H1465" t="s">
        <v>4599</v>
      </c>
      <c r="I1465">
        <v>2</v>
      </c>
    </row>
    <row r="1466" spans="2:9" x14ac:dyDescent="0.3">
      <c r="B1466" t="s">
        <v>1193</v>
      </c>
      <c r="C1466" t="s">
        <v>2538</v>
      </c>
      <c r="D1466" t="s">
        <v>2658</v>
      </c>
      <c r="E1466" s="24">
        <v>37981</v>
      </c>
      <c r="F1466">
        <v>10</v>
      </c>
      <c r="G1466">
        <v>1</v>
      </c>
      <c r="H1466" t="s">
        <v>4600</v>
      </c>
      <c r="I1466">
        <v>10</v>
      </c>
    </row>
    <row r="1467" spans="2:9" x14ac:dyDescent="0.3">
      <c r="B1467" t="s">
        <v>1194</v>
      </c>
      <c r="C1467" t="s">
        <v>2539</v>
      </c>
      <c r="D1467" t="s">
        <v>2658</v>
      </c>
      <c r="E1467" s="24">
        <v>36740</v>
      </c>
      <c r="F1467">
        <v>1</v>
      </c>
      <c r="G1467">
        <v>1</v>
      </c>
      <c r="H1467" t="s">
        <v>4601</v>
      </c>
      <c r="I1467">
        <v>1</v>
      </c>
    </row>
    <row r="1468" spans="2:9" x14ac:dyDescent="0.3">
      <c r="B1468" t="s">
        <v>1195</v>
      </c>
      <c r="C1468" t="s">
        <v>2540</v>
      </c>
      <c r="D1468" t="s">
        <v>2658</v>
      </c>
      <c r="E1468" s="24">
        <v>39126</v>
      </c>
      <c r="F1468">
        <v>10</v>
      </c>
      <c r="G1468">
        <v>1</v>
      </c>
      <c r="H1468" t="s">
        <v>4602</v>
      </c>
      <c r="I1468">
        <v>10</v>
      </c>
    </row>
    <row r="1469" spans="2:9" x14ac:dyDescent="0.3">
      <c r="B1469" t="s">
        <v>1196</v>
      </c>
      <c r="C1469" t="s">
        <v>2541</v>
      </c>
      <c r="D1469" t="s">
        <v>2658</v>
      </c>
      <c r="E1469" s="24">
        <v>38002</v>
      </c>
      <c r="F1469">
        <v>5</v>
      </c>
      <c r="G1469">
        <v>1</v>
      </c>
      <c r="H1469" t="s">
        <v>4603</v>
      </c>
      <c r="I1469">
        <v>5</v>
      </c>
    </row>
    <row r="1470" spans="2:9" x14ac:dyDescent="0.3">
      <c r="B1470" t="s">
        <v>4604</v>
      </c>
      <c r="C1470" t="s">
        <v>4605</v>
      </c>
      <c r="D1470" t="s">
        <v>2658</v>
      </c>
      <c r="E1470" s="24">
        <v>42628</v>
      </c>
      <c r="F1470">
        <v>10</v>
      </c>
      <c r="G1470">
        <v>1</v>
      </c>
      <c r="H1470" t="s">
        <v>4606</v>
      </c>
      <c r="I1470">
        <v>10</v>
      </c>
    </row>
    <row r="1471" spans="2:9" x14ac:dyDescent="0.3">
      <c r="B1471" t="s">
        <v>1197</v>
      </c>
      <c r="C1471" t="s">
        <v>2542</v>
      </c>
      <c r="D1471" t="s">
        <v>2658</v>
      </c>
      <c r="E1471" s="24">
        <v>39559</v>
      </c>
      <c r="F1471">
        <v>2</v>
      </c>
      <c r="G1471">
        <v>1</v>
      </c>
      <c r="H1471" t="s">
        <v>4607</v>
      </c>
      <c r="I1471">
        <v>2</v>
      </c>
    </row>
    <row r="1472" spans="2:9" x14ac:dyDescent="0.3">
      <c r="B1472" t="s">
        <v>1198</v>
      </c>
      <c r="C1472" t="s">
        <v>2543</v>
      </c>
      <c r="D1472" t="s">
        <v>2686</v>
      </c>
      <c r="E1472" s="24">
        <v>39589</v>
      </c>
      <c r="F1472">
        <v>10</v>
      </c>
      <c r="G1472">
        <v>1</v>
      </c>
      <c r="H1472" t="s">
        <v>4608</v>
      </c>
      <c r="I1472">
        <v>10</v>
      </c>
    </row>
    <row r="1473" spans="2:9" x14ac:dyDescent="0.3">
      <c r="B1473" t="s">
        <v>107</v>
      </c>
      <c r="C1473" t="s">
        <v>2544</v>
      </c>
      <c r="D1473" t="s">
        <v>2658</v>
      </c>
      <c r="E1473" s="24">
        <v>39657</v>
      </c>
      <c r="F1473">
        <v>1</v>
      </c>
      <c r="G1473">
        <v>1</v>
      </c>
      <c r="H1473" t="s">
        <v>4609</v>
      </c>
      <c r="I1473">
        <v>1</v>
      </c>
    </row>
    <row r="1474" spans="2:9" x14ac:dyDescent="0.3">
      <c r="B1474" t="s">
        <v>1199</v>
      </c>
      <c r="C1474" t="s">
        <v>2545</v>
      </c>
      <c r="D1474" t="s">
        <v>2658</v>
      </c>
      <c r="E1474" s="24">
        <v>34955</v>
      </c>
      <c r="F1474">
        <v>10</v>
      </c>
      <c r="G1474">
        <v>1</v>
      </c>
      <c r="H1474" t="s">
        <v>4610</v>
      </c>
      <c r="I1474">
        <v>10</v>
      </c>
    </row>
    <row r="1475" spans="2:9" x14ac:dyDescent="0.3">
      <c r="B1475" t="s">
        <v>1200</v>
      </c>
      <c r="C1475" t="s">
        <v>2546</v>
      </c>
      <c r="D1475" t="s">
        <v>2658</v>
      </c>
      <c r="E1475" s="24">
        <v>37903</v>
      </c>
      <c r="F1475">
        <v>10</v>
      </c>
      <c r="G1475">
        <v>1</v>
      </c>
      <c r="H1475" t="s">
        <v>4611</v>
      </c>
      <c r="I1475">
        <v>10</v>
      </c>
    </row>
    <row r="1476" spans="2:9" x14ac:dyDescent="0.3">
      <c r="B1476" t="s">
        <v>1201</v>
      </c>
      <c r="C1476" t="s">
        <v>2547</v>
      </c>
      <c r="D1476" t="s">
        <v>2658</v>
      </c>
      <c r="E1476" s="24">
        <v>34934</v>
      </c>
      <c r="F1476">
        <v>10</v>
      </c>
      <c r="G1476">
        <v>1</v>
      </c>
      <c r="H1476" t="s">
        <v>4612</v>
      </c>
      <c r="I1476">
        <v>10</v>
      </c>
    </row>
    <row r="1477" spans="2:9" x14ac:dyDescent="0.3">
      <c r="B1477" t="s">
        <v>4613</v>
      </c>
      <c r="C1477" t="s">
        <v>4614</v>
      </c>
      <c r="D1477" t="s">
        <v>2658</v>
      </c>
      <c r="E1477" s="24">
        <v>42138</v>
      </c>
      <c r="F1477">
        <v>10</v>
      </c>
      <c r="G1477">
        <v>1</v>
      </c>
      <c r="H1477" t="s">
        <v>4615</v>
      </c>
      <c r="I1477">
        <v>10</v>
      </c>
    </row>
    <row r="1478" spans="2:9" x14ac:dyDescent="0.3">
      <c r="B1478" t="s">
        <v>1202</v>
      </c>
      <c r="C1478" t="s">
        <v>2548</v>
      </c>
      <c r="D1478" t="s">
        <v>2658</v>
      </c>
      <c r="E1478" s="24">
        <v>40413</v>
      </c>
      <c r="F1478">
        <v>1</v>
      </c>
      <c r="G1478">
        <v>1</v>
      </c>
      <c r="H1478" t="s">
        <v>4616</v>
      </c>
      <c r="I1478">
        <v>1</v>
      </c>
    </row>
    <row r="1479" spans="2:9" x14ac:dyDescent="0.3">
      <c r="B1479" t="s">
        <v>1203</v>
      </c>
      <c r="C1479" t="s">
        <v>2549</v>
      </c>
      <c r="D1479" t="s">
        <v>2658</v>
      </c>
      <c r="E1479" s="24">
        <v>40836</v>
      </c>
      <c r="F1479">
        <v>1</v>
      </c>
      <c r="G1479">
        <v>1</v>
      </c>
      <c r="H1479" t="s">
        <v>4617</v>
      </c>
      <c r="I1479">
        <v>1</v>
      </c>
    </row>
    <row r="1480" spans="2:9" x14ac:dyDescent="0.3">
      <c r="B1480" t="s">
        <v>4618</v>
      </c>
      <c r="C1480" t="s">
        <v>4619</v>
      </c>
      <c r="D1480" t="s">
        <v>2658</v>
      </c>
      <c r="E1480" s="24">
        <v>42500</v>
      </c>
      <c r="F1480">
        <v>10</v>
      </c>
      <c r="G1480">
        <v>1</v>
      </c>
      <c r="H1480" t="s">
        <v>4620</v>
      </c>
      <c r="I1480">
        <v>10</v>
      </c>
    </row>
    <row r="1481" spans="2:9" x14ac:dyDescent="0.3">
      <c r="B1481" t="s">
        <v>4618</v>
      </c>
      <c r="C1481" t="s">
        <v>4619</v>
      </c>
      <c r="D1481" t="s">
        <v>3173</v>
      </c>
      <c r="E1481" s="24">
        <v>42500</v>
      </c>
      <c r="F1481">
        <v>10</v>
      </c>
      <c r="G1481">
        <v>1</v>
      </c>
      <c r="H1481" t="s">
        <v>4620</v>
      </c>
      <c r="I1481">
        <v>10</v>
      </c>
    </row>
    <row r="1482" spans="2:9" x14ac:dyDescent="0.3">
      <c r="B1482" t="s">
        <v>1204</v>
      </c>
      <c r="C1482" t="s">
        <v>2550</v>
      </c>
      <c r="D1482" t="s">
        <v>2658</v>
      </c>
      <c r="E1482" s="24">
        <v>38223</v>
      </c>
      <c r="F1482">
        <v>10</v>
      </c>
      <c r="G1482">
        <v>1</v>
      </c>
      <c r="H1482" t="s">
        <v>4621</v>
      </c>
      <c r="I1482">
        <v>10</v>
      </c>
    </row>
    <row r="1483" spans="2:9" x14ac:dyDescent="0.3">
      <c r="B1483" t="s">
        <v>4622</v>
      </c>
      <c r="C1483" t="s">
        <v>4623</v>
      </c>
      <c r="D1483" t="s">
        <v>2658</v>
      </c>
      <c r="E1483" s="24">
        <v>42340</v>
      </c>
      <c r="F1483">
        <v>5</v>
      </c>
      <c r="G1483">
        <v>1</v>
      </c>
      <c r="H1483" t="s">
        <v>4624</v>
      </c>
      <c r="I1483">
        <v>5</v>
      </c>
    </row>
    <row r="1484" spans="2:9" x14ac:dyDescent="0.3">
      <c r="B1484" t="s">
        <v>1205</v>
      </c>
      <c r="C1484" t="s">
        <v>2551</v>
      </c>
      <c r="D1484" t="s">
        <v>2658</v>
      </c>
      <c r="E1484" s="24">
        <v>40371</v>
      </c>
      <c r="F1484">
        <v>1</v>
      </c>
      <c r="G1484">
        <v>1</v>
      </c>
      <c r="H1484" t="s">
        <v>4625</v>
      </c>
      <c r="I1484">
        <v>1</v>
      </c>
    </row>
    <row r="1485" spans="2:9" x14ac:dyDescent="0.3">
      <c r="B1485" t="s">
        <v>1206</v>
      </c>
      <c r="C1485" t="s">
        <v>2552</v>
      </c>
      <c r="D1485" t="s">
        <v>2658</v>
      </c>
      <c r="E1485" s="24">
        <v>36929</v>
      </c>
      <c r="F1485">
        <v>2</v>
      </c>
      <c r="G1485">
        <v>1</v>
      </c>
      <c r="H1485" t="s">
        <v>4626</v>
      </c>
      <c r="I1485">
        <v>2</v>
      </c>
    </row>
    <row r="1486" spans="2:9" x14ac:dyDescent="0.3">
      <c r="B1486" t="s">
        <v>1207</v>
      </c>
      <c r="C1486" t="s">
        <v>2553</v>
      </c>
      <c r="D1486" t="s">
        <v>2658</v>
      </c>
      <c r="E1486" s="24">
        <v>38009</v>
      </c>
      <c r="F1486">
        <v>2</v>
      </c>
      <c r="G1486">
        <v>1</v>
      </c>
      <c r="H1486" t="s">
        <v>4627</v>
      </c>
      <c r="I1486">
        <v>2</v>
      </c>
    </row>
    <row r="1487" spans="2:9" x14ac:dyDescent="0.3">
      <c r="B1487" t="s">
        <v>105</v>
      </c>
      <c r="C1487" t="s">
        <v>2554</v>
      </c>
      <c r="D1487" t="s">
        <v>2658</v>
      </c>
      <c r="E1487" s="24">
        <v>37523</v>
      </c>
      <c r="F1487">
        <v>10</v>
      </c>
      <c r="G1487">
        <v>1</v>
      </c>
      <c r="H1487" t="s">
        <v>4628</v>
      </c>
      <c r="I1487">
        <v>10</v>
      </c>
    </row>
    <row r="1488" spans="2:9" x14ac:dyDescent="0.3">
      <c r="B1488" t="s">
        <v>1208</v>
      </c>
      <c r="C1488" t="s">
        <v>2555</v>
      </c>
      <c r="D1488" t="s">
        <v>2686</v>
      </c>
      <c r="E1488" s="24">
        <v>39149</v>
      </c>
      <c r="F1488">
        <v>10</v>
      </c>
      <c r="G1488">
        <v>1</v>
      </c>
      <c r="H1488" t="s">
        <v>4629</v>
      </c>
      <c r="I1488">
        <v>10</v>
      </c>
    </row>
    <row r="1489" spans="2:9" x14ac:dyDescent="0.3">
      <c r="B1489" t="s">
        <v>106</v>
      </c>
      <c r="C1489" t="s">
        <v>2556</v>
      </c>
      <c r="D1489" t="s">
        <v>2658</v>
      </c>
      <c r="E1489" s="24">
        <v>36411</v>
      </c>
      <c r="F1489">
        <v>2</v>
      </c>
      <c r="G1489">
        <v>1</v>
      </c>
      <c r="H1489" t="s">
        <v>4630</v>
      </c>
      <c r="I1489">
        <v>2</v>
      </c>
    </row>
    <row r="1490" spans="2:9" x14ac:dyDescent="0.3">
      <c r="B1490" t="s">
        <v>1209</v>
      </c>
      <c r="C1490" t="s">
        <v>2557</v>
      </c>
      <c r="D1490" t="s">
        <v>2658</v>
      </c>
      <c r="E1490" s="24">
        <v>40255</v>
      </c>
      <c r="F1490">
        <v>10</v>
      </c>
      <c r="G1490">
        <v>1</v>
      </c>
      <c r="H1490" t="s">
        <v>4631</v>
      </c>
      <c r="I1490">
        <v>10</v>
      </c>
    </row>
    <row r="1491" spans="2:9" x14ac:dyDescent="0.3">
      <c r="B1491" t="s">
        <v>4632</v>
      </c>
      <c r="C1491" t="s">
        <v>4633</v>
      </c>
      <c r="D1491" t="s">
        <v>2658</v>
      </c>
      <c r="E1491" s="24">
        <v>42032</v>
      </c>
      <c r="F1491">
        <v>10</v>
      </c>
      <c r="G1491">
        <v>1</v>
      </c>
      <c r="H1491" t="s">
        <v>4634</v>
      </c>
      <c r="I1491">
        <v>10</v>
      </c>
    </row>
    <row r="1492" spans="2:9" x14ac:dyDescent="0.3">
      <c r="B1492" t="s">
        <v>1210</v>
      </c>
      <c r="C1492" t="s">
        <v>2558</v>
      </c>
      <c r="D1492" t="s">
        <v>2658</v>
      </c>
      <c r="E1492" s="24">
        <v>38880</v>
      </c>
      <c r="F1492">
        <v>2</v>
      </c>
      <c r="G1492">
        <v>1</v>
      </c>
      <c r="H1492" t="s">
        <v>4635</v>
      </c>
      <c r="I1492">
        <v>2</v>
      </c>
    </row>
    <row r="1493" spans="2:9" x14ac:dyDescent="0.3">
      <c r="B1493" t="s">
        <v>1211</v>
      </c>
      <c r="C1493" t="s">
        <v>2559</v>
      </c>
      <c r="D1493" t="s">
        <v>2658</v>
      </c>
      <c r="E1493" s="24">
        <v>34836</v>
      </c>
      <c r="F1493">
        <v>10</v>
      </c>
      <c r="G1493">
        <v>1</v>
      </c>
      <c r="H1493" t="s">
        <v>4636</v>
      </c>
      <c r="I1493">
        <v>10</v>
      </c>
    </row>
    <row r="1494" spans="2:9" x14ac:dyDescent="0.3">
      <c r="B1494" t="s">
        <v>104</v>
      </c>
      <c r="C1494" t="s">
        <v>2560</v>
      </c>
      <c r="D1494" t="s">
        <v>2658</v>
      </c>
      <c r="E1494" s="24">
        <v>38009</v>
      </c>
      <c r="F1494">
        <v>2</v>
      </c>
      <c r="G1494">
        <v>1</v>
      </c>
      <c r="H1494" t="s">
        <v>4637</v>
      </c>
      <c r="I1494">
        <v>2</v>
      </c>
    </row>
    <row r="1495" spans="2:9" x14ac:dyDescent="0.3">
      <c r="B1495" t="s">
        <v>4638</v>
      </c>
      <c r="C1495" t="s">
        <v>4639</v>
      </c>
      <c r="D1495" t="s">
        <v>2686</v>
      </c>
      <c r="E1495" s="24">
        <v>42822</v>
      </c>
      <c r="F1495">
        <v>1</v>
      </c>
      <c r="G1495">
        <v>1</v>
      </c>
      <c r="H1495" t="s">
        <v>4640</v>
      </c>
      <c r="I1495">
        <v>1</v>
      </c>
    </row>
    <row r="1496" spans="2:9" x14ac:dyDescent="0.3">
      <c r="B1496" t="s">
        <v>1212</v>
      </c>
      <c r="C1496" t="s">
        <v>2561</v>
      </c>
      <c r="D1496" t="s">
        <v>2658</v>
      </c>
      <c r="E1496" s="24">
        <v>36810</v>
      </c>
      <c r="F1496">
        <v>1</v>
      </c>
      <c r="G1496">
        <v>1</v>
      </c>
      <c r="H1496" t="s">
        <v>4641</v>
      </c>
      <c r="I1496">
        <v>1</v>
      </c>
    </row>
    <row r="1497" spans="2:9" x14ac:dyDescent="0.3">
      <c r="B1497" t="s">
        <v>1213</v>
      </c>
      <c r="C1497" t="s">
        <v>2562</v>
      </c>
      <c r="D1497" t="s">
        <v>2658</v>
      </c>
      <c r="E1497" s="24">
        <v>40389</v>
      </c>
      <c r="F1497">
        <v>10</v>
      </c>
      <c r="G1497">
        <v>1</v>
      </c>
      <c r="H1497" t="s">
        <v>4642</v>
      </c>
      <c r="I1497">
        <v>10</v>
      </c>
    </row>
    <row r="1498" spans="2:9" x14ac:dyDescent="0.3">
      <c r="B1498" t="s">
        <v>1214</v>
      </c>
      <c r="C1498" t="s">
        <v>2563</v>
      </c>
      <c r="D1498" t="s">
        <v>2658</v>
      </c>
      <c r="E1498" s="24">
        <v>34844</v>
      </c>
      <c r="F1498">
        <v>10</v>
      </c>
      <c r="G1498">
        <v>1</v>
      </c>
      <c r="H1498" t="s">
        <v>4643</v>
      </c>
      <c r="I1498">
        <v>10</v>
      </c>
    </row>
    <row r="1499" spans="2:9" x14ac:dyDescent="0.3">
      <c r="B1499" t="s">
        <v>1215</v>
      </c>
      <c r="C1499" t="s">
        <v>2564</v>
      </c>
      <c r="D1499" t="s">
        <v>2658</v>
      </c>
      <c r="E1499" s="24">
        <v>38817</v>
      </c>
      <c r="F1499">
        <v>10</v>
      </c>
      <c r="G1499">
        <v>1</v>
      </c>
      <c r="H1499" t="s">
        <v>4644</v>
      </c>
      <c r="I1499">
        <v>10</v>
      </c>
    </row>
    <row r="1500" spans="2:9" x14ac:dyDescent="0.3">
      <c r="B1500" t="s">
        <v>4645</v>
      </c>
      <c r="C1500" t="s">
        <v>2565</v>
      </c>
      <c r="D1500" t="s">
        <v>2686</v>
      </c>
      <c r="E1500" s="24">
        <v>42545</v>
      </c>
      <c r="F1500">
        <v>1</v>
      </c>
      <c r="G1500">
        <v>1</v>
      </c>
      <c r="H1500" t="s">
        <v>4646</v>
      </c>
      <c r="I1500">
        <v>1</v>
      </c>
    </row>
    <row r="1501" spans="2:9" x14ac:dyDescent="0.3">
      <c r="B1501" t="s">
        <v>1216</v>
      </c>
      <c r="C1501" t="s">
        <v>2566</v>
      </c>
      <c r="D1501" t="s">
        <v>2658</v>
      </c>
      <c r="E1501" s="24">
        <v>39267</v>
      </c>
      <c r="F1501">
        <v>10</v>
      </c>
      <c r="G1501">
        <v>1</v>
      </c>
      <c r="H1501" t="s">
        <v>4647</v>
      </c>
      <c r="I1501">
        <v>10</v>
      </c>
    </row>
    <row r="1502" spans="2:9" x14ac:dyDescent="0.3">
      <c r="B1502" t="s">
        <v>1217</v>
      </c>
      <c r="C1502" t="s">
        <v>2567</v>
      </c>
      <c r="D1502" t="s">
        <v>2658</v>
      </c>
      <c r="E1502" s="24">
        <v>40709</v>
      </c>
      <c r="F1502">
        <v>10</v>
      </c>
      <c r="G1502">
        <v>1</v>
      </c>
      <c r="H1502" t="s">
        <v>4648</v>
      </c>
      <c r="I1502">
        <v>10</v>
      </c>
    </row>
    <row r="1503" spans="2:9" x14ac:dyDescent="0.3">
      <c r="B1503" t="s">
        <v>1218</v>
      </c>
      <c r="C1503" t="s">
        <v>2568</v>
      </c>
      <c r="D1503" t="s">
        <v>2686</v>
      </c>
      <c r="E1503" s="24">
        <v>38082</v>
      </c>
      <c r="F1503">
        <v>10</v>
      </c>
      <c r="G1503">
        <v>1</v>
      </c>
      <c r="H1503" t="s">
        <v>4649</v>
      </c>
      <c r="I1503">
        <v>10</v>
      </c>
    </row>
    <row r="1504" spans="2:9" x14ac:dyDescent="0.3">
      <c r="B1504" t="s">
        <v>1219</v>
      </c>
      <c r="C1504" t="s">
        <v>4650</v>
      </c>
      <c r="D1504" t="s">
        <v>2658</v>
      </c>
      <c r="E1504" s="24">
        <v>38810</v>
      </c>
      <c r="F1504">
        <v>1</v>
      </c>
      <c r="G1504">
        <v>1</v>
      </c>
      <c r="H1504" t="s">
        <v>4651</v>
      </c>
      <c r="I1504">
        <v>1</v>
      </c>
    </row>
    <row r="1505" spans="2:9" x14ac:dyDescent="0.3">
      <c r="B1505" t="s">
        <v>1220</v>
      </c>
      <c r="C1505" t="s">
        <v>2569</v>
      </c>
      <c r="D1505" t="s">
        <v>2658</v>
      </c>
      <c r="E1505" s="24">
        <v>35277</v>
      </c>
      <c r="F1505">
        <v>10</v>
      </c>
      <c r="G1505">
        <v>1</v>
      </c>
      <c r="H1505" t="s">
        <v>4652</v>
      </c>
      <c r="I1505">
        <v>10</v>
      </c>
    </row>
    <row r="1506" spans="2:9" x14ac:dyDescent="0.3">
      <c r="B1506" t="s">
        <v>1221</v>
      </c>
      <c r="C1506" t="s">
        <v>2570</v>
      </c>
      <c r="D1506" t="s">
        <v>2658</v>
      </c>
      <c r="E1506" s="24">
        <v>37894</v>
      </c>
      <c r="F1506">
        <v>10</v>
      </c>
      <c r="G1506">
        <v>1</v>
      </c>
      <c r="H1506" t="s">
        <v>4653</v>
      </c>
      <c r="I1506">
        <v>10</v>
      </c>
    </row>
    <row r="1507" spans="2:9" x14ac:dyDescent="0.3">
      <c r="B1507" t="s">
        <v>1222</v>
      </c>
      <c r="C1507" t="s">
        <v>2571</v>
      </c>
      <c r="D1507" t="s">
        <v>2658</v>
      </c>
      <c r="E1507" s="24">
        <v>37753</v>
      </c>
      <c r="F1507">
        <v>10</v>
      </c>
      <c r="G1507">
        <v>1</v>
      </c>
      <c r="H1507" t="s">
        <v>4654</v>
      </c>
      <c r="I1507">
        <v>10</v>
      </c>
    </row>
    <row r="1508" spans="2:9" x14ac:dyDescent="0.3">
      <c r="B1508" t="s">
        <v>1223</v>
      </c>
      <c r="C1508" t="s">
        <v>2572</v>
      </c>
      <c r="D1508" t="s">
        <v>2658</v>
      </c>
      <c r="E1508" s="24">
        <v>40224</v>
      </c>
      <c r="F1508">
        <v>10</v>
      </c>
      <c r="G1508">
        <v>1</v>
      </c>
      <c r="H1508" t="s">
        <v>4655</v>
      </c>
      <c r="I1508">
        <v>10</v>
      </c>
    </row>
    <row r="1509" spans="2:9" x14ac:dyDescent="0.3">
      <c r="B1509" t="s">
        <v>1224</v>
      </c>
      <c r="C1509" t="s">
        <v>2573</v>
      </c>
      <c r="D1509" t="s">
        <v>2658</v>
      </c>
      <c r="E1509" s="24">
        <v>40806</v>
      </c>
      <c r="F1509">
        <v>10</v>
      </c>
      <c r="G1509">
        <v>1</v>
      </c>
      <c r="H1509" t="s">
        <v>4656</v>
      </c>
      <c r="I1509">
        <v>10</v>
      </c>
    </row>
    <row r="1510" spans="2:9" x14ac:dyDescent="0.3">
      <c r="B1510" t="s">
        <v>4657</v>
      </c>
      <c r="C1510" t="s">
        <v>4658</v>
      </c>
      <c r="D1510" t="s">
        <v>2658</v>
      </c>
      <c r="E1510" s="24">
        <v>42682</v>
      </c>
      <c r="F1510">
        <v>10</v>
      </c>
      <c r="G1510">
        <v>1</v>
      </c>
      <c r="H1510" t="s">
        <v>4659</v>
      </c>
      <c r="I1510">
        <v>10</v>
      </c>
    </row>
    <row r="1511" spans="2:9" x14ac:dyDescent="0.3">
      <c r="B1511" t="s">
        <v>4660</v>
      </c>
      <c r="C1511" t="s">
        <v>4661</v>
      </c>
      <c r="D1511" t="s">
        <v>2658</v>
      </c>
      <c r="E1511" s="24">
        <v>35928</v>
      </c>
      <c r="F1511">
        <v>1</v>
      </c>
      <c r="G1511">
        <v>1</v>
      </c>
      <c r="H1511" t="s">
        <v>4662</v>
      </c>
      <c r="I1511">
        <v>1</v>
      </c>
    </row>
    <row r="1512" spans="2:9" x14ac:dyDescent="0.3">
      <c r="B1512" t="s">
        <v>1225</v>
      </c>
      <c r="C1512" t="s">
        <v>2574</v>
      </c>
      <c r="D1512" t="s">
        <v>2658</v>
      </c>
      <c r="E1512" s="24">
        <v>37830</v>
      </c>
      <c r="F1512">
        <v>10</v>
      </c>
      <c r="G1512">
        <v>1</v>
      </c>
      <c r="H1512" t="s">
        <v>4663</v>
      </c>
      <c r="I1512">
        <v>10</v>
      </c>
    </row>
    <row r="1513" spans="2:9" x14ac:dyDescent="0.3">
      <c r="B1513" t="s">
        <v>1226</v>
      </c>
      <c r="C1513" t="s">
        <v>2575</v>
      </c>
      <c r="D1513" t="s">
        <v>2658</v>
      </c>
      <c r="E1513" s="24">
        <v>39071</v>
      </c>
      <c r="F1513">
        <v>10</v>
      </c>
      <c r="G1513">
        <v>1</v>
      </c>
      <c r="H1513" t="s">
        <v>4664</v>
      </c>
      <c r="I1513">
        <v>10</v>
      </c>
    </row>
    <row r="1514" spans="2:9" x14ac:dyDescent="0.3">
      <c r="B1514" t="s">
        <v>1227</v>
      </c>
      <c r="C1514" t="s">
        <v>2576</v>
      </c>
      <c r="D1514" t="s">
        <v>2658</v>
      </c>
      <c r="E1514" s="24">
        <v>37533</v>
      </c>
      <c r="F1514">
        <v>10</v>
      </c>
      <c r="G1514">
        <v>1</v>
      </c>
      <c r="H1514" t="s">
        <v>4665</v>
      </c>
      <c r="I1514">
        <v>10</v>
      </c>
    </row>
    <row r="1515" spans="2:9" x14ac:dyDescent="0.3">
      <c r="B1515" t="s">
        <v>1339</v>
      </c>
      <c r="C1515" t="s">
        <v>2642</v>
      </c>
      <c r="D1515" t="s">
        <v>2658</v>
      </c>
      <c r="E1515" s="24">
        <v>42123</v>
      </c>
      <c r="F1515">
        <v>10</v>
      </c>
      <c r="G1515">
        <v>1</v>
      </c>
      <c r="H1515" t="s">
        <v>4666</v>
      </c>
      <c r="I1515">
        <v>10</v>
      </c>
    </row>
    <row r="1516" spans="2:9" x14ac:dyDescent="0.3">
      <c r="B1516" t="s">
        <v>1228</v>
      </c>
      <c r="C1516" t="s">
        <v>2577</v>
      </c>
      <c r="D1516" t="s">
        <v>2658</v>
      </c>
      <c r="E1516" s="24">
        <v>39520</v>
      </c>
      <c r="F1516">
        <v>1</v>
      </c>
      <c r="G1516">
        <v>1</v>
      </c>
      <c r="H1516" t="s">
        <v>4667</v>
      </c>
      <c r="I1516">
        <v>1</v>
      </c>
    </row>
    <row r="1517" spans="2:9" x14ac:dyDescent="0.3">
      <c r="B1517" t="s">
        <v>1229</v>
      </c>
      <c r="C1517" t="s">
        <v>2578</v>
      </c>
      <c r="D1517" t="s">
        <v>2658</v>
      </c>
      <c r="E1517" s="24">
        <v>38533</v>
      </c>
      <c r="F1517">
        <v>10</v>
      </c>
      <c r="G1517">
        <v>1</v>
      </c>
      <c r="H1517" t="s">
        <v>4668</v>
      </c>
      <c r="I1517">
        <v>10</v>
      </c>
    </row>
    <row r="1518" spans="2:9" x14ac:dyDescent="0.3">
      <c r="B1518" t="s">
        <v>1230</v>
      </c>
      <c r="C1518" t="s">
        <v>2579</v>
      </c>
      <c r="D1518" t="s">
        <v>2658</v>
      </c>
      <c r="E1518" s="24">
        <v>39315</v>
      </c>
      <c r="F1518">
        <v>10</v>
      </c>
      <c r="G1518">
        <v>1</v>
      </c>
      <c r="H1518" t="s">
        <v>4669</v>
      </c>
      <c r="I1518">
        <v>10</v>
      </c>
    </row>
    <row r="1519" spans="2:9" x14ac:dyDescent="0.3">
      <c r="B1519" t="s">
        <v>1231</v>
      </c>
      <c r="C1519" t="s">
        <v>2580</v>
      </c>
      <c r="D1519" t="s">
        <v>2658</v>
      </c>
      <c r="E1519" s="24">
        <v>35277</v>
      </c>
      <c r="F1519">
        <v>10</v>
      </c>
      <c r="G1519">
        <v>1</v>
      </c>
      <c r="H1519" t="s">
        <v>4670</v>
      </c>
      <c r="I1519">
        <v>10</v>
      </c>
    </row>
    <row r="1520" spans="2:9" x14ac:dyDescent="0.3">
      <c r="B1520" t="s">
        <v>4671</v>
      </c>
      <c r="C1520" t="s">
        <v>4672</v>
      </c>
      <c r="D1520" t="s">
        <v>2658</v>
      </c>
      <c r="E1520" s="24">
        <v>42431</v>
      </c>
      <c r="F1520">
        <v>1</v>
      </c>
      <c r="G1520">
        <v>1</v>
      </c>
      <c r="H1520" t="s">
        <v>4673</v>
      </c>
      <c r="I1520">
        <v>1</v>
      </c>
    </row>
    <row r="1521" spans="2:9" x14ac:dyDescent="0.3">
      <c r="B1521" t="s">
        <v>1232</v>
      </c>
      <c r="C1521" t="s">
        <v>2581</v>
      </c>
      <c r="D1521" t="s">
        <v>2658</v>
      </c>
      <c r="E1521" s="24">
        <v>36901</v>
      </c>
      <c r="F1521">
        <v>10</v>
      </c>
      <c r="G1521">
        <v>1</v>
      </c>
      <c r="H1521" t="s">
        <v>4674</v>
      </c>
      <c r="I1521">
        <v>10</v>
      </c>
    </row>
    <row r="1522" spans="2:9" x14ac:dyDescent="0.3">
      <c r="B1522" t="s">
        <v>4675</v>
      </c>
      <c r="C1522" t="s">
        <v>4676</v>
      </c>
      <c r="D1522" t="s">
        <v>2686</v>
      </c>
      <c r="E1522" s="24">
        <v>42562</v>
      </c>
      <c r="F1522">
        <v>1</v>
      </c>
      <c r="G1522">
        <v>1</v>
      </c>
      <c r="H1522" t="s">
        <v>4677</v>
      </c>
      <c r="I1522">
        <v>1</v>
      </c>
    </row>
    <row r="1523" spans="2:9" x14ac:dyDescent="0.3">
      <c r="B1523" t="s">
        <v>1233</v>
      </c>
      <c r="C1523" t="s">
        <v>2582</v>
      </c>
      <c r="D1523" t="s">
        <v>2658</v>
      </c>
      <c r="E1523" s="24">
        <v>39589</v>
      </c>
      <c r="F1523">
        <v>10</v>
      </c>
      <c r="G1523">
        <v>1</v>
      </c>
      <c r="H1523" t="s">
        <v>4678</v>
      </c>
      <c r="I1523">
        <v>10</v>
      </c>
    </row>
    <row r="1524" spans="2:9" x14ac:dyDescent="0.3">
      <c r="B1524" t="s">
        <v>4679</v>
      </c>
      <c r="C1524" t="s">
        <v>4680</v>
      </c>
      <c r="D1524" t="s">
        <v>2658</v>
      </c>
      <c r="E1524" s="24">
        <v>40889</v>
      </c>
      <c r="F1524">
        <v>1</v>
      </c>
      <c r="G1524">
        <v>1</v>
      </c>
      <c r="H1524" t="s">
        <v>4681</v>
      </c>
      <c r="I1524">
        <v>1</v>
      </c>
    </row>
    <row r="1525" spans="2:9" x14ac:dyDescent="0.3">
      <c r="B1525" t="s">
        <v>1234</v>
      </c>
      <c r="C1525" t="s">
        <v>2583</v>
      </c>
      <c r="D1525" t="s">
        <v>2686</v>
      </c>
      <c r="E1525" s="24">
        <v>41415</v>
      </c>
      <c r="F1525">
        <v>10</v>
      </c>
      <c r="G1525">
        <v>1</v>
      </c>
      <c r="H1525" t="s">
        <v>4682</v>
      </c>
      <c r="I1525">
        <v>10</v>
      </c>
    </row>
    <row r="1526" spans="2:9" x14ac:dyDescent="0.3">
      <c r="B1526" t="s">
        <v>1235</v>
      </c>
      <c r="C1526" t="s">
        <v>2584</v>
      </c>
      <c r="D1526" t="s">
        <v>2658</v>
      </c>
      <c r="E1526" s="24">
        <v>38701</v>
      </c>
      <c r="F1526">
        <v>2</v>
      </c>
      <c r="G1526">
        <v>1</v>
      </c>
      <c r="H1526" t="s">
        <v>4683</v>
      </c>
      <c r="I1526">
        <v>2</v>
      </c>
    </row>
    <row r="1527" spans="2:9" x14ac:dyDescent="0.3">
      <c r="B1527" t="s">
        <v>1236</v>
      </c>
      <c r="C1527" t="s">
        <v>2585</v>
      </c>
      <c r="D1527" t="s">
        <v>2658</v>
      </c>
      <c r="E1527" s="24">
        <v>40022</v>
      </c>
      <c r="F1527">
        <v>2</v>
      </c>
      <c r="G1527">
        <v>1</v>
      </c>
      <c r="H1527" t="s">
        <v>4684</v>
      </c>
      <c r="I1527">
        <v>2</v>
      </c>
    </row>
    <row r="1528" spans="2:9" x14ac:dyDescent="0.3">
      <c r="B1528" t="s">
        <v>1237</v>
      </c>
      <c r="C1528" t="s">
        <v>2586</v>
      </c>
      <c r="D1528" t="s">
        <v>2658</v>
      </c>
      <c r="E1528" s="24">
        <v>34738</v>
      </c>
      <c r="F1528">
        <v>10</v>
      </c>
      <c r="G1528">
        <v>1</v>
      </c>
      <c r="H1528" t="s">
        <v>4685</v>
      </c>
      <c r="I1528">
        <v>10</v>
      </c>
    </row>
    <row r="1529" spans="2:9" x14ac:dyDescent="0.3">
      <c r="B1529" t="s">
        <v>1238</v>
      </c>
      <c r="C1529" t="s">
        <v>2587</v>
      </c>
      <c r="D1529" t="s">
        <v>2658</v>
      </c>
      <c r="E1529" s="24">
        <v>39650</v>
      </c>
      <c r="F1529">
        <v>1</v>
      </c>
      <c r="G1529">
        <v>1</v>
      </c>
      <c r="H1529" t="s">
        <v>4686</v>
      </c>
      <c r="I1529">
        <v>1</v>
      </c>
    </row>
    <row r="1530" spans="2:9" x14ac:dyDescent="0.3">
      <c r="B1530" t="s">
        <v>4687</v>
      </c>
      <c r="C1530" t="s">
        <v>4688</v>
      </c>
      <c r="D1530" t="s">
        <v>2658</v>
      </c>
      <c r="E1530" s="24">
        <v>39300</v>
      </c>
      <c r="F1530">
        <v>2</v>
      </c>
      <c r="G1530">
        <v>1</v>
      </c>
      <c r="H1530" t="s">
        <v>4689</v>
      </c>
      <c r="I1530">
        <v>2</v>
      </c>
    </row>
    <row r="1531" spans="2:9" x14ac:dyDescent="0.3">
      <c r="B1531" t="s">
        <v>1239</v>
      </c>
      <c r="C1531" t="s">
        <v>2588</v>
      </c>
      <c r="D1531" t="s">
        <v>2658</v>
      </c>
      <c r="E1531" s="24">
        <v>38413</v>
      </c>
      <c r="F1531">
        <v>2</v>
      </c>
      <c r="G1531">
        <v>1</v>
      </c>
      <c r="H1531" t="s">
        <v>4690</v>
      </c>
      <c r="I1531">
        <v>2</v>
      </c>
    </row>
    <row r="1532" spans="2:9" x14ac:dyDescent="0.3">
      <c r="B1532" t="s">
        <v>4691</v>
      </c>
      <c r="C1532" t="s">
        <v>4692</v>
      </c>
      <c r="D1532" t="s">
        <v>2658</v>
      </c>
      <c r="E1532" s="24">
        <v>42117</v>
      </c>
      <c r="F1532">
        <v>1</v>
      </c>
      <c r="G1532">
        <v>1</v>
      </c>
      <c r="H1532" t="s">
        <v>4693</v>
      </c>
      <c r="I1532">
        <v>1</v>
      </c>
    </row>
    <row r="1533" spans="2:9" x14ac:dyDescent="0.3">
      <c r="B1533" t="s">
        <v>1240</v>
      </c>
      <c r="C1533" t="s">
        <v>2589</v>
      </c>
      <c r="D1533" t="s">
        <v>2658</v>
      </c>
      <c r="E1533" s="24">
        <v>35305</v>
      </c>
      <c r="F1533">
        <v>10</v>
      </c>
      <c r="G1533">
        <v>1</v>
      </c>
      <c r="H1533" t="s">
        <v>4694</v>
      </c>
      <c r="I1533">
        <v>10</v>
      </c>
    </row>
    <row r="1534" spans="2:9" x14ac:dyDescent="0.3">
      <c r="B1534" t="s">
        <v>1241</v>
      </c>
      <c r="C1534" t="s">
        <v>2590</v>
      </c>
      <c r="D1534" t="s">
        <v>2658</v>
      </c>
      <c r="E1534" s="24">
        <v>38793</v>
      </c>
      <c r="F1534">
        <v>10</v>
      </c>
      <c r="G1534">
        <v>1</v>
      </c>
      <c r="H1534" t="s">
        <v>4695</v>
      </c>
      <c r="I1534">
        <v>10</v>
      </c>
    </row>
    <row r="1535" spans="2:9" x14ac:dyDescent="0.3">
      <c r="B1535" t="s">
        <v>1242</v>
      </c>
      <c r="C1535" t="s">
        <v>2591</v>
      </c>
      <c r="D1535" t="s">
        <v>2686</v>
      </c>
      <c r="E1535" s="24">
        <v>36539</v>
      </c>
      <c r="F1535">
        <v>1</v>
      </c>
      <c r="G1535">
        <v>1</v>
      </c>
      <c r="H1535" t="s">
        <v>4696</v>
      </c>
      <c r="I1535">
        <v>1</v>
      </c>
    </row>
    <row r="1536" spans="2:9" x14ac:dyDescent="0.3">
      <c r="B1536" t="s">
        <v>4697</v>
      </c>
      <c r="C1536" t="s">
        <v>4698</v>
      </c>
      <c r="D1536" t="s">
        <v>2658</v>
      </c>
      <c r="E1536" s="24">
        <v>42068</v>
      </c>
      <c r="F1536">
        <v>10</v>
      </c>
      <c r="G1536">
        <v>1</v>
      </c>
      <c r="H1536" t="s">
        <v>4699</v>
      </c>
      <c r="I1536">
        <v>10</v>
      </c>
    </row>
    <row r="1537" spans="2:9" x14ac:dyDescent="0.3">
      <c r="B1537" t="s">
        <v>1338</v>
      </c>
      <c r="C1537" t="s">
        <v>2592</v>
      </c>
      <c r="D1537" t="s">
        <v>2686</v>
      </c>
      <c r="E1537" s="24">
        <v>39080</v>
      </c>
      <c r="F1537">
        <v>10</v>
      </c>
      <c r="G1537">
        <v>1</v>
      </c>
      <c r="H1537" t="s">
        <v>4700</v>
      </c>
      <c r="I1537">
        <v>10</v>
      </c>
    </row>
    <row r="1538" spans="2:9" x14ac:dyDescent="0.3">
      <c r="B1538" t="s">
        <v>1243</v>
      </c>
      <c r="C1538" t="s">
        <v>2593</v>
      </c>
      <c r="D1538" t="s">
        <v>2658</v>
      </c>
      <c r="E1538" s="24">
        <v>41415</v>
      </c>
      <c r="F1538">
        <v>1</v>
      </c>
      <c r="G1538">
        <v>1</v>
      </c>
      <c r="H1538" t="s">
        <v>4701</v>
      </c>
      <c r="I1538">
        <v>1</v>
      </c>
    </row>
    <row r="1539" spans="2:9" x14ac:dyDescent="0.3">
      <c r="B1539" t="s">
        <v>1244</v>
      </c>
      <c r="C1539" t="s">
        <v>2594</v>
      </c>
      <c r="D1539" t="s">
        <v>2658</v>
      </c>
      <c r="E1539" s="24">
        <v>38581</v>
      </c>
      <c r="F1539">
        <v>2</v>
      </c>
      <c r="G1539">
        <v>1</v>
      </c>
      <c r="H1539" t="s">
        <v>4702</v>
      </c>
      <c r="I1539">
        <v>2</v>
      </c>
    </row>
    <row r="1540" spans="2:9" x14ac:dyDescent="0.3">
      <c r="B1540" t="s">
        <v>1245</v>
      </c>
      <c r="C1540" t="s">
        <v>2595</v>
      </c>
      <c r="D1540" t="s">
        <v>2658</v>
      </c>
      <c r="E1540" s="24">
        <v>34844</v>
      </c>
      <c r="F1540">
        <v>10</v>
      </c>
      <c r="G1540">
        <v>1</v>
      </c>
      <c r="H1540" t="s">
        <v>4703</v>
      </c>
      <c r="I1540">
        <v>10</v>
      </c>
    </row>
    <row r="1541" spans="2:9" x14ac:dyDescent="0.3">
      <c r="B1541" t="s">
        <v>1246</v>
      </c>
      <c r="C1541" t="s">
        <v>2596</v>
      </c>
      <c r="D1541" t="s">
        <v>2658</v>
      </c>
      <c r="E1541" s="24">
        <v>41325</v>
      </c>
      <c r="F1541">
        <v>10</v>
      </c>
      <c r="G1541">
        <v>1</v>
      </c>
      <c r="H1541" t="s">
        <v>4704</v>
      </c>
      <c r="I1541">
        <v>10</v>
      </c>
    </row>
    <row r="1542" spans="2:9" x14ac:dyDescent="0.3">
      <c r="B1542" t="s">
        <v>1247</v>
      </c>
      <c r="C1542" t="s">
        <v>2597</v>
      </c>
      <c r="D1542" t="s">
        <v>2658</v>
      </c>
      <c r="E1542" s="24">
        <v>38980</v>
      </c>
      <c r="F1542">
        <v>10</v>
      </c>
      <c r="G1542">
        <v>1</v>
      </c>
      <c r="H1542" t="s">
        <v>4705</v>
      </c>
      <c r="I1542">
        <v>10</v>
      </c>
    </row>
    <row r="1543" spans="2:9" x14ac:dyDescent="0.3">
      <c r="B1543" t="s">
        <v>1247</v>
      </c>
      <c r="C1543" t="s">
        <v>2597</v>
      </c>
      <c r="D1543" t="s">
        <v>3173</v>
      </c>
      <c r="E1543" s="24">
        <v>38980</v>
      </c>
      <c r="F1543">
        <v>10</v>
      </c>
      <c r="G1543">
        <v>1</v>
      </c>
      <c r="H1543" t="s">
        <v>4705</v>
      </c>
      <c r="I1543">
        <v>10</v>
      </c>
    </row>
    <row r="1544" spans="2:9" x14ac:dyDescent="0.3">
      <c r="B1544" t="s">
        <v>108</v>
      </c>
      <c r="C1544" t="s">
        <v>2598</v>
      </c>
      <c r="D1544" t="s">
        <v>2658</v>
      </c>
      <c r="E1544" s="24">
        <v>34801</v>
      </c>
      <c r="F1544">
        <v>1</v>
      </c>
      <c r="G1544">
        <v>1</v>
      </c>
      <c r="H1544" t="s">
        <v>4706</v>
      </c>
      <c r="I1544">
        <v>1</v>
      </c>
    </row>
    <row r="1545" spans="2:9" x14ac:dyDescent="0.3">
      <c r="B1545" t="s">
        <v>4707</v>
      </c>
      <c r="C1545" t="s">
        <v>4708</v>
      </c>
      <c r="D1545" t="s">
        <v>2658</v>
      </c>
      <c r="E1545" s="24">
        <v>42124</v>
      </c>
      <c r="F1545">
        <v>10</v>
      </c>
      <c r="G1545">
        <v>1</v>
      </c>
      <c r="H1545" t="s">
        <v>4709</v>
      </c>
      <c r="I1545">
        <v>10</v>
      </c>
    </row>
    <row r="1546" spans="2:9" x14ac:dyDescent="0.3">
      <c r="B1546" t="s">
        <v>1248</v>
      </c>
      <c r="C1546" t="s">
        <v>2599</v>
      </c>
      <c r="D1546" t="s">
        <v>2658</v>
      </c>
      <c r="E1546" s="24">
        <v>41046</v>
      </c>
      <c r="F1546">
        <v>10</v>
      </c>
      <c r="G1546">
        <v>1</v>
      </c>
      <c r="H1546" t="s">
        <v>4710</v>
      </c>
      <c r="I1546">
        <v>10</v>
      </c>
    </row>
    <row r="1547" spans="2:9" x14ac:dyDescent="0.3">
      <c r="B1547" t="s">
        <v>1249</v>
      </c>
      <c r="C1547" t="s">
        <v>2600</v>
      </c>
      <c r="D1547" t="s">
        <v>2658</v>
      </c>
      <c r="E1547" s="24">
        <v>37869</v>
      </c>
      <c r="F1547">
        <v>10</v>
      </c>
      <c r="G1547">
        <v>1</v>
      </c>
      <c r="H1547" t="s">
        <v>4711</v>
      </c>
      <c r="I1547">
        <v>10</v>
      </c>
    </row>
    <row r="1548" spans="2:9" x14ac:dyDescent="0.3">
      <c r="B1548" t="s">
        <v>1250</v>
      </c>
      <c r="C1548" t="s">
        <v>2601</v>
      </c>
      <c r="D1548" t="s">
        <v>2658</v>
      </c>
      <c r="E1548" s="24">
        <v>40714</v>
      </c>
      <c r="F1548">
        <v>10</v>
      </c>
      <c r="G1548">
        <v>1</v>
      </c>
      <c r="H1548" t="s">
        <v>4712</v>
      </c>
      <c r="I1548">
        <v>10</v>
      </c>
    </row>
    <row r="1549" spans="2:9" x14ac:dyDescent="0.3">
      <c r="B1549" t="s">
        <v>1251</v>
      </c>
      <c r="C1549" t="s">
        <v>2602</v>
      </c>
      <c r="D1549" t="s">
        <v>2658</v>
      </c>
      <c r="E1549" s="24">
        <v>37635</v>
      </c>
      <c r="F1549">
        <v>10</v>
      </c>
      <c r="G1549">
        <v>1</v>
      </c>
      <c r="H1549" t="s">
        <v>4713</v>
      </c>
      <c r="I1549">
        <v>10</v>
      </c>
    </row>
    <row r="1550" spans="2:9" x14ac:dyDescent="0.3">
      <c r="B1550" t="s">
        <v>1252</v>
      </c>
      <c r="C1550" t="s">
        <v>2603</v>
      </c>
      <c r="D1550" t="s">
        <v>2658</v>
      </c>
      <c r="E1550" s="24">
        <v>40464</v>
      </c>
      <c r="F1550">
        <v>2</v>
      </c>
      <c r="G1550">
        <v>1</v>
      </c>
      <c r="H1550" t="s">
        <v>4714</v>
      </c>
      <c r="I1550">
        <v>2</v>
      </c>
    </row>
    <row r="1551" spans="2:9" x14ac:dyDescent="0.3">
      <c r="B1551" t="s">
        <v>1253</v>
      </c>
      <c r="C1551" t="s">
        <v>2604</v>
      </c>
      <c r="D1551" t="s">
        <v>2658</v>
      </c>
      <c r="E1551" s="24">
        <v>39722</v>
      </c>
      <c r="F1551">
        <v>5</v>
      </c>
      <c r="G1551">
        <v>1</v>
      </c>
      <c r="H1551" t="s">
        <v>4715</v>
      </c>
      <c r="I1551">
        <v>5</v>
      </c>
    </row>
    <row r="1552" spans="2:9" x14ac:dyDescent="0.3">
      <c r="B1552" t="s">
        <v>1254</v>
      </c>
      <c r="C1552" t="s">
        <v>2605</v>
      </c>
      <c r="D1552" t="s">
        <v>2658</v>
      </c>
      <c r="E1552" s="24">
        <v>35326</v>
      </c>
      <c r="F1552">
        <v>2</v>
      </c>
      <c r="G1552">
        <v>1</v>
      </c>
      <c r="H1552" t="s">
        <v>4716</v>
      </c>
      <c r="I1552">
        <v>2</v>
      </c>
    </row>
    <row r="1553" spans="2:9" x14ac:dyDescent="0.3">
      <c r="B1553" t="s">
        <v>1255</v>
      </c>
      <c r="C1553" t="s">
        <v>2606</v>
      </c>
      <c r="D1553" t="s">
        <v>2686</v>
      </c>
      <c r="E1553" s="24">
        <v>39111</v>
      </c>
      <c r="F1553">
        <v>10</v>
      </c>
      <c r="G1553">
        <v>1</v>
      </c>
      <c r="H1553" t="s">
        <v>4717</v>
      </c>
      <c r="I1553">
        <v>10</v>
      </c>
    </row>
    <row r="1554" spans="2:9" x14ac:dyDescent="0.3">
      <c r="B1554" t="s">
        <v>1256</v>
      </c>
      <c r="C1554" t="s">
        <v>2607</v>
      </c>
      <c r="D1554" t="s">
        <v>2686</v>
      </c>
      <c r="E1554" s="24">
        <v>39217</v>
      </c>
      <c r="F1554">
        <v>10</v>
      </c>
      <c r="G1554">
        <v>1</v>
      </c>
      <c r="H1554" t="s">
        <v>4718</v>
      </c>
      <c r="I1554">
        <v>10</v>
      </c>
    </row>
    <row r="1555" spans="2:9" x14ac:dyDescent="0.3">
      <c r="B1555" t="s">
        <v>1257</v>
      </c>
      <c r="C1555" t="s">
        <v>2608</v>
      </c>
      <c r="D1555" t="s">
        <v>2658</v>
      </c>
      <c r="E1555" s="24">
        <v>40722</v>
      </c>
      <c r="F1555">
        <v>10</v>
      </c>
      <c r="G1555">
        <v>1</v>
      </c>
      <c r="H1555" t="s">
        <v>4719</v>
      </c>
      <c r="I1555">
        <v>10</v>
      </c>
    </row>
    <row r="1556" spans="2:9" x14ac:dyDescent="0.3">
      <c r="B1556" t="s">
        <v>1258</v>
      </c>
      <c r="C1556" t="s">
        <v>2609</v>
      </c>
      <c r="D1556" t="s">
        <v>2658</v>
      </c>
      <c r="E1556" s="24">
        <v>34829</v>
      </c>
      <c r="F1556">
        <v>10</v>
      </c>
      <c r="G1556">
        <v>1</v>
      </c>
      <c r="H1556" t="s">
        <v>4720</v>
      </c>
      <c r="I1556">
        <v>10</v>
      </c>
    </row>
    <row r="1557" spans="2:9" x14ac:dyDescent="0.3">
      <c r="B1557" t="s">
        <v>1259</v>
      </c>
      <c r="C1557" t="s">
        <v>2610</v>
      </c>
      <c r="D1557" t="s">
        <v>2658</v>
      </c>
      <c r="E1557" s="24">
        <v>38496</v>
      </c>
      <c r="F1557">
        <v>5</v>
      </c>
      <c r="G1557">
        <v>1</v>
      </c>
      <c r="H1557" t="s">
        <v>4721</v>
      </c>
      <c r="I1557">
        <v>5</v>
      </c>
    </row>
    <row r="1558" spans="2:9" x14ac:dyDescent="0.3">
      <c r="B1558" t="s">
        <v>4722</v>
      </c>
      <c r="C1558" t="s">
        <v>2611</v>
      </c>
      <c r="D1558" t="s">
        <v>2658</v>
      </c>
      <c r="E1558" s="24">
        <v>38295</v>
      </c>
      <c r="F1558">
        <v>10</v>
      </c>
      <c r="G1558">
        <v>1</v>
      </c>
      <c r="H1558" t="s">
        <v>4723</v>
      </c>
      <c r="I1558">
        <v>10</v>
      </c>
    </row>
    <row r="1559" spans="2:9" x14ac:dyDescent="0.3">
      <c r="B1559" t="s">
        <v>1260</v>
      </c>
      <c r="C1559" t="s">
        <v>2612</v>
      </c>
      <c r="D1559" t="s">
        <v>2658</v>
      </c>
      <c r="E1559" s="24">
        <v>40441</v>
      </c>
      <c r="F1559">
        <v>10</v>
      </c>
      <c r="G1559">
        <v>1</v>
      </c>
      <c r="H1559" t="s">
        <v>4724</v>
      </c>
      <c r="I1559">
        <v>10</v>
      </c>
    </row>
    <row r="1560" spans="2:9" x14ac:dyDescent="0.3">
      <c r="B1560" t="s">
        <v>1261</v>
      </c>
      <c r="C1560" t="s">
        <v>2613</v>
      </c>
      <c r="D1560" t="s">
        <v>2658</v>
      </c>
      <c r="E1560" s="24">
        <v>37959</v>
      </c>
      <c r="F1560">
        <v>1</v>
      </c>
      <c r="G1560">
        <v>1</v>
      </c>
      <c r="H1560" t="s">
        <v>4725</v>
      </c>
      <c r="I1560">
        <v>1</v>
      </c>
    </row>
    <row r="1561" spans="2:9" x14ac:dyDescent="0.3">
      <c r="B1561" t="s">
        <v>1262</v>
      </c>
      <c r="C1561" t="s">
        <v>2614</v>
      </c>
      <c r="D1561" t="s">
        <v>2658</v>
      </c>
      <c r="E1561" s="24">
        <v>38936</v>
      </c>
      <c r="F1561">
        <v>10</v>
      </c>
      <c r="G1561">
        <v>1</v>
      </c>
      <c r="H1561" t="s">
        <v>4726</v>
      </c>
      <c r="I1561">
        <v>10</v>
      </c>
    </row>
    <row r="1562" spans="2:9" x14ac:dyDescent="0.3">
      <c r="B1562" t="s">
        <v>1263</v>
      </c>
      <c r="C1562" t="s">
        <v>2615</v>
      </c>
      <c r="D1562" t="s">
        <v>2658</v>
      </c>
      <c r="E1562" s="24">
        <v>36623</v>
      </c>
      <c r="F1562">
        <v>10</v>
      </c>
      <c r="G1562">
        <v>1</v>
      </c>
      <c r="H1562" t="s">
        <v>4727</v>
      </c>
      <c r="I1562">
        <v>10</v>
      </c>
    </row>
    <row r="1563" spans="2:9" x14ac:dyDescent="0.3">
      <c r="B1563" t="s">
        <v>1264</v>
      </c>
      <c r="C1563" t="s">
        <v>2616</v>
      </c>
      <c r="D1563" t="s">
        <v>2658</v>
      </c>
      <c r="E1563" s="24">
        <v>40274</v>
      </c>
      <c r="F1563">
        <v>10</v>
      </c>
      <c r="G1563">
        <v>1</v>
      </c>
      <c r="H1563" t="s">
        <v>4728</v>
      </c>
      <c r="I1563">
        <v>10</v>
      </c>
    </row>
    <row r="1564" spans="2:9" x14ac:dyDescent="0.3">
      <c r="B1564" t="s">
        <v>1265</v>
      </c>
      <c r="C1564" t="s">
        <v>2617</v>
      </c>
      <c r="D1564" t="s">
        <v>2686</v>
      </c>
      <c r="E1564" s="24">
        <v>36040</v>
      </c>
      <c r="F1564">
        <v>10</v>
      </c>
      <c r="G1564">
        <v>1</v>
      </c>
      <c r="H1564" t="s">
        <v>4729</v>
      </c>
      <c r="I1564">
        <v>10</v>
      </c>
    </row>
    <row r="1565" spans="2:9" x14ac:dyDescent="0.3">
      <c r="B1565" t="s">
        <v>1266</v>
      </c>
      <c r="C1565" t="s">
        <v>2618</v>
      </c>
      <c r="D1565" t="s">
        <v>2658</v>
      </c>
      <c r="E1565" s="24">
        <v>40772</v>
      </c>
      <c r="F1565">
        <v>2</v>
      </c>
      <c r="G1565">
        <v>1</v>
      </c>
      <c r="H1565" t="s">
        <v>4730</v>
      </c>
      <c r="I1565">
        <v>2</v>
      </c>
    </row>
    <row r="1566" spans="2:9" x14ac:dyDescent="0.3">
      <c r="B1566" t="s">
        <v>1267</v>
      </c>
      <c r="C1566" t="s">
        <v>2619</v>
      </c>
      <c r="D1566" t="s">
        <v>2658</v>
      </c>
      <c r="E1566" s="24">
        <v>40780</v>
      </c>
      <c r="F1566">
        <v>10</v>
      </c>
      <c r="G1566">
        <v>1</v>
      </c>
      <c r="H1566" t="s">
        <v>4731</v>
      </c>
      <c r="I1566">
        <v>10</v>
      </c>
    </row>
    <row r="1567" spans="2:9" x14ac:dyDescent="0.3">
      <c r="B1567" t="s">
        <v>4732</v>
      </c>
      <c r="C1567" t="s">
        <v>4733</v>
      </c>
      <c r="D1567" t="s">
        <v>2686</v>
      </c>
      <c r="E1567" s="24">
        <v>42842</v>
      </c>
      <c r="F1567">
        <v>10</v>
      </c>
      <c r="G1567">
        <v>1</v>
      </c>
      <c r="H1567" t="s">
        <v>4734</v>
      </c>
      <c r="I1567">
        <v>10</v>
      </c>
    </row>
    <row r="1568" spans="2:9" x14ac:dyDescent="0.3">
      <c r="B1568" t="s">
        <v>126</v>
      </c>
      <c r="C1568" t="s">
        <v>2620</v>
      </c>
      <c r="D1568" t="s">
        <v>2658</v>
      </c>
      <c r="E1568" s="24">
        <v>35011</v>
      </c>
      <c r="F1568">
        <v>2</v>
      </c>
      <c r="G1568">
        <v>1</v>
      </c>
      <c r="H1568" t="s">
        <v>4735</v>
      </c>
      <c r="I1568">
        <v>2</v>
      </c>
    </row>
    <row r="1569" spans="2:9" x14ac:dyDescent="0.3">
      <c r="B1569" t="s">
        <v>1268</v>
      </c>
      <c r="C1569" t="s">
        <v>2621</v>
      </c>
      <c r="D1569" t="s">
        <v>2658</v>
      </c>
      <c r="E1569" s="24">
        <v>36579</v>
      </c>
      <c r="F1569">
        <v>5</v>
      </c>
      <c r="G1569">
        <v>1</v>
      </c>
      <c r="H1569" t="s">
        <v>4736</v>
      </c>
      <c r="I1569">
        <v>5</v>
      </c>
    </row>
    <row r="1570" spans="2:9" x14ac:dyDescent="0.3">
      <c r="B1570" t="s">
        <v>1269</v>
      </c>
      <c r="C1570" t="s">
        <v>2622</v>
      </c>
      <c r="D1570" t="s">
        <v>2658</v>
      </c>
      <c r="E1570" s="24">
        <v>41768</v>
      </c>
      <c r="F1570">
        <v>10</v>
      </c>
      <c r="G1570">
        <v>1</v>
      </c>
      <c r="H1570" t="s">
        <v>4737</v>
      </c>
      <c r="I1570">
        <v>10</v>
      </c>
    </row>
    <row r="1571" spans="2:9" x14ac:dyDescent="0.3">
      <c r="B1571" t="s">
        <v>1270</v>
      </c>
      <c r="C1571" t="s">
        <v>2623</v>
      </c>
      <c r="D1571" t="s">
        <v>2658</v>
      </c>
      <c r="E1571" s="24">
        <v>39295</v>
      </c>
      <c r="F1571">
        <v>10</v>
      </c>
      <c r="G1571">
        <v>1</v>
      </c>
      <c r="H1571" t="s">
        <v>4738</v>
      </c>
      <c r="I1571">
        <v>10</v>
      </c>
    </row>
    <row r="1572" spans="2:9" x14ac:dyDescent="0.3">
      <c r="B1572" t="s">
        <v>1271</v>
      </c>
      <c r="C1572" t="s">
        <v>2624</v>
      </c>
      <c r="D1572" t="s">
        <v>2658</v>
      </c>
      <c r="E1572" s="24">
        <v>36908</v>
      </c>
      <c r="F1572">
        <v>2</v>
      </c>
      <c r="G1572">
        <v>1</v>
      </c>
      <c r="H1572" t="s">
        <v>4739</v>
      </c>
      <c r="I1572">
        <v>2</v>
      </c>
    </row>
    <row r="1573" spans="2:9" x14ac:dyDescent="0.3">
      <c r="B1573" t="s">
        <v>1272</v>
      </c>
      <c r="C1573" t="s">
        <v>2625</v>
      </c>
      <c r="D1573" t="s">
        <v>2658</v>
      </c>
      <c r="E1573" s="24">
        <v>38420</v>
      </c>
      <c r="F1573">
        <v>10</v>
      </c>
      <c r="G1573">
        <v>1</v>
      </c>
      <c r="H1573" t="s">
        <v>4740</v>
      </c>
      <c r="I1573">
        <v>10</v>
      </c>
    </row>
    <row r="1574" spans="2:9" x14ac:dyDescent="0.3">
      <c r="B1574" t="s">
        <v>1273</v>
      </c>
      <c r="C1574" t="s">
        <v>2626</v>
      </c>
      <c r="D1574" t="s">
        <v>2658</v>
      </c>
      <c r="E1574" s="24">
        <v>39079</v>
      </c>
      <c r="F1574">
        <v>10</v>
      </c>
      <c r="G1574">
        <v>1</v>
      </c>
      <c r="H1574" t="s">
        <v>4741</v>
      </c>
      <c r="I1574">
        <v>10</v>
      </c>
    </row>
    <row r="1575" spans="2:9" x14ac:dyDescent="0.3">
      <c r="B1575" t="s">
        <v>1274</v>
      </c>
      <c r="C1575" t="s">
        <v>2627</v>
      </c>
      <c r="D1575" t="s">
        <v>2658</v>
      </c>
      <c r="E1575" s="24">
        <v>38104</v>
      </c>
      <c r="F1575">
        <v>10</v>
      </c>
      <c r="G1575">
        <v>1</v>
      </c>
      <c r="H1575" t="s">
        <v>4742</v>
      </c>
      <c r="I1575">
        <v>10</v>
      </c>
    </row>
    <row r="1576" spans="2:9" x14ac:dyDescent="0.3">
      <c r="B1576" t="s">
        <v>1275</v>
      </c>
      <c r="C1576" t="s">
        <v>2628</v>
      </c>
      <c r="D1576" t="s">
        <v>2658</v>
      </c>
      <c r="E1576" s="24">
        <v>38545</v>
      </c>
      <c r="F1576">
        <v>10</v>
      </c>
      <c r="G1576">
        <v>1</v>
      </c>
      <c r="H1576" t="s">
        <v>4743</v>
      </c>
      <c r="I1576">
        <v>10</v>
      </c>
    </row>
    <row r="1577" spans="2:9" x14ac:dyDescent="0.3">
      <c r="B1577" t="s">
        <v>1276</v>
      </c>
      <c r="C1577" t="s">
        <v>2629</v>
      </c>
      <c r="D1577" t="s">
        <v>2658</v>
      </c>
      <c r="E1577" s="24">
        <v>36194</v>
      </c>
      <c r="F1577">
        <v>100</v>
      </c>
      <c r="G1577">
        <v>1</v>
      </c>
      <c r="H1577" t="s">
        <v>4744</v>
      </c>
      <c r="I1577">
        <v>100</v>
      </c>
    </row>
    <row r="1578" spans="2:9" x14ac:dyDescent="0.3">
      <c r="B1578" t="s">
        <v>1277</v>
      </c>
      <c r="C1578" t="s">
        <v>2630</v>
      </c>
      <c r="D1578" t="s">
        <v>2658</v>
      </c>
      <c r="E1578" s="24">
        <v>36047</v>
      </c>
      <c r="F1578">
        <v>1</v>
      </c>
      <c r="G1578">
        <v>1</v>
      </c>
      <c r="H1578" t="s">
        <v>4745</v>
      </c>
      <c r="I1578">
        <v>1</v>
      </c>
    </row>
    <row r="1579" spans="2:9" x14ac:dyDescent="0.3">
      <c r="B1579" t="s">
        <v>1278</v>
      </c>
      <c r="C1579" t="s">
        <v>2631</v>
      </c>
      <c r="D1579" t="s">
        <v>2658</v>
      </c>
      <c r="E1579" s="24">
        <v>40532</v>
      </c>
      <c r="F1579">
        <v>1</v>
      </c>
      <c r="G1579">
        <v>1</v>
      </c>
      <c r="H1579" t="s">
        <v>4746</v>
      </c>
      <c r="I1579">
        <v>1</v>
      </c>
    </row>
    <row r="1580" spans="2:9" x14ac:dyDescent="0.3">
      <c r="B1580" t="s">
        <v>1279</v>
      </c>
      <c r="C1580" t="s">
        <v>2632</v>
      </c>
      <c r="D1580" t="s">
        <v>2658</v>
      </c>
      <c r="E1580" s="24">
        <v>39092</v>
      </c>
      <c r="F1580">
        <v>1</v>
      </c>
      <c r="G1580">
        <v>1</v>
      </c>
      <c r="H1580" t="s">
        <v>4747</v>
      </c>
      <c r="I1580">
        <v>1</v>
      </c>
    </row>
    <row r="1581" spans="2:9" x14ac:dyDescent="0.3">
      <c r="B1581" t="s">
        <v>1280</v>
      </c>
      <c r="C1581" t="s">
        <v>2633</v>
      </c>
      <c r="D1581" t="s">
        <v>2658</v>
      </c>
      <c r="E1581" s="24">
        <v>39202</v>
      </c>
      <c r="F1581">
        <v>10</v>
      </c>
      <c r="G1581">
        <v>1</v>
      </c>
      <c r="H1581" t="s">
        <v>4748</v>
      </c>
      <c r="I1581">
        <v>10</v>
      </c>
    </row>
    <row r="1582" spans="2:9" x14ac:dyDescent="0.3">
      <c r="B1582" t="s">
        <v>1281</v>
      </c>
      <c r="C1582" t="s">
        <v>2634</v>
      </c>
      <c r="D1582" t="s">
        <v>2686</v>
      </c>
      <c r="E1582" s="24">
        <v>36796</v>
      </c>
      <c r="F1582">
        <v>10</v>
      </c>
      <c r="G1582">
        <v>1</v>
      </c>
      <c r="H1582" t="s">
        <v>4749</v>
      </c>
      <c r="I1582">
        <v>10</v>
      </c>
    </row>
    <row r="1583" spans="2:9" x14ac:dyDescent="0.3">
      <c r="B1583" t="s">
        <v>1282</v>
      </c>
      <c r="C1583" t="s">
        <v>2635</v>
      </c>
      <c r="D1583" t="s">
        <v>2658</v>
      </c>
      <c r="E1583" s="24">
        <v>37811</v>
      </c>
      <c r="F1583">
        <v>10</v>
      </c>
      <c r="G1583">
        <v>1</v>
      </c>
      <c r="H1583" t="s">
        <v>4750</v>
      </c>
      <c r="I1583">
        <v>10</v>
      </c>
    </row>
    <row r="1584" spans="2:9" x14ac:dyDescent="0.3">
      <c r="B1584" t="s">
        <v>4751</v>
      </c>
      <c r="C1584" t="s">
        <v>4752</v>
      </c>
      <c r="D1584" t="s">
        <v>2658</v>
      </c>
      <c r="E1584" s="24">
        <v>42093</v>
      </c>
      <c r="F1584">
        <v>1</v>
      </c>
      <c r="G1584">
        <v>1</v>
      </c>
      <c r="H1584" t="s">
        <v>4753</v>
      </c>
      <c r="I1584">
        <v>1</v>
      </c>
    </row>
    <row r="1585" spans="2:9" x14ac:dyDescent="0.3">
      <c r="B1585" t="s">
        <v>1283</v>
      </c>
      <c r="C1585" t="s">
        <v>2636</v>
      </c>
      <c r="D1585" t="s">
        <v>2658</v>
      </c>
      <c r="E1585" s="24">
        <v>38825</v>
      </c>
      <c r="F1585">
        <v>10</v>
      </c>
      <c r="G1585">
        <v>1</v>
      </c>
      <c r="H1585" t="s">
        <v>4754</v>
      </c>
      <c r="I1585">
        <v>10</v>
      </c>
    </row>
    <row r="1586" spans="2:9" x14ac:dyDescent="0.3">
      <c r="B1586" t="s">
        <v>1284</v>
      </c>
      <c r="C1586" t="s">
        <v>2637</v>
      </c>
      <c r="D1586" t="s">
        <v>2658</v>
      </c>
      <c r="E1586" s="24">
        <v>34969</v>
      </c>
      <c r="F1586">
        <v>10</v>
      </c>
      <c r="G1586">
        <v>1</v>
      </c>
      <c r="H1586" t="s">
        <v>4755</v>
      </c>
      <c r="I1586">
        <v>10</v>
      </c>
    </row>
    <row r="1587" spans="2:9" x14ac:dyDescent="0.3">
      <c r="B1587" t="s">
        <v>1285</v>
      </c>
      <c r="C1587" t="s">
        <v>2638</v>
      </c>
      <c r="D1587" t="s">
        <v>2658</v>
      </c>
      <c r="E1587" s="24">
        <v>34899</v>
      </c>
      <c r="F1587">
        <v>10</v>
      </c>
      <c r="G1587">
        <v>1</v>
      </c>
      <c r="H1587" t="s">
        <v>4756</v>
      </c>
      <c r="I1587">
        <v>10</v>
      </c>
    </row>
    <row r="1588" spans="2:9" x14ac:dyDescent="0.3">
      <c r="B1588" t="s">
        <v>1286</v>
      </c>
      <c r="C1588" t="s">
        <v>2639</v>
      </c>
      <c r="D1588" t="s">
        <v>2658</v>
      </c>
      <c r="E1588" s="24">
        <v>41240</v>
      </c>
      <c r="F1588">
        <v>10</v>
      </c>
      <c r="G1588">
        <v>1</v>
      </c>
      <c r="H1588" t="s">
        <v>4757</v>
      </c>
      <c r="I1588">
        <v>10</v>
      </c>
    </row>
    <row r="1589" spans="2:9" x14ac:dyDescent="0.3">
      <c r="B1589" t="s">
        <v>1287</v>
      </c>
      <c r="C1589" t="s">
        <v>4758</v>
      </c>
      <c r="D1589" t="s">
        <v>2658</v>
      </c>
      <c r="E1589" s="24">
        <v>34801</v>
      </c>
      <c r="F1589">
        <v>10</v>
      </c>
      <c r="G1589">
        <v>1</v>
      </c>
      <c r="H1589" t="s">
        <v>4759</v>
      </c>
      <c r="I1589">
        <v>10</v>
      </c>
    </row>
    <row r="1590" spans="2:9" x14ac:dyDescent="0.3">
      <c r="B1590" t="s">
        <v>1288</v>
      </c>
      <c r="C1590" t="s">
        <v>2640</v>
      </c>
      <c r="D1590" t="s">
        <v>2658</v>
      </c>
      <c r="E1590" s="24">
        <v>40130</v>
      </c>
      <c r="F1590">
        <v>10</v>
      </c>
      <c r="G1590">
        <v>1</v>
      </c>
      <c r="H1590" t="s">
        <v>4760</v>
      </c>
      <c r="I1590">
        <v>10</v>
      </c>
    </row>
    <row r="1591" spans="2:9" x14ac:dyDescent="0.3">
      <c r="B1591" t="s">
        <v>1289</v>
      </c>
      <c r="C1591" t="s">
        <v>2641</v>
      </c>
      <c r="D1591" t="s">
        <v>2658</v>
      </c>
      <c r="E1591" s="24">
        <v>39311</v>
      </c>
      <c r="F1591">
        <v>5</v>
      </c>
      <c r="G1591">
        <v>1</v>
      </c>
      <c r="H1591" t="s">
        <v>4761</v>
      </c>
      <c r="I1591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Portfolio</vt:lpstr>
      <vt:lpstr>nse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Paripurnachari</dc:creator>
  <cp:lastModifiedBy>Gupta, Vikram</cp:lastModifiedBy>
  <dcterms:created xsi:type="dcterms:W3CDTF">2014-12-12T09:19:51Z</dcterms:created>
  <dcterms:modified xsi:type="dcterms:W3CDTF">2018-07-16T13:12:09Z</dcterms:modified>
</cp:coreProperties>
</file>