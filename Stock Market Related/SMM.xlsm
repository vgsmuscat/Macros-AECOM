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4"/>
  </bookViews>
  <sheets>
    <sheet name="Portfolio" sheetId="2" r:id="rId1"/>
    <sheet name="nse" sheetId="4" state="hidden" r:id="rId2"/>
    <sheet name="TotalBuySellGraph" sheetId="6" r:id="rId3"/>
    <sheet name="Sheet1" sheetId="5" r:id="rId4"/>
    <sheet name="Export Data" sheetId="7" r:id="rId5"/>
    <sheet name="Sheet3" sheetId="8" r:id="rId6"/>
  </sheets>
  <functionGroups builtInGroupCount="18"/>
  <definedNames>
    <definedName name="_xlnm._FilterDatabase" localSheetId="0" hidden="1">Portfolio!$B$4:$T$1600</definedName>
    <definedName name="_xlnm._FilterDatabase" localSheetId="2" hidden="1">TotalBuySellGraph!$B$1:$B$1597</definedName>
  </definedNames>
  <calcPr calcId="152511"/>
</workbook>
</file>

<file path=xl/calcChain.xml><?xml version="1.0" encoding="utf-8"?>
<calcChain xmlns="http://schemas.openxmlformats.org/spreadsheetml/2006/main"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<sst xmlns="http://schemas.openxmlformats.org/spreadsheetml/2006/main" count="9738" uniqueCount="4818">
  <si>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</si>
  <si>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</si>
  <si>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</si>
  <si>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</si>
  <si>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</si>
  <si>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</si>
  <si>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</si>
  <si>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</si>
  <si>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</si>
  <si>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</si>
  <si>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</si>
  <si>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</si>
  <si>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</si>
  <si>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</si>
  <si>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</si>
  <si>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</si>
  <si>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</si>
  <si>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</si>
  <si>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</si>
  <si>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</si>
  <si>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</si>
  <si>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</si>
  <si>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</si>
  <si>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</si>
  <si>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</si>
  <si>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</si>
  <si>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</si>
  <si>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</si>
  <si>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</si>
  <si>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</si>
  <si>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</si>
  <si>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</si>
  <si>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</si>
  <si>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</si>
  <si>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</si>
  <si>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</si>
  <si>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</si>
  <si>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</si>
  <si>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</si>
  <si>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</si>
  <si>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</si>
  <si>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</si>
  <si>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</si>
  <si>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</si>
  <si>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</si>
  <si>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</si>
  <si>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</si>
  <si>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</si>
  <si>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</si>
  <si>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</si>
  <si>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</si>
  <si>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</si>
  <si>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</si>
  <si>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</si>
  <si>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</si>
  <si>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</si>
  <si>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</si>
  <si>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</si>
  <si>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</si>
  <si>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</si>
  <si>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</si>
  <si>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</si>
  <si>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</si>
  <si>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</si>
  <si>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</si>
  <si>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</si>
  <si>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</si>
  <si>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</si>
  <si>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</si>
  <si>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</si>
  <si>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</si>
  <si>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</si>
  <si>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</si>
  <si>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</si>
  <si>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</si>
  <si>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</si>
  <si>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</si>
  <si>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</si>
  <si>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</si>
  <si>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</si>
  <si>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</si>
  <si>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</si>
  <si>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</si>
  <si>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</si>
  <si>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</si>
  <si>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</si>
  <si>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</si>
  <si>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</si>
  <si>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</si>
  <si>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</si>
  <si>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</si>
  <si>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</si>
  <si>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</si>
  <si>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</si>
  <si>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</si>
  <si>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</si>
  <si>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</si>
  <si>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</si>
  <si>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</si>
  <si>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</si>
  <si>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</si>
  <si>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</si>
  <si>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</si>
  <si>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</si>
  <si>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</si>
  <si>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</si>
  <si>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</si>
  <si>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</si>
  <si>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</si>
  <si>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</si>
  <si>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</si>
  <si>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</si>
  <si>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</si>
  <si>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</si>
  <si>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</si>
  <si>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</si>
  <si>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</si>
  <si>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</si>
  <si>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</si>
  <si>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</si>
  <si>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</si>
  <si>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</si>
  <si>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</si>
  <si>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</si>
  <si>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</si>
  <si>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</si>
  <si>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</si>
  <si>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</si>
  <si>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</si>
  <si>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</si>
  <si>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</si>
  <si>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</si>
  <si>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</si>
  <si>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</si>
  <si>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</si>
  <si>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</si>
  <si>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</si>
  <si>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</si>
  <si>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</si>
  <si>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</si>
  <si>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</si>
  <si>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</si>
  <si>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</si>
  <si>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</si>
  <si>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</si>
  <si>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</si>
  <si>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</si>
  <si>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</si>
  <si>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</si>
  <si>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</si>
  <si>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</si>
  <si>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</si>
  <si>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</si>
  <si>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</si>
  <si>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</si>
  <si>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</si>
  <si>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</si>
  <si>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</si>
  <si>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</si>
  <si>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</si>
  <si>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</si>
  <si>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</si>
  <si>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</si>
  <si>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</si>
  <si>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</si>
  <si>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</si>
  <si>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</si>
  <si>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</si>
  <si>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</si>
  <si>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</si>
  <si>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</si>
  <si>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</si>
  <si>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</si>
  <si>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</si>
  <si>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</si>
  <si>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</si>
  <si>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</si>
  <si>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</si>
  <si>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</si>
  <si>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</si>
  <si>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</si>
  <si>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</si>
  <si>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</si>
  <si>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</si>
  <si>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</si>
  <si>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</si>
  <si>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</si>
  <si>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</si>
  <si>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</si>
  <si>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</si>
  <si>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</si>
  <si>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</si>
  <si>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</si>
  <si>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</si>
  <si>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</si>
  <si>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</si>
  <si>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</si>
  <si>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</si>
  <si>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</si>
  <si>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</si>
  <si>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</si>
  <si>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</si>
  <si>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</si>
  <si>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</si>
  <si>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</si>
  <si>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</si>
  <si>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</si>
  <si>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</si>
  <si>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</si>
  <si>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</si>
  <si>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</si>
  <si>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</si>
  <si>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</si>
  <si>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</si>
  <si>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</si>
  <si>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</si>
  <si>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</si>
  <si>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</si>
  <si>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</si>
  <si>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</si>
  <si>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</si>
  <si>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</si>
  <si>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</si>
  <si>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</si>
  <si>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</si>
  <si>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</si>
  <si>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</si>
  <si>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</si>
  <si>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</si>
  <si>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</si>
  <si>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</si>
  <si>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</si>
  <si>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</si>
  <si>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</si>
  <si>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</si>
  <si>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</si>
  <si>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</si>
  <si>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</si>
  <si>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</si>
  <si>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</si>
  <si>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</si>
  <si>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</si>
  <si>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</si>
  <si>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</si>
  <si>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</si>
  <si>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</si>
  <si>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</si>
  <si>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</si>
  <si>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</si>
  <si>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</si>
  <si>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</si>
  <si>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</si>
  <si>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</si>
  <si>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</si>
  <si>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</si>
  <si>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</si>
  <si>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</si>
  <si>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</si>
  <si>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</si>
  <si>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</si>
  <si>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</si>
  <si>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</si>
  <si>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</si>
  <si>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</si>
  <si>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</si>
  <si>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</si>
  <si>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</si>
  <si>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</si>
  <si>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</si>
  <si>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</si>
  <si>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</si>
  <si>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</si>
  <si>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</si>
  <si>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</si>
  <si>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</si>
  <si>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</si>
  <si>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</si>
  <si>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</si>
  <si>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</si>
  <si>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</si>
  <si>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</si>
  <si>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</si>
  <si>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</si>
  <si>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</si>
  <si>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</si>
  <si>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</si>
  <si>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</si>
  <si>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</si>
  <si>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</si>
  <si>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</si>
  <si>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</si>
  <si>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</si>
  <si>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</si>
  <si>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</si>
  <si>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</si>
  <si>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</si>
  <si>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</si>
  <si>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</si>
  <si>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</si>
  <si>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</si>
  <si>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</si>
  <si>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</si>
  <si>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</si>
  <si>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</si>
  <si>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</si>
  <si>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</si>
  <si>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</si>
  <si>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</si>
  <si>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</si>
  <si>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</si>
  <si>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</si>
  <si>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</si>
  <si>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</si>
  <si>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</si>
  <si>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</si>
  <si>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</si>
  <si>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</si>
  <si>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</si>
  <si>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</si>
  <si>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</si>
  <si>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</si>
  <si>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</si>
  <si>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</si>
  <si>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</si>
  <si>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</si>
  <si>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</si>
  <si>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</si>
  <si>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</si>
  <si>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</si>
  <si>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</si>
  <si>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</si>
  <si>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</si>
  <si>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</si>
  <si>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</si>
  <si>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</si>
  <si>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</si>
  <si>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</si>
  <si>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</si>
  <si>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</si>
  <si>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</si>
  <si>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</si>
  <si>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</si>
  <si>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</si>
  <si>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</si>
  <si>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</si>
  <si>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</si>
  <si>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</si>
  <si>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</si>
  <si>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</si>
  <si>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</si>
  <si>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</si>
  <si>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</si>
  <si>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</si>
  <si>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</si>
  <si>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</si>
  <si>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</si>
  <si>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</si>
  <si>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</si>
  <si>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</si>
  <si>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</si>
  <si>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</si>
  <si>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</si>
  <si>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</si>
  <si>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</si>
  <si>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</si>
  <si>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</si>
  <si>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</si>
  <si>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</si>
  <si>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</si>
  <si>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</si>
  <si>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</si>
  <si>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</si>
  <si>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</si>
  <si>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</si>
  <si>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</si>
  <si>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</si>
  <si>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</si>
  <si>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</si>
  <si>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</si>
  <si>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</si>
  <si>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</si>
  <si>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</si>
  <si>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</si>
  <si>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</si>
  <si>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</si>
  <si>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</si>
  <si>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</si>
  <si>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</si>
  <si>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</si>
  <si>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</si>
  <si>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</si>
  <si>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</si>
  <si>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</si>
  <si>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</si>
  <si>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</si>
  <si>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</si>
  <si>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</si>
  <si>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</si>
  <si>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</si>
  <si>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</si>
  <si>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</si>
  <si>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</si>
  <si>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</si>
  <si>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</si>
  <si>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</si>
  <si>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</si>
  <si>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</si>
  <si>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</si>
  <si>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</si>
  <si>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</si>
  <si>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</si>
  <si>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</si>
  <si>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</si>
  <si>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</si>
  <si>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</si>
  <si>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</si>
  <si>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</si>
  <si>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</si>
  <si>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</si>
  <si>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</si>
  <si>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</si>
  <si>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</si>
  <si>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</si>
  <si>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</si>
  <si>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</si>
  <si>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</si>
  <si>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</si>
  <si>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</si>
  <si>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</si>
  <si>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</si>
  <si>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</si>
  <si>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</si>
  <si>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</si>
  <si>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</si>
  <si>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</si>
  <si>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</si>
  <si>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</si>
  <si>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</si>
  <si>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</si>
  <si>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</si>
  <si>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</si>
  <si>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</si>
  <si>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</si>
  <si>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</si>
  <si>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</si>
  <si>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</si>
  <si>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</si>
  <si>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</si>
  <si>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</si>
  <si>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</si>
  <si>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</si>
  <si>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</si>
  <si>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</si>
  <si>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</si>
  <si>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</si>
  <si>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</si>
  <si>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</si>
  <si>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</si>
  <si>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</si>
  <si>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</si>
  <si>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</si>
  <si>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</si>
  <si>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</si>
  <si>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</si>
  <si>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</si>
  <si>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</si>
  <si>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</si>
  <si>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</si>
  <si>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</si>
  <si>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</si>
  <si>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</si>
  <si>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</si>
  <si>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</si>
  <si>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</si>
  <si>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</si>
  <si>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</si>
  <si>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</si>
  <si>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</si>
  <si>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</si>
  <si>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</si>
  <si>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</si>
  <si>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</si>
  <si>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</si>
  <si>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</si>
  <si>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</si>
  <si>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</si>
  <si>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</si>
  <si>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</si>
  <si>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</si>
  <si>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</si>
  <si>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</si>
  <si>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</si>
  <si>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</si>
  <si>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</si>
  <si>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</si>
  <si>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</si>
  <si>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</si>
  <si>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</si>
  <si>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</si>
  <si>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</si>
  <si>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</si>
  <si>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</si>
  <si>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</si>
  <si>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</si>
  <si>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</si>
  <si>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</si>
  <si>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</si>
  <si>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</si>
  <si>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</si>
  <si>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</si>
  <si>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</si>
  <si>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</si>
  <si>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</si>
  <si>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</si>
  <si>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</si>
  <si>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</si>
  <si>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</si>
  <si>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</si>
  <si>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</si>
  <si>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</si>
  <si>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</si>
  <si>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</si>
  <si>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</si>
  <si>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</si>
  <si>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</si>
  <si>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</si>
  <si>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</si>
  <si>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</si>
  <si>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</si>
  <si>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</si>
  <si>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</si>
  <si>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</si>
  <si>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</si>
  <si>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</si>
  <si>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</si>
  <si>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</si>
  <si>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</si>
  <si>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</si>
  <si>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</si>
  <si>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</si>
  <si>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</si>
  <si>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</si>
  <si>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</si>
  <si>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</si>
  <si>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</si>
  <si>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</si>
  <si>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</si>
  <si>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</si>
  <si>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</si>
  <si>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</si>
  <si>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</si>
  <si>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</si>
  <si>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</si>
  <si>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</si>
  <si>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</si>
  <si>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</si>
  <si>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</si>
  <si>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</si>
  <si>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</si>
  <si>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</si>
  <si>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</si>
  <si>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</si>
  <si>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</si>
  <si>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</si>
  <si>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</si>
  <si>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</si>
  <si>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</si>
  <si>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</si>
  <si>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</si>
  <si>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</si>
  <si>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</si>
  <si>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</si>
  <si>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</si>
  <si>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</si>
  <si>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</si>
  <si>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</si>
  <si>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</si>
  <si>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</si>
  <si>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</si>
  <si>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</si>
  <si>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</si>
  <si>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</si>
  <si>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</si>
  <si>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</si>
  <si>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</si>
  <si>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</si>
  <si>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</si>
  <si>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</si>
  <si>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</si>
  <si>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</si>
  <si>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</si>
  <si>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</si>
  <si>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</si>
  <si>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</si>
  <si>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</si>
  <si>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</si>
  <si>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</si>
  <si>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</si>
  <si>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</si>
  <si>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</si>
  <si>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</si>
  <si>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</si>
  <si>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</si>
  <si>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</si>
  <si>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</si>
  <si>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</si>
  <si>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</si>
  <si>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</si>
  <si>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</si>
  <si>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</si>
  <si>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</si>
  <si>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</si>
  <si>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</si>
  <si>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</si>
  <si>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</si>
  <si>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</si>
  <si>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</si>
  <si>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</si>
  <si>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</si>
  <si>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</si>
  <si>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</si>
  <si>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</si>
  <si>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</si>
  <si>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</si>
  <si>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</si>
  <si>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</si>
  <si>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</si>
  <si>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</si>
  <si>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</si>
  <si>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</si>
  <si>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</si>
  <si>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</si>
  <si>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</si>
  <si>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</si>
  <si>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</si>
  <si>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</si>
  <si>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</si>
  <si>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</si>
  <si>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</si>
  <si>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</si>
  <si>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</si>
  <si>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</si>
  <si>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</si>
  <si>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</si>
  <si>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</si>
  <si>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</si>
  <si>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</si>
  <si>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</si>
  <si>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</si>
  <si>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</si>
  <si>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</si>
  <si>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</si>
  <si>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</si>
  <si>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</si>
  <si>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</si>
  <si>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</si>
  <si>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</si>
  <si>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</si>
  <si>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</si>
  <si>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</si>
  <si>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</si>
  <si>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</si>
  <si>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</si>
  <si>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</si>
  <si>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</si>
  <si>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</si>
  <si>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</si>
  <si>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</si>
  <si>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</si>
  <si>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</si>
  <si>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</si>
  <si>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</si>
  <si>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</si>
  <si>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</si>
  <si>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</si>
  <si>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</si>
  <si>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</si>
  <si>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</si>
  <si>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</si>
  <si>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</si>
  <si>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</si>
  <si>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</si>
  <si>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</si>
  <si>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</si>
  <si>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</si>
  <si>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</si>
  <si>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</si>
  <si>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</si>
  <si>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</si>
  <si>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</si>
  <si>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</si>
  <si>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</si>
  <si>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</si>
  <si>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</si>
  <si>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</si>
  <si>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</si>
  <si>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</si>
  <si>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</si>
  <si>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</si>
  <si>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</si>
  <si>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</si>
  <si>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</si>
  <si>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</si>
  <si>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</si>
  <si>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</si>
  <si>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</si>
  <si>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</si>
  <si>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</si>
  <si>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</si>
  <si>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</si>
  <si>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</si>
  <si>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</si>
  <si>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</si>
  <si>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</si>
  <si>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</si>
  <si>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</si>
  <si>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</si>
  <si>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</si>
  <si>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</si>
  <si>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</si>
  <si>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</si>
  <si>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</si>
  <si>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</si>
  <si>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</si>
  <si>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</si>
  <si>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</si>
  <si>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</si>
  <si>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</si>
  <si>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</si>
  <si>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</si>
  <si>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</si>
  <si>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</si>
  <si>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</si>
  <si>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</si>
  <si>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</si>
  <si>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</si>
  <si>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</si>
  <si>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</si>
  <si>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</si>
  <si>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</si>
  <si>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</si>
  <si>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</si>
  <si>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</si>
  <si>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</si>
  <si>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</si>
  <si>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</si>
  <si>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</si>
  <si>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</si>
  <si>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</si>
  <si>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</si>
  <si>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</si>
  <si>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</si>
  <si>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</si>
  <si>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</si>
  <si>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</si>
  <si>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</si>
  <si>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</si>
  <si>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</si>
  <si>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</si>
  <si>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</si>
  <si>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</si>
  <si>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</si>
  <si>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</si>
  <si>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</si>
  <si>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</si>
  <si>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</si>
  <si>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</si>
  <si>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</si>
  <si>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</si>
  <si>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</si>
  <si>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</si>
  <si>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</si>
  <si>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</si>
  <si>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</si>
  <si>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</si>
  <si>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</si>
  <si>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</si>
  <si>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</si>
  <si>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</si>
  <si>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</si>
  <si>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</si>
  <si>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</si>
  <si>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</si>
  <si>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</si>
  <si>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</si>
  <si>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</si>
  <si>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</si>
  <si>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</si>
  <si>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</si>
  <si>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</si>
  <si>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</si>
  <si>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</si>
  <si>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</si>
  <si>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</si>
  <si>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</si>
  <si>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</si>
  <si>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</si>
  <si>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</si>
  <si>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</si>
  <si>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</si>
  <si>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</si>
  <si>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</si>
  <si>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</si>
  <si>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</si>
  <si>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</si>
  <si>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</si>
  <si>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</si>
  <si>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</si>
  <si>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</si>
  <si>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</si>
  <si>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</si>
  <si>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</si>
  <si>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</si>
  <si>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</si>
  <si>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</si>
  <si>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</si>
  <si>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</si>
  <si>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</si>
  <si>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</si>
  <si>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</si>
  <si>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</si>
  <si>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</si>
  <si>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</si>
  <si>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</si>
  <si>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</si>
  <si>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</si>
  <si>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</si>
  <si>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</si>
  <si>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</si>
  <si>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</si>
  <si>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</si>
  <si>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</si>
  <si>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</si>
  <si>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</si>
  <si>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</si>
  <si>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</si>
  <si>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</si>
  <si>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</si>
  <si>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</si>
  <si>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</si>
  <si>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</si>
  <si>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</si>
  <si>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</si>
  <si>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</si>
  <si>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</si>
  <si>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</si>
  <si>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</si>
  <si>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</si>
  <si>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</si>
  <si>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</si>
  <si>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</si>
  <si>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</si>
  <si>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</si>
  <si>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</si>
  <si>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</si>
  <si>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</si>
  <si>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</si>
  <si>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</si>
  <si>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</si>
  <si>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</si>
  <si>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</si>
  <si>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</si>
  <si>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</si>
  <si>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</si>
  <si>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</si>
  <si>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</si>
  <si>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</si>
  <si>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</si>
  <si>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</si>
  <si>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</si>
  <si>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</si>
  <si>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</si>
  <si>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</si>
  <si>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</si>
  <si>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</si>
  <si>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</si>
  <si>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</si>
  <si>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</si>
  <si>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</si>
  <si>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</si>
  <si>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</si>
  <si>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</si>
  <si>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</si>
  <si>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</si>
  <si>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</si>
  <si>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</si>
  <si>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</si>
  <si>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</si>
  <si>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</si>
  <si>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</si>
  <si>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</si>
  <si>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</si>
  <si>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</si>
  <si>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</si>
  <si>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</si>
  <si>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</si>
  <si>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</si>
  <si>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</si>
  <si>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</si>
  <si>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</si>
  <si>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</si>
  <si>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</si>
  <si>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</si>
  <si>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</si>
  <si>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</si>
  <si>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</si>
  <si>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</si>
  <si>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</si>
  <si>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</si>
  <si>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</si>
  <si>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</si>
  <si>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</si>
  <si>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</si>
  <si>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</si>
  <si>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</si>
  <si>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</si>
  <si>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</si>
  <si>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</si>
  <si>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</si>
  <si>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</si>
  <si>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</si>
  <si>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</si>
  <si>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</si>
  <si>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</si>
  <si>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</si>
  <si>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</si>
  <si>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</si>
  <si>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</si>
  <si>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</si>
  <si>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</si>
  <si>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</si>
  <si>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</si>
  <si>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</si>
  <si>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</si>
  <si>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</si>
  <si>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</si>
  <si>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</si>
  <si>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</si>
  <si>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</si>
  <si>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</si>
  <si>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</si>
  <si>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</si>
  <si>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</si>
  <si>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</si>
  <si>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</si>
  <si>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</si>
  <si>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</si>
  <si>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</si>
  <si>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</si>
  <si>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</si>
  <si>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</si>
  <si>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</si>
  <si>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</si>
  <si>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</si>
  <si>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</si>
  <si>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</si>
  <si>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</si>
  <si>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</si>
  <si>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</si>
  <si>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</si>
  <si>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</si>
  <si>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</si>
  <si>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</si>
  <si>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</si>
  <si>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</si>
  <si>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</si>
  <si>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</si>
  <si>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</si>
  <si>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</si>
  <si>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</si>
  <si>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</si>
  <si>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</si>
  <si>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</si>
  <si>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</si>
  <si>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</si>
  <si>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</si>
  <si>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</si>
  <si>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</si>
  <si>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</si>
  <si>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</si>
  <si>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</si>
  <si>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</si>
  <si>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</si>
  <si>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</si>
  <si>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</si>
  <si>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</si>
  <si>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</si>
  <si>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</si>
  <si>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</si>
  <si>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</si>
  <si>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</si>
  <si>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</si>
  <si>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</si>
  <si>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</si>
  <si>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</si>
  <si>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</si>
  <si>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</si>
  <si>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</si>
  <si>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</si>
  <si>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</si>
  <si>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</si>
  <si>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</si>
  <si>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</si>
  <si>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</si>
  <si>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</si>
  <si>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</si>
  <si>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</si>
  <si>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</si>
  <si>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</si>
  <si>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</si>
  <si>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</si>
  <si>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</si>
  <si>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</si>
  <si>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</si>
  <si>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</si>
  <si>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</si>
  <si>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</si>
  <si>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</si>
  <si>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</si>
  <si>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</si>
  <si>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</si>
  <si>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</si>
  <si>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</si>
  <si>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</si>
  <si>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</si>
  <si>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</si>
  <si>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</si>
  <si>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</si>
  <si>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</si>
  <si>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</si>
  <si>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</si>
  <si>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</si>
  <si>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</si>
  <si>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</si>
  <si>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</si>
  <si>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</si>
  <si>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</si>
  <si>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</si>
  <si>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</si>
  <si>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</si>
  <si>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</si>
  <si>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</si>
  <si>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</si>
  <si>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</si>
  <si>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</si>
  <si>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</si>
  <si>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</si>
  <si>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</si>
  <si>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</si>
  <si>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</si>
  <si>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</si>
  <si>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</si>
  <si>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</si>
  <si>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</si>
  <si>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</si>
  <si>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</si>
  <si>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</si>
  <si>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</si>
  <si>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</si>
  <si>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</si>
  <si>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</si>
  <si>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</si>
  <si>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</si>
  <si>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</si>
  <si>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</si>
  <si>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</si>
  <si>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</si>
  <si>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</si>
  <si>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</si>
  <si>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</si>
  <si>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</si>
  <si>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</si>
  <si>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</si>
  <si>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</si>
  <si>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</si>
  <si>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</si>
  <si>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</si>
  <si>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</si>
  <si>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</si>
  <si>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</si>
  <si>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</si>
  <si>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</si>
  <si>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</si>
  <si>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</si>
  <si>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</si>
  <si>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</si>
  <si>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</si>
  <si>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</si>
  <si>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</si>
  <si>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</si>
  <si>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</si>
  <si>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</si>
  <si>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</si>
  <si>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</si>
  <si>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</si>
  <si>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</si>
  <si>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</si>
  <si>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</si>
  <si>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</si>
  <si>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</si>
  <si>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</si>
  <si>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</si>
  <si>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</si>
  <si>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</si>
  <si>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</si>
  <si>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</si>
  <si>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</si>
  <si>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</si>
  <si>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</si>
  <si>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</si>
  <si>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</si>
  <si>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</si>
  <si>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</si>
  <si>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</si>
  <si>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</si>
  <si>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</si>
  <si>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</si>
  <si>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</si>
  <si>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</si>
  <si>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</si>
  <si>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</si>
  <si>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</si>
  <si>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</si>
  <si>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</si>
  <si>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</si>
  <si>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</si>
  <si>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</si>
  <si>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</si>
  <si>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</si>
  <si>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</si>
  <si>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</si>
  <si>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</si>
  <si>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</si>
  <si>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</si>
  <si>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</si>
  <si>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</si>
  <si>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</si>
  <si>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</si>
  <si>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</si>
  <si>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</si>
  <si>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</si>
  <si>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</si>
  <si>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</si>
  <si>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</si>
  <si>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</si>
  <si>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</si>
  <si>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</si>
  <si>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</si>
  <si>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</si>
  <si>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</si>
  <si>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</si>
  <si>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</si>
  <si>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</si>
  <si>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</si>
  <si>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</si>
  <si>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</si>
  <si>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</si>
  <si>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</si>
  <si>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</si>
  <si>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</si>
  <si>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</si>
  <si>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</si>
  <si>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</si>
  <si>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</si>
  <si>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</si>
  <si>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</si>
  <si>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</si>
  <si>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</si>
  <si>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</si>
  <si>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</si>
  <si>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</si>
  <si>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</si>
  <si>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</si>
  <si>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</si>
  <si>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</si>
  <si>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</si>
  <si>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</si>
  <si>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</si>
  <si>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</si>
  <si>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</si>
  <si>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</si>
  <si>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</si>
  <si>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</si>
  <si>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</si>
  <si>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</si>
  <si>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</si>
  <si>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</si>
  <si>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</si>
  <si>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</si>
  <si>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</si>
  <si>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</si>
  <si>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</si>
  <si>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</si>
  <si>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</si>
  <si>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</si>
  <si>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</si>
  <si>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</si>
  <si>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</si>
  <si>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</si>
  <si>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</si>
  <si>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</si>
  <si>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</si>
  <si>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</si>
  <si>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</si>
  <si>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</si>
  <si>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</si>
  <si>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</si>
  <si>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</si>
  <si>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</si>
  <si>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</si>
  <si>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</si>
  <si>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</si>
  <si>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</si>
  <si>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</si>
  <si>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</si>
  <si>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</si>
  <si>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</si>
  <si>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</si>
  <si>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</si>
  <si>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</si>
  <si>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</si>
  <si>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</si>
  <si>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</si>
  <si>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</si>
  <si>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</si>
  <si>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</si>
  <si>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</si>
  <si>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</si>
  <si>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</si>
  <si>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</si>
  <si>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</si>
  <si>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</si>
  <si>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</si>
  <si>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</si>
  <si>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</si>
  <si>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</si>
  <si>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</si>
  <si>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</si>
  <si>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</si>
  <si>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</si>
  <si>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</si>
  <si>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</si>
  <si>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</si>
  <si>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</si>
  <si>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</si>
  <si>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</si>
  <si>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</si>
  <si>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</si>
  <si>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</si>
  <si>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</si>
  <si>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</si>
  <si>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</si>
  <si>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</si>
  <si>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</si>
  <si>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</si>
  <si>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</si>
  <si>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</si>
  <si>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</si>
  <si>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</si>
  <si>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</si>
  <si>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</si>
  <si>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</si>
  <si>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</si>
  <si>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</si>
  <si>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</si>
  <si>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</si>
  <si>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</si>
  <si>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</si>
  <si>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</si>
  <si>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</si>
  <si>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</si>
  <si>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</si>
  <si>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</si>
  <si>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</si>
  <si>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</si>
  <si>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</si>
  <si>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</si>
  <si>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</si>
  <si>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</si>
  <si>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</si>
  <si>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</si>
  <si>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</si>
  <si>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</si>
  <si>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</si>
  <si>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</si>
  <si>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</si>
  <si>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</si>
  <si>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</si>
  <si>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</si>
  <si>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</si>
  <si>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</si>
  <si>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</si>
  <si>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</si>
  <si>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</si>
  <si>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</si>
  <si>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</si>
  <si>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</si>
  <si>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</si>
  <si>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</si>
  <si>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</si>
  <si>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</si>
  <si>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</si>
  <si>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</si>
  <si>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</si>
  <si>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</si>
  <si>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</si>
  <si>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</si>
  <si>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</si>
  <si>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</si>
  <si>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</si>
  <si>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</si>
  <si>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</si>
  <si>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</si>
  <si>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</si>
  <si>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</si>
  <si>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</si>
  <si>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</si>
  <si>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</si>
  <si>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</si>
  <si>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</si>
  <si>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</si>
  <si>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</si>
  <si>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</si>
  <si>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</si>
  <si>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</si>
  <si>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</si>
  <si>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</si>
  <si>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</si>
  <si>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</si>
  <si>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</si>
  <si>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</si>
  <si>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</si>
  <si>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</si>
  <si>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</si>
  <si>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</si>
  <si>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</si>
  <si>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</si>
  <si>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</si>
  <si>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</si>
  <si>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</si>
  <si>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</si>
  <si>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</si>
  <si>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</si>
  <si>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</si>
  <si>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</si>
  <si>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</si>
  <si>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</si>
  <si>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</si>
  <si>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</si>
  <si>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</si>
  <si>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</si>
  <si>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</si>
  <si>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</si>
  <si>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</si>
  <si>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</si>
  <si>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</si>
  <si>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</si>
  <si>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</si>
  <si>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</si>
  <si>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</si>
  <si>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</si>
  <si>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</si>
  <si>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</si>
  <si>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</si>
  <si>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</si>
  <si>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</si>
  <si>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</si>
  <si>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</si>
  <si>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</si>
  <si>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</si>
  <si>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</si>
  <si>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</si>
  <si>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</si>
  <si>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</si>
  <si>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</si>
  <si>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</si>
  <si>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</si>
  <si>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</si>
  <si>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</si>
  <si>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</si>
  <si>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</si>
  <si>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</si>
  <si>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</si>
  <si>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</si>
  <si>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</si>
  <si>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</si>
  <si>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</si>
  <si>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</si>
  <si>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</si>
  <si>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</si>
  <si>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</si>
  <si>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</si>
  <si>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</si>
  <si>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</si>
  <si>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</si>
  <si>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</si>
  <si>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</si>
  <si>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</si>
  <si>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</si>
  <si>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</si>
  <si>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</si>
  <si>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</si>
  <si>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</si>
  <si>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</si>
  <si>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</si>
  <si>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</si>
  <si>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</si>
  <si>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</si>
  <si>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</si>
  <si>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</si>
  <si>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</si>
  <si>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</si>
  <si>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</si>
  <si>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</si>
  <si>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</si>
  <si>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</si>
  <si>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</si>
  <si>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</si>
  <si>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</si>
  <si>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</si>
  <si>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</si>
  <si>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</si>
  <si>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</si>
  <si>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</si>
  <si>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</si>
  <si>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</si>
  <si>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</si>
  <si>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</si>
  <si>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</si>
  <si>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</si>
  <si>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</si>
  <si>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</si>
  <si>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</si>
  <si>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</si>
  <si>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</si>
  <si>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</si>
  <si>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</si>
  <si>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</si>
  <si>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</si>
  <si>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</si>
  <si>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</si>
  <si>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</si>
  <si>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</si>
  <si>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</si>
  <si>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</si>
  <si>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</si>
  <si>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</si>
  <si>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</si>
  <si>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</si>
  <si>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</si>
  <si>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</si>
  <si>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</si>
  <si>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</si>
  <si>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</si>
  <si>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</si>
  <si>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</si>
  <si>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</si>
  <si>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</si>
  <si>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</si>
  <si>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</si>
  <si>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</si>
  <si>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</si>
  <si>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</si>
  <si>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</si>
  <si>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</si>
  <si>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</si>
  <si>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</si>
  <si>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</si>
  <si>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</si>
  <si>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</si>
  <si>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</si>
  <si>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</si>
  <si>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</si>
  <si>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</si>
  <si>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</si>
  <si>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</si>
  <si>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</si>
  <si>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</si>
  <si>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</si>
  <si>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</si>
  <si>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</si>
  <si>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</si>
  <si>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</si>
  <si>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</si>
  <si>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</si>
  <si>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</si>
  <si>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</si>
  <si>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</si>
  <si>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</si>
  <si>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</si>
  <si>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</si>
  <si>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</si>
  <si>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</si>
  <si>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</si>
  <si>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</si>
  <si>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</si>
  <si>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</si>
  <si>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</si>
  <si>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</si>
  <si>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</si>
  <si>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</si>
  <si>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</si>
  <si>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</si>
  <si>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</si>
  <si>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</si>
  <si>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</si>
  <si>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</si>
  <si>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</si>
  <si>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</si>
  <si>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</si>
  <si>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</si>
  <si>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</si>
  <si>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</si>
  <si>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</si>
  <si>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</si>
  <si>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</si>
  <si>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</si>
  <si>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</si>
  <si>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</si>
  <si>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</si>
  <si>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</si>
  <si>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</si>
  <si>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</si>
  <si>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</si>
  <si>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</si>
  <si>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</si>
  <si>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</si>
  <si>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</si>
  <si>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</si>
  <si>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</si>
  <si>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</si>
  <si>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</si>
  <si>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</si>
  <si>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</si>
  <si>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</si>
  <si>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</si>
  <si>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</si>
  <si>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</si>
  <si>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</si>
  <si>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</si>
  <si>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</si>
  <si>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</si>
  <si>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</si>
  <si>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</si>
  <si>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</si>
  <si>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</si>
  <si>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</si>
  <si>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</si>
  <si>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</si>
  <si>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</si>
  <si>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</si>
  <si>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</si>
  <si>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</si>
  <si>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</si>
  <si>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</si>
  <si>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</si>
  <si>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</si>
  <si>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</si>
  <si>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</si>
  <si>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</si>
  <si>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</si>
  <si>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</si>
  <si>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</si>
  <si>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</si>
  <si>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</si>
  <si>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</si>
  <si>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</si>
  <si>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</si>
  <si>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</si>
  <si>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</si>
  <si>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</si>
  <si>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</si>
  <si>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</si>
  <si>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</si>
  <si>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</si>
  <si>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</si>
  <si>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</si>
  <si>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</si>
  <si>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</si>
  <si>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</si>
  <si>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</si>
  <si>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</si>
  <si>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</si>
  <si>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</si>
  <si>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</si>
  <si>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</si>
  <si>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</si>
  <si>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</si>
  <si>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</si>
  <si>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</si>
  <si>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</si>
  <si>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</si>
  <si>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</si>
  <si>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</si>
  <si>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</si>
  <si>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</si>
  <si>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</si>
  <si>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</si>
  <si>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</si>
  <si>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</si>
  <si>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</si>
  <si>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</si>
  <si>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</si>
  <si>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</si>
  <si>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</si>
  <si>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</si>
  <si>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</si>
  <si>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</si>
  <si>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</si>
  <si>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</si>
  <si>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</si>
  <si>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</si>
  <si>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</si>
  <si>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</si>
  <si>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</si>
  <si>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</si>
  <si>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</si>
  <si>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</si>
  <si>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</si>
  <si>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</si>
  <si>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</si>
  <si>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</si>
  <si>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</si>
  <si>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</si>
  <si>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</si>
  <si>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</si>
  <si>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</si>
  <si>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</si>
  <si>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</si>
  <si>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</si>
  <si>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</si>
  <si>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</si>
  <si>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</si>
  <si>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</si>
  <si>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</si>
  <si>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</si>
  <si>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</si>
  <si>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</si>
  <si>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</si>
  <si>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</si>
  <si>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</si>
  <si>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</si>
  <si>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</si>
  <si>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</si>
  <si>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</si>
  <si>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</si>
  <si>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</si>
  <si>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</si>
  <si>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</si>
  <si>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</si>
  <si>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</si>
  <si>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</si>
  <si>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</si>
  <si>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</si>
  <si>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</si>
  <si>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</si>
  <si>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</si>
  <si>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</si>
  <si>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</si>
  <si>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</si>
  <si>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</si>
  <si>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</si>
  <si>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</si>
  <si>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</si>
  <si>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</si>
  <si>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</si>
  <si>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</si>
  <si>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</si>
  <si>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</si>
  <si>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</si>
  <si>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</si>
  <si>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</si>
  <si>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</si>
  <si>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</si>
  <si>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</si>
  <si>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</si>
  <si>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</si>
  <si>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</si>
  <si>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</si>
  <si>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</si>
  <si>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</si>
  <si>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</si>
  <si>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</si>
  <si>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</si>
  <si>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</si>
  <si>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</si>
  <si>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</si>
  <si>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</si>
  <si>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</si>
  <si>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</si>
  <si>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</si>
  <si>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</si>
  <si>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</si>
  <si>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</si>
  <si>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</si>
  <si>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</si>
  <si>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</si>
  <si>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</si>
  <si>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</si>
  <si>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</si>
  <si>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</si>
  <si>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</si>
  <si>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</si>
  <si>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</si>
  <si>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</si>
  <si>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</si>
  <si>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</si>
  <si>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</si>
  <si>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</si>
  <si>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</si>
  <si>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</si>
  <si>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</si>
  <si>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</si>
  <si>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</si>
  <si>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</si>
  <si>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</si>
  <si>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</si>
  <si>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</si>
  <si>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</si>
  <si>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</si>
  <si>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</si>
  <si>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</si>
  <si>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</si>
  <si>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</si>
  <si>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</si>
  <si>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</si>
  <si>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</si>
  <si>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</si>
  <si>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</si>
  <si>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</si>
  <si>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</si>
  <si>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</si>
  <si>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</si>
  <si>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</si>
  <si>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</si>
  <si>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</si>
  <si>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</si>
  <si>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</si>
  <si>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</si>
  <si>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</si>
  <si>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</si>
  <si>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</si>
  <si>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</si>
  <si>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</si>
  <si>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</si>
  <si>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</si>
  <si>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</si>
  <si>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</si>
  <si>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</si>
  <si>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</si>
  <si>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</si>
  <si>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</si>
  <si>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</si>
  <si>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</si>
  <si>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</si>
  <si>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</si>
  <si>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</si>
  <si>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</si>
  <si>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</si>
  <si>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</si>
  <si>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</si>
  <si>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</si>
  <si>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</si>
  <si>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</si>
  <si>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</si>
  <si>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</si>
  <si>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</si>
  <si>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</si>
  <si>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</si>
  <si>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</si>
  <si>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</si>
  <si>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</si>
  <si>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</si>
  <si>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</si>
  <si>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</si>
  <si>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</si>
  <si>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</si>
  <si>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</si>
  <si>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</si>
  <si>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</si>
  <si>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</si>
  <si>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</si>
  <si>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</si>
  <si>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</si>
  <si>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</si>
  <si>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</si>
  <si>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</si>
  <si>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</si>
  <si>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</si>
  <si>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</si>
  <si>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</si>
  <si>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</si>
  <si>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</si>
  <si>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</si>
  <si>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</si>
  <si>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</si>
  <si>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</si>
  <si>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</si>
  <si>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</si>
  <si>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</si>
  <si>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</si>
  <si>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</si>
  <si>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</si>
  <si>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</si>
  <si>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</si>
  <si>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</si>
  <si>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</si>
  <si>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</si>
  <si>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</si>
  <si>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</si>
  <si>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</si>
  <si>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</si>
  <si>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</si>
  <si>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</si>
  <si>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</si>
  <si>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</si>
  <si>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</si>
  <si>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</si>
  <si>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</si>
  <si>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</si>
  <si>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</si>
  <si>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</si>
  <si>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</si>
  <si>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</si>
  <si>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</si>
  <si>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</si>
  <si>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</si>
  <si>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</si>
  <si>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</si>
  <si>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</si>
  <si>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</si>
  <si>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</si>
  <si>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</si>
  <si>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</si>
  <si>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</si>
  <si>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</si>
  <si>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</si>
  <si>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</si>
  <si>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</si>
  <si>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</si>
  <si>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</si>
  <si>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</si>
  <si>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</si>
  <si>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</si>
  <si>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</si>
  <si>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</si>
  <si>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</si>
  <si>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</si>
  <si>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</si>
  <si>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</si>
  <si>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</si>
  <si>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</si>
  <si>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</si>
  <si>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</si>
  <si>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</si>
  <si>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</si>
  <si>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</si>
  <si>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</si>
  <si>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</si>
  <si>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</si>
  <si>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</si>
  <si>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</si>
  <si>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</si>
  <si>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</si>
  <si>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</si>
  <si>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</si>
  <si>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</si>
  <si>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</si>
  <si>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</si>
  <si>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</si>
  <si>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</si>
  <si>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</si>
  <si>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</si>
  <si>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</si>
  <si>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</si>
  <si>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</si>
  <si>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</si>
  <si>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</si>
  <si>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</si>
  <si>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</si>
  <si>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</si>
  <si>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</si>
  <si>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</si>
  <si>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</si>
  <si>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</si>
  <si>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</si>
  <si>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</si>
  <si>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</si>
  <si>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</si>
  <si>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</si>
  <si>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</si>
  <si>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</si>
  <si>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</si>
  <si>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</si>
  <si>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</si>
  <si>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</si>
  <si>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</si>
  <si>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</si>
  <si>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</si>
  <si>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</si>
  <si>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</si>
  <si>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</si>
  <si>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</si>
  <si>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</si>
  <si>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</si>
  <si>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</si>
  <si>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</si>
  <si>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</si>
  <si>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</si>
  <si>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</si>
  <si>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</si>
  <si>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</si>
  <si>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</si>
  <si>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</si>
  <si>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</si>
  <si>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</si>
  <si>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</si>
  <si>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</si>
  <si>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</si>
  <si>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</si>
  <si>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</si>
  <si>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</si>
  <si>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</si>
  <si>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</si>
  <si>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</si>
  <si>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</si>
  <si>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</si>
  <si>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</si>
  <si>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</si>
  <si>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</si>
  <si>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</si>
  <si>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</si>
  <si>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</si>
  <si>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</si>
  <si>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</si>
  <si>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</si>
  <si>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</si>
  <si>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</si>
  <si>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</si>
  <si>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</si>
  <si>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</si>
  <si>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</si>
  <si>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</si>
  <si>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</si>
  <si>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</si>
  <si>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</si>
  <si>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</si>
  <si>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</si>
  <si>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</si>
  <si>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</si>
  <si>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</si>
  <si>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</si>
  <si>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</si>
  <si>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</si>
  <si>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</si>
  <si>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</si>
  <si>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</si>
  <si>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</si>
  <si>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</si>
  <si>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</si>
  <si>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</si>
  <si>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</si>
  <si>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</si>
  <si>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</si>
  <si>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</si>
  <si>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</si>
  <si>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</si>
  <si>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</si>
  <si>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</si>
  <si>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</si>
  <si>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</si>
  <si>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</si>
  <si>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</si>
  <si>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</si>
  <si>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</si>
  <si>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</si>
  <si>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</si>
  <si>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</si>
  <si>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</si>
  <si>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</si>
  <si>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</si>
  <si>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</si>
  <si>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</si>
  <si>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</si>
  <si>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</si>
  <si>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</si>
  <si>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</si>
  <si>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</si>
  <si>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</si>
  <si>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</si>
  <si>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</si>
  <si>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</si>
  <si>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</si>
  <si>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</si>
  <si>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</si>
  <si>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</si>
  <si>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</si>
  <si>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</si>
  <si>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</si>
  <si>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</si>
  <si>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</si>
  <si>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</si>
  <si>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</si>
  <si>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</si>
  <si>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</si>
  <si>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</si>
  <si>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</si>
  <si>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</si>
  <si>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</si>
  <si>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</si>
  <si>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</si>
  <si>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</si>
  <si>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</si>
  <si>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</si>
  <si>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</si>
  <si>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</si>
  <si>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</si>
  <si>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</si>
  <si>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</si>
  <si>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</si>
  <si>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</si>
  <si>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</si>
  <si>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</si>
  <si>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</si>
  <si>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</si>
  <si>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</si>
  <si>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</si>
  <si>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</si>
  <si>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</si>
  <si>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</si>
  <si>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</si>
  <si>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</si>
  <si>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</si>
  <si>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</si>
  <si>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</si>
  <si>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</si>
  <si>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</si>
  <si>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</si>
  <si>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</si>
  <si>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</si>
  <si>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</si>
  <si>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</si>
  <si>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</si>
  <si>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</si>
  <si>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</si>
  <si>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</si>
  <si>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</si>
  <si>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</si>
  <si>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</si>
  <si>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</si>
  <si>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</si>
  <si>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</si>
  <si>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</si>
  <si>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</si>
  <si>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</si>
  <si>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</si>
  <si>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</si>
  <si>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</si>
  <si>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</si>
  <si>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</si>
  <si>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</si>
  <si>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</si>
  <si>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</si>
  <si>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</si>
  <si>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</si>
  <si>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</si>
  <si>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</si>
  <si>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</si>
  <si>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</si>
  <si>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</si>
  <si>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</si>
  <si>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</si>
  <si>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</si>
  <si>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</si>
  <si>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</si>
  <si>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</si>
  <si>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</si>
  <si>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</si>
  <si>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</si>
  <si>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</si>
  <si>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</si>
  <si>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</si>
  <si>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</si>
  <si>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</si>
  <si>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</si>
  <si>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</si>
  <si>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</si>
  <si>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</si>
  <si>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</si>
  <si>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</si>
  <si>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</si>
  <si>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</si>
  <si>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</si>
  <si>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</si>
  <si>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</si>
  <si>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</si>
  <si>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</si>
  <si>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</si>
  <si>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</si>
  <si>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</si>
  <si>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</si>
  <si>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</si>
  <si>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</si>
  <si>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</si>
  <si>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</si>
  <si>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</si>
  <si>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</si>
  <si>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</si>
  <si>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</si>
  <si>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</si>
  <si>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</si>
  <si>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</si>
  <si>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</si>
  <si>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</si>
  <si>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</si>
  <si>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</si>
  <si>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</si>
  <si>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</si>
  <si>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</si>
  <si>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</si>
  <si>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</si>
  <si>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</si>
  <si>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</si>
  <si>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</si>
  <si>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</si>
  <si>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</si>
  <si>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</si>
  <si>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</si>
  <si>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</si>
  <si>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</si>
  <si>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</si>
  <si>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</si>
  <si>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</si>
  <si>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</si>
  <si>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</si>
  <si>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</si>
  <si>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</si>
  <si>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</si>
  <si>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</si>
  <si>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</si>
  <si>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</si>
  <si>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</si>
  <si>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</si>
  <si>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</si>
  <si>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</si>
  <si>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</si>
  <si>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</si>
  <si>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</si>
  <si>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</si>
  <si>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</si>
  <si>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</si>
  <si>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</si>
  <si>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</si>
  <si>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</si>
  <si>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</si>
  <si>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</si>
  <si>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</si>
  <si>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</si>
  <si>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</si>
  <si>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</si>
  <si>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</si>
  <si>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</si>
  <si>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</si>
  <si>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</si>
  <si>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</si>
  <si>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</si>
  <si>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</si>
  <si>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</si>
  <si>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</si>
  <si>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</si>
  <si>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</si>
  <si>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</si>
  <si>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</si>
  <si>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</si>
  <si>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</si>
  <si>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</si>
  <si>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</si>
  <si>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</si>
  <si>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</si>
  <si>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</si>
  <si>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</si>
  <si>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</si>
  <si>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</si>
  <si>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</si>
  <si>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</si>
  <si>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</si>
  <si>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</si>
  <si>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</si>
  <si>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</si>
  <si>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</si>
  <si>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</si>
  <si>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</si>
  <si>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</si>
  <si>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</si>
  <si>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</si>
  <si>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</si>
  <si>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</si>
  <si>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</si>
  <si>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</si>
  <si>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</si>
  <si>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</si>
  <si>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</si>
  <si>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</si>
  <si>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</si>
  <si>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</si>
  <si>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</si>
  <si>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</si>
  <si>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</si>
  <si>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</si>
  <si>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</si>
  <si>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</si>
  <si>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</si>
  <si>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</si>
  <si>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</si>
  <si>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</si>
  <si>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</si>
  <si>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</si>
  <si>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</si>
  <si>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</si>
  <si>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</si>
  <si>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</si>
  <si>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</si>
  <si>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</si>
  <si>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</si>
  <si>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</si>
  <si>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</si>
  <si>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</si>
  <si>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</si>
  <si>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</si>
  <si>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</si>
  <si>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</si>
  <si>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</si>
  <si>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</si>
  <si>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</si>
  <si>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</si>
  <si>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</si>
  <si>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</si>
  <si>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</si>
  <si>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</si>
  <si>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</si>
  <si>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</si>
  <si>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</si>
  <si>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</si>
  <si>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</si>
  <si>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</si>
  <si>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</si>
  <si>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</si>
  <si>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</si>
  <si>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</si>
  <si>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</si>
  <si>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</si>
  <si>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</si>
  <si>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</si>
  <si>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</si>
  <si>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</si>
  <si>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</si>
  <si>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</si>
  <si>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</si>
  <si>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</si>
  <si>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</si>
  <si>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</si>
  <si>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</si>
  <si>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</si>
  <si>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</si>
  <si>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</si>
  <si>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</si>
  <si>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</si>
  <si>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</si>
  <si>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</si>
  <si>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</si>
  <si>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</si>
  <si>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</si>
  <si>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</si>
  <si>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</si>
  <si>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</si>
  <si>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</si>
  <si>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</si>
  <si>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</si>
  <si>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</si>
  <si>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</si>
  <si>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</si>
  <si>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</si>
  <si>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</si>
  <si>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</si>
  <si>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</si>
  <si>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</si>
  <si>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</si>
  <si>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</si>
  <si>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</si>
  <si>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</si>
  <si>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</si>
  <si>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</si>
  <si>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</si>
  <si>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</si>
  <si>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</si>
  <si>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</si>
  <si>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</si>
  <si>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</si>
  <si>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</si>
  <si>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</si>
  <si>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</si>
  <si>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</si>
  <si>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</si>
  <si>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</si>
  <si>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</si>
  <si>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</si>
  <si>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</si>
  <si>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</si>
  <si>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</si>
  <si>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</si>
  <si>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</si>
  <si>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</si>
  <si>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</si>
  <si>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</si>
  <si>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</si>
  <si>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</si>
  <si>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</si>
  <si>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</si>
  <si>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</si>
  <si>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</si>
  <si>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</si>
  <si>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</si>
  <si>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</si>
  <si>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</si>
  <si>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</si>
  <si>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</si>
  <si>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</si>
  <si>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</si>
  <si>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</si>
  <si>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</si>
  <si>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</si>
  <si>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</si>
  <si>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</si>
  <si>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</si>
  <si>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</si>
  <si>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</si>
  <si>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</si>
  <si>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</si>
  <si>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</si>
  <si>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</si>
  <si>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</si>
  <si>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</si>
  <si>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</si>
  <si>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</si>
  <si>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</si>
  <si>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</si>
  <si>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</si>
  <si>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</si>
  <si>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</si>
  <si>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</si>
  <si>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</si>
  <si>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</si>
  <si>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</si>
  <si>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</si>
  <si>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</si>
  <si>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</si>
  <si>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</si>
  <si>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</si>
  <si>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</si>
  <si>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</si>
  <si>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</si>
  <si>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</si>
  <si>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</si>
  <si>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</si>
  <si>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</si>
  <si>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</si>
  <si>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</si>
  <si>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</si>
  <si>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</si>
  <si>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</si>
  <si>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</si>
  <si>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</si>
  <si>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</si>
  <si>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</si>
  <si>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</si>
  <si>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</si>
  <si>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</si>
  <si>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</si>
  <si>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</si>
  <si>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</si>
  <si>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</si>
  <si>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</si>
  <si>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</si>
  <si>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</si>
  <si>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</si>
  <si>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</si>
  <si>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</si>
  <si>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</si>
  <si>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</si>
  <si>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</si>
  <si>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</si>
  <si>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</si>
  <si>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</si>
  <si>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</si>
  <si>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</si>
  <si>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</si>
  <si>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</si>
  <si>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</si>
  <si>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</si>
  <si>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</si>
  <si>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</si>
  <si>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</si>
  <si>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</si>
  <si>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</si>
  <si>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</si>
  <si>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</si>
  <si>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</si>
  <si>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</si>
  <si>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</si>
  <si>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</si>
  <si>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</si>
  <si>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</si>
  <si>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</si>
  <si>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</si>
  <si>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</si>
  <si>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</si>
  <si>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</si>
  <si>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</si>
  <si>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</si>
  <si>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</si>
  <si>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</si>
  <si>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</si>
  <si>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</si>
  <si>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</si>
  <si>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</si>
  <si>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</si>
  <si>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</si>
  <si>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</si>
  <si>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</si>
  <si>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</si>
  <si>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</si>
  <si>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</si>
  <si>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</si>
  <si>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</si>
  <si>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</si>
  <si>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</si>
  <si>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</si>
  <si>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</si>
  <si>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</si>
  <si>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</si>
  <si>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</si>
  <si>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</si>
  <si>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</si>
  <si>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</si>
  <si>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</si>
  <si>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</si>
  <si>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</si>
  <si>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</si>
  <si>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</si>
  <si>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</si>
  <si>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</si>
  <si>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</si>
  <si>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</si>
  <si>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</si>
  <si>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</si>
  <si>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</si>
  <si>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</si>
  <si>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</si>
  <si>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</si>
  <si>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</si>
  <si>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</si>
  <si>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</si>
  <si>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</si>
  <si>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</si>
  <si>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</si>
  <si>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</si>
  <si>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</si>
  <si>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</si>
  <si>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</si>
  <si>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</si>
  <si>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</si>
  <si>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</si>
  <si>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</si>
  <si>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</si>
  <si>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</si>
  <si>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</si>
  <si>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</si>
  <si>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</si>
  <si>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</si>
  <si>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</si>
  <si>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</si>
  <si>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</si>
  <si>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</si>
  <si>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</si>
  <si>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</si>
  <si>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</si>
  <si>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</si>
  <si>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</si>
  <si>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</si>
  <si>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</si>
  <si>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</si>
  <si>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</si>
  <si>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</si>
  <si>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</si>
  <si>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</si>
  <si>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</si>
  <si>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</si>
  <si>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</si>
  <si>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</si>
  <si>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</si>
  <si>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</si>
  <si>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</si>
  <si>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</si>
  <si>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</si>
  <si>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</si>
  <si>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</si>
  <si>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</si>
  <si>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</si>
  <si>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</si>
  <si>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</si>
  <si>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</si>
  <si>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</si>
  <si>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</si>
  <si>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</si>
  <si>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</si>
  <si>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</si>
  <si>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</si>
  <si>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</si>
  <si>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</si>
  <si>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</si>
  <si>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</si>
  <si>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</si>
  <si>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</si>
  <si>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</si>
  <si>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</si>
  <si>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</si>
  <si>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</si>
  <si>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</si>
  <si>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</si>
  <si>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</si>
  <si>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</si>
  <si>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</si>
  <si>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</si>
  <si>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</si>
  <si>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</si>
  <si>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</si>
  <si>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</si>
  <si>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</si>
  <si>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</si>
  <si>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</si>
  <si>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</si>
  <si>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</si>
  <si>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</si>
  <si>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</si>
  <si>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</si>
  <si>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</si>
  <si>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</si>
  <si>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</si>
  <si>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</si>
  <si>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</si>
  <si>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</si>
  <si>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</si>
  <si>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</si>
  <si>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</si>
  <si>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</si>
  <si>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</si>
  <si>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</si>
  <si>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</si>
  <si>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</si>
  <si>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</si>
  <si>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</si>
  <si>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</si>
  <si>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</si>
  <si>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</si>
  <si>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</si>
  <si>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</si>
  <si>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</si>
  <si>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</si>
  <si>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</si>
  <si>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</si>
  <si>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</si>
  <si>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</si>
  <si>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</si>
  <si>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</si>
  <si>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</si>
  <si>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</si>
  <si>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</si>
  <si>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</si>
  <si>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</si>
  <si>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</si>
  <si>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</si>
  <si>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</si>
  <si>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</si>
  <si>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</si>
  <si>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</si>
  <si>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</si>
  <si>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</si>
  <si>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</si>
  <si>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</si>
  <si>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</si>
  <si>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</si>
  <si>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</si>
  <si>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</si>
  <si>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</si>
  <si>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</si>
  <si>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</si>
  <si>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</si>
  <si>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</si>
  <si>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</si>
  <si>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</si>
  <si>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</si>
  <si>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</si>
  <si>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</si>
  <si>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</si>
  <si>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</si>
  <si>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</si>
  <si>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</si>
  <si>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</si>
  <si>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</si>
  <si>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</si>
  <si>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</si>
  <si>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</si>
  <si>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</si>
  <si>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</si>
  <si>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</si>
  <si>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</si>
  <si>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</si>
  <si>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</si>
  <si>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</si>
  <si>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</si>
  <si>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</si>
  <si>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</si>
  <si>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</si>
  <si>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</si>
  <si>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</si>
  <si>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</si>
  <si>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</si>
  <si>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</si>
  <si>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</si>
  <si>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</si>
  <si>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</si>
  <si>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</si>
  <si>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</si>
  <si>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</si>
  <si>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</si>
  <si>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</si>
  <si>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</si>
  <si>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</si>
  <si>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</si>
  <si>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</si>
  <si>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</si>
  <si>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</si>
  <si>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</si>
  <si>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</si>
  <si>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</si>
  <si>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</si>
  <si>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</si>
  <si>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</si>
  <si>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</si>
  <si>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</si>
  <si>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</si>
  <si>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</si>
  <si>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</si>
  <si>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</si>
  <si>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</si>
  <si>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</si>
  <si>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</si>
  <si>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</si>
  <si>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</si>
  <si>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</si>
  <si>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</si>
  <si>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</si>
  <si>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</si>
  <si>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</si>
  <si>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</si>
  <si>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</si>
  <si>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</si>
  <si>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</si>
  <si>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</si>
  <si>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</si>
  <si>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</si>
  <si>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</si>
  <si>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</si>
  <si>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</si>
  <si>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</si>
  <si>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</si>
  <si>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</si>
  <si>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</si>
  <si>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</si>
  <si>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</si>
  <si>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</si>
  <si>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</si>
  <si>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</si>
  <si>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</si>
  <si>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</si>
  <si>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</si>
  <si>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</si>
  <si>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</si>
  <si>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</si>
  <si>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</si>
  <si>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</si>
  <si>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</si>
  <si>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</si>
  <si>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</si>
  <si>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</si>
  <si>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</si>
  <si>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</si>
  <si>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</si>
  <si>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</si>
  <si>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</si>
  <si>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</si>
  <si>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</si>
  <si>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</si>
  <si>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</si>
  <si>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</si>
  <si>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</si>
  <si>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</si>
  <si>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</si>
  <si>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</si>
  <si>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</si>
  <si>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</si>
  <si>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</si>
  <si>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</si>
  <si>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</si>
  <si>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</si>
  <si>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</si>
  <si>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</si>
  <si>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</si>
  <si>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</si>
  <si>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</si>
  <si>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</si>
  <si>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</si>
  <si>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</si>
  <si>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</si>
  <si>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</si>
  <si>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</si>
  <si>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</si>
  <si>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</si>
  <si>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</si>
  <si>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</si>
  <si>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</si>
  <si>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</si>
  <si>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</si>
  <si>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</si>
  <si>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</si>
  <si>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</si>
  <si>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</si>
  <si>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</si>
  <si>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</si>
  <si>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</si>
  <si>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</si>
  <si>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</si>
  <si>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</si>
  <si>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</si>
  <si>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</si>
  <si>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</si>
  <si>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</si>
  <si>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</si>
  <si>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</si>
  <si>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</si>
  <si>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</si>
  <si>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</si>
  <si>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</si>
  <si>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</si>
  <si>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</si>
  <si>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</si>
  <si>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</si>
  <si>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</si>
  <si>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</si>
  <si>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</si>
  <si>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</si>
  <si>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</si>
  <si>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</si>
  <si>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</si>
  <si>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</si>
  <si>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</si>
  <si>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</si>
  <si>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</si>
  <si>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</si>
  <si>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</si>
  <si>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</si>
  <si>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</si>
  <si>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</si>
  <si>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</si>
  <si>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</si>
  <si>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</si>
  <si>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</si>
  <si>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</si>
  <si>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</si>
  <si>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</si>
  <si>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</si>
  <si>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</si>
  <si>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</si>
  <si>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</si>
  <si>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</si>
  <si>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</si>
  <si>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</si>
  <si>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</si>
  <si>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</si>
  <si>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</si>
  <si>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</si>
  <si>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</si>
  <si>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</si>
  <si>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</si>
  <si>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</si>
  <si>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</si>
  <si>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</si>
  <si>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</si>
  <si>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</si>
  <si>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</si>
  <si>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</si>
  <si>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</si>
  <si>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</si>
  <si>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</si>
  <si>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</si>
  <si>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</si>
  <si>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</si>
  <si>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</si>
  <si>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</si>
  <si>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</si>
  <si>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</si>
  <si>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</si>
  <si>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</si>
  <si>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</si>
  <si>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</si>
  <si>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</si>
  <si>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</si>
  <si>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</si>
  <si>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</si>
  <si>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</si>
  <si>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</si>
  <si>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</si>
  <si>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</si>
  <si>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</si>
  <si>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</si>
  <si>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</si>
  <si>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</si>
  <si>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</si>
  <si>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</si>
  <si>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</si>
  <si>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</si>
  <si>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</si>
  <si>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</si>
  <si>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</si>
  <si>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</si>
  <si>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</si>
  <si>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</si>
  <si>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</si>
  <si>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</si>
  <si>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</si>
  <si>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</si>
  <si>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</si>
  <si>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</si>
  <si>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</si>
  <si>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</si>
  <si>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</si>
  <si>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</si>
  <si>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</si>
  <si>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</si>
  <si>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</si>
  <si>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</si>
  <si>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</si>
  <si>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</si>
  <si>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</si>
  <si>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</si>
  <si>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</si>
  <si>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</si>
  <si>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</si>
  <si>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</si>
  <si>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</si>
  <si>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</si>
  <si>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</si>
  <si>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</si>
  <si>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</si>
  <si>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</si>
  <si>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</si>
  <si>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</si>
  <si>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</si>
  <si>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</si>
  <si>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</si>
  <si>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</si>
  <si>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</si>
  <si>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</si>
  <si>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</si>
  <si>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</si>
  <si>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</si>
  <si>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</si>
  <si>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</si>
  <si>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</si>
  <si>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</si>
  <si>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</si>
  <si>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</si>
  <si>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</si>
  <si>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</si>
  <si>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</si>
  <si>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</si>
  <si>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</si>
  <si>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</si>
  <si>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</si>
  <si>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</si>
  <si>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</si>
  <si>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</si>
  <si>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</si>
  <si>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</si>
  <si>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</si>
  <si>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</si>
  <si>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</si>
  <si>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</si>
  <si>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</si>
  <si>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</si>
  <si>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</si>
  <si>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</si>
  <si>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</si>
  <si>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</si>
  <si>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</si>
  <si>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</si>
  <si>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</si>
  <si>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</si>
  <si>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</si>
  <si>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</si>
  <si>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</si>
  <si>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</si>
  <si>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</si>
  <si>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</si>
  <si>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</si>
  <si>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</si>
  <si>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</si>
  <si>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</si>
  <si>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</si>
  <si>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</si>
  <si>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</si>
  <si>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</si>
  <si>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</si>
  <si>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</si>
  <si>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</si>
  <si>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</si>
  <si>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</si>
  <si>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</si>
  <si>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</si>
  <si>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</si>
  <si>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</si>
  <si>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</si>
  <si>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</si>
  <si>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</si>
  <si>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</si>
  <si>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</si>
  <si>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</si>
  <si>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</si>
  <si>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</si>
  <si>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</si>
  <si>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</si>
  <si>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</si>
  <si>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</si>
  <si>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</si>
  <si>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</si>
  <si>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</si>
  <si>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</si>
  <si>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</si>
  <si>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</si>
  <si>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</si>
  <si>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</si>
  <si>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</si>
  <si>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</si>
  <si>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</si>
  <si>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</si>
  <si>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</si>
  <si>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</si>
  <si>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</si>
  <si>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</si>
  <si>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</si>
  <si>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</si>
  <si>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</si>
  <si>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</si>
  <si>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</si>
  <si>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</si>
  <si>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</si>
  <si>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</si>
  <si>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</si>
  <si>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</si>
  <si>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</si>
  <si>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</si>
  <si>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</si>
  <si>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</si>
  <si>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</si>
  <si>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</si>
  <si>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</si>
  <si>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</si>
  <si>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</si>
  <si>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</si>
  <si>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</si>
  <si>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</si>
  <si>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</si>
  <si>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</si>
  <si>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</si>
  <si>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</si>
  <si>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</si>
  <si>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</si>
  <si>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</si>
  <si>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</si>
  <si>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</si>
  <si>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</si>
  <si>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</si>
  <si>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</si>
  <si>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</si>
  <si>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</si>
  <si>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</si>
  <si>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</si>
  <si>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</si>
  <si>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</si>
  <si>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</si>
  <si>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</si>
  <si>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</si>
  <si>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</si>
  <si>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</si>
  <si>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</si>
  <si>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</si>
  <si>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</si>
  <si>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</si>
  <si>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</si>
  <si>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</si>
  <si>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</si>
  <si>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</si>
  <si>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</si>
  <si>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</si>
  <si>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</si>
  <si>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</si>
  <si>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</si>
  <si>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</si>
  <si>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</si>
  <si>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</si>
  <si>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</si>
  <si>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</si>
  <si>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</si>
  <si>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</si>
  <si>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</si>
  <si>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</si>
  <si>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</si>
  <si>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</si>
  <si>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</si>
  <si>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</si>
  <si>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</si>
  <si>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</si>
  <si>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</si>
  <si>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</si>
  <si>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</si>
  <si>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</si>
  <si>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</si>
  <si>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</si>
  <si>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</si>
  <si>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</si>
  <si>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</si>
  <si>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</si>
  <si>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</si>
  <si>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</si>
  <si>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</si>
  <si>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</si>
  <si>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</si>
  <si>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</si>
  <si>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</si>
  <si>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</si>
  <si>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</si>
  <si>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</si>
  <si>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</si>
  <si>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</si>
  <si>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</si>
  <si>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</si>
  <si>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</si>
  <si>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</si>
  <si>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</si>
  <si>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</si>
  <si>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</si>
  <si>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</si>
  <si>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</si>
  <si>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</si>
  <si>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</si>
  <si>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</si>
  <si>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</si>
  <si>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</si>
  <si>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</si>
  <si>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</si>
  <si>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</si>
  <si>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</si>
  <si>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</si>
  <si>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</si>
  <si>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</si>
  <si>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</si>
  <si>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</si>
  <si>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</si>
  <si>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</si>
  <si>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</si>
  <si>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</si>
  <si>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</si>
  <si>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</si>
  <si>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</si>
  <si>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</si>
  <si>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</si>
  <si>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</si>
  <si>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</si>
  <si>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</si>
  <si>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</si>
  <si>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</si>
  <si>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</si>
  <si>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</si>
  <si>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</si>
  <si>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</si>
  <si>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</si>
  <si>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</si>
  <si>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</si>
  <si>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</si>
  <si>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</si>
  <si>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</si>
  <si>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</si>
  <si>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</si>
  <si>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</si>
  <si>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</si>
  <si>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</si>
  <si>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</si>
  <si>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</si>
  <si>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</si>
  <si>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</si>
  <si>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</si>
  <si>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</si>
  <si>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</si>
  <si>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</si>
  <si>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</si>
  <si>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</si>
  <si>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</si>
  <si>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</si>
  <si>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</si>
  <si>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</si>
  <si>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</si>
  <si>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</si>
  <si>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</si>
  <si>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</si>
  <si>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</si>
  <si>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</si>
  <si>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</si>
  <si>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</si>
  <si>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</si>
  <si>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</si>
  <si>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</si>
  <si>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</si>
  <si>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</si>
  <si>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</si>
  <si>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</si>
  <si>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</si>
  <si>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</si>
  <si>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</si>
  <si>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</si>
  <si>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</si>
  <si>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</si>
  <si>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</si>
  <si>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</si>
  <si>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</si>
  <si>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</si>
  <si>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</si>
  <si>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</si>
  <si>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</si>
  <si>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</si>
  <si>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</si>
  <si>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</si>
  <si>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</si>
  <si>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</si>
  <si>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</si>
  <si>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</si>
  <si>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</si>
  <si>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</si>
  <si>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</si>
  <si>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</si>
  <si>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</si>
  <si>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</si>
  <si>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</si>
  <si>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</si>
  <si>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</si>
  <si>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</si>
  <si>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</si>
  <si>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</si>
  <si>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</si>
  <si>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</si>
  <si>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</si>
  <si>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</si>
  <si>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</si>
  <si>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</si>
  <si>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</si>
  <si>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</si>
  <si>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</si>
  <si>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</si>
  <si>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</si>
  <si>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</si>
  <si>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</si>
  <si>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</si>
  <si>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</si>
  <si>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</si>
  <si>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</si>
  <si>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</si>
  <si>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</si>
  <si>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</si>
  <si>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</si>
  <si>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</si>
  <si>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</si>
  <si>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</si>
  <si>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</si>
  <si>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</si>
  <si>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</si>
  <si>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</si>
  <si>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</si>
  <si>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</si>
  <si>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</si>
  <si>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</si>
  <si>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</si>
  <si>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</si>
  <si>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</si>
  <si>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</si>
  <si>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</si>
  <si>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</si>
  <si>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</si>
  <si>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</si>
  <si>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</si>
  <si>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</si>
  <si>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</si>
  <si>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</si>
  <si>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</si>
  <si>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</si>
  <si>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</si>
  <si>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</si>
  <si>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</si>
  <si>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</si>
  <si>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</si>
  <si>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</si>
  <si>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</si>
  <si>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</si>
  <si>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</si>
  <si>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</si>
  <si>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</si>
  <si>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</si>
  <si>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</si>
  <si>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</si>
  <si>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</si>
  <si>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</si>
  <si>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</si>
  <si>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</si>
  <si>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</si>
  <si>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</si>
  <si>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</si>
  <si>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</si>
  <si>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</si>
  <si>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</si>
  <si>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</si>
  <si>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</si>
  <si>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</si>
  <si>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</si>
  <si>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</si>
  <si>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</si>
  <si>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</si>
  <si>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</si>
  <si>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</si>
  <si>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</si>
  <si>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</si>
  <si>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</si>
  <si>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</si>
  <si>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</si>
  <si>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</si>
  <si>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</si>
  <si>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</si>
  <si>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</si>
  <si>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</si>
  <si>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</si>
  <si>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</si>
  <si>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</si>
  <si>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</si>
  <si>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</si>
  <si>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</si>
  <si>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</si>
  <si>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</si>
  <si>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</si>
  <si>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</si>
  <si>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</si>
  <si>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</si>
  <si>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</si>
  <si>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</si>
  <si>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</si>
  <si>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</si>
  <si>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</si>
  <si>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</si>
  <si>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</si>
  <si>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</si>
  <si>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</si>
  <si>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</si>
  <si>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</si>
  <si>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</si>
  <si>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</si>
  <si>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</si>
  <si>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</si>
  <si>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</si>
  <si>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</si>
  <si>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</si>
  <si>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</si>
  <si>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</si>
  <si>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</si>
  <si>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</si>
  <si>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</si>
  <si>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</si>
  <si>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</si>
  <si>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</si>
  <si>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</si>
  <si>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</si>
  <si>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</si>
  <si>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</si>
  <si>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</si>
  <si>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</si>
  <si>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</si>
  <si>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</si>
  <si>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</si>
  <si>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</si>
  <si>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</si>
  <si>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</si>
  <si>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</si>
  <si>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</si>
  <si>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</si>
  <si>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</si>
  <si>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</si>
  <si>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</si>
  <si>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</si>
  <si>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</si>
  <si>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</si>
  <si>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</si>
  <si>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</si>
  <si>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</si>
  <si>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</si>
  <si>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</si>
  <si>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</si>
  <si>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</si>
  <si>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</si>
  <si>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</si>
  <si>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</si>
  <si>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</si>
  <si>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</si>
  <si>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</si>
  <si>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</si>
  <si>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</si>
  <si>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</si>
  <si>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</si>
  <si>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</si>
  <si>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</si>
  <si>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</si>
  <si>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</si>
  <si>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</si>
  <si>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</si>
  <si>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</si>
  <si>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</si>
  <si>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</si>
  <si>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</si>
  <si>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</si>
  <si>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</si>
  <si>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</si>
  <si>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</si>
  <si>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</si>
  <si>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</si>
  <si>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</si>
  <si>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</si>
  <si>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</si>
  <si>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</si>
  <si>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</si>
  <si>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</si>
  <si>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</si>
  <si>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</si>
  <si>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</si>
  <si>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</si>
  <si>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</si>
  <si>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</si>
  <si>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</si>
  <si>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</si>
  <si>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</si>
  <si>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</si>
  <si>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</si>
  <si>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</si>
  <si>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</si>
  <si>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</si>
  <si>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</si>
  <si>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</si>
  <si>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</si>
  <si>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</si>
  <si>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</si>
  <si>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</si>
  <si>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</si>
  <si>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</si>
  <si>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</si>
  <si>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</si>
  <si>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</si>
  <si>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</si>
  <si>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</si>
  <si>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</si>
  <si>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</si>
  <si>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</si>
  <si>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</si>
  <si>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</si>
  <si>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</si>
  <si>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</si>
  <si>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</si>
  <si>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</si>
  <si>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</si>
  <si>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</si>
  <si>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</si>
  <si>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</si>
  <si>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</si>
  <si>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</si>
  <si>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</si>
  <si>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</si>
  <si>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</si>
  <si>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</si>
  <si>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</si>
  <si>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</si>
  <si>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</si>
  <si>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</si>
  <si>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</si>
  <si>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</si>
  <si>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</si>
  <si>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</si>
  <si>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</si>
  <si>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</si>
  <si>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</si>
  <si>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</si>
  <si>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</si>
  <si>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</si>
  <si>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</si>
  <si>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</si>
  <si>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</si>
  <si>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</si>
  <si>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</si>
  <si>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</si>
  <si>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</si>
  <si>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</si>
  <si>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</si>
  <si>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</si>
  <si>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</si>
  <si>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</si>
  <si>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</si>
  <si>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</si>
  <si>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</si>
  <si>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</si>
  <si>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</si>
  <si>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</si>
  <si>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</si>
  <si>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</si>
  <si>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</si>
  <si>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</si>
  <si>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</si>
  <si>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</si>
  <si>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</si>
  <si>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</si>
  <si>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</si>
  <si>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</si>
  <si>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</si>
  <si>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</si>
  <si>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</si>
  <si>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</si>
  <si>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</si>
  <si>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</si>
  <si>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</si>
  <si>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</si>
  <si>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</si>
  <si>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</si>
  <si>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</si>
  <si>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</si>
  <si>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</si>
  <si>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</si>
  <si>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</si>
  <si>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</si>
  <si>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</si>
  <si>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</si>
  <si>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</si>
  <si>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</si>
  <si>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</si>
  <si>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</si>
  <si>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</si>
  <si>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</si>
  <si>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</si>
  <si>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</si>
  <si>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</si>
  <si>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</si>
  <si>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</si>
  <si>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</si>
  <si>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</si>
  <si>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</si>
  <si>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</si>
  <si>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</si>
  <si>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</si>
  <si>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</si>
  <si>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</si>
  <si>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</si>
  <si>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</si>
  <si>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</si>
  <si>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</si>
  <si>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</si>
  <si>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</si>
  <si>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</si>
  <si>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</si>
  <si>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</si>
  <si>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</si>
  <si>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</si>
  <si>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</si>
  <si>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</si>
  <si>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</si>
  <si>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</si>
  <si>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</si>
  <si>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</si>
  <si>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</si>
  <si>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</si>
  <si>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</si>
  <si>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</si>
  <si>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</si>
  <si>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</si>
  <si>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</si>
  <si>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</si>
  <si>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</si>
  <si>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</si>
  <si>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</si>
  <si>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</si>
  <si>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</si>
  <si>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</si>
  <si>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</si>
  <si>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</si>
  <si>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</si>
  <si>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</si>
  <si>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</si>
  <si>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</si>
  <si>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</si>
  <si>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</si>
  <si>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</si>
  <si>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</si>
  <si>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</si>
  <si>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</si>
  <si>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</si>
  <si>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</si>
  <si>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</si>
  <si>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</si>
  <si>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</si>
  <si>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</si>
  <si>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</si>
  <si>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</si>
  <si>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</si>
  <si>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</si>
  <si>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</si>
  <si>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</si>
  <si>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</si>
  <si>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</si>
  <si>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</si>
  <si>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</si>
  <si>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</si>
  <si>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</si>
  <si>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</si>
  <si>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</si>
  <si>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</si>
  <si>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</si>
  <si>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</si>
  <si>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</si>
  <si>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</si>
  <si>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</si>
  <si>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</si>
  <si>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</si>
  <si>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</si>
  <si>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</si>
  <si>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</si>
  <si>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</si>
  <si>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</si>
  <si>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</si>
  <si>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</si>
  <si>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</si>
  <si>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</si>
  <si>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</si>
  <si>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</si>
  <si>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</si>
  <si>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</si>
  <si>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</si>
  <si>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</si>
  <si>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</si>
  <si>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</si>
  <si>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</si>
  <si>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</si>
  <si>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</si>
  <si>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</si>
  <si>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</si>
  <si>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</si>
  <si>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</si>
  <si>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</si>
  <si>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</si>
  <si>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</si>
  <si>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</si>
  <si>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</si>
  <si>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</si>
  <si>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</si>
  <si>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</si>
  <si>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</si>
  <si>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</si>
  <si>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</si>
  <si>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</si>
  <si>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</si>
  <si>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</si>
  <si>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</si>
  <si>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</si>
  <si>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</si>
  <si>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</si>
  <si>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</si>
  <si>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</si>
  <si>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</si>
  <si>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</si>
  <si>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</si>
  <si>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</si>
  <si>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</si>
  <si>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</si>
  <si>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</si>
  <si>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</si>
  <si>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</si>
  <si>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</si>
  <si>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</si>
  <si>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</si>
  <si>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</si>
  <si>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</si>
  <si>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</si>
  <si>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</si>
  <si>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</si>
  <si>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</si>
  <si>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</si>
  <si>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</si>
  <si>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</si>
  <si>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</si>
  <si>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</si>
  <si>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</si>
  <si>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</si>
  <si>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</si>
  <si>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</si>
  <si>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</si>
  <si>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</si>
  <si>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</si>
  <si>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</si>
  <si>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</si>
  <si>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</si>
  <si>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</si>
  <si>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</si>
  <si>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</si>
  <si>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</si>
  <si>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</si>
  <si>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</si>
  <si>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</si>
  <si>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</si>
  <si>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</si>
  <si>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</si>
  <si>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</si>
  <si>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</si>
  <si>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</si>
  <si>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</si>
  <si>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</si>
  <si>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</si>
  <si>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</si>
  <si>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</si>
  <si>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</si>
  <si>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</si>
  <si>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</si>
  <si>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</si>
  <si>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</si>
  <si>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</si>
  <si>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</si>
  <si>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</si>
  <si>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</si>
  <si>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</si>
  <si>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</si>
  <si>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</si>
  <si>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</si>
  <si>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</si>
  <si>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</si>
  <si>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</si>
  <si>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</si>
  <si>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</si>
  <si>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</si>
  <si>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</si>
  <si>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</si>
  <si>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</si>
  <si>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</si>
  <si>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</si>
  <si>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</si>
  <si>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</si>
  <si>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</si>
  <si>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</si>
  <si>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</si>
  <si>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</si>
  <si>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</si>
  <si>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</si>
  <si>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</si>
  <si>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</si>
  <si>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</si>
  <si>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</si>
  <si>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</si>
  <si>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</si>
  <si>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</si>
  <si>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</si>
  <si>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</si>
  <si>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</si>
  <si>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</si>
  <si>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</si>
  <si>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</si>
  <si>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</si>
  <si>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</si>
  <si>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</si>
  <si>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</si>
  <si>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</si>
  <si>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</si>
  <si>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</si>
  <si>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</si>
  <si>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</si>
  <si>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</si>
  <si>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</si>
  <si>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</si>
  <si>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</si>
  <si>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</si>
  <si>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</si>
  <si>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</si>
  <si>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</si>
  <si>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</si>
  <si>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</si>
  <si>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</si>
  <si>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</si>
  <si>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</si>
  <si>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</si>
  <si>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</si>
  <si>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</si>
  <si>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</si>
  <si>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</si>
  <si>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</si>
  <si>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</si>
  <si>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</si>
  <si>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</si>
  <si>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</si>
  <si>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</si>
  <si>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</si>
  <si>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</si>
  <si>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</si>
  <si>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</si>
  <si>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</si>
  <si>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</si>
  <si>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</si>
  <si>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</si>
  <si>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</si>
  <si>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</si>
  <si>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</si>
  <si>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</si>
  <si>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</si>
  <si>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</si>
  <si>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</si>
  <si>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</si>
  <si>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</si>
  <si>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</si>
  <si>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</si>
  <si>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</si>
  <si>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</si>
  <si>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</si>
  <si>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</si>
  <si>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</si>
  <si>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</si>
  <si>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</si>
  <si>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</si>
  <si>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</si>
  <si>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</si>
  <si>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</si>
  <si>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</si>
  <si>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</si>
  <si>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</si>
  <si>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</si>
  <si>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</si>
  <si>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</si>
  <si>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</si>
  <si>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</si>
  <si>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</si>
  <si>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</si>
  <si>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</si>
  <si>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</si>
  <si>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</si>
  <si>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</si>
  <si>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</si>
  <si>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</si>
  <si>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</si>
  <si>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</si>
  <si>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</si>
  <si>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</si>
  <si>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</si>
  <si>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</si>
  <si>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</si>
  <si>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</si>
  <si>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</si>
  <si>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</si>
  <si>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</si>
  <si>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</si>
  <si>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</si>
  <si>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</si>
  <si>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</si>
  <si>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</si>
  <si>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</si>
  <si>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</si>
  <si>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</si>
  <si>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</si>
  <si>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</si>
  <si>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</si>
  <si>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</si>
  <si>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</si>
  <si>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</si>
  <si>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</si>
  <si>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</si>
  <si>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</si>
  <si>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</si>
  <si>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</si>
  <si>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</si>
  <si>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</si>
  <si>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</si>
  <si>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</si>
  <si>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</si>
  <si>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</si>
  <si>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</si>
  <si>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</si>
  <si>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</si>
  <si>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</si>
  <si>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</si>
  <si>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</si>
  <si>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</si>
  <si>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</si>
  <si>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</si>
  <si>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</si>
  <si>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</si>
  <si>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</si>
  <si>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</si>
  <si>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</si>
  <si>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</si>
  <si>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</si>
  <si>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</si>
  <si>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</si>
  <si>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</si>
  <si>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</si>
  <si>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</si>
  <si>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</si>
  <si>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</si>
  <si>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</si>
  <si>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</si>
  <si>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</si>
  <si>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</si>
  <si>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</si>
  <si>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</si>
  <si>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</si>
  <si>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</si>
  <si>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</si>
  <si>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</si>
  <si>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</si>
  <si>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</si>
  <si>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</si>
  <si>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</si>
  <si>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</si>
  <si>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</si>
  <si>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</si>
  <si>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</si>
  <si>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</si>
  <si>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</si>
  <si>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</si>
  <si>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</si>
  <si>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</si>
  <si>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</si>
  <si>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</si>
  <si>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</si>
  <si>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</si>
  <si>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</si>
  <si>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</si>
  <si>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</si>
  <si>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</si>
  <si>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</si>
  <si>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</si>
  <si>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</si>
  <si>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</si>
  <si>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</si>
  <si>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</si>
  <si>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</si>
  <si>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</si>
  <si>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</si>
  <si>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</si>
  <si>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</si>
  <si>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</si>
  <si>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</si>
  <si>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</si>
  <si>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</si>
  <si>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</si>
  <si>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</si>
  <si>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</si>
  <si>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</si>
  <si>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</si>
  <si>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</si>
  <si>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</si>
  <si>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</si>
  <si>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</si>
  <si>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</si>
  <si>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</si>
  <si>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</si>
  <si>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</si>
  <si>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</si>
  <si>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</si>
  <si>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</si>
  <si>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</si>
  <si>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</si>
  <si>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</si>
  <si>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</si>
  <si>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</si>
  <si>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</si>
  <si>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</si>
  <si>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</si>
  <si>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</si>
  <si>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</si>
  <si>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</si>
  <si>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</si>
  <si>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</si>
  <si>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</si>
  <si>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</si>
  <si>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</si>
  <si>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</si>
  <si>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</si>
  <si>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</si>
  <si>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</si>
  <si>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</si>
  <si>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</si>
  <si>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</si>
  <si>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</si>
  <si>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</si>
  <si>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</si>
  <si>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</si>
  <si>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</si>
  <si>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</si>
  <si>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</si>
  <si>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</si>
  <si>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</si>
  <si>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</si>
  <si>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</si>
  <si>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</si>
  <si>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</si>
  <si>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</si>
  <si>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</si>
  <si>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</si>
  <si>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</si>
  <si>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</si>
  <si>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</si>
  <si>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</si>
  <si>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</si>
  <si>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</si>
  <si>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</si>
  <si>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</si>
  <si>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</si>
  <si>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</si>
  <si>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</si>
  <si>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</si>
  <si>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</si>
  <si>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</si>
  <si>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</si>
  <si>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</si>
  <si>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</si>
  <si>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</si>
  <si>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</si>
  <si>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</si>
  <si>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</si>
  <si>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</si>
  <si>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</si>
  <si>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</si>
  <si>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</si>
  <si>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</si>
  <si>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</si>
  <si>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</si>
  <si>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</si>
  <si>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</si>
  <si>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</si>
  <si>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</si>
  <si>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</si>
  <si>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</si>
  <si>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</si>
  <si>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</si>
  <si>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</si>
  <si>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</si>
  <si>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</si>
  <si>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</si>
  <si>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</si>
  <si>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</si>
  <si>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</si>
  <si>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</si>
  <si>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</si>
  <si>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</si>
  <si>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</si>
  <si>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</si>
  <si>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</si>
  <si>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</si>
  <si>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</si>
  <si>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</si>
  <si>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</si>
  <si>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</si>
  <si>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</si>
  <si>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</si>
  <si>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</si>
  <si>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</si>
  <si>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</si>
  <si>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</si>
  <si>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</si>
  <si>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</si>
  <si>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</si>
  <si>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</si>
  <si>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</si>
  <si>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</si>
  <si>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</si>
  <si>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</si>
  <si>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</si>
  <si>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</si>
  <si>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</si>
  <si>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</si>
  <si>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</si>
  <si>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</si>
  <si>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</si>
  <si>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</si>
  <si>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</si>
  <si>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</si>
  <si>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</si>
  <si>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</si>
  <si>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</si>
  <si>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</si>
  <si>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</si>
  <si>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</si>
  <si>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</si>
  <si>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</si>
  <si>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</si>
  <si>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</si>
  <si>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</si>
  <si>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</si>
  <si>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</si>
  <si>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</si>
  <si>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</si>
  <si>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</si>
  <si>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</si>
  <si>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</si>
  <si>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</si>
  <si>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</si>
  <si>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</si>
  <si>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</si>
  <si>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</si>
  <si>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</si>
  <si>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</si>
  <si>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</si>
  <si>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</si>
  <si>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</si>
  <si>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</si>
  <si>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</si>
  <si>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</si>
  <si>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</si>
  <si>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</si>
  <si>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</si>
  <si>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</si>
  <si>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</si>
  <si>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</si>
  <si>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</si>
  <si>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</si>
  <si>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</si>
  <si>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</si>
  <si>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</si>
  <si>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</si>
  <si>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</si>
  <si>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</si>
  <si>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</si>
  <si>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</si>
  <si>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</si>
  <si>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</si>
  <si>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</si>
  <si>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</si>
  <si>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</si>
  <si>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</si>
  <si>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</si>
  <si>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</si>
  <si>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</si>
  <si>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</si>
  <si>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</si>
  <si>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</si>
  <si>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</si>
  <si>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</si>
  <si>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</si>
  <si>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</si>
  <si>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</si>
  <si>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</si>
  <si>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</si>
  <si>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</si>
  <si>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</si>
  <si>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</si>
  <si>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</si>
  <si>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</si>
  <si>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</si>
  <si>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</si>
  <si>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</si>
  <si>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</si>
  <si>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</si>
  <si>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</si>
  <si>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</si>
  <si>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</si>
  <si>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</si>
  <si>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</si>
  <si>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</si>
  <si>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</si>
  <si>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</si>
  <si>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</si>
  <si>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</si>
  <si>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</si>
  <si>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</si>
  <si>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</si>
  <si>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</si>
  <si>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</si>
  <si>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</si>
  <si>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</si>
  <si>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</si>
  <si>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</si>
  <si>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</si>
  <si>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</si>
  <si>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</si>
  <si>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</si>
  <si>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</si>
  <si>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</si>
  <si>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</si>
  <si>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</si>
  <si>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</si>
  <si>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</si>
  <si>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</si>
  <si>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</si>
  <si>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</si>
  <si>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</si>
  <si>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</si>
  <si>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</si>
  <si>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</si>
  <si>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</si>
  <si>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</si>
  <si>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</si>
  <si>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</si>
  <si>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</si>
  <si>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</si>
  <si>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</si>
  <si>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</si>
  <si>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</si>
  <si>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</si>
  <si>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</si>
  <si>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</si>
  <si>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</si>
  <si>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</si>
  <si>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</si>
  <si>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</si>
  <si>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</si>
  <si>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</si>
  <si>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</si>
  <si>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</si>
  <si>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</si>
  <si>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</si>
  <si>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</si>
  <si>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</si>
  <si>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</si>
  <si>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</si>
  <si>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</si>
  <si>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</si>
  <si>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</si>
  <si>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</si>
  <si>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</si>
  <si>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</si>
  <si>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</si>
  <si>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</si>
  <si>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</si>
  <si>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</si>
  <si>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</si>
  <si>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</si>
  <si>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</si>
  <si>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</si>
  <si>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</si>
  <si>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</si>
  <si>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</si>
  <si>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</si>
  <si>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</si>
  <si>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</si>
  <si>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</si>
  <si>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</si>
  <si>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</si>
  <si>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</si>
  <si>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</si>
  <si>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</si>
  <si>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</si>
  <si>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</si>
  <si>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</si>
  <si>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</si>
  <si>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</si>
  <si>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</si>
  <si>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</si>
  <si>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</si>
  <si>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</si>
  <si>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</si>
  <si>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</si>
  <si>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</si>
  <si>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</si>
  <si>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</si>
  <si>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</si>
  <si>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</si>
  <si>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</si>
  <si>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</si>
  <si>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</si>
  <si>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</si>
  <si>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</si>
  <si>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</si>
  <si>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</si>
  <si>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</si>
  <si>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</si>
  <si>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</si>
  <si>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</si>
  <si>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</si>
  <si>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</si>
  <si>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</si>
  <si>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</si>
  <si>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</si>
  <si>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</si>
  <si>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</si>
  <si>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</si>
  <si>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</si>
  <si>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</si>
  <si>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</si>
  <si>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</si>
  <si>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</si>
  <si>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</si>
  <si>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</si>
  <si>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</si>
  <si>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</si>
  <si>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</si>
  <si>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</si>
  <si>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</si>
  <si>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</si>
  <si>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</si>
  <si>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</si>
  <si>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</si>
  <si>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</si>
  <si>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</si>
  <si>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</si>
  <si>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</si>
  <si>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</si>
  <si>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</si>
  <si>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</si>
  <si>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</si>
  <si>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</si>
  <si>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</si>
  <si>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</si>
  <si>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</si>
  <si>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</si>
  <si>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</si>
  <si>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</si>
  <si>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</si>
  <si>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</si>
  <si>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</si>
  <si>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</si>
  <si>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</si>
  <si>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</si>
  <si>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</si>
  <si>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</si>
  <si>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</si>
  <si>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</si>
  <si>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</si>
  <si>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</si>
  <si>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</si>
  <si>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</si>
  <si>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</si>
  <si>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</si>
  <si>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</si>
  <si>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</si>
  <si>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</si>
  <si>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</si>
  <si>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</si>
  <si>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</si>
  <si>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</si>
  <si>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</si>
  <si>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</si>
  <si>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</si>
  <si>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</si>
  <si>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</si>
  <si>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</si>
  <si>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</si>
  <si>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</si>
  <si>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</si>
  <si>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</si>
  <si>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</si>
  <si>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</si>
  <si>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</si>
  <si>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</si>
  <si>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</si>
  <si>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</si>
  <si>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</si>
  <si>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</si>
  <si>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</si>
  <si>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</si>
  <si>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</si>
  <si>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</si>
  <si>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</si>
  <si>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</si>
  <si>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</si>
  <si>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</si>
  <si>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</si>
  <si>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</si>
  <si>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</si>
  <si>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</si>
  <si>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</si>
  <si>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</si>
  <si>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</si>
  <si>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</si>
  <si>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</si>
  <si>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</si>
  <si>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</si>
  <si>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</si>
  <si>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</si>
  <si>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</si>
  <si>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</si>
  <si>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</si>
  <si>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</si>
  <si>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</si>
  <si>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</si>
  <si>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</si>
  <si>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</si>
  <si>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</si>
  <si>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</si>
  <si>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</si>
  <si>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</si>
  <si>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</si>
  <si>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</si>
  <si>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</si>
  <si>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</si>
  <si>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</si>
  <si>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</si>
  <si>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</si>
  <si>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</si>
  <si>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</si>
  <si>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</si>
  <si>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</si>
  <si>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</si>
  <si>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</si>
  <si>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</si>
  <si>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</si>
  <si>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</si>
  <si>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</si>
  <si>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</si>
  <si>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</si>
  <si>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</si>
  <si>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</si>
  <si>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</si>
  <si>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</si>
  <si>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</si>
  <si>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</si>
  <si>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</si>
  <si>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</si>
  <si>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</si>
  <si>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</si>
  <si>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</si>
  <si>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</si>
  <si>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</si>
  <si>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</si>
  <si>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</si>
  <si>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</si>
  <si>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</si>
  <si>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</si>
  <si>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</si>
  <si>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</si>
  <si>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</si>
  <si>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</si>
  <si>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</si>
  <si>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</si>
  <si>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</si>
  <si>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</si>
  <si>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</si>
  <si>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</si>
  <si>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</si>
  <si>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</si>
  <si>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</si>
  <si>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</si>
  <si>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</si>
  <si>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</si>
  <si>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</si>
  <si>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</si>
  <si>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</si>
  <si>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</si>
  <si>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</si>
  <si>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</si>
  <si>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</si>
  <si>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</si>
  <si>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</si>
  <si>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</si>
  <si>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</si>
  <si>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</si>
  <si>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</si>
  <si>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</si>
  <si>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</si>
  <si>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</si>
  <si>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</si>
  <si>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</si>
  <si>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</si>
  <si>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</si>
  <si>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</si>
  <si>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</si>
  <si>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</si>
  <si>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</si>
  <si>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</si>
  <si>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</si>
  <si>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</si>
  <si>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</si>
  <si>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</si>
  <si>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</si>
  <si>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</si>
  <si>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</si>
  <si>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</si>
  <si>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</si>
  <si>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</si>
  <si>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</si>
  <si>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</si>
  <si>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</si>
  <si>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</si>
  <si>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</si>
  <si>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</si>
  <si>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</si>
  <si>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</si>
  <si>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</si>
  <si>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</si>
  <si>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</si>
  <si>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</si>
  <si>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</si>
  <si>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</si>
  <si>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</si>
  <si>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</si>
  <si>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</si>
  <si>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</si>
  <si>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</si>
  <si>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</si>
  <si>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</si>
  <si>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</si>
  <si>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</si>
  <si>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</si>
  <si>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</si>
  <si>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</si>
  <si>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</si>
  <si>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</si>
  <si>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</si>
  <si>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</si>
  <si>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</si>
  <si>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</si>
  <si>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</si>
  <si>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</si>
  <si>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</si>
  <si>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</si>
  <si>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</si>
  <si>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</si>
  <si>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</si>
  <si>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</si>
  <si>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</si>
  <si>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</si>
  <si>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</si>
  <si>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</si>
  <si>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</si>
  <si>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</si>
  <si>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</si>
  <si>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</si>
  <si>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</si>
  <si>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</si>
  <si>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</si>
  <si>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</si>
  <si>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</si>
  <si>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</si>
  <si>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</si>
  <si>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</si>
  <si>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</si>
  <si>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</si>
  <si>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</si>
  <si>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</si>
  <si>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</si>
  <si>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</si>
  <si>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</si>
  <si>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</si>
  <si>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</si>
  <si>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</si>
  <si>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</si>
  <si>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</si>
  <si>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</si>
  <si>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</si>
  <si>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</si>
  <si>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</si>
  <si>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</si>
  <si>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</si>
  <si>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</si>
  <si>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</si>
  <si>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</si>
  <si>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</si>
  <si>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</si>
  <si>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</si>
  <si>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</si>
  <si>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</si>
  <si>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</si>
  <si>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</si>
  <si>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</si>
  <si>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</si>
  <si>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</si>
  <si>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</si>
  <si>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</si>
  <si>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</si>
  <si>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</si>
  <si>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</si>
  <si>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</si>
  <si>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</si>
  <si>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</si>
  <si>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</si>
  <si>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</si>
  <si>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</si>
  <si>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</si>
  <si>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</si>
  <si>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</si>
  <si>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</si>
  <si>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</si>
  <si>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</si>
  <si>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</si>
  <si>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</si>
  <si>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</si>
  <si>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</si>
  <si>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</si>
  <si>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</si>
  <si>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</si>
  <si>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</si>
  <si>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</si>
  <si>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</si>
  <si>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</si>
  <si>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</si>
  <si>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</si>
  <si>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</si>
  <si>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</si>
  <si>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</si>
  <si>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</si>
  <si>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</si>
  <si>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</si>
  <si>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</si>
  <si>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</si>
  <si>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</si>
  <si>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</si>
  <si>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</si>
  <si>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</si>
  <si>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</si>
  <si>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</si>
  <si>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</si>
  <si>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</si>
  <si>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</si>
  <si>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</si>
  <si>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</si>
  <si>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</si>
  <si>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</si>
  <si>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</si>
  <si>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</si>
  <si>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</si>
  <si>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</si>
  <si>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</si>
  <si>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</si>
  <si>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</si>
  <si>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</si>
  <si>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</si>
  <si>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</si>
  <si>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</si>
  <si>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</si>
  <si>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</si>
  <si>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</si>
  <si>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</si>
  <si>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</si>
  <si>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</si>
  <si>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</si>
  <si>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</si>
  <si>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</si>
  <si>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</si>
  <si>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</si>
  <si>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</si>
  <si>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</si>
  <si>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</si>
  <si>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</si>
  <si>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</si>
  <si>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</si>
  <si>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</si>
  <si>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</si>
  <si>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</si>
  <si>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</si>
  <si>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</si>
  <si>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</si>
  <si>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</si>
  <si>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</si>
  <si>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</si>
  <si>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</si>
  <si>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</si>
  <si>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</si>
  <si>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</si>
  <si>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</si>
  <si>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</si>
  <si>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</si>
  <si>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</si>
  <si>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</si>
  <si>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</si>
  <si>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</si>
  <si>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</si>
  <si>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</si>
  <si>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</si>
  <si>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</si>
  <si>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</si>
  <si>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</si>
  <si>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</si>
  <si>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</si>
  <si>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</si>
  <si>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</si>
  <si>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</si>
  <si>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</si>
  <si>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</si>
  <si>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</si>
  <si>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</si>
  <si>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</si>
  <si>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</si>
  <si>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</si>
  <si>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</si>
  <si>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</si>
  <si>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</si>
  <si>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</si>
  <si>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</si>
  <si>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</si>
  <si>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</si>
  <si>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</si>
  <si>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</si>
  <si>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</si>
  <si>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</si>
  <si>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</si>
  <si>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</si>
  <si>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</si>
  <si>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</si>
  <si>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</si>
  <si>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</si>
  <si>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</si>
  <si>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</si>
  <si>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</si>
  <si>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</si>
  <si>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</si>
  <si>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</si>
  <si>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</si>
  <si>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</si>
  <si>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</si>
  <si>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</si>
  <si>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</si>
  <si>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</si>
  <si>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</si>
  <si>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</si>
  <si>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</si>
  <si>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</si>
  <si>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</si>
  <si>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</si>
  <si>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</si>
  <si>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</si>
  <si>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</si>
  <si>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</si>
  <si>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</si>
  <si>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</si>
  <si>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</si>
  <si>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</si>
  <si>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</si>
  <si>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</si>
  <si>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</si>
  <si>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</si>
  <si>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</si>
  <si>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</si>
  <si>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</si>
  <si>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</si>
  <si>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</si>
  <si>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</si>
  <si>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</si>
  <si>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</si>
  <si>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</si>
  <si>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</si>
  <si>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</si>
  <si>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</si>
  <si>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</si>
  <si>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</si>
  <si>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</si>
  <si>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</si>
  <si>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</si>
  <si>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</si>
  <si>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</si>
  <si>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</si>
  <si>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</si>
  <si>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</si>
  <si>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</si>
  <si>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</si>
  <si>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</si>
  <si>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</si>
  <si>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</si>
  <si>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</si>
  <si>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</si>
  <si>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</si>
  <si>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</si>
  <si>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</si>
  <si>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</si>
  <si>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</si>
  <si>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</si>
  <si>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</si>
  <si>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</si>
  <si>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</si>
  <si>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</si>
  <si>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</si>
  <si>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</si>
  <si>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</si>
  <si>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</si>
  <si>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</si>
  <si>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</si>
  <si>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</si>
  <si>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</si>
  <si>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</si>
  <si>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</si>
  <si>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</si>
  <si>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</si>
  <si>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</si>
  <si>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</si>
  <si>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</si>
  <si>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</si>
  <si>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</si>
  <si>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</si>
  <si>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</si>
  <si>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</si>
  <si>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</si>
  <si>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</si>
  <si>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</si>
  <si>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</si>
  <si>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</si>
  <si>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</si>
  <si>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</si>
  <si>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</si>
  <si>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</si>
  <si>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</si>
  <si>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</si>
  <si>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</si>
  <si>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</si>
  <si>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</si>
  <si>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</si>
  <si>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</si>
  <si>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</si>
  <si>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</si>
  <si>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</si>
  <si>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</si>
  <si>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</si>
  <si>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</si>
  <si>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</si>
  <si>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</si>
  <si>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</si>
  <si>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</si>
  <si>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</si>
  <si>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</si>
  <si>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</si>
  <si>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</si>
  <si>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</si>
  <si>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</si>
  <si>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</si>
  <si>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</si>
  <si>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</si>
  <si>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</si>
  <si>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</si>
  <si>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</si>
  <si>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</si>
  <si>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</si>
  <si>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</si>
  <si>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</si>
  <si>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</si>
  <si>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</si>
  <si>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</si>
  <si>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</si>
  <si>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</si>
  <si>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</si>
  <si>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</si>
  <si>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</si>
  <si>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</si>
  <si>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</si>
  <si>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</si>
  <si>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</si>
  <si>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</si>
  <si>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</si>
  <si>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</si>
  <si>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</si>
  <si>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N</t>
  </si>
  <si>
    <t>-</t>
  </si>
  <si>
    <t xml:space="preserve">
</t>
  </si>
  <si>
    <t>Scritpt ID</t>
  </si>
  <si>
    <t>Series</t>
  </si>
  <si>
    <t>20-JUL-2018 14;27;53</t>
  </si>
  <si>
    <t>20-JUL-2018 14;31;23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</si>
  <si>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</si>
  <si>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</si>
  <si>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</si>
  <si>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</si>
  <si>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</si>
  <si>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</si>
  <si>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</si>
  <si>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Close</t>
  </si>
  <si>
    <t>VWAP</t>
  </si>
  <si>
    <t>Face Value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</si>
  <si>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</si>
  <si>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</si>
  <si>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</si>
  <si>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</si>
  <si>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</si>
  <si>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</si>
  <si>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</si>
  <si>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</si>
  <si>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</si>
  <si>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</si>
  <si>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</si>
  <si>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</si>
  <si>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</si>
  <si>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</si>
  <si>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</si>
  <si>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</si>
  <si>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</si>
  <si>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</si>
  <si>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</si>
  <si>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</si>
  <si>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</si>
  <si>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</si>
  <si>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</si>
  <si>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</si>
  <si>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20-JUL-2018 14;58;54</t>
  </si>
  <si>
    <t>SUCCESS-;-UNITECH</t>
  </si>
  <si>
    <t>20-JUL-2018 15;15;24</t>
  </si>
  <si>
    <t>20-JUL-2018 15;18;54</t>
  </si>
  <si>
    <t>20-JUL-2018 15;20;54</t>
  </si>
  <si>
    <t>20-JUL-2018 15;23;24</t>
  </si>
  <si>
    <t>20-JUL-2018 15;30;00</t>
  </si>
  <si>
    <t>Time</t>
  </si>
  <si>
    <t>Qty</t>
  </si>
  <si>
    <t>20-JUL-2018 16;00;00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</si>
</sst>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'Export Data'!$AP$2:$AP$100</c:f>
              <c:strCache>
                <c:ptCount val="17"/>
                <c:pt idx="0">
                  <c:v>20-07-18 14:18</c:v>
                </c:pt>
                <c:pt idx="1">
                  <c:v>20-07-18 14:22</c:v>
                </c:pt>
                <c:pt idx="2">
                  <c:v>20-JUL-2018 14;27;53</c:v>
                </c:pt>
                <c:pt idx="3">
                  <c:v>20-JUL-2018 14;31;23</c:v>
                </c:pt>
                <c:pt idx="4">
                  <c:v>20-JUL-2018 14;31;23</c:v>
                </c:pt>
                <c:pt idx="5">
                  <c:v>20-JUL-2018 14;58;54</c:v>
                </c:pt>
                <c:pt idx="6">
                  <c:v>20-JUL-2018 15;15;24</c:v>
                </c:pt>
                <c:pt idx="7">
                  <c:v>20-JUL-2018 15;15;24</c:v>
                </c:pt>
                <c:pt idx="8">
                  <c:v>20-JUL-2018 15;18;54</c:v>
                </c:pt>
                <c:pt idx="9">
                  <c:v>20-JUL-2018 15;18;54</c:v>
                </c:pt>
                <c:pt idx="10">
                  <c:v>20-JUL-2018 15;20;54</c:v>
                </c:pt>
                <c:pt idx="11">
                  <c:v>20-JUL-2018 15;20;54</c:v>
                </c:pt>
                <c:pt idx="12">
                  <c:v>20-JUL-2018 15;20;54</c:v>
                </c:pt>
                <c:pt idx="13">
                  <c:v>20-JUL-2018 15;20;54</c:v>
                </c:pt>
                <c:pt idx="14">
                  <c:v>20-JUL-2018 15;23;24</c:v>
                </c:pt>
                <c:pt idx="15">
                  <c:v>20-JUL-2018 15;30;00</c:v>
                </c:pt>
                <c:pt idx="16">
                  <c:v>20-JUL-2018 16;00;00</c:v>
                </c:pt>
              </c:strCache>
            </c:strRef>
          </c:cat>
          <c:val>
            <c:numRef>
              <c:f>'Export Data'!$AM$2:$AM$100</c:f>
              <c:numCache>
                <c:formatCode>_(* #,##0_);_(* \(#,##0\);_(* "-"??_);_(@_)</c:formatCode>
                <c:ptCount val="99"/>
                <c:pt idx="0">
                  <c:v>7975759</c:v>
                </c:pt>
                <c:pt idx="1">
                  <c:v>7994729</c:v>
                </c:pt>
                <c:pt idx="2">
                  <c:v>8167136</c:v>
                </c:pt>
                <c:pt idx="3">
                  <c:v>8069927</c:v>
                </c:pt>
                <c:pt idx="4">
                  <c:v>8069927</c:v>
                </c:pt>
                <c:pt idx="5">
                  <c:v>8043630</c:v>
                </c:pt>
                <c:pt idx="6">
                  <c:v>7966418</c:v>
                </c:pt>
                <c:pt idx="7">
                  <c:v>7966418</c:v>
                </c:pt>
                <c:pt idx="8">
                  <c:v>8224467</c:v>
                </c:pt>
                <c:pt idx="9">
                  <c:v>8224467</c:v>
                </c:pt>
                <c:pt idx="10">
                  <c:v>8186989</c:v>
                </c:pt>
                <c:pt idx="11">
                  <c:v>8186989</c:v>
                </c:pt>
                <c:pt idx="12">
                  <c:v>8186989</c:v>
                </c:pt>
                <c:pt idx="13">
                  <c:v>8186989</c:v>
                </c:pt>
                <c:pt idx="14">
                  <c:v>9163772</c:v>
                </c:pt>
                <c:pt idx="15">
                  <c:v>3957480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'Export Data'!$AP$2:$AP$100</c:f>
              <c:strCache>
                <c:ptCount val="17"/>
                <c:pt idx="0">
                  <c:v>20-07-18 14:18</c:v>
                </c:pt>
                <c:pt idx="1">
                  <c:v>20-07-18 14:22</c:v>
                </c:pt>
                <c:pt idx="2">
                  <c:v>20-JUL-2018 14;27;53</c:v>
                </c:pt>
                <c:pt idx="3">
                  <c:v>20-JUL-2018 14;31;23</c:v>
                </c:pt>
                <c:pt idx="4">
                  <c:v>20-JUL-2018 14;31;23</c:v>
                </c:pt>
                <c:pt idx="5">
                  <c:v>20-JUL-2018 14;58;54</c:v>
                </c:pt>
                <c:pt idx="6">
                  <c:v>20-JUL-2018 15;15;24</c:v>
                </c:pt>
                <c:pt idx="7">
                  <c:v>20-JUL-2018 15;15;24</c:v>
                </c:pt>
                <c:pt idx="8">
                  <c:v>20-JUL-2018 15;18;54</c:v>
                </c:pt>
                <c:pt idx="9">
                  <c:v>20-JUL-2018 15;18;54</c:v>
                </c:pt>
                <c:pt idx="10">
                  <c:v>20-JUL-2018 15;20;54</c:v>
                </c:pt>
                <c:pt idx="11">
                  <c:v>20-JUL-2018 15;20;54</c:v>
                </c:pt>
                <c:pt idx="12">
                  <c:v>20-JUL-2018 15;20;54</c:v>
                </c:pt>
                <c:pt idx="13">
                  <c:v>20-JUL-2018 15;20;54</c:v>
                </c:pt>
                <c:pt idx="14">
                  <c:v>20-JUL-2018 15;23;24</c:v>
                </c:pt>
                <c:pt idx="15">
                  <c:v>20-JUL-2018 15;30;00</c:v>
                </c:pt>
                <c:pt idx="16">
                  <c:v>20-JUL-2018 16;00;00</c:v>
                </c:pt>
              </c:strCache>
            </c:strRef>
          </c:cat>
          <c:val>
            <c:numRef>
              <c:f>'Export Data'!$AN$2:$AN$100</c:f>
              <c:numCache>
                <c:formatCode>_(* #,##0_);_(* \(#,##0\);_(* "-"??_);_(@_)</c:formatCode>
                <c:ptCount val="99"/>
                <c:pt idx="0">
                  <c:v>4563283</c:v>
                </c:pt>
                <c:pt idx="1">
                  <c:v>4472292</c:v>
                </c:pt>
                <c:pt idx="2">
                  <c:v>4469435</c:v>
                </c:pt>
                <c:pt idx="3">
                  <c:v>4471452</c:v>
                </c:pt>
                <c:pt idx="4">
                  <c:v>4471452</c:v>
                </c:pt>
                <c:pt idx="5">
                  <c:v>4375082</c:v>
                </c:pt>
                <c:pt idx="6">
                  <c:v>4309974</c:v>
                </c:pt>
                <c:pt idx="7">
                  <c:v>4309974</c:v>
                </c:pt>
                <c:pt idx="8">
                  <c:v>4318057</c:v>
                </c:pt>
                <c:pt idx="9">
                  <c:v>4318057</c:v>
                </c:pt>
                <c:pt idx="10">
                  <c:v>4272110</c:v>
                </c:pt>
                <c:pt idx="11">
                  <c:v>4272110</c:v>
                </c:pt>
                <c:pt idx="12">
                  <c:v>4272110</c:v>
                </c:pt>
                <c:pt idx="13">
                  <c:v>4272110</c:v>
                </c:pt>
                <c:pt idx="14">
                  <c:v>4103134</c:v>
                </c:pt>
                <c:pt idx="15">
                  <c:v>4155375</c:v>
                </c:pt>
                <c:pt idx="16">
                  <c:v>185550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'Export Data'!$AP$1</c:f>
              <c:strCache>
                <c:ptCount val="1"/>
                <c:pt idx="0">
                  <c:v>Date &amp; Time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'Export Data'!$AP$2:$AP$100</c:f>
              <c:strCache>
                <c:ptCount val="17"/>
                <c:pt idx="0">
                  <c:v>20-07-18 14:18</c:v>
                </c:pt>
                <c:pt idx="1">
                  <c:v>20-07-18 14:22</c:v>
                </c:pt>
                <c:pt idx="2">
                  <c:v>20-JUL-2018 14;27;53</c:v>
                </c:pt>
                <c:pt idx="3">
                  <c:v>20-JUL-2018 14;31;23</c:v>
                </c:pt>
                <c:pt idx="4">
                  <c:v>20-JUL-2018 14;31;23</c:v>
                </c:pt>
                <c:pt idx="5">
                  <c:v>20-JUL-2018 14;58;54</c:v>
                </c:pt>
                <c:pt idx="6">
                  <c:v>20-JUL-2018 15;15;24</c:v>
                </c:pt>
                <c:pt idx="7">
                  <c:v>20-JUL-2018 15;15;24</c:v>
                </c:pt>
                <c:pt idx="8">
                  <c:v>20-JUL-2018 15;18;54</c:v>
                </c:pt>
                <c:pt idx="9">
                  <c:v>20-JUL-2018 15;18;54</c:v>
                </c:pt>
                <c:pt idx="10">
                  <c:v>20-JUL-2018 15;20;54</c:v>
                </c:pt>
                <c:pt idx="11">
                  <c:v>20-JUL-2018 15;20;54</c:v>
                </c:pt>
                <c:pt idx="12">
                  <c:v>20-JUL-2018 15;20;54</c:v>
                </c:pt>
                <c:pt idx="13">
                  <c:v>20-JUL-2018 15;20;54</c:v>
                </c:pt>
                <c:pt idx="14">
                  <c:v>20-JUL-2018 15;23;24</c:v>
                </c:pt>
                <c:pt idx="15">
                  <c:v>20-JUL-2018 15;30;00</c:v>
                </c:pt>
                <c:pt idx="16">
                  <c:v>20-JUL-2018 16;00;00</c:v>
                </c:pt>
              </c:strCache>
            </c:strRef>
          </c:cat>
          <c:val>
            <c:numRef>
              <c:f>'Export Data'!$AP$2:$AP$100</c:f>
              <c:numCache>
                <c:formatCode>m/d/yyyy\ h:mm</c:formatCode>
                <c:ptCount val="99"/>
                <c:pt idx="0">
                  <c:v>43301.596435185187</c:v>
                </c:pt>
                <c:pt idx="1">
                  <c:v>43301.598865740743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078880"/>
        <c:axId val="912067120"/>
      </c:lineChart>
      <c:catAx>
        <c:axId val="91207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067120"/>
        <c:crosses val="autoZero"/>
        <c:auto val="1"/>
        <c:lblAlgn val="ctr"/>
        <c:lblOffset val="100"/>
        <c:noMultiLvlLbl val="0"/>
      </c:catAx>
      <c:valAx>
        <c:axId val="91206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07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Sheet3!$F$14:$F$24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978560"/>
        <c:axId val="1013977440"/>
      </c:scatterChart>
      <c:valAx>
        <c:axId val="1013978560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977440"/>
        <c:crosses val="autoZero"/>
        <c:crossBetween val="midCat"/>
        <c:majorUnit val="2.0900000000000005E-2"/>
      </c:valAx>
      <c:valAx>
        <c:axId val="101397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97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72790</xdr:colOff>
          <xdr:row>0</xdr:row>
          <xdr:rowOff>93784</xdr:rowOff>
        </xdr:from>
        <xdr:to>
          <xdr:col>3</xdr:col>
          <xdr:colOff>550986</xdr:colOff>
          <xdr:row>0</xdr:row>
          <xdr:rowOff>380999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24033</xdr:colOff>
      <xdr:row>1</xdr:row>
      <xdr:rowOff>22860</xdr:rowOff>
    </xdr:from>
    <xdr:to>
      <xdr:col>49</xdr:col>
      <xdr:colOff>129540</xdr:colOff>
      <xdr:row>10</xdr:row>
      <xdr:rowOff>327660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D14" sqref="D14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100"/>
  <sheetViews>
    <sheetView tabSelected="1" zoomScaleNormal="100" workbookViewId="0">
      <pane xSplit="4" ySplit="1" topLeftCell="AG2" activePane="bottomRight" state="frozen"/>
      <selection pane="topRight" activeCell="E1" sqref="E1"/>
      <selection pane="bottomLeft" activeCell="A2" sqref="A2"/>
      <selection pane="bottomRight" activeCell="AI8" sqref="AI8"/>
    </sheetView>
  </sheetViews>
  <sheetFormatPr defaultRowHeight="14.4" x14ac:dyDescent="0.3"/>
  <cols>
    <col min="1" max="1" width="13.664062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4.5546875" customWidth="1"/>
  </cols>
  <sheetData>
    <row r="1" spans="1:43" ht="90" x14ac:dyDescent="0.3">
      <c r="A1" s="54" t="s">
        <v>4770</v>
      </c>
      <c r="B1" s="54" t="s">
        <v>4771</v>
      </c>
      <c r="C1" s="54"/>
      <c r="D1" s="54"/>
      <c r="E1" s="54"/>
      <c r="F1" s="54"/>
      <c r="G1" s="55" t="s">
        <v>4774</v>
      </c>
      <c r="H1" s="55" t="s">
        <v>4775</v>
      </c>
      <c r="I1" s="54" t="s">
        <v>4777</v>
      </c>
      <c r="J1" s="54" t="s">
        <v>4778</v>
      </c>
      <c r="K1" s="54" t="s">
        <v>4779</v>
      </c>
      <c r="L1" s="54" t="s">
        <v>4780</v>
      </c>
      <c r="M1" s="54" t="s">
        <v>4782</v>
      </c>
      <c r="N1" s="54" t="s">
        <v>4783</v>
      </c>
      <c r="O1" s="54" t="s">
        <v>4781</v>
      </c>
      <c r="P1" s="54"/>
      <c r="Q1" s="54" t="s">
        <v>4806</v>
      </c>
      <c r="R1" s="54" t="s">
        <v>4807</v>
      </c>
      <c r="S1" s="54" t="s">
        <v>4803</v>
      </c>
      <c r="T1" s="54" t="s">
        <v>4776</v>
      </c>
      <c r="U1" s="54" t="s">
        <v>4804</v>
      </c>
      <c r="V1" s="54" t="s">
        <v>4805</v>
      </c>
      <c r="W1" s="54" t="s">
        <v>4799</v>
      </c>
      <c r="X1" s="54" t="s">
        <v>4800</v>
      </c>
      <c r="Y1" s="54" t="s">
        <v>4801</v>
      </c>
      <c r="Z1" s="54" t="s">
        <v>4802</v>
      </c>
      <c r="AA1" s="54" t="s">
        <v>4795</v>
      </c>
      <c r="AB1" s="54" t="s">
        <v>4796</v>
      </c>
      <c r="AC1" s="54" t="s">
        <v>4797</v>
      </c>
      <c r="AD1" s="54" t="s">
        <v>4798</v>
      </c>
      <c r="AE1" s="54" t="s">
        <v>4791</v>
      </c>
      <c r="AF1" s="54" t="s">
        <v>4792</v>
      </c>
      <c r="AG1" s="54" t="s">
        <v>4793</v>
      </c>
      <c r="AH1" s="54" t="s">
        <v>4794</v>
      </c>
      <c r="AI1" s="54" t="s">
        <v>4790</v>
      </c>
      <c r="AJ1" s="54" t="s">
        <v>4789</v>
      </c>
      <c r="AK1" s="54" t="s">
        <v>4788</v>
      </c>
      <c r="AL1" s="54" t="s">
        <v>4787</v>
      </c>
      <c r="AM1" s="54" t="s">
        <v>4784</v>
      </c>
      <c r="AN1" s="54" t="s">
        <v>4785</v>
      </c>
      <c r="AO1" s="54"/>
      <c r="AP1" s="54" t="s">
        <v>4786</v>
      </c>
    </row>
    <row r="2" spans="1:43" ht="28.8" x14ac:dyDescent="0.3">
      <c r="A2" s="58" t="s">
        <v>4809</v>
      </c>
      <c r="B2" s="59" t="s">
        <v>2658</v>
      </c>
      <c r="C2" s="59" t="s">
        <v>4767</v>
      </c>
      <c r="D2" s="59">
        <v>1</v>
      </c>
      <c r="E2" s="59" t="s">
        <v>4768</v>
      </c>
      <c r="F2" s="59" t="s">
        <v>4768</v>
      </c>
      <c r="G2" s="59">
        <v>12.25</v>
      </c>
      <c r="H2" s="59">
        <v>3.95</v>
      </c>
      <c r="I2" s="59">
        <v>4.05</v>
      </c>
      <c r="J2" s="59">
        <v>4.05</v>
      </c>
      <c r="K2" s="59">
        <v>4.1500000000000004</v>
      </c>
      <c r="L2" s="59">
        <v>4.05</v>
      </c>
      <c r="M2" s="59">
        <v>4.0599999999999996</v>
      </c>
      <c r="N2" s="59">
        <v>4.05</v>
      </c>
      <c r="O2" s="59" t="s">
        <v>4768</v>
      </c>
      <c r="P2" s="59">
        <v>0</v>
      </c>
      <c r="Q2" s="60">
        <v>2280913</v>
      </c>
      <c r="R2" s="59">
        <v>92.61</v>
      </c>
      <c r="S2" s="61">
        <v>1763733</v>
      </c>
      <c r="T2" s="59">
        <v>4.05</v>
      </c>
      <c r="U2" s="59">
        <v>4.0999999999999996</v>
      </c>
      <c r="V2" s="61">
        <v>1142001</v>
      </c>
      <c r="W2" s="61">
        <v>3664475</v>
      </c>
      <c r="X2" s="59">
        <v>4</v>
      </c>
      <c r="Y2" s="59">
        <v>4.1500000000000004</v>
      </c>
      <c r="Z2" s="61">
        <v>720176</v>
      </c>
      <c r="AA2" s="61">
        <v>1127272</v>
      </c>
      <c r="AB2" s="59">
        <v>3.95</v>
      </c>
      <c r="AC2" s="59">
        <v>4.2</v>
      </c>
      <c r="AD2" s="61">
        <v>576159</v>
      </c>
      <c r="AE2" s="61">
        <v>367847</v>
      </c>
      <c r="AF2" s="59">
        <v>3.9</v>
      </c>
      <c r="AG2" s="59">
        <v>4.25</v>
      </c>
      <c r="AH2" s="61">
        <v>231044</v>
      </c>
      <c r="AI2" s="61">
        <v>161089</v>
      </c>
      <c r="AJ2" s="59">
        <v>3.85</v>
      </c>
      <c r="AK2" s="59">
        <v>4.3</v>
      </c>
      <c r="AL2" s="61">
        <v>302182</v>
      </c>
      <c r="AM2" s="61">
        <v>7975759</v>
      </c>
      <c r="AN2" s="61">
        <v>4563283</v>
      </c>
      <c r="AO2" s="62">
        <v>43300</v>
      </c>
      <c r="AP2" s="63">
        <v>43301.596435185187</v>
      </c>
      <c r="AQ2" s="53" t="s">
        <v>4769</v>
      </c>
    </row>
    <row r="3" spans="1:43" ht="28.8" x14ac:dyDescent="0.3">
      <c r="A3" s="58" t="s">
        <v>4809</v>
      </c>
      <c r="B3" s="59" t="s">
        <v>2658</v>
      </c>
      <c r="C3" s="59" t="s">
        <v>4767</v>
      </c>
      <c r="D3" s="59">
        <v>1</v>
      </c>
      <c r="E3" s="59" t="s">
        <v>4768</v>
      </c>
      <c r="F3" s="59" t="s">
        <v>4768</v>
      </c>
      <c r="G3" s="59">
        <v>12.25</v>
      </c>
      <c r="H3" s="59">
        <v>3.95</v>
      </c>
      <c r="I3" s="59">
        <v>4.05</v>
      </c>
      <c r="J3" s="59">
        <v>4.05</v>
      </c>
      <c r="K3" s="59">
        <v>4.1500000000000004</v>
      </c>
      <c r="L3" s="59">
        <v>4.05</v>
      </c>
      <c r="M3" s="59">
        <v>4.0599999999999996</v>
      </c>
      <c r="N3" s="59">
        <v>4.05</v>
      </c>
      <c r="O3" s="59" t="s">
        <v>4768</v>
      </c>
      <c r="P3" s="59">
        <v>0</v>
      </c>
      <c r="Q3" s="60">
        <v>2291045</v>
      </c>
      <c r="R3" s="59">
        <v>93.02</v>
      </c>
      <c r="S3" s="61">
        <v>1783203</v>
      </c>
      <c r="T3" s="59">
        <v>4.05</v>
      </c>
      <c r="U3" s="59">
        <v>4.0999999999999996</v>
      </c>
      <c r="V3" s="61">
        <v>1059010</v>
      </c>
      <c r="W3" s="61">
        <v>3664475</v>
      </c>
      <c r="X3" s="59">
        <v>4</v>
      </c>
      <c r="Y3" s="59">
        <v>4.1500000000000004</v>
      </c>
      <c r="Z3" s="61">
        <v>712176</v>
      </c>
      <c r="AA3" s="61">
        <v>1127272</v>
      </c>
      <c r="AB3" s="59">
        <v>3.95</v>
      </c>
      <c r="AC3" s="59">
        <v>4.2</v>
      </c>
      <c r="AD3" s="61">
        <v>576159</v>
      </c>
      <c r="AE3" s="61">
        <v>367347</v>
      </c>
      <c r="AF3" s="59">
        <v>3.9</v>
      </c>
      <c r="AG3" s="59">
        <v>4.25</v>
      </c>
      <c r="AH3" s="61">
        <v>231044</v>
      </c>
      <c r="AI3" s="61">
        <v>161089</v>
      </c>
      <c r="AJ3" s="59">
        <v>3.85</v>
      </c>
      <c r="AK3" s="59">
        <v>4.3</v>
      </c>
      <c r="AL3" s="61">
        <v>302182</v>
      </c>
      <c r="AM3" s="61">
        <v>7994729</v>
      </c>
      <c r="AN3" s="61">
        <v>4472292</v>
      </c>
      <c r="AO3" s="62">
        <v>43300</v>
      </c>
      <c r="AP3" s="63">
        <v>43301.598865740743</v>
      </c>
      <c r="AQ3" s="53" t="s">
        <v>4769</v>
      </c>
    </row>
    <row r="4" spans="1:43" ht="28.8" x14ac:dyDescent="0.3">
      <c r="A4" s="64" t="s">
        <v>4809</v>
      </c>
      <c r="B4" s="59" t="s">
        <v>2658</v>
      </c>
      <c r="C4" s="59" t="s">
        <v>4767</v>
      </c>
      <c r="D4" s="59">
        <v>1</v>
      </c>
      <c r="E4" s="59" t="s">
        <v>4768</v>
      </c>
      <c r="F4" s="59" t="s">
        <v>4768</v>
      </c>
      <c r="G4" s="59">
        <v>12.25</v>
      </c>
      <c r="H4" s="59">
        <v>3.95</v>
      </c>
      <c r="I4" s="59">
        <v>4.05</v>
      </c>
      <c r="J4" s="59">
        <v>4.05</v>
      </c>
      <c r="K4" s="59">
        <v>4.1500000000000004</v>
      </c>
      <c r="L4" s="59">
        <v>4.05</v>
      </c>
      <c r="M4" s="59">
        <v>4.0599999999999996</v>
      </c>
      <c r="N4" s="59">
        <v>4.05</v>
      </c>
      <c r="O4" s="59" t="s">
        <v>4768</v>
      </c>
      <c r="P4" s="59">
        <v>0</v>
      </c>
      <c r="Q4" s="60">
        <v>2343679</v>
      </c>
      <c r="R4" s="59">
        <v>95.15</v>
      </c>
      <c r="S4" s="61">
        <v>1946720</v>
      </c>
      <c r="T4" s="59">
        <v>4.05</v>
      </c>
      <c r="U4" s="59">
        <v>4.0999999999999996</v>
      </c>
      <c r="V4" s="61">
        <v>1037108</v>
      </c>
      <c r="W4" s="61">
        <v>3673065</v>
      </c>
      <c r="X4" s="59">
        <v>4</v>
      </c>
      <c r="Y4" s="59">
        <v>4.1500000000000004</v>
      </c>
      <c r="Z4" s="61">
        <v>755328</v>
      </c>
      <c r="AA4" s="61">
        <v>1127072</v>
      </c>
      <c r="AB4" s="59">
        <v>3.95</v>
      </c>
      <c r="AC4" s="59">
        <v>4.2</v>
      </c>
      <c r="AD4" s="61">
        <v>553052</v>
      </c>
      <c r="AE4" s="61">
        <v>367347</v>
      </c>
      <c r="AF4" s="59">
        <v>3.9</v>
      </c>
      <c r="AG4" s="59">
        <v>4.25</v>
      </c>
      <c r="AH4" s="61">
        <v>231044</v>
      </c>
      <c r="AI4" s="61">
        <v>161589</v>
      </c>
      <c r="AJ4" s="59">
        <v>3.85</v>
      </c>
      <c r="AK4" s="59">
        <v>4.3</v>
      </c>
      <c r="AL4" s="61">
        <v>302182</v>
      </c>
      <c r="AM4" s="61">
        <v>8167136</v>
      </c>
      <c r="AN4" s="61">
        <v>4469435</v>
      </c>
      <c r="AO4" s="62">
        <v>43300</v>
      </c>
      <c r="AP4" s="63" t="s">
        <v>4772</v>
      </c>
      <c r="AQ4" s="53" t="s">
        <v>4769</v>
      </c>
    </row>
    <row r="5" spans="1:43" ht="28.8" x14ac:dyDescent="0.3">
      <c r="A5" s="58" t="s">
        <v>4809</v>
      </c>
      <c r="B5" s="59" t="s">
        <v>2658</v>
      </c>
      <c r="C5" s="59" t="s">
        <v>4767</v>
      </c>
      <c r="D5" s="59">
        <v>1</v>
      </c>
      <c r="E5" s="59" t="s">
        <v>4768</v>
      </c>
      <c r="F5" s="59" t="s">
        <v>4768</v>
      </c>
      <c r="G5" s="59">
        <v>12.25</v>
      </c>
      <c r="H5" s="59">
        <v>3.95</v>
      </c>
      <c r="I5" s="59">
        <v>4.05</v>
      </c>
      <c r="J5" s="59">
        <v>4.05</v>
      </c>
      <c r="K5" s="59">
        <v>4.1500000000000004</v>
      </c>
      <c r="L5" s="59">
        <v>4.05</v>
      </c>
      <c r="M5" s="59">
        <v>4.0599999999999996</v>
      </c>
      <c r="N5" s="59">
        <v>4.05</v>
      </c>
      <c r="O5" s="59" t="s">
        <v>4768</v>
      </c>
      <c r="P5" s="59">
        <v>0</v>
      </c>
      <c r="Q5" s="60">
        <v>2462299</v>
      </c>
      <c r="R5" s="59">
        <v>99.97</v>
      </c>
      <c r="S5" s="61">
        <v>1840278</v>
      </c>
      <c r="T5" s="59">
        <v>4.05</v>
      </c>
      <c r="U5" s="59">
        <v>4.0999999999999996</v>
      </c>
      <c r="V5" s="61">
        <v>1039125</v>
      </c>
      <c r="W5" s="61">
        <v>3672298</v>
      </c>
      <c r="X5" s="59">
        <v>4</v>
      </c>
      <c r="Y5" s="59">
        <v>4.1500000000000004</v>
      </c>
      <c r="Z5" s="61">
        <v>755328</v>
      </c>
      <c r="AA5" s="61">
        <v>1127072</v>
      </c>
      <c r="AB5" s="59">
        <v>3.95</v>
      </c>
      <c r="AC5" s="59">
        <v>4.2</v>
      </c>
      <c r="AD5" s="61">
        <v>553052</v>
      </c>
      <c r="AE5" s="61">
        <v>377347</v>
      </c>
      <c r="AF5" s="59">
        <v>3.9</v>
      </c>
      <c r="AG5" s="59">
        <v>4.25</v>
      </c>
      <c r="AH5" s="61">
        <v>231044</v>
      </c>
      <c r="AI5" s="61">
        <v>161589</v>
      </c>
      <c r="AJ5" s="59">
        <v>3.85</v>
      </c>
      <c r="AK5" s="59">
        <v>4.3</v>
      </c>
      <c r="AL5" s="61">
        <v>302182</v>
      </c>
      <c r="AM5" s="61">
        <v>8069927</v>
      </c>
      <c r="AN5" s="61">
        <v>4471452</v>
      </c>
      <c r="AO5" s="62">
        <v>43300</v>
      </c>
      <c r="AP5" s="63" t="s">
        <v>4773</v>
      </c>
      <c r="AQ5" s="53" t="s">
        <v>4769</v>
      </c>
    </row>
    <row r="6" spans="1:43" ht="28.8" x14ac:dyDescent="0.3">
      <c r="A6" s="58" t="s">
        <v>4809</v>
      </c>
      <c r="B6" s="59" t="s">
        <v>2658</v>
      </c>
      <c r="C6" s="59" t="s">
        <v>4767</v>
      </c>
      <c r="D6" s="59">
        <v>1</v>
      </c>
      <c r="E6" s="59" t="s">
        <v>4768</v>
      </c>
      <c r="F6" s="59" t="s">
        <v>4768</v>
      </c>
      <c r="G6" s="59">
        <v>12.25</v>
      </c>
      <c r="H6" s="59">
        <v>3.95</v>
      </c>
      <c r="I6" s="59">
        <v>4.05</v>
      </c>
      <c r="J6" s="59">
        <v>4.05</v>
      </c>
      <c r="K6" s="59">
        <v>4.1500000000000004</v>
      </c>
      <c r="L6" s="59">
        <v>4.05</v>
      </c>
      <c r="M6" s="59">
        <v>4.0599999999999996</v>
      </c>
      <c r="N6" s="59">
        <v>4.05</v>
      </c>
      <c r="O6" s="59" t="s">
        <v>4768</v>
      </c>
      <c r="P6" s="59">
        <v>0</v>
      </c>
      <c r="Q6" s="60">
        <v>2462299</v>
      </c>
      <c r="R6" s="59">
        <v>99.97</v>
      </c>
      <c r="S6" s="61">
        <v>1840278</v>
      </c>
      <c r="T6" s="59">
        <v>4.05</v>
      </c>
      <c r="U6" s="59">
        <v>4.0999999999999996</v>
      </c>
      <c r="V6" s="61">
        <v>1039125</v>
      </c>
      <c r="W6" s="61">
        <v>3672298</v>
      </c>
      <c r="X6" s="59">
        <v>4</v>
      </c>
      <c r="Y6" s="59">
        <v>4.1500000000000004</v>
      </c>
      <c r="Z6" s="61">
        <v>755328</v>
      </c>
      <c r="AA6" s="61">
        <v>1127072</v>
      </c>
      <c r="AB6" s="59">
        <v>3.95</v>
      </c>
      <c r="AC6" s="59">
        <v>4.2</v>
      </c>
      <c r="AD6" s="61">
        <v>553052</v>
      </c>
      <c r="AE6" s="61">
        <v>377347</v>
      </c>
      <c r="AF6" s="59">
        <v>3.9</v>
      </c>
      <c r="AG6" s="59">
        <v>4.25</v>
      </c>
      <c r="AH6" s="61">
        <v>231044</v>
      </c>
      <c r="AI6" s="61">
        <v>161589</v>
      </c>
      <c r="AJ6" s="59">
        <v>3.85</v>
      </c>
      <c r="AK6" s="59">
        <v>4.3</v>
      </c>
      <c r="AL6" s="61">
        <v>302182</v>
      </c>
      <c r="AM6" s="61">
        <v>8069927</v>
      </c>
      <c r="AN6" s="61">
        <v>4471452</v>
      </c>
      <c r="AO6" s="62">
        <v>43300</v>
      </c>
      <c r="AP6" s="63" t="s">
        <v>4773</v>
      </c>
      <c r="AQ6" s="53" t="s">
        <v>4769</v>
      </c>
    </row>
    <row r="7" spans="1:43" ht="28.8" x14ac:dyDescent="0.3">
      <c r="A7" s="58" t="s">
        <v>4809</v>
      </c>
      <c r="B7" s="59" t="s">
        <v>2658</v>
      </c>
      <c r="C7" s="59" t="s">
        <v>4767</v>
      </c>
      <c r="D7" s="59">
        <v>1</v>
      </c>
      <c r="E7" s="59" t="s">
        <v>4768</v>
      </c>
      <c r="F7" s="59" t="s">
        <v>4768</v>
      </c>
      <c r="G7" s="59">
        <v>12.25</v>
      </c>
      <c r="H7" s="59">
        <v>3.95</v>
      </c>
      <c r="I7" s="59">
        <v>4.05</v>
      </c>
      <c r="J7" s="59">
        <v>4.05</v>
      </c>
      <c r="K7" s="59">
        <v>4.1500000000000004</v>
      </c>
      <c r="L7" s="59">
        <v>4.05</v>
      </c>
      <c r="M7" s="59">
        <v>4.0599999999999996</v>
      </c>
      <c r="N7" s="59">
        <v>4.05</v>
      </c>
      <c r="O7" s="59" t="s">
        <v>4768</v>
      </c>
      <c r="P7" s="59">
        <v>0</v>
      </c>
      <c r="Q7" s="60">
        <v>2578717</v>
      </c>
      <c r="R7" s="59">
        <v>104.7</v>
      </c>
      <c r="S7" s="61">
        <v>1803383</v>
      </c>
      <c r="T7" s="59">
        <v>4.05</v>
      </c>
      <c r="U7" s="59">
        <v>4.0999999999999996</v>
      </c>
      <c r="V7" s="61">
        <v>992046</v>
      </c>
      <c r="W7" s="61">
        <v>3679248</v>
      </c>
      <c r="X7" s="59">
        <v>4</v>
      </c>
      <c r="Y7" s="59">
        <v>4.1500000000000004</v>
      </c>
      <c r="Z7" s="61">
        <v>755606</v>
      </c>
      <c r="AA7" s="61">
        <v>1129772</v>
      </c>
      <c r="AB7" s="59">
        <v>3.95</v>
      </c>
      <c r="AC7" s="59">
        <v>4.2</v>
      </c>
      <c r="AD7" s="61">
        <v>501052</v>
      </c>
      <c r="AE7" s="61">
        <v>379797</v>
      </c>
      <c r="AF7" s="59">
        <v>3.9</v>
      </c>
      <c r="AG7" s="59">
        <v>4.25</v>
      </c>
      <c r="AH7" s="61">
        <v>230775</v>
      </c>
      <c r="AI7" s="61">
        <v>161589</v>
      </c>
      <c r="AJ7" s="59">
        <v>3.85</v>
      </c>
      <c r="AK7" s="59">
        <v>4.3</v>
      </c>
      <c r="AL7" s="61">
        <v>300182</v>
      </c>
      <c r="AM7" s="61">
        <v>8043630</v>
      </c>
      <c r="AN7" s="61">
        <v>4375082</v>
      </c>
      <c r="AO7" s="62">
        <v>43300</v>
      </c>
      <c r="AP7" s="63" t="s">
        <v>4808</v>
      </c>
      <c r="AQ7" s="53" t="s">
        <v>4769</v>
      </c>
    </row>
    <row r="8" spans="1:43" ht="28.8" x14ac:dyDescent="0.3">
      <c r="A8" s="58" t="s">
        <v>4809</v>
      </c>
      <c r="B8" s="59" t="s">
        <v>2658</v>
      </c>
      <c r="C8" s="59" t="s">
        <v>4767</v>
      </c>
      <c r="D8" s="59">
        <v>1</v>
      </c>
      <c r="E8" s="59" t="s">
        <v>4768</v>
      </c>
      <c r="F8" s="59" t="s">
        <v>4768</v>
      </c>
      <c r="G8" s="59">
        <v>12.25</v>
      </c>
      <c r="H8" s="59">
        <v>3.95</v>
      </c>
      <c r="I8" s="59">
        <v>4.05</v>
      </c>
      <c r="J8" s="59">
        <v>4.05</v>
      </c>
      <c r="K8" s="59">
        <v>4.1500000000000004</v>
      </c>
      <c r="L8" s="59">
        <v>4.05</v>
      </c>
      <c r="M8" s="59">
        <v>4.0599999999999996</v>
      </c>
      <c r="N8" s="59">
        <v>4.05</v>
      </c>
      <c r="O8" s="59" t="s">
        <v>4768</v>
      </c>
      <c r="P8" s="59">
        <v>0</v>
      </c>
      <c r="Q8" s="60">
        <v>2664215</v>
      </c>
      <c r="R8" s="59">
        <v>108.17</v>
      </c>
      <c r="S8" s="61">
        <v>1749336</v>
      </c>
      <c r="T8" s="59">
        <v>4.05</v>
      </c>
      <c r="U8" s="59">
        <v>4.0999999999999996</v>
      </c>
      <c r="V8" s="61">
        <v>1120695</v>
      </c>
      <c r="W8" s="61">
        <v>3653418</v>
      </c>
      <c r="X8" s="59">
        <v>4</v>
      </c>
      <c r="Y8" s="59">
        <v>4.1500000000000004</v>
      </c>
      <c r="Z8" s="61">
        <v>756732</v>
      </c>
      <c r="AA8" s="61">
        <v>1130042</v>
      </c>
      <c r="AB8" s="59">
        <v>3.95</v>
      </c>
      <c r="AC8" s="59">
        <v>4.2</v>
      </c>
      <c r="AD8" s="61">
        <v>496401</v>
      </c>
      <c r="AE8" s="61">
        <v>382297</v>
      </c>
      <c r="AF8" s="59">
        <v>3.9</v>
      </c>
      <c r="AG8" s="59">
        <v>4.25</v>
      </c>
      <c r="AH8" s="61">
        <v>130764</v>
      </c>
      <c r="AI8" s="61">
        <v>161089</v>
      </c>
      <c r="AJ8" s="59">
        <v>3.85</v>
      </c>
      <c r="AK8" s="59">
        <v>4.3</v>
      </c>
      <c r="AL8" s="61">
        <v>300181</v>
      </c>
      <c r="AM8" s="61">
        <v>7966418</v>
      </c>
      <c r="AN8" s="61">
        <v>4309974</v>
      </c>
      <c r="AO8" s="62">
        <v>43300</v>
      </c>
      <c r="AP8" s="63" t="s">
        <v>4810</v>
      </c>
      <c r="AQ8" s="52" t="s">
        <v>4769</v>
      </c>
    </row>
    <row r="9" spans="1:43" ht="28.8" x14ac:dyDescent="0.3">
      <c r="A9" s="58" t="s">
        <v>4809</v>
      </c>
      <c r="B9" s="59" t="s">
        <v>2658</v>
      </c>
      <c r="C9" s="59" t="s">
        <v>4767</v>
      </c>
      <c r="D9" s="59">
        <v>1</v>
      </c>
      <c r="E9" s="59" t="s">
        <v>4768</v>
      </c>
      <c r="F9" s="59" t="s">
        <v>4768</v>
      </c>
      <c r="G9" s="59">
        <v>12.25</v>
      </c>
      <c r="H9" s="59">
        <v>3.95</v>
      </c>
      <c r="I9" s="59">
        <v>4.05</v>
      </c>
      <c r="J9" s="59">
        <v>4.05</v>
      </c>
      <c r="K9" s="59">
        <v>4.1500000000000004</v>
      </c>
      <c r="L9" s="59">
        <v>4.05</v>
      </c>
      <c r="M9" s="59">
        <v>4.0599999999999996</v>
      </c>
      <c r="N9" s="59">
        <v>4.05</v>
      </c>
      <c r="O9" s="59" t="s">
        <v>4768</v>
      </c>
      <c r="P9" s="59">
        <v>0</v>
      </c>
      <c r="Q9" s="60">
        <v>2664215</v>
      </c>
      <c r="R9" s="59">
        <v>108.17</v>
      </c>
      <c r="S9" s="61">
        <v>1749336</v>
      </c>
      <c r="T9" s="59">
        <v>4.05</v>
      </c>
      <c r="U9" s="59">
        <v>4.0999999999999996</v>
      </c>
      <c r="V9" s="61">
        <v>1120695</v>
      </c>
      <c r="W9" s="61">
        <v>3653418</v>
      </c>
      <c r="X9" s="59">
        <v>4</v>
      </c>
      <c r="Y9" s="59">
        <v>4.1500000000000004</v>
      </c>
      <c r="Z9" s="61">
        <v>756732</v>
      </c>
      <c r="AA9" s="61">
        <v>1130042</v>
      </c>
      <c r="AB9" s="59">
        <v>3.95</v>
      </c>
      <c r="AC9" s="59">
        <v>4.2</v>
      </c>
      <c r="AD9" s="61">
        <v>496401</v>
      </c>
      <c r="AE9" s="61">
        <v>382297</v>
      </c>
      <c r="AF9" s="59">
        <v>3.9</v>
      </c>
      <c r="AG9" s="59">
        <v>4.25</v>
      </c>
      <c r="AH9" s="61">
        <v>130764</v>
      </c>
      <c r="AI9" s="61">
        <v>161089</v>
      </c>
      <c r="AJ9" s="59">
        <v>3.85</v>
      </c>
      <c r="AK9" s="59">
        <v>4.3</v>
      </c>
      <c r="AL9" s="61">
        <v>300181</v>
      </c>
      <c r="AM9" s="61">
        <v>7966418</v>
      </c>
      <c r="AN9" s="61">
        <v>4309974</v>
      </c>
      <c r="AO9" s="62">
        <v>43300</v>
      </c>
      <c r="AP9" s="63" t="s">
        <v>4810</v>
      </c>
      <c r="AQ9" s="52" t="s">
        <v>4769</v>
      </c>
    </row>
    <row r="10" spans="1:43" ht="28.8" x14ac:dyDescent="0.3">
      <c r="A10" s="58" t="s">
        <v>4809</v>
      </c>
      <c r="B10" s="59" t="s">
        <v>2658</v>
      </c>
      <c r="C10" s="59" t="s">
        <v>4767</v>
      </c>
      <c r="D10" s="59">
        <v>1</v>
      </c>
      <c r="E10" s="59" t="s">
        <v>4768</v>
      </c>
      <c r="F10" s="59" t="s">
        <v>4768</v>
      </c>
      <c r="G10" s="59">
        <v>12.25</v>
      </c>
      <c r="H10" s="59">
        <v>3.95</v>
      </c>
      <c r="I10" s="59">
        <v>4.05</v>
      </c>
      <c r="J10" s="59">
        <v>4.05</v>
      </c>
      <c r="K10" s="59">
        <v>4.1500000000000004</v>
      </c>
      <c r="L10" s="59">
        <v>4.05</v>
      </c>
      <c r="M10" s="59">
        <v>4.0599999999999996</v>
      </c>
      <c r="N10" s="59">
        <v>4.05</v>
      </c>
      <c r="O10" s="59" t="s">
        <v>4768</v>
      </c>
      <c r="P10" s="59">
        <v>0</v>
      </c>
      <c r="Q10" s="60">
        <v>2705469</v>
      </c>
      <c r="R10" s="59">
        <v>109.84</v>
      </c>
      <c r="S10" s="61">
        <v>2007595</v>
      </c>
      <c r="T10" s="59">
        <v>4.05</v>
      </c>
      <c r="U10" s="59">
        <v>4.0999999999999996</v>
      </c>
      <c r="V10" s="61">
        <v>1119287</v>
      </c>
      <c r="W10" s="61">
        <v>3653518</v>
      </c>
      <c r="X10" s="59">
        <v>4</v>
      </c>
      <c r="Y10" s="59">
        <v>4.1500000000000004</v>
      </c>
      <c r="Z10" s="61">
        <v>754783</v>
      </c>
      <c r="AA10" s="61">
        <v>1133342</v>
      </c>
      <c r="AB10" s="59">
        <v>3.95</v>
      </c>
      <c r="AC10" s="59">
        <v>4.2</v>
      </c>
      <c r="AD10" s="61">
        <v>496201</v>
      </c>
      <c r="AE10" s="61">
        <v>378797</v>
      </c>
      <c r="AF10" s="59">
        <v>3.9</v>
      </c>
      <c r="AG10" s="59">
        <v>4.25</v>
      </c>
      <c r="AH10" s="61">
        <v>130664</v>
      </c>
      <c r="AI10" s="61">
        <v>160979</v>
      </c>
      <c r="AJ10" s="59">
        <v>3.85</v>
      </c>
      <c r="AK10" s="59">
        <v>4.3</v>
      </c>
      <c r="AL10" s="61">
        <v>300081</v>
      </c>
      <c r="AM10" s="61">
        <v>8224467</v>
      </c>
      <c r="AN10" s="61">
        <v>4318057</v>
      </c>
      <c r="AO10" s="62">
        <v>43300</v>
      </c>
      <c r="AP10" s="63" t="s">
        <v>4811</v>
      </c>
      <c r="AQ10" s="52" t="s">
        <v>4769</v>
      </c>
    </row>
    <row r="11" spans="1:43" ht="28.8" x14ac:dyDescent="0.3">
      <c r="A11" s="58" t="s">
        <v>4809</v>
      </c>
      <c r="B11" s="59" t="s">
        <v>2658</v>
      </c>
      <c r="C11" s="59" t="s">
        <v>4767</v>
      </c>
      <c r="D11" s="59">
        <v>1</v>
      </c>
      <c r="E11" s="59" t="s">
        <v>4768</v>
      </c>
      <c r="F11" s="59" t="s">
        <v>4768</v>
      </c>
      <c r="G11" s="59">
        <v>12.25</v>
      </c>
      <c r="H11" s="59">
        <v>3.95</v>
      </c>
      <c r="I11" s="59">
        <v>4.05</v>
      </c>
      <c r="J11" s="59">
        <v>4.05</v>
      </c>
      <c r="K11" s="59">
        <v>4.1500000000000004</v>
      </c>
      <c r="L11" s="59">
        <v>4.05</v>
      </c>
      <c r="M11" s="59">
        <v>4.0599999999999996</v>
      </c>
      <c r="N11" s="59">
        <v>4.05</v>
      </c>
      <c r="O11" s="59" t="s">
        <v>4768</v>
      </c>
      <c r="P11" s="59">
        <v>0</v>
      </c>
      <c r="Q11" s="60">
        <v>2705469</v>
      </c>
      <c r="R11" s="59">
        <v>109.84</v>
      </c>
      <c r="S11" s="61">
        <v>2007595</v>
      </c>
      <c r="T11" s="59">
        <v>4.05</v>
      </c>
      <c r="U11" s="59">
        <v>4.0999999999999996</v>
      </c>
      <c r="V11" s="61">
        <v>1119287</v>
      </c>
      <c r="W11" s="61">
        <v>3653518</v>
      </c>
      <c r="X11" s="59">
        <v>4</v>
      </c>
      <c r="Y11" s="59">
        <v>4.1500000000000004</v>
      </c>
      <c r="Z11" s="61">
        <v>754783</v>
      </c>
      <c r="AA11" s="61">
        <v>1133342</v>
      </c>
      <c r="AB11" s="59">
        <v>3.95</v>
      </c>
      <c r="AC11" s="59">
        <v>4.2</v>
      </c>
      <c r="AD11" s="61">
        <v>496201</v>
      </c>
      <c r="AE11" s="61">
        <v>378797</v>
      </c>
      <c r="AF11" s="59">
        <v>3.9</v>
      </c>
      <c r="AG11" s="59">
        <v>4.25</v>
      </c>
      <c r="AH11" s="61">
        <v>130664</v>
      </c>
      <c r="AI11" s="61">
        <v>160979</v>
      </c>
      <c r="AJ11" s="59">
        <v>3.85</v>
      </c>
      <c r="AK11" s="59">
        <v>4.3</v>
      </c>
      <c r="AL11" s="61">
        <v>300081</v>
      </c>
      <c r="AM11" s="61">
        <v>8224467</v>
      </c>
      <c r="AN11" s="61">
        <v>4318057</v>
      </c>
      <c r="AO11" s="62">
        <v>43300</v>
      </c>
      <c r="AP11" s="63" t="s">
        <v>4811</v>
      </c>
      <c r="AQ11" s="52" t="s">
        <v>4769</v>
      </c>
    </row>
    <row r="12" spans="1:43" ht="28.8" x14ac:dyDescent="0.3">
      <c r="A12" s="58" t="s">
        <v>4809</v>
      </c>
      <c r="B12" s="59" t="s">
        <v>2658</v>
      </c>
      <c r="C12" s="59" t="s">
        <v>4767</v>
      </c>
      <c r="D12" s="59">
        <v>1</v>
      </c>
      <c r="E12" s="59" t="s">
        <v>4768</v>
      </c>
      <c r="F12" s="59" t="s">
        <v>4768</v>
      </c>
      <c r="G12" s="59">
        <v>12.25</v>
      </c>
      <c r="H12" s="59">
        <v>3.95</v>
      </c>
      <c r="I12" s="59">
        <v>4.05</v>
      </c>
      <c r="J12" s="59">
        <v>4.05</v>
      </c>
      <c r="K12" s="59">
        <v>4.1500000000000004</v>
      </c>
      <c r="L12" s="59">
        <v>4.05</v>
      </c>
      <c r="M12" s="59">
        <v>4.0599999999999996</v>
      </c>
      <c r="N12" s="59">
        <v>4.0999999999999996</v>
      </c>
      <c r="O12" s="59">
        <v>0.05</v>
      </c>
      <c r="P12" s="59">
        <v>1.23</v>
      </c>
      <c r="Q12" s="60">
        <v>2743369</v>
      </c>
      <c r="R12" s="59">
        <v>111.38</v>
      </c>
      <c r="S12" s="61">
        <v>1973017</v>
      </c>
      <c r="T12" s="59">
        <v>4.05</v>
      </c>
      <c r="U12" s="59">
        <v>4.0999999999999996</v>
      </c>
      <c r="V12" s="61">
        <v>1090341</v>
      </c>
      <c r="W12" s="61">
        <v>3655018</v>
      </c>
      <c r="X12" s="59">
        <v>4</v>
      </c>
      <c r="Y12" s="59">
        <v>4.1500000000000004</v>
      </c>
      <c r="Z12" s="61">
        <v>749783</v>
      </c>
      <c r="AA12" s="61">
        <v>1132842</v>
      </c>
      <c r="AB12" s="59">
        <v>3.95</v>
      </c>
      <c r="AC12" s="59">
        <v>4.2</v>
      </c>
      <c r="AD12" s="61">
        <v>496201</v>
      </c>
      <c r="AE12" s="61">
        <v>377797</v>
      </c>
      <c r="AF12" s="59">
        <v>3.9</v>
      </c>
      <c r="AG12" s="59">
        <v>4.25</v>
      </c>
      <c r="AH12" s="61">
        <v>130664</v>
      </c>
      <c r="AI12" s="61">
        <v>161079</v>
      </c>
      <c r="AJ12" s="59">
        <v>3.85</v>
      </c>
      <c r="AK12" s="59">
        <v>4.3</v>
      </c>
      <c r="AL12" s="61">
        <v>300081</v>
      </c>
      <c r="AM12" s="61">
        <v>8186989</v>
      </c>
      <c r="AN12" s="61">
        <v>4272110</v>
      </c>
      <c r="AO12" s="62">
        <v>43300</v>
      </c>
      <c r="AP12" s="63" t="s">
        <v>4812</v>
      </c>
      <c r="AQ12" s="52" t="s">
        <v>4769</v>
      </c>
    </row>
    <row r="13" spans="1:43" ht="28.8" x14ac:dyDescent="0.3">
      <c r="A13" s="58" t="s">
        <v>4809</v>
      </c>
      <c r="B13" s="59" t="s">
        <v>2658</v>
      </c>
      <c r="C13" s="59" t="s">
        <v>4767</v>
      </c>
      <c r="D13" s="59">
        <v>1</v>
      </c>
      <c r="E13" s="59" t="s">
        <v>4768</v>
      </c>
      <c r="F13" s="59" t="s">
        <v>4768</v>
      </c>
      <c r="G13" s="59">
        <v>12.25</v>
      </c>
      <c r="H13" s="59">
        <v>3.95</v>
      </c>
      <c r="I13" s="59">
        <v>4.05</v>
      </c>
      <c r="J13" s="59">
        <v>4.05</v>
      </c>
      <c r="K13" s="59">
        <v>4.1500000000000004</v>
      </c>
      <c r="L13" s="59">
        <v>4.05</v>
      </c>
      <c r="M13" s="59">
        <v>4.0599999999999996</v>
      </c>
      <c r="N13" s="59">
        <v>4.0999999999999996</v>
      </c>
      <c r="O13" s="59">
        <v>0.05</v>
      </c>
      <c r="P13" s="59">
        <v>1.23</v>
      </c>
      <c r="Q13" s="60">
        <v>2743369</v>
      </c>
      <c r="R13" s="59">
        <v>111.38</v>
      </c>
      <c r="S13" s="61">
        <v>1973017</v>
      </c>
      <c r="T13" s="59">
        <v>4.05</v>
      </c>
      <c r="U13" s="59">
        <v>4.0999999999999996</v>
      </c>
      <c r="V13" s="61">
        <v>1090341</v>
      </c>
      <c r="W13" s="61">
        <v>3655018</v>
      </c>
      <c r="X13" s="59">
        <v>4</v>
      </c>
      <c r="Y13" s="59">
        <v>4.1500000000000004</v>
      </c>
      <c r="Z13" s="61">
        <v>749783</v>
      </c>
      <c r="AA13" s="61">
        <v>1132842</v>
      </c>
      <c r="AB13" s="59">
        <v>3.95</v>
      </c>
      <c r="AC13" s="59">
        <v>4.2</v>
      </c>
      <c r="AD13" s="61">
        <v>496201</v>
      </c>
      <c r="AE13" s="61">
        <v>377797</v>
      </c>
      <c r="AF13" s="59">
        <v>3.9</v>
      </c>
      <c r="AG13" s="59">
        <v>4.25</v>
      </c>
      <c r="AH13" s="61">
        <v>130664</v>
      </c>
      <c r="AI13" s="61">
        <v>161079</v>
      </c>
      <c r="AJ13" s="59">
        <v>3.85</v>
      </c>
      <c r="AK13" s="59">
        <v>4.3</v>
      </c>
      <c r="AL13" s="61">
        <v>300081</v>
      </c>
      <c r="AM13" s="61">
        <v>8186989</v>
      </c>
      <c r="AN13" s="61">
        <v>4272110</v>
      </c>
      <c r="AO13" s="62">
        <v>43300</v>
      </c>
      <c r="AP13" s="59" t="s">
        <v>4812</v>
      </c>
      <c r="AQ13" s="52" t="s">
        <v>4769</v>
      </c>
    </row>
    <row r="14" spans="1:43" ht="28.8" x14ac:dyDescent="0.3">
      <c r="A14" s="58" t="s">
        <v>4809</v>
      </c>
      <c r="B14" s="59" t="s">
        <v>2658</v>
      </c>
      <c r="C14" s="59" t="s">
        <v>4767</v>
      </c>
      <c r="D14" s="59">
        <v>1</v>
      </c>
      <c r="E14" s="59" t="s">
        <v>4768</v>
      </c>
      <c r="F14" s="59" t="s">
        <v>4768</v>
      </c>
      <c r="G14" s="59">
        <v>12.25</v>
      </c>
      <c r="H14" s="59">
        <v>3.95</v>
      </c>
      <c r="I14" s="59">
        <v>4.05</v>
      </c>
      <c r="J14" s="59">
        <v>4.05</v>
      </c>
      <c r="K14" s="59">
        <v>4.1500000000000004</v>
      </c>
      <c r="L14" s="59">
        <v>4.05</v>
      </c>
      <c r="M14" s="59">
        <v>4.0599999999999996</v>
      </c>
      <c r="N14" s="59">
        <v>4.0999999999999996</v>
      </c>
      <c r="O14" s="59">
        <v>0.05</v>
      </c>
      <c r="P14" s="59">
        <v>1.23</v>
      </c>
      <c r="Q14" s="60">
        <v>2743369</v>
      </c>
      <c r="R14" s="59">
        <v>111.38</v>
      </c>
      <c r="S14" s="61">
        <v>1973017</v>
      </c>
      <c r="T14" s="59">
        <v>4.05</v>
      </c>
      <c r="U14" s="59">
        <v>4.0999999999999996</v>
      </c>
      <c r="V14" s="61">
        <v>1090341</v>
      </c>
      <c r="W14" s="61">
        <v>3655018</v>
      </c>
      <c r="X14" s="59">
        <v>4</v>
      </c>
      <c r="Y14" s="59">
        <v>4.1500000000000004</v>
      </c>
      <c r="Z14" s="61">
        <v>749783</v>
      </c>
      <c r="AA14" s="61">
        <v>1132842</v>
      </c>
      <c r="AB14" s="59">
        <v>3.95</v>
      </c>
      <c r="AC14" s="59">
        <v>4.2</v>
      </c>
      <c r="AD14" s="61">
        <v>496201</v>
      </c>
      <c r="AE14" s="61">
        <v>377797</v>
      </c>
      <c r="AF14" s="59">
        <v>3.9</v>
      </c>
      <c r="AG14" s="59">
        <v>4.25</v>
      </c>
      <c r="AH14" s="61">
        <v>130664</v>
      </c>
      <c r="AI14" s="61">
        <v>161079</v>
      </c>
      <c r="AJ14" s="59">
        <v>3.85</v>
      </c>
      <c r="AK14" s="59">
        <v>4.3</v>
      </c>
      <c r="AL14" s="61">
        <v>300081</v>
      </c>
      <c r="AM14" s="61">
        <v>8186989</v>
      </c>
      <c r="AN14" s="61">
        <v>4272110</v>
      </c>
      <c r="AO14" s="62">
        <v>43300</v>
      </c>
      <c r="AP14" s="59" t="s">
        <v>4812</v>
      </c>
      <c r="AQ14" s="52" t="s">
        <v>4769</v>
      </c>
    </row>
    <row r="15" spans="1:43" ht="28.8" x14ac:dyDescent="0.3">
      <c r="A15" s="58" t="s">
        <v>4809</v>
      </c>
      <c r="B15" s="59" t="s">
        <v>2658</v>
      </c>
      <c r="C15" s="59" t="s">
        <v>4767</v>
      </c>
      <c r="D15" s="59">
        <v>1</v>
      </c>
      <c r="E15" s="59" t="s">
        <v>4768</v>
      </c>
      <c r="F15" s="59" t="s">
        <v>4768</v>
      </c>
      <c r="G15" s="59">
        <v>12.25</v>
      </c>
      <c r="H15" s="59">
        <v>3.95</v>
      </c>
      <c r="I15" s="59">
        <v>4.05</v>
      </c>
      <c r="J15" s="59">
        <v>4.05</v>
      </c>
      <c r="K15" s="59">
        <v>4.1500000000000004</v>
      </c>
      <c r="L15" s="59">
        <v>4.05</v>
      </c>
      <c r="M15" s="59">
        <v>4.0599999999999996</v>
      </c>
      <c r="N15" s="59">
        <v>4.0999999999999996</v>
      </c>
      <c r="O15" s="59">
        <v>0.05</v>
      </c>
      <c r="P15" s="59">
        <v>1.23</v>
      </c>
      <c r="Q15" s="60">
        <v>2743369</v>
      </c>
      <c r="R15" s="59">
        <v>111.38</v>
      </c>
      <c r="S15" s="61">
        <v>1973017</v>
      </c>
      <c r="T15" s="59">
        <v>4.05</v>
      </c>
      <c r="U15" s="59">
        <v>4.0999999999999996</v>
      </c>
      <c r="V15" s="61">
        <v>1090341</v>
      </c>
      <c r="W15" s="61">
        <v>3655018</v>
      </c>
      <c r="X15" s="59">
        <v>4</v>
      </c>
      <c r="Y15" s="59">
        <v>4.1500000000000004</v>
      </c>
      <c r="Z15" s="61">
        <v>749783</v>
      </c>
      <c r="AA15" s="61">
        <v>1132842</v>
      </c>
      <c r="AB15" s="59">
        <v>3.95</v>
      </c>
      <c r="AC15" s="59">
        <v>4.2</v>
      </c>
      <c r="AD15" s="61">
        <v>496201</v>
      </c>
      <c r="AE15" s="61">
        <v>377797</v>
      </c>
      <c r="AF15" s="59">
        <v>3.9</v>
      </c>
      <c r="AG15" s="59">
        <v>4.25</v>
      </c>
      <c r="AH15" s="61">
        <v>130664</v>
      </c>
      <c r="AI15" s="61">
        <v>161079</v>
      </c>
      <c r="AJ15" s="59">
        <v>3.85</v>
      </c>
      <c r="AK15" s="59">
        <v>4.3</v>
      </c>
      <c r="AL15" s="61">
        <v>300081</v>
      </c>
      <c r="AM15" s="61">
        <v>8186989</v>
      </c>
      <c r="AN15" s="61">
        <v>4272110</v>
      </c>
      <c r="AO15" s="62">
        <v>43300</v>
      </c>
      <c r="AP15" s="59" t="s">
        <v>4812</v>
      </c>
      <c r="AQ15" s="52" t="s">
        <v>4769</v>
      </c>
    </row>
    <row r="16" spans="1:43" ht="28.8" x14ac:dyDescent="0.3">
      <c r="A16" s="58" t="s">
        <v>4809</v>
      </c>
      <c r="B16" s="59" t="s">
        <v>2658</v>
      </c>
      <c r="C16" s="59" t="s">
        <v>4767</v>
      </c>
      <c r="D16" s="59">
        <v>1</v>
      </c>
      <c r="E16" s="59" t="s">
        <v>4768</v>
      </c>
      <c r="F16" s="59" t="s">
        <v>4768</v>
      </c>
      <c r="G16" s="59">
        <v>12.25</v>
      </c>
      <c r="H16" s="59">
        <v>3.95</v>
      </c>
      <c r="I16" s="59">
        <v>4.05</v>
      </c>
      <c r="J16" s="59">
        <v>4.05</v>
      </c>
      <c r="K16" s="59">
        <v>4.1500000000000004</v>
      </c>
      <c r="L16" s="59">
        <v>4.05</v>
      </c>
      <c r="M16" s="59">
        <v>4.0599999999999996</v>
      </c>
      <c r="N16" s="59">
        <v>4.0999999999999996</v>
      </c>
      <c r="O16" s="59">
        <v>0.05</v>
      </c>
      <c r="P16" s="59">
        <v>1.23</v>
      </c>
      <c r="Q16" s="60">
        <v>2768358</v>
      </c>
      <c r="R16" s="59">
        <v>112.4</v>
      </c>
      <c r="S16" s="61">
        <v>2031090</v>
      </c>
      <c r="T16" s="59">
        <v>4.05</v>
      </c>
      <c r="U16" s="59">
        <v>4.0999999999999996</v>
      </c>
      <c r="V16" s="61">
        <v>1067165</v>
      </c>
      <c r="W16" s="61">
        <v>4575543</v>
      </c>
      <c r="X16" s="59">
        <v>4</v>
      </c>
      <c r="Y16" s="59">
        <v>4.1500000000000004</v>
      </c>
      <c r="Z16" s="61">
        <v>609983</v>
      </c>
      <c r="AA16" s="61">
        <v>1141842</v>
      </c>
      <c r="AB16" s="59">
        <v>3.95</v>
      </c>
      <c r="AC16" s="59">
        <v>4.2</v>
      </c>
      <c r="AD16" s="61">
        <v>497201</v>
      </c>
      <c r="AE16" s="61">
        <v>367982</v>
      </c>
      <c r="AF16" s="59">
        <v>3.9</v>
      </c>
      <c r="AG16" s="59">
        <v>4.25</v>
      </c>
      <c r="AH16" s="61">
        <v>129664</v>
      </c>
      <c r="AI16" s="61">
        <v>161079</v>
      </c>
      <c r="AJ16" s="59">
        <v>3.85</v>
      </c>
      <c r="AK16" s="59">
        <v>4.3</v>
      </c>
      <c r="AL16" s="61">
        <v>300081</v>
      </c>
      <c r="AM16" s="61">
        <v>9163772</v>
      </c>
      <c r="AN16" s="61">
        <v>4103134</v>
      </c>
      <c r="AO16" s="62">
        <v>43300</v>
      </c>
      <c r="AP16" s="59" t="s">
        <v>4813</v>
      </c>
      <c r="AQ16" s="52" t="s">
        <v>4769</v>
      </c>
    </row>
    <row r="17" spans="1:43" ht="28.8" x14ac:dyDescent="0.3">
      <c r="A17" s="58" t="s">
        <v>4809</v>
      </c>
      <c r="B17" s="59" t="s">
        <v>2658</v>
      </c>
      <c r="C17" s="59" t="s">
        <v>4767</v>
      </c>
      <c r="D17" s="59">
        <v>1</v>
      </c>
      <c r="E17" s="59" t="s">
        <v>4768</v>
      </c>
      <c r="F17" s="59" t="s">
        <v>4768</v>
      </c>
      <c r="G17" s="59">
        <v>12.25</v>
      </c>
      <c r="H17" s="59">
        <v>3.95</v>
      </c>
      <c r="I17" s="59">
        <v>4.05</v>
      </c>
      <c r="J17" s="59">
        <v>4.05</v>
      </c>
      <c r="K17" s="59">
        <v>4.1500000000000004</v>
      </c>
      <c r="L17" s="59">
        <v>4</v>
      </c>
      <c r="M17" s="59">
        <v>4.0599999999999996</v>
      </c>
      <c r="N17" s="59">
        <v>4.05</v>
      </c>
      <c r="O17" s="59" t="s">
        <v>4768</v>
      </c>
      <c r="P17" s="59">
        <v>0</v>
      </c>
      <c r="Q17" s="60">
        <v>3238153</v>
      </c>
      <c r="R17" s="59">
        <v>131.47</v>
      </c>
      <c r="S17" s="61">
        <v>2253841</v>
      </c>
      <c r="T17" s="59">
        <v>4</v>
      </c>
      <c r="U17" s="59">
        <v>4.05</v>
      </c>
      <c r="V17" s="61">
        <v>205623</v>
      </c>
      <c r="W17" s="61">
        <v>390542</v>
      </c>
      <c r="X17" s="59">
        <v>3.95</v>
      </c>
      <c r="Y17" s="59">
        <v>4.0999999999999996</v>
      </c>
      <c r="Z17" s="61">
        <v>1145021</v>
      </c>
      <c r="AA17" s="61">
        <v>367982</v>
      </c>
      <c r="AB17" s="59">
        <v>3.9</v>
      </c>
      <c r="AC17" s="59">
        <v>4.1500000000000004</v>
      </c>
      <c r="AD17" s="61">
        <v>393874</v>
      </c>
      <c r="AE17" s="61">
        <v>111079</v>
      </c>
      <c r="AF17" s="59">
        <v>3.85</v>
      </c>
      <c r="AG17" s="59">
        <v>4.2</v>
      </c>
      <c r="AH17" s="61">
        <v>498001</v>
      </c>
      <c r="AI17" s="61">
        <v>218347</v>
      </c>
      <c r="AJ17" s="59">
        <v>3.8</v>
      </c>
      <c r="AK17" s="59">
        <v>4.25</v>
      </c>
      <c r="AL17" s="61">
        <v>129414</v>
      </c>
      <c r="AM17" s="61">
        <v>3957480</v>
      </c>
      <c r="AN17" s="61">
        <v>4155375</v>
      </c>
      <c r="AO17" s="62">
        <v>43300</v>
      </c>
      <c r="AP17" s="59" t="s">
        <v>4814</v>
      </c>
      <c r="AQ17" s="52" t="s">
        <v>4769</v>
      </c>
    </row>
    <row r="18" spans="1:43" ht="28.8" x14ac:dyDescent="0.3">
      <c r="A18" s="58" t="s">
        <v>4809</v>
      </c>
      <c r="B18" s="59" t="s">
        <v>2658</v>
      </c>
      <c r="C18" s="59" t="s">
        <v>4767</v>
      </c>
      <c r="D18" s="59">
        <v>1</v>
      </c>
      <c r="E18" s="59" t="s">
        <v>4768</v>
      </c>
      <c r="F18" s="59" t="s">
        <v>4768</v>
      </c>
      <c r="G18" s="59">
        <v>12.25</v>
      </c>
      <c r="H18" s="59">
        <v>3.95</v>
      </c>
      <c r="I18" s="59">
        <v>4.05</v>
      </c>
      <c r="J18" s="59">
        <v>4.05</v>
      </c>
      <c r="K18" s="59">
        <v>4.1500000000000004</v>
      </c>
      <c r="L18" s="59">
        <v>4</v>
      </c>
      <c r="M18" s="59">
        <v>4.0599999999999996</v>
      </c>
      <c r="N18" s="59">
        <v>4.05</v>
      </c>
      <c r="O18" s="59" t="s">
        <v>4768</v>
      </c>
      <c r="P18" s="59">
        <v>0</v>
      </c>
      <c r="Q18" s="60">
        <v>3238153</v>
      </c>
      <c r="R18" s="59">
        <v>131.47</v>
      </c>
      <c r="S18" s="61" t="s">
        <v>4768</v>
      </c>
      <c r="T18" s="59" t="s">
        <v>4768</v>
      </c>
      <c r="U18" s="59">
        <v>4.05</v>
      </c>
      <c r="V18" s="61">
        <v>185550</v>
      </c>
      <c r="W18" s="61" t="s">
        <v>4768</v>
      </c>
      <c r="X18" s="59" t="s">
        <v>4768</v>
      </c>
      <c r="Y18" s="59" t="s">
        <v>4768</v>
      </c>
      <c r="Z18" s="61" t="s">
        <v>4768</v>
      </c>
      <c r="AA18" s="61" t="s">
        <v>4768</v>
      </c>
      <c r="AB18" s="59" t="s">
        <v>4768</v>
      </c>
      <c r="AC18" s="59" t="s">
        <v>4768</v>
      </c>
      <c r="AD18" s="61" t="s">
        <v>4768</v>
      </c>
      <c r="AE18" s="61" t="s">
        <v>4768</v>
      </c>
      <c r="AF18" s="59" t="s">
        <v>4768</v>
      </c>
      <c r="AG18" s="59" t="s">
        <v>4768</v>
      </c>
      <c r="AH18" s="61" t="s">
        <v>4768</v>
      </c>
      <c r="AI18" s="61" t="s">
        <v>4768</v>
      </c>
      <c r="AJ18" s="59" t="s">
        <v>4768</v>
      </c>
      <c r="AK18" s="59" t="s">
        <v>4768</v>
      </c>
      <c r="AL18" s="61" t="s">
        <v>4768</v>
      </c>
      <c r="AM18" s="61" t="s">
        <v>4768</v>
      </c>
      <c r="AN18" s="61">
        <v>185550</v>
      </c>
      <c r="AO18" s="62">
        <v>43300</v>
      </c>
      <c r="AP18" s="59" t="s">
        <v>4817</v>
      </c>
      <c r="AQ18" s="52" t="s">
        <v>4769</v>
      </c>
    </row>
    <row r="19" spans="1:43" x14ac:dyDescent="0.3">
      <c r="A19" s="58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60"/>
      <c r="R19" s="59"/>
      <c r="S19" s="61"/>
      <c r="T19" s="59"/>
      <c r="U19" s="59"/>
      <c r="V19" s="61"/>
      <c r="W19" s="61"/>
      <c r="X19" s="59"/>
      <c r="Y19" s="59"/>
      <c r="Z19" s="61"/>
      <c r="AA19" s="61"/>
      <c r="AB19" s="59"/>
      <c r="AC19" s="59"/>
      <c r="AD19" s="61"/>
      <c r="AE19" s="61"/>
      <c r="AF19" s="59"/>
      <c r="AG19" s="59"/>
      <c r="AH19" s="61"/>
      <c r="AI19" s="61"/>
      <c r="AJ19" s="59"/>
      <c r="AK19" s="59"/>
      <c r="AL19" s="61"/>
      <c r="AM19" s="61"/>
      <c r="AN19" s="61"/>
      <c r="AO19" s="62"/>
      <c r="AP19" s="59"/>
    </row>
    <row r="20" spans="1:43" x14ac:dyDescent="0.3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60"/>
      <c r="R20" s="59"/>
      <c r="S20" s="61"/>
      <c r="T20" s="59"/>
      <c r="U20" s="59"/>
      <c r="V20" s="61"/>
      <c r="W20" s="61"/>
      <c r="X20" s="59"/>
      <c r="Y20" s="59"/>
      <c r="Z20" s="61"/>
      <c r="AA20" s="61"/>
      <c r="AB20" s="59"/>
      <c r="AC20" s="59"/>
      <c r="AD20" s="61"/>
      <c r="AE20" s="61"/>
      <c r="AF20" s="59"/>
      <c r="AG20" s="59"/>
      <c r="AH20" s="61"/>
      <c r="AI20" s="61"/>
      <c r="AJ20" s="59"/>
      <c r="AK20" s="59"/>
      <c r="AL20" s="61"/>
      <c r="AM20" s="61"/>
      <c r="AN20" s="61"/>
      <c r="AO20" s="62"/>
      <c r="AP20" s="59"/>
    </row>
    <row r="21" spans="1:43" x14ac:dyDescent="0.3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60"/>
      <c r="R21" s="59"/>
      <c r="S21" s="61"/>
      <c r="T21" s="59"/>
      <c r="U21" s="59"/>
      <c r="V21" s="61"/>
      <c r="W21" s="61"/>
      <c r="X21" s="59"/>
      <c r="Y21" s="59"/>
      <c r="Z21" s="61"/>
      <c r="AA21" s="61"/>
      <c r="AB21" s="59"/>
      <c r="AC21" s="59"/>
      <c r="AD21" s="61"/>
      <c r="AE21" s="61"/>
      <c r="AF21" s="59"/>
      <c r="AG21" s="59"/>
      <c r="AH21" s="61"/>
      <c r="AI21" s="61"/>
      <c r="AJ21" s="59"/>
      <c r="AK21" s="59"/>
      <c r="AL21" s="61"/>
      <c r="AM21" s="61"/>
      <c r="AN21" s="61"/>
      <c r="AO21" s="62"/>
      <c r="AP21" s="59"/>
    </row>
    <row r="22" spans="1:43" x14ac:dyDescent="0.3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60"/>
      <c r="R22" s="59"/>
      <c r="S22" s="61"/>
      <c r="T22" s="59"/>
      <c r="U22" s="59"/>
      <c r="V22" s="61"/>
      <c r="W22" s="61"/>
      <c r="X22" s="59"/>
      <c r="Y22" s="59"/>
      <c r="Z22" s="61"/>
      <c r="AA22" s="61"/>
      <c r="AB22" s="59"/>
      <c r="AC22" s="59"/>
      <c r="AD22" s="61"/>
      <c r="AE22" s="61"/>
      <c r="AF22" s="59"/>
      <c r="AG22" s="59"/>
      <c r="AH22" s="61"/>
      <c r="AI22" s="61"/>
      <c r="AJ22" s="59"/>
      <c r="AK22" s="59"/>
      <c r="AL22" s="61"/>
      <c r="AM22" s="61"/>
      <c r="AN22" s="61"/>
      <c r="AO22" s="62"/>
      <c r="AP22" s="59"/>
    </row>
    <row r="23" spans="1:43" x14ac:dyDescent="0.3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60"/>
      <c r="R23" s="59"/>
      <c r="S23" s="61"/>
      <c r="T23" s="59"/>
      <c r="U23" s="59"/>
      <c r="V23" s="61"/>
      <c r="W23" s="61"/>
      <c r="X23" s="59"/>
      <c r="Y23" s="59"/>
      <c r="Z23" s="61"/>
      <c r="AA23" s="61"/>
      <c r="AB23" s="59"/>
      <c r="AC23" s="59"/>
      <c r="AD23" s="61"/>
      <c r="AE23" s="61"/>
      <c r="AF23" s="59"/>
      <c r="AG23" s="59"/>
      <c r="AH23" s="61"/>
      <c r="AI23" s="61"/>
      <c r="AJ23" s="59"/>
      <c r="AK23" s="59"/>
      <c r="AL23" s="61"/>
      <c r="AM23" s="61"/>
      <c r="AN23" s="61"/>
      <c r="AO23" s="62"/>
      <c r="AP23" s="59"/>
    </row>
    <row r="24" spans="1:43" x14ac:dyDescent="0.3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60"/>
      <c r="R24" s="59"/>
      <c r="S24" s="61"/>
      <c r="T24" s="59"/>
      <c r="U24" s="59"/>
      <c r="V24" s="61"/>
      <c r="W24" s="61"/>
      <c r="X24" s="59"/>
      <c r="Y24" s="59"/>
      <c r="Z24" s="61"/>
      <c r="AA24" s="61"/>
      <c r="AB24" s="59"/>
      <c r="AC24" s="59"/>
      <c r="AD24" s="61"/>
      <c r="AE24" s="61"/>
      <c r="AF24" s="59"/>
      <c r="AG24" s="59"/>
      <c r="AH24" s="61"/>
      <c r="AI24" s="61"/>
      <c r="AJ24" s="59"/>
      <c r="AK24" s="59"/>
      <c r="AL24" s="61"/>
      <c r="AM24" s="61"/>
      <c r="AN24" s="61"/>
      <c r="AO24" s="62"/>
      <c r="AP24" s="59"/>
    </row>
    <row r="25" spans="1:43" x14ac:dyDescent="0.3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60"/>
      <c r="R25" s="59"/>
      <c r="S25" s="61"/>
      <c r="T25" s="59"/>
      <c r="U25" s="59"/>
      <c r="V25" s="61"/>
      <c r="W25" s="61"/>
      <c r="X25" s="59"/>
      <c r="Y25" s="59"/>
      <c r="Z25" s="61"/>
      <c r="AA25" s="61"/>
      <c r="AB25" s="59"/>
      <c r="AC25" s="59"/>
      <c r="AD25" s="61"/>
      <c r="AE25" s="61"/>
      <c r="AF25" s="59"/>
      <c r="AG25" s="59"/>
      <c r="AH25" s="61"/>
      <c r="AI25" s="61"/>
      <c r="AJ25" s="59"/>
      <c r="AK25" s="59"/>
      <c r="AL25" s="61"/>
      <c r="AM25" s="61"/>
      <c r="AN25" s="61"/>
      <c r="AO25" s="62"/>
      <c r="AP25" s="59"/>
    </row>
    <row r="26" spans="1:43" x14ac:dyDescent="0.3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60"/>
      <c r="R26" s="59"/>
      <c r="S26" s="61"/>
      <c r="T26" s="59"/>
      <c r="U26" s="59"/>
      <c r="V26" s="61"/>
      <c r="W26" s="61"/>
      <c r="X26" s="59"/>
      <c r="Y26" s="59"/>
      <c r="Z26" s="61"/>
      <c r="AA26" s="61"/>
      <c r="AB26" s="59"/>
      <c r="AC26" s="59"/>
      <c r="AD26" s="61"/>
      <c r="AE26" s="61"/>
      <c r="AF26" s="59"/>
      <c r="AG26" s="59"/>
      <c r="AH26" s="61"/>
      <c r="AI26" s="61"/>
      <c r="AJ26" s="59"/>
      <c r="AK26" s="59"/>
      <c r="AL26" s="61"/>
      <c r="AM26" s="61"/>
      <c r="AN26" s="61"/>
      <c r="AO26" s="62"/>
      <c r="AP26" s="59"/>
    </row>
    <row r="27" spans="1:43" x14ac:dyDescent="0.3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60"/>
      <c r="R27" s="59"/>
      <c r="S27" s="61"/>
      <c r="T27" s="59"/>
      <c r="U27" s="59"/>
      <c r="V27" s="61"/>
      <c r="W27" s="61"/>
      <c r="X27" s="59"/>
      <c r="Y27" s="59"/>
      <c r="Z27" s="61"/>
      <c r="AA27" s="61"/>
      <c r="AB27" s="59"/>
      <c r="AC27" s="59"/>
      <c r="AD27" s="61"/>
      <c r="AE27" s="61"/>
      <c r="AF27" s="59"/>
      <c r="AG27" s="59"/>
      <c r="AH27" s="61"/>
      <c r="AI27" s="61"/>
      <c r="AJ27" s="59"/>
      <c r="AK27" s="59"/>
      <c r="AL27" s="61"/>
      <c r="AM27" s="61"/>
      <c r="AN27" s="61"/>
      <c r="AO27" s="62"/>
      <c r="AP27" s="59"/>
    </row>
    <row r="28" spans="1:43" x14ac:dyDescent="0.3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60"/>
      <c r="R28" s="59"/>
      <c r="S28" s="61"/>
      <c r="T28" s="59"/>
      <c r="U28" s="59"/>
      <c r="V28" s="61"/>
      <c r="W28" s="61"/>
      <c r="X28" s="59"/>
      <c r="Y28" s="59"/>
      <c r="Z28" s="61"/>
      <c r="AA28" s="61"/>
      <c r="AB28" s="59"/>
      <c r="AC28" s="59"/>
      <c r="AD28" s="61"/>
      <c r="AE28" s="61"/>
      <c r="AF28" s="59"/>
      <c r="AG28" s="59"/>
      <c r="AH28" s="61"/>
      <c r="AI28" s="61"/>
      <c r="AJ28" s="59"/>
      <c r="AK28" s="59"/>
      <c r="AL28" s="61"/>
      <c r="AM28" s="61"/>
      <c r="AN28" s="61"/>
      <c r="AO28" s="62"/>
      <c r="AP28" s="59"/>
    </row>
    <row r="29" spans="1:43" x14ac:dyDescent="0.3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60"/>
      <c r="R29" s="59"/>
      <c r="S29" s="61"/>
      <c r="T29" s="59"/>
      <c r="U29" s="59"/>
      <c r="V29" s="61"/>
      <c r="W29" s="61"/>
      <c r="X29" s="59"/>
      <c r="Y29" s="59"/>
      <c r="Z29" s="61"/>
      <c r="AA29" s="61"/>
      <c r="AB29" s="59"/>
      <c r="AC29" s="59"/>
      <c r="AD29" s="61"/>
      <c r="AE29" s="61"/>
      <c r="AF29" s="59"/>
      <c r="AG29" s="59"/>
      <c r="AH29" s="61"/>
      <c r="AI29" s="61"/>
      <c r="AJ29" s="59"/>
      <c r="AK29" s="59"/>
      <c r="AL29" s="61"/>
      <c r="AM29" s="61"/>
      <c r="AN29" s="61"/>
      <c r="AO29" s="62"/>
      <c r="AP29" s="59"/>
    </row>
    <row r="30" spans="1:43" x14ac:dyDescent="0.3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60"/>
      <c r="R30" s="59"/>
      <c r="S30" s="61"/>
      <c r="T30" s="59"/>
      <c r="U30" s="59"/>
      <c r="V30" s="61"/>
      <c r="W30" s="61"/>
      <c r="X30" s="59"/>
      <c r="Y30" s="59"/>
      <c r="Z30" s="61"/>
      <c r="AA30" s="61"/>
      <c r="AB30" s="59"/>
      <c r="AC30" s="59"/>
      <c r="AD30" s="61"/>
      <c r="AE30" s="61"/>
      <c r="AF30" s="59"/>
      <c r="AG30" s="59"/>
      <c r="AH30" s="61"/>
      <c r="AI30" s="61"/>
      <c r="AJ30" s="59"/>
      <c r="AK30" s="59"/>
      <c r="AL30" s="61"/>
      <c r="AM30" s="61"/>
      <c r="AN30" s="61"/>
      <c r="AO30" s="62"/>
      <c r="AP30" s="59"/>
    </row>
    <row r="31" spans="1:43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60"/>
      <c r="R31" s="59"/>
      <c r="S31" s="61"/>
      <c r="T31" s="59"/>
      <c r="U31" s="59"/>
      <c r="V31" s="61"/>
      <c r="W31" s="61"/>
      <c r="X31" s="59"/>
      <c r="Y31" s="59"/>
      <c r="Z31" s="61"/>
      <c r="AA31" s="61"/>
      <c r="AB31" s="59"/>
      <c r="AC31" s="59"/>
      <c r="AD31" s="61"/>
      <c r="AE31" s="61"/>
      <c r="AF31" s="59"/>
      <c r="AG31" s="59"/>
      <c r="AH31" s="61"/>
      <c r="AI31" s="61"/>
      <c r="AJ31" s="59"/>
      <c r="AK31" s="59"/>
      <c r="AL31" s="61"/>
      <c r="AM31" s="61"/>
      <c r="AN31" s="61"/>
      <c r="AO31" s="62"/>
      <c r="AP31" s="59"/>
    </row>
    <row r="32" spans="1:43" x14ac:dyDescent="0.3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60"/>
      <c r="R32" s="59"/>
      <c r="S32" s="61"/>
      <c r="T32" s="59"/>
      <c r="U32" s="59"/>
      <c r="V32" s="61"/>
      <c r="W32" s="61"/>
      <c r="X32" s="59"/>
      <c r="Y32" s="59"/>
      <c r="Z32" s="61"/>
      <c r="AA32" s="61"/>
      <c r="AB32" s="59"/>
      <c r="AC32" s="59"/>
      <c r="AD32" s="61"/>
      <c r="AE32" s="61"/>
      <c r="AF32" s="59"/>
      <c r="AG32" s="59"/>
      <c r="AH32" s="61"/>
      <c r="AI32" s="61"/>
      <c r="AJ32" s="59"/>
      <c r="AK32" s="59"/>
      <c r="AL32" s="61"/>
      <c r="AM32" s="61"/>
      <c r="AN32" s="61"/>
      <c r="AO32" s="62"/>
      <c r="AP32" s="59"/>
    </row>
    <row r="33" spans="1:42" x14ac:dyDescent="0.3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60"/>
      <c r="R33" s="59"/>
      <c r="S33" s="61"/>
      <c r="T33" s="59"/>
      <c r="U33" s="59"/>
      <c r="V33" s="61"/>
      <c r="W33" s="61"/>
      <c r="X33" s="59"/>
      <c r="Y33" s="59"/>
      <c r="Z33" s="61"/>
      <c r="AA33" s="61"/>
      <c r="AB33" s="59"/>
      <c r="AC33" s="59"/>
      <c r="AD33" s="61"/>
      <c r="AE33" s="61"/>
      <c r="AF33" s="59"/>
      <c r="AG33" s="59"/>
      <c r="AH33" s="61"/>
      <c r="AI33" s="61"/>
      <c r="AJ33" s="59"/>
      <c r="AK33" s="59"/>
      <c r="AL33" s="61"/>
      <c r="AM33" s="61"/>
      <c r="AN33" s="61"/>
      <c r="AO33" s="62"/>
      <c r="AP33" s="59"/>
    </row>
    <row r="34" spans="1:42" x14ac:dyDescent="0.3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60"/>
      <c r="R34" s="59"/>
      <c r="S34" s="61"/>
      <c r="T34" s="59"/>
      <c r="U34" s="59"/>
      <c r="V34" s="61"/>
      <c r="W34" s="61"/>
      <c r="X34" s="59"/>
      <c r="Y34" s="59"/>
      <c r="Z34" s="61"/>
      <c r="AA34" s="61"/>
      <c r="AB34" s="59"/>
      <c r="AC34" s="59"/>
      <c r="AD34" s="61"/>
      <c r="AE34" s="61"/>
      <c r="AF34" s="59"/>
      <c r="AG34" s="59"/>
      <c r="AH34" s="61"/>
      <c r="AI34" s="61"/>
      <c r="AJ34" s="59"/>
      <c r="AK34" s="59"/>
      <c r="AL34" s="61"/>
      <c r="AM34" s="61"/>
      <c r="AN34" s="61"/>
      <c r="AO34" s="62"/>
      <c r="AP34" s="59"/>
    </row>
    <row r="35" spans="1:42" x14ac:dyDescent="0.3">
      <c r="A35" s="58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60"/>
      <c r="R35" s="59"/>
      <c r="S35" s="61"/>
      <c r="T35" s="59"/>
      <c r="U35" s="59"/>
      <c r="V35" s="61"/>
      <c r="W35" s="61"/>
      <c r="X35" s="59"/>
      <c r="Y35" s="59"/>
      <c r="Z35" s="61"/>
      <c r="AA35" s="61"/>
      <c r="AB35" s="59"/>
      <c r="AC35" s="59"/>
      <c r="AD35" s="61"/>
      <c r="AE35" s="61"/>
      <c r="AF35" s="59"/>
      <c r="AG35" s="59"/>
      <c r="AH35" s="61"/>
      <c r="AI35" s="61"/>
      <c r="AJ35" s="59"/>
      <c r="AK35" s="59"/>
      <c r="AL35" s="61"/>
      <c r="AM35" s="61"/>
      <c r="AN35" s="61"/>
      <c r="AO35" s="62"/>
      <c r="AP35" s="59"/>
    </row>
    <row r="36" spans="1:42" x14ac:dyDescent="0.3">
      <c r="A36" s="58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60"/>
      <c r="R36" s="59"/>
      <c r="S36" s="61"/>
      <c r="T36" s="59"/>
      <c r="U36" s="59"/>
      <c r="V36" s="61"/>
      <c r="W36" s="61"/>
      <c r="X36" s="59"/>
      <c r="Y36" s="59"/>
      <c r="Z36" s="61"/>
      <c r="AA36" s="61"/>
      <c r="AB36" s="59"/>
      <c r="AC36" s="59"/>
      <c r="AD36" s="61"/>
      <c r="AE36" s="61"/>
      <c r="AF36" s="59"/>
      <c r="AG36" s="59"/>
      <c r="AH36" s="61"/>
      <c r="AI36" s="61"/>
      <c r="AJ36" s="59"/>
      <c r="AK36" s="59"/>
      <c r="AL36" s="61"/>
      <c r="AM36" s="61"/>
      <c r="AN36" s="61"/>
      <c r="AO36" s="62"/>
      <c r="AP36" s="59"/>
    </row>
    <row r="37" spans="1:42" x14ac:dyDescent="0.3">
      <c r="A37" s="58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60"/>
      <c r="R37" s="59"/>
      <c r="S37" s="61"/>
      <c r="T37" s="59"/>
      <c r="U37" s="59"/>
      <c r="V37" s="61"/>
      <c r="W37" s="61"/>
      <c r="X37" s="59"/>
      <c r="Y37" s="59"/>
      <c r="Z37" s="61"/>
      <c r="AA37" s="61"/>
      <c r="AB37" s="59"/>
      <c r="AC37" s="59"/>
      <c r="AD37" s="61"/>
      <c r="AE37" s="61"/>
      <c r="AF37" s="59"/>
      <c r="AG37" s="59"/>
      <c r="AH37" s="61"/>
      <c r="AI37" s="61"/>
      <c r="AJ37" s="59"/>
      <c r="AK37" s="59"/>
      <c r="AL37" s="61"/>
      <c r="AM37" s="61"/>
      <c r="AN37" s="61"/>
      <c r="AO37" s="62"/>
      <c r="AP37" s="59"/>
    </row>
    <row r="38" spans="1:42" x14ac:dyDescent="0.3">
      <c r="A38" s="58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60"/>
      <c r="R38" s="59"/>
      <c r="S38" s="61"/>
      <c r="T38" s="59"/>
      <c r="U38" s="59"/>
      <c r="V38" s="61"/>
      <c r="W38" s="61"/>
      <c r="X38" s="59"/>
      <c r="Y38" s="59"/>
      <c r="Z38" s="61"/>
      <c r="AA38" s="61"/>
      <c r="AB38" s="59"/>
      <c r="AC38" s="59"/>
      <c r="AD38" s="61"/>
      <c r="AE38" s="61"/>
      <c r="AF38" s="59"/>
      <c r="AG38" s="59"/>
      <c r="AH38" s="61"/>
      <c r="AI38" s="61"/>
      <c r="AJ38" s="59"/>
      <c r="AK38" s="59"/>
      <c r="AL38" s="61"/>
      <c r="AM38" s="61"/>
      <c r="AN38" s="61"/>
      <c r="AO38" s="62"/>
      <c r="AP38" s="59"/>
    </row>
    <row r="39" spans="1:42" x14ac:dyDescent="0.3">
      <c r="A39" s="58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60"/>
      <c r="R39" s="59"/>
      <c r="S39" s="61"/>
      <c r="T39" s="59"/>
      <c r="U39" s="59"/>
      <c r="V39" s="61"/>
      <c r="W39" s="61"/>
      <c r="X39" s="59"/>
      <c r="Y39" s="59"/>
      <c r="Z39" s="61"/>
      <c r="AA39" s="61"/>
      <c r="AB39" s="59"/>
      <c r="AC39" s="59"/>
      <c r="AD39" s="61"/>
      <c r="AE39" s="61"/>
      <c r="AF39" s="59"/>
      <c r="AG39" s="59"/>
      <c r="AH39" s="61"/>
      <c r="AI39" s="61"/>
      <c r="AJ39" s="59"/>
      <c r="AK39" s="59"/>
      <c r="AL39" s="61"/>
      <c r="AM39" s="61"/>
      <c r="AN39" s="61"/>
      <c r="AO39" s="62"/>
      <c r="AP39" s="59"/>
    </row>
    <row r="40" spans="1:42" x14ac:dyDescent="0.3">
      <c r="A40" s="58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60"/>
      <c r="R40" s="59"/>
      <c r="S40" s="61"/>
      <c r="T40" s="59"/>
      <c r="U40" s="59"/>
      <c r="V40" s="61"/>
      <c r="W40" s="61"/>
      <c r="X40" s="59"/>
      <c r="Y40" s="59"/>
      <c r="Z40" s="61"/>
      <c r="AA40" s="61"/>
      <c r="AB40" s="59"/>
      <c r="AC40" s="59"/>
      <c r="AD40" s="61"/>
      <c r="AE40" s="61"/>
      <c r="AF40" s="59"/>
      <c r="AG40" s="59"/>
      <c r="AH40" s="61"/>
      <c r="AI40" s="61"/>
      <c r="AJ40" s="59"/>
      <c r="AK40" s="59"/>
      <c r="AL40" s="61"/>
      <c r="AM40" s="61"/>
      <c r="AN40" s="61"/>
      <c r="AO40" s="62"/>
      <c r="AP40" s="59"/>
    </row>
    <row r="41" spans="1:42" x14ac:dyDescent="0.3">
      <c r="A41" s="58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60"/>
      <c r="R41" s="59"/>
      <c r="S41" s="61"/>
      <c r="T41" s="59"/>
      <c r="U41" s="59"/>
      <c r="V41" s="61"/>
      <c r="W41" s="61"/>
      <c r="X41" s="59"/>
      <c r="Y41" s="59"/>
      <c r="Z41" s="61"/>
      <c r="AA41" s="61"/>
      <c r="AB41" s="59"/>
      <c r="AC41" s="59"/>
      <c r="AD41" s="61"/>
      <c r="AE41" s="61"/>
      <c r="AF41" s="59"/>
      <c r="AG41" s="59"/>
      <c r="AH41" s="61"/>
      <c r="AI41" s="61"/>
      <c r="AJ41" s="59"/>
      <c r="AK41" s="59"/>
      <c r="AL41" s="61"/>
      <c r="AM41" s="61"/>
      <c r="AN41" s="61"/>
      <c r="AO41" s="62"/>
      <c r="AP41" s="59"/>
    </row>
    <row r="42" spans="1:42" x14ac:dyDescent="0.3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60"/>
      <c r="R42" s="59"/>
      <c r="S42" s="61"/>
      <c r="T42" s="59"/>
      <c r="U42" s="59"/>
      <c r="V42" s="61"/>
      <c r="W42" s="61"/>
      <c r="X42" s="59"/>
      <c r="Y42" s="59"/>
      <c r="Z42" s="61"/>
      <c r="AA42" s="61"/>
      <c r="AB42" s="59"/>
      <c r="AC42" s="59"/>
      <c r="AD42" s="61"/>
      <c r="AE42" s="61"/>
      <c r="AF42" s="59"/>
      <c r="AG42" s="59"/>
      <c r="AH42" s="61"/>
      <c r="AI42" s="61"/>
      <c r="AJ42" s="59"/>
      <c r="AK42" s="59"/>
      <c r="AL42" s="61"/>
      <c r="AM42" s="61"/>
      <c r="AN42" s="61"/>
      <c r="AO42" s="62"/>
      <c r="AP42" s="59"/>
    </row>
    <row r="43" spans="1:42" x14ac:dyDescent="0.3">
      <c r="A43" s="58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60"/>
      <c r="R43" s="59"/>
      <c r="S43" s="61"/>
      <c r="T43" s="59"/>
      <c r="U43" s="59"/>
      <c r="V43" s="61"/>
      <c r="W43" s="61"/>
      <c r="X43" s="59"/>
      <c r="Y43" s="59"/>
      <c r="Z43" s="61"/>
      <c r="AA43" s="61"/>
      <c r="AB43" s="59"/>
      <c r="AC43" s="59"/>
      <c r="AD43" s="61"/>
      <c r="AE43" s="61"/>
      <c r="AF43" s="59"/>
      <c r="AG43" s="59"/>
      <c r="AH43" s="61"/>
      <c r="AI43" s="61"/>
      <c r="AJ43" s="59"/>
      <c r="AK43" s="59"/>
      <c r="AL43" s="61"/>
      <c r="AM43" s="61"/>
      <c r="AN43" s="61"/>
      <c r="AO43" s="62"/>
      <c r="AP43" s="59"/>
    </row>
    <row r="44" spans="1:42" x14ac:dyDescent="0.3">
      <c r="A44" s="58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60"/>
      <c r="R44" s="59"/>
      <c r="S44" s="61"/>
      <c r="T44" s="59"/>
      <c r="U44" s="59"/>
      <c r="V44" s="61"/>
      <c r="W44" s="61"/>
      <c r="X44" s="59"/>
      <c r="Y44" s="59"/>
      <c r="Z44" s="61"/>
      <c r="AA44" s="61"/>
      <c r="AB44" s="59"/>
      <c r="AC44" s="59"/>
      <c r="AD44" s="61"/>
      <c r="AE44" s="61"/>
      <c r="AF44" s="59"/>
      <c r="AG44" s="59"/>
      <c r="AH44" s="61"/>
      <c r="AI44" s="61"/>
      <c r="AJ44" s="59"/>
      <c r="AK44" s="59"/>
      <c r="AL44" s="61"/>
      <c r="AM44" s="61"/>
      <c r="AN44" s="61"/>
      <c r="AO44" s="62"/>
      <c r="AP44" s="59"/>
    </row>
    <row r="45" spans="1:42" x14ac:dyDescent="0.3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60"/>
      <c r="R45" s="59"/>
      <c r="S45" s="61"/>
      <c r="T45" s="59"/>
      <c r="U45" s="59"/>
      <c r="V45" s="61"/>
      <c r="W45" s="61"/>
      <c r="X45" s="59"/>
      <c r="Y45" s="59"/>
      <c r="Z45" s="61"/>
      <c r="AA45" s="61"/>
      <c r="AB45" s="59"/>
      <c r="AC45" s="59"/>
      <c r="AD45" s="61"/>
      <c r="AE45" s="61"/>
      <c r="AF45" s="59"/>
      <c r="AG45" s="59"/>
      <c r="AH45" s="61"/>
      <c r="AI45" s="61"/>
      <c r="AJ45" s="59"/>
      <c r="AK45" s="59"/>
      <c r="AL45" s="61"/>
      <c r="AM45" s="61"/>
      <c r="AN45" s="61"/>
      <c r="AO45" s="62"/>
      <c r="AP45" s="59"/>
    </row>
    <row r="46" spans="1:42" x14ac:dyDescent="0.3">
      <c r="A46" s="58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9"/>
      <c r="S46" s="61"/>
      <c r="T46" s="59"/>
      <c r="U46" s="59"/>
      <c r="V46" s="61"/>
      <c r="W46" s="61"/>
      <c r="X46" s="59"/>
      <c r="Y46" s="59"/>
      <c r="Z46" s="61"/>
      <c r="AA46" s="61"/>
      <c r="AB46" s="59"/>
      <c r="AC46" s="59"/>
      <c r="AD46" s="61"/>
      <c r="AE46" s="61"/>
      <c r="AF46" s="59"/>
      <c r="AG46" s="59"/>
      <c r="AH46" s="61"/>
      <c r="AI46" s="61"/>
      <c r="AJ46" s="59"/>
      <c r="AK46" s="59"/>
      <c r="AL46" s="61"/>
      <c r="AM46" s="61"/>
      <c r="AN46" s="61"/>
      <c r="AO46" s="62"/>
      <c r="AP46" s="59"/>
    </row>
    <row r="47" spans="1:42" x14ac:dyDescent="0.3">
      <c r="A47" s="58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60"/>
      <c r="R47" s="59"/>
      <c r="S47" s="61"/>
      <c r="T47" s="59"/>
      <c r="U47" s="59"/>
      <c r="V47" s="61"/>
      <c r="W47" s="61"/>
      <c r="X47" s="59"/>
      <c r="Y47" s="59"/>
      <c r="Z47" s="61"/>
      <c r="AA47" s="61"/>
      <c r="AB47" s="59"/>
      <c r="AC47" s="59"/>
      <c r="AD47" s="61"/>
      <c r="AE47" s="61"/>
      <c r="AF47" s="59"/>
      <c r="AG47" s="59"/>
      <c r="AH47" s="61"/>
      <c r="AI47" s="61"/>
      <c r="AJ47" s="59"/>
      <c r="AK47" s="59"/>
      <c r="AL47" s="61"/>
      <c r="AM47" s="61"/>
      <c r="AN47" s="61"/>
      <c r="AO47" s="62"/>
      <c r="AP47" s="59"/>
    </row>
    <row r="48" spans="1:42" x14ac:dyDescent="0.3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60"/>
      <c r="R48" s="59"/>
      <c r="S48" s="61"/>
      <c r="T48" s="59"/>
      <c r="U48" s="59"/>
      <c r="V48" s="61"/>
      <c r="W48" s="61"/>
      <c r="X48" s="59"/>
      <c r="Y48" s="59"/>
      <c r="Z48" s="61"/>
      <c r="AA48" s="61"/>
      <c r="AB48" s="59"/>
      <c r="AC48" s="59"/>
      <c r="AD48" s="61"/>
      <c r="AE48" s="61"/>
      <c r="AF48" s="59"/>
      <c r="AG48" s="59"/>
      <c r="AH48" s="61"/>
      <c r="AI48" s="61"/>
      <c r="AJ48" s="59"/>
      <c r="AK48" s="59"/>
      <c r="AL48" s="61"/>
      <c r="AM48" s="61"/>
      <c r="AN48" s="61"/>
      <c r="AO48" s="62"/>
      <c r="AP48" s="59"/>
    </row>
    <row r="49" spans="1:42" x14ac:dyDescent="0.3">
      <c r="A49" s="58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60"/>
      <c r="R49" s="59"/>
      <c r="S49" s="61"/>
      <c r="T49" s="59"/>
      <c r="U49" s="59"/>
      <c r="V49" s="61"/>
      <c r="W49" s="61"/>
      <c r="X49" s="59"/>
      <c r="Y49" s="59"/>
      <c r="Z49" s="61"/>
      <c r="AA49" s="61"/>
      <c r="AB49" s="59"/>
      <c r="AC49" s="59"/>
      <c r="AD49" s="61"/>
      <c r="AE49" s="61"/>
      <c r="AF49" s="59"/>
      <c r="AG49" s="59"/>
      <c r="AH49" s="61"/>
      <c r="AI49" s="61"/>
      <c r="AJ49" s="59"/>
      <c r="AK49" s="59"/>
      <c r="AL49" s="61"/>
      <c r="AM49" s="61"/>
      <c r="AN49" s="61"/>
      <c r="AO49" s="62"/>
      <c r="AP49" s="59"/>
    </row>
    <row r="50" spans="1:42" x14ac:dyDescent="0.3">
      <c r="A50" s="58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60"/>
      <c r="R50" s="59"/>
      <c r="S50" s="61"/>
      <c r="T50" s="59"/>
      <c r="U50" s="59"/>
      <c r="V50" s="61"/>
      <c r="W50" s="61"/>
      <c r="X50" s="59"/>
      <c r="Y50" s="59"/>
      <c r="Z50" s="61"/>
      <c r="AA50" s="61"/>
      <c r="AB50" s="59"/>
      <c r="AC50" s="59"/>
      <c r="AD50" s="61"/>
      <c r="AE50" s="61"/>
      <c r="AF50" s="59"/>
      <c r="AG50" s="59"/>
      <c r="AH50" s="61"/>
      <c r="AI50" s="61"/>
      <c r="AJ50" s="59"/>
      <c r="AK50" s="59"/>
      <c r="AL50" s="61"/>
      <c r="AM50" s="61"/>
      <c r="AN50" s="61"/>
      <c r="AO50" s="62"/>
      <c r="AP50" s="59"/>
    </row>
    <row r="51" spans="1:42" x14ac:dyDescent="0.3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60"/>
      <c r="R51" s="59"/>
      <c r="S51" s="61"/>
      <c r="T51" s="59"/>
      <c r="U51" s="59"/>
      <c r="V51" s="61"/>
      <c r="W51" s="61"/>
      <c r="X51" s="59"/>
      <c r="Y51" s="59"/>
      <c r="Z51" s="61"/>
      <c r="AA51" s="61"/>
      <c r="AB51" s="59"/>
      <c r="AC51" s="59"/>
      <c r="AD51" s="61"/>
      <c r="AE51" s="61"/>
      <c r="AF51" s="59"/>
      <c r="AG51" s="59"/>
      <c r="AH51" s="61"/>
      <c r="AI51" s="61"/>
      <c r="AJ51" s="59"/>
      <c r="AK51" s="59"/>
      <c r="AL51" s="61"/>
      <c r="AM51" s="61"/>
      <c r="AN51" s="61"/>
      <c r="AO51" s="62"/>
      <c r="AP51" s="59"/>
    </row>
    <row r="52" spans="1:42" x14ac:dyDescent="0.3">
      <c r="A52" s="58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60"/>
      <c r="R52" s="59"/>
      <c r="S52" s="61"/>
      <c r="T52" s="59"/>
      <c r="U52" s="59"/>
      <c r="V52" s="61"/>
      <c r="W52" s="61"/>
      <c r="X52" s="59"/>
      <c r="Y52" s="59"/>
      <c r="Z52" s="61"/>
      <c r="AA52" s="61"/>
      <c r="AB52" s="59"/>
      <c r="AC52" s="59"/>
      <c r="AD52" s="61"/>
      <c r="AE52" s="61"/>
      <c r="AF52" s="59"/>
      <c r="AG52" s="59"/>
      <c r="AH52" s="61"/>
      <c r="AI52" s="61"/>
      <c r="AJ52" s="59"/>
      <c r="AK52" s="59"/>
      <c r="AL52" s="61"/>
      <c r="AM52" s="61"/>
      <c r="AN52" s="61"/>
      <c r="AO52" s="62"/>
      <c r="AP52" s="59"/>
    </row>
    <row r="53" spans="1:42" x14ac:dyDescent="0.3">
      <c r="A53" s="58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60"/>
      <c r="R53" s="59"/>
      <c r="S53" s="61"/>
      <c r="T53" s="59"/>
      <c r="U53" s="59"/>
      <c r="V53" s="61"/>
      <c r="W53" s="61"/>
      <c r="X53" s="59"/>
      <c r="Y53" s="59"/>
      <c r="Z53" s="61"/>
      <c r="AA53" s="61"/>
      <c r="AB53" s="59"/>
      <c r="AC53" s="59"/>
      <c r="AD53" s="61"/>
      <c r="AE53" s="61"/>
      <c r="AF53" s="59"/>
      <c r="AG53" s="59"/>
      <c r="AH53" s="61"/>
      <c r="AI53" s="61"/>
      <c r="AJ53" s="59"/>
      <c r="AK53" s="59"/>
      <c r="AL53" s="61"/>
      <c r="AM53" s="61"/>
      <c r="AN53" s="61"/>
      <c r="AO53" s="62"/>
      <c r="AP53" s="59"/>
    </row>
    <row r="54" spans="1:42" x14ac:dyDescent="0.3">
      <c r="A54" s="58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60"/>
      <c r="R54" s="59"/>
      <c r="S54" s="61"/>
      <c r="T54" s="59"/>
      <c r="U54" s="59"/>
      <c r="V54" s="61"/>
      <c r="W54" s="61"/>
      <c r="X54" s="59"/>
      <c r="Y54" s="59"/>
      <c r="Z54" s="61"/>
      <c r="AA54" s="61"/>
      <c r="AB54" s="59"/>
      <c r="AC54" s="59"/>
      <c r="AD54" s="61"/>
      <c r="AE54" s="61"/>
      <c r="AF54" s="59"/>
      <c r="AG54" s="59"/>
      <c r="AH54" s="61"/>
      <c r="AI54" s="61"/>
      <c r="AJ54" s="59"/>
      <c r="AK54" s="59"/>
      <c r="AL54" s="61"/>
      <c r="AM54" s="61"/>
      <c r="AN54" s="61"/>
      <c r="AO54" s="62"/>
      <c r="AP54" s="59"/>
    </row>
    <row r="55" spans="1:42" x14ac:dyDescent="0.3">
      <c r="A55" s="58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60"/>
      <c r="R55" s="59"/>
      <c r="S55" s="61"/>
      <c r="T55" s="59"/>
      <c r="U55" s="59"/>
      <c r="V55" s="61"/>
      <c r="W55" s="61"/>
      <c r="X55" s="59"/>
      <c r="Y55" s="59"/>
      <c r="Z55" s="61"/>
      <c r="AA55" s="61"/>
      <c r="AB55" s="59"/>
      <c r="AC55" s="59"/>
      <c r="AD55" s="61"/>
      <c r="AE55" s="61"/>
      <c r="AF55" s="59"/>
      <c r="AG55" s="59"/>
      <c r="AH55" s="61"/>
      <c r="AI55" s="61"/>
      <c r="AJ55" s="59"/>
      <c r="AK55" s="59"/>
      <c r="AL55" s="61"/>
      <c r="AM55" s="61"/>
      <c r="AN55" s="61"/>
      <c r="AO55" s="62"/>
      <c r="AP55" s="59"/>
    </row>
    <row r="56" spans="1:42" x14ac:dyDescent="0.3">
      <c r="A56" s="58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60"/>
      <c r="R56" s="59"/>
      <c r="S56" s="61"/>
      <c r="T56" s="59"/>
      <c r="U56" s="59"/>
      <c r="V56" s="61"/>
      <c r="W56" s="61"/>
      <c r="X56" s="59"/>
      <c r="Y56" s="59"/>
      <c r="Z56" s="61"/>
      <c r="AA56" s="61"/>
      <c r="AB56" s="59"/>
      <c r="AC56" s="59"/>
      <c r="AD56" s="61"/>
      <c r="AE56" s="61"/>
      <c r="AF56" s="59"/>
      <c r="AG56" s="59"/>
      <c r="AH56" s="61"/>
      <c r="AI56" s="61"/>
      <c r="AJ56" s="59"/>
      <c r="AK56" s="59"/>
      <c r="AL56" s="61"/>
      <c r="AM56" s="61"/>
      <c r="AN56" s="61"/>
      <c r="AO56" s="62"/>
      <c r="AP56" s="59"/>
    </row>
    <row r="57" spans="1:42" x14ac:dyDescent="0.3">
      <c r="A57" s="58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60"/>
      <c r="R57" s="59"/>
      <c r="S57" s="61"/>
      <c r="T57" s="59"/>
      <c r="U57" s="59"/>
      <c r="V57" s="61"/>
      <c r="W57" s="61"/>
      <c r="X57" s="59"/>
      <c r="Y57" s="59"/>
      <c r="Z57" s="61"/>
      <c r="AA57" s="61"/>
      <c r="AB57" s="59"/>
      <c r="AC57" s="59"/>
      <c r="AD57" s="61"/>
      <c r="AE57" s="61"/>
      <c r="AF57" s="59"/>
      <c r="AG57" s="59"/>
      <c r="AH57" s="61"/>
      <c r="AI57" s="61"/>
      <c r="AJ57" s="59"/>
      <c r="AK57" s="59"/>
      <c r="AL57" s="61"/>
      <c r="AM57" s="61"/>
      <c r="AN57" s="61"/>
      <c r="AO57" s="62"/>
      <c r="AP57" s="59"/>
    </row>
    <row r="58" spans="1:42" x14ac:dyDescent="0.3">
      <c r="A58" s="58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60"/>
      <c r="R58" s="59"/>
      <c r="S58" s="61"/>
      <c r="T58" s="59"/>
      <c r="U58" s="59"/>
      <c r="V58" s="61"/>
      <c r="W58" s="61"/>
      <c r="X58" s="59"/>
      <c r="Y58" s="59"/>
      <c r="Z58" s="61"/>
      <c r="AA58" s="61"/>
      <c r="AB58" s="59"/>
      <c r="AC58" s="59"/>
      <c r="AD58" s="61"/>
      <c r="AE58" s="61"/>
      <c r="AF58" s="59"/>
      <c r="AG58" s="59"/>
      <c r="AH58" s="61"/>
      <c r="AI58" s="61"/>
      <c r="AJ58" s="59"/>
      <c r="AK58" s="59"/>
      <c r="AL58" s="61"/>
      <c r="AM58" s="61"/>
      <c r="AN58" s="61"/>
      <c r="AO58" s="62"/>
      <c r="AP58" s="59"/>
    </row>
    <row r="59" spans="1:42" x14ac:dyDescent="0.3">
      <c r="A59" s="58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60"/>
      <c r="R59" s="59"/>
      <c r="S59" s="61"/>
      <c r="T59" s="59"/>
      <c r="U59" s="59"/>
      <c r="V59" s="61"/>
      <c r="W59" s="61"/>
      <c r="X59" s="59"/>
      <c r="Y59" s="59"/>
      <c r="Z59" s="61"/>
      <c r="AA59" s="61"/>
      <c r="AB59" s="59"/>
      <c r="AC59" s="59"/>
      <c r="AD59" s="61"/>
      <c r="AE59" s="61"/>
      <c r="AF59" s="59"/>
      <c r="AG59" s="59"/>
      <c r="AH59" s="61"/>
      <c r="AI59" s="61"/>
      <c r="AJ59" s="59"/>
      <c r="AK59" s="59"/>
      <c r="AL59" s="61"/>
      <c r="AM59" s="61"/>
      <c r="AN59" s="61"/>
      <c r="AO59" s="62"/>
      <c r="AP59" s="59"/>
    </row>
    <row r="60" spans="1:42" x14ac:dyDescent="0.3">
      <c r="A60" s="58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60"/>
      <c r="R60" s="59"/>
      <c r="S60" s="61"/>
      <c r="T60" s="59"/>
      <c r="U60" s="59"/>
      <c r="V60" s="61"/>
      <c r="W60" s="61"/>
      <c r="X60" s="59"/>
      <c r="Y60" s="59"/>
      <c r="Z60" s="61"/>
      <c r="AA60" s="61"/>
      <c r="AB60" s="59"/>
      <c r="AC60" s="59"/>
      <c r="AD60" s="61"/>
      <c r="AE60" s="61"/>
      <c r="AF60" s="59"/>
      <c r="AG60" s="59"/>
      <c r="AH60" s="61"/>
      <c r="AI60" s="61"/>
      <c r="AJ60" s="59"/>
      <c r="AK60" s="59"/>
      <c r="AL60" s="61"/>
      <c r="AM60" s="61"/>
      <c r="AN60" s="61"/>
      <c r="AO60" s="62"/>
      <c r="AP60" s="59"/>
    </row>
    <row r="61" spans="1:42" x14ac:dyDescent="0.3">
      <c r="A61" s="58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60"/>
      <c r="R61" s="59"/>
      <c r="S61" s="61"/>
      <c r="T61" s="59"/>
      <c r="U61" s="59"/>
      <c r="V61" s="61"/>
      <c r="W61" s="61"/>
      <c r="X61" s="59"/>
      <c r="Y61" s="59"/>
      <c r="Z61" s="61"/>
      <c r="AA61" s="61"/>
      <c r="AB61" s="59"/>
      <c r="AC61" s="59"/>
      <c r="AD61" s="61"/>
      <c r="AE61" s="61"/>
      <c r="AF61" s="59"/>
      <c r="AG61" s="59"/>
      <c r="AH61" s="61"/>
      <c r="AI61" s="61"/>
      <c r="AJ61" s="59"/>
      <c r="AK61" s="59"/>
      <c r="AL61" s="61"/>
      <c r="AM61" s="61"/>
      <c r="AN61" s="61"/>
      <c r="AO61" s="62"/>
      <c r="AP61" s="59"/>
    </row>
    <row r="62" spans="1:42" x14ac:dyDescent="0.3">
      <c r="A62" s="58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60"/>
      <c r="R62" s="59"/>
      <c r="S62" s="61"/>
      <c r="T62" s="59"/>
      <c r="U62" s="59"/>
      <c r="V62" s="61"/>
      <c r="W62" s="61"/>
      <c r="X62" s="59"/>
      <c r="Y62" s="59"/>
      <c r="Z62" s="61"/>
      <c r="AA62" s="61"/>
      <c r="AB62" s="59"/>
      <c r="AC62" s="59"/>
      <c r="AD62" s="61"/>
      <c r="AE62" s="61"/>
      <c r="AF62" s="59"/>
      <c r="AG62" s="59"/>
      <c r="AH62" s="61"/>
      <c r="AI62" s="61"/>
      <c r="AJ62" s="59"/>
      <c r="AK62" s="59"/>
      <c r="AL62" s="61"/>
      <c r="AM62" s="61"/>
      <c r="AN62" s="61"/>
      <c r="AO62" s="62"/>
      <c r="AP62" s="59"/>
    </row>
    <row r="63" spans="1:42" x14ac:dyDescent="0.3">
      <c r="A63" s="58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60"/>
      <c r="R63" s="59"/>
      <c r="S63" s="61"/>
      <c r="T63" s="59"/>
      <c r="U63" s="59"/>
      <c r="V63" s="61"/>
      <c r="W63" s="61"/>
      <c r="X63" s="59"/>
      <c r="Y63" s="59"/>
      <c r="Z63" s="61"/>
      <c r="AA63" s="61"/>
      <c r="AB63" s="59"/>
      <c r="AC63" s="59"/>
      <c r="AD63" s="61"/>
      <c r="AE63" s="61"/>
      <c r="AF63" s="59"/>
      <c r="AG63" s="59"/>
      <c r="AH63" s="61"/>
      <c r="AI63" s="61"/>
      <c r="AJ63" s="59"/>
      <c r="AK63" s="59"/>
      <c r="AL63" s="61"/>
      <c r="AM63" s="61"/>
      <c r="AN63" s="61"/>
      <c r="AO63" s="62"/>
      <c r="AP63" s="59"/>
    </row>
    <row r="64" spans="1:42" x14ac:dyDescent="0.3">
      <c r="A64" s="58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60"/>
      <c r="R64" s="59"/>
      <c r="S64" s="61"/>
      <c r="T64" s="59"/>
      <c r="U64" s="59"/>
      <c r="V64" s="61"/>
      <c r="W64" s="61"/>
      <c r="X64" s="59"/>
      <c r="Y64" s="59"/>
      <c r="Z64" s="61"/>
      <c r="AA64" s="61"/>
      <c r="AB64" s="59"/>
      <c r="AC64" s="59"/>
      <c r="AD64" s="61"/>
      <c r="AE64" s="61"/>
      <c r="AF64" s="59"/>
      <c r="AG64" s="59"/>
      <c r="AH64" s="61"/>
      <c r="AI64" s="61"/>
      <c r="AJ64" s="59"/>
      <c r="AK64" s="59"/>
      <c r="AL64" s="61"/>
      <c r="AM64" s="61"/>
      <c r="AN64" s="61"/>
      <c r="AO64" s="62"/>
      <c r="AP64" s="59"/>
    </row>
    <row r="65" spans="1:42" x14ac:dyDescent="0.3">
      <c r="A65" s="58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60"/>
      <c r="R65" s="59"/>
      <c r="S65" s="61"/>
      <c r="T65" s="59"/>
      <c r="U65" s="59"/>
      <c r="V65" s="61"/>
      <c r="W65" s="61"/>
      <c r="X65" s="59"/>
      <c r="Y65" s="59"/>
      <c r="Z65" s="61"/>
      <c r="AA65" s="61"/>
      <c r="AB65" s="59"/>
      <c r="AC65" s="59"/>
      <c r="AD65" s="61"/>
      <c r="AE65" s="61"/>
      <c r="AF65" s="59"/>
      <c r="AG65" s="59"/>
      <c r="AH65" s="61"/>
      <c r="AI65" s="61"/>
      <c r="AJ65" s="59"/>
      <c r="AK65" s="59"/>
      <c r="AL65" s="61"/>
      <c r="AM65" s="61"/>
      <c r="AN65" s="61"/>
      <c r="AO65" s="62"/>
      <c r="AP65" s="59"/>
    </row>
    <row r="66" spans="1:42" x14ac:dyDescent="0.3">
      <c r="A66" s="58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60"/>
      <c r="R66" s="59"/>
      <c r="S66" s="61"/>
      <c r="T66" s="59"/>
      <c r="U66" s="59"/>
      <c r="V66" s="61"/>
      <c r="W66" s="61"/>
      <c r="X66" s="59"/>
      <c r="Y66" s="59"/>
      <c r="Z66" s="61"/>
      <c r="AA66" s="61"/>
      <c r="AB66" s="59"/>
      <c r="AC66" s="59"/>
      <c r="AD66" s="61"/>
      <c r="AE66" s="61"/>
      <c r="AF66" s="59"/>
      <c r="AG66" s="59"/>
      <c r="AH66" s="61"/>
      <c r="AI66" s="61"/>
      <c r="AJ66" s="59"/>
      <c r="AK66" s="59"/>
      <c r="AL66" s="61"/>
      <c r="AM66" s="61"/>
      <c r="AN66" s="61"/>
      <c r="AO66" s="62"/>
      <c r="AP66" s="59"/>
    </row>
    <row r="67" spans="1:42" x14ac:dyDescent="0.3">
      <c r="A67" s="58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60"/>
      <c r="R67" s="59"/>
      <c r="S67" s="61"/>
      <c r="T67" s="59"/>
      <c r="U67" s="59"/>
      <c r="V67" s="61"/>
      <c r="W67" s="61"/>
      <c r="X67" s="59"/>
      <c r="Y67" s="59"/>
      <c r="Z67" s="61"/>
      <c r="AA67" s="61"/>
      <c r="AB67" s="59"/>
      <c r="AC67" s="59"/>
      <c r="AD67" s="61"/>
      <c r="AE67" s="61"/>
      <c r="AF67" s="59"/>
      <c r="AG67" s="59"/>
      <c r="AH67" s="61"/>
      <c r="AI67" s="61"/>
      <c r="AJ67" s="59"/>
      <c r="AK67" s="59"/>
      <c r="AL67" s="61"/>
      <c r="AM67" s="61"/>
      <c r="AN67" s="61"/>
      <c r="AO67" s="62"/>
      <c r="AP67" s="59"/>
    </row>
    <row r="68" spans="1:42" x14ac:dyDescent="0.3">
      <c r="A68" s="58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60"/>
      <c r="R68" s="59"/>
      <c r="S68" s="61"/>
      <c r="T68" s="59"/>
      <c r="U68" s="59"/>
      <c r="V68" s="61"/>
      <c r="W68" s="61"/>
      <c r="X68" s="59"/>
      <c r="Y68" s="59"/>
      <c r="Z68" s="61"/>
      <c r="AA68" s="61"/>
      <c r="AB68" s="59"/>
      <c r="AC68" s="59"/>
      <c r="AD68" s="61"/>
      <c r="AE68" s="61"/>
      <c r="AF68" s="59"/>
      <c r="AG68" s="59"/>
      <c r="AH68" s="61"/>
      <c r="AI68" s="61"/>
      <c r="AJ68" s="59"/>
      <c r="AK68" s="59"/>
      <c r="AL68" s="61"/>
      <c r="AM68" s="61"/>
      <c r="AN68" s="61"/>
      <c r="AO68" s="62"/>
      <c r="AP68" s="59"/>
    </row>
    <row r="69" spans="1:42" x14ac:dyDescent="0.3">
      <c r="A69" s="58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60"/>
      <c r="R69" s="59"/>
      <c r="S69" s="61"/>
      <c r="T69" s="59"/>
      <c r="U69" s="59"/>
      <c r="V69" s="61"/>
      <c r="W69" s="61"/>
      <c r="X69" s="59"/>
      <c r="Y69" s="59"/>
      <c r="Z69" s="61"/>
      <c r="AA69" s="61"/>
      <c r="AB69" s="59"/>
      <c r="AC69" s="59"/>
      <c r="AD69" s="61"/>
      <c r="AE69" s="61"/>
      <c r="AF69" s="59"/>
      <c r="AG69" s="59"/>
      <c r="AH69" s="61"/>
      <c r="AI69" s="61"/>
      <c r="AJ69" s="59"/>
      <c r="AK69" s="59"/>
      <c r="AL69" s="61"/>
      <c r="AM69" s="61"/>
      <c r="AN69" s="61"/>
      <c r="AO69" s="62"/>
      <c r="AP69" s="59"/>
    </row>
    <row r="70" spans="1:42" x14ac:dyDescent="0.3">
      <c r="A70" s="58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60"/>
      <c r="R70" s="59"/>
      <c r="S70" s="61"/>
      <c r="T70" s="59"/>
      <c r="U70" s="59"/>
      <c r="V70" s="61"/>
      <c r="W70" s="61"/>
      <c r="X70" s="59"/>
      <c r="Y70" s="59"/>
      <c r="Z70" s="61"/>
      <c r="AA70" s="61"/>
      <c r="AB70" s="59"/>
      <c r="AC70" s="59"/>
      <c r="AD70" s="61"/>
      <c r="AE70" s="61"/>
      <c r="AF70" s="59"/>
      <c r="AG70" s="59"/>
      <c r="AH70" s="61"/>
      <c r="AI70" s="61"/>
      <c r="AJ70" s="59"/>
      <c r="AK70" s="59"/>
      <c r="AL70" s="61"/>
      <c r="AM70" s="61"/>
      <c r="AN70" s="61"/>
      <c r="AO70" s="62"/>
      <c r="AP70" s="59"/>
    </row>
    <row r="71" spans="1:42" x14ac:dyDescent="0.3">
      <c r="A71" s="58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60"/>
      <c r="R71" s="59"/>
      <c r="S71" s="61"/>
      <c r="T71" s="59"/>
      <c r="U71" s="59"/>
      <c r="V71" s="61"/>
      <c r="W71" s="61"/>
      <c r="X71" s="59"/>
      <c r="Y71" s="59"/>
      <c r="Z71" s="61"/>
      <c r="AA71" s="61"/>
      <c r="AB71" s="59"/>
      <c r="AC71" s="59"/>
      <c r="AD71" s="61"/>
      <c r="AE71" s="61"/>
      <c r="AF71" s="59"/>
      <c r="AG71" s="59"/>
      <c r="AH71" s="61"/>
      <c r="AI71" s="61"/>
      <c r="AJ71" s="59"/>
      <c r="AK71" s="59"/>
      <c r="AL71" s="61"/>
      <c r="AM71" s="61"/>
      <c r="AN71" s="61"/>
      <c r="AO71" s="62"/>
      <c r="AP71" s="59"/>
    </row>
    <row r="72" spans="1:42" x14ac:dyDescent="0.3">
      <c r="A72" s="58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60"/>
      <c r="R72" s="59"/>
      <c r="S72" s="61"/>
      <c r="T72" s="59"/>
      <c r="U72" s="59"/>
      <c r="V72" s="61"/>
      <c r="W72" s="61"/>
      <c r="X72" s="59"/>
      <c r="Y72" s="59"/>
      <c r="Z72" s="61"/>
      <c r="AA72" s="61"/>
      <c r="AB72" s="59"/>
      <c r="AC72" s="59"/>
      <c r="AD72" s="61"/>
      <c r="AE72" s="61"/>
      <c r="AF72" s="59"/>
      <c r="AG72" s="59"/>
      <c r="AH72" s="61"/>
      <c r="AI72" s="61"/>
      <c r="AJ72" s="59"/>
      <c r="AK72" s="59"/>
      <c r="AL72" s="61"/>
      <c r="AM72" s="61"/>
      <c r="AN72" s="61"/>
      <c r="AO72" s="62"/>
      <c r="AP72" s="59"/>
    </row>
    <row r="73" spans="1:42" x14ac:dyDescent="0.3">
      <c r="A73" s="58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60"/>
      <c r="R73" s="59"/>
      <c r="S73" s="61"/>
      <c r="T73" s="59"/>
      <c r="U73" s="59"/>
      <c r="V73" s="61"/>
      <c r="W73" s="61"/>
      <c r="X73" s="59"/>
      <c r="Y73" s="59"/>
      <c r="Z73" s="61"/>
      <c r="AA73" s="61"/>
      <c r="AB73" s="59"/>
      <c r="AC73" s="59"/>
      <c r="AD73" s="61"/>
      <c r="AE73" s="61"/>
      <c r="AF73" s="59"/>
      <c r="AG73" s="59"/>
      <c r="AH73" s="61"/>
      <c r="AI73" s="61"/>
      <c r="AJ73" s="59"/>
      <c r="AK73" s="59"/>
      <c r="AL73" s="61"/>
      <c r="AM73" s="61"/>
      <c r="AN73" s="61"/>
      <c r="AO73" s="62"/>
      <c r="AP73" s="59"/>
    </row>
    <row r="74" spans="1:42" x14ac:dyDescent="0.3">
      <c r="A74" s="58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60"/>
      <c r="R74" s="59"/>
      <c r="S74" s="61"/>
      <c r="T74" s="59"/>
      <c r="U74" s="59"/>
      <c r="V74" s="61"/>
      <c r="W74" s="61"/>
      <c r="X74" s="59"/>
      <c r="Y74" s="59"/>
      <c r="Z74" s="61"/>
      <c r="AA74" s="61"/>
      <c r="AB74" s="59"/>
      <c r="AC74" s="59"/>
      <c r="AD74" s="61"/>
      <c r="AE74" s="61"/>
      <c r="AF74" s="59"/>
      <c r="AG74" s="59"/>
      <c r="AH74" s="61"/>
      <c r="AI74" s="61"/>
      <c r="AJ74" s="59"/>
      <c r="AK74" s="59"/>
      <c r="AL74" s="61"/>
      <c r="AM74" s="61"/>
      <c r="AN74" s="61"/>
      <c r="AO74" s="62"/>
      <c r="AP74" s="59"/>
    </row>
    <row r="75" spans="1:42" x14ac:dyDescent="0.3">
      <c r="A75" s="58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60"/>
      <c r="R75" s="59"/>
      <c r="S75" s="61"/>
      <c r="T75" s="59"/>
      <c r="U75" s="59"/>
      <c r="V75" s="61"/>
      <c r="W75" s="61"/>
      <c r="X75" s="59"/>
      <c r="Y75" s="59"/>
      <c r="Z75" s="61"/>
      <c r="AA75" s="61"/>
      <c r="AB75" s="59"/>
      <c r="AC75" s="59"/>
      <c r="AD75" s="61"/>
      <c r="AE75" s="61"/>
      <c r="AF75" s="59"/>
      <c r="AG75" s="59"/>
      <c r="AH75" s="61"/>
      <c r="AI75" s="61"/>
      <c r="AJ75" s="59"/>
      <c r="AK75" s="59"/>
      <c r="AL75" s="61"/>
      <c r="AM75" s="61"/>
      <c r="AN75" s="61"/>
      <c r="AO75" s="62"/>
      <c r="AP75" s="59"/>
    </row>
    <row r="76" spans="1:42" x14ac:dyDescent="0.3">
      <c r="A76" s="58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60"/>
      <c r="R76" s="59"/>
      <c r="S76" s="61"/>
      <c r="T76" s="59"/>
      <c r="U76" s="59"/>
      <c r="V76" s="61"/>
      <c r="W76" s="61"/>
      <c r="X76" s="59"/>
      <c r="Y76" s="59"/>
      <c r="Z76" s="61"/>
      <c r="AA76" s="61"/>
      <c r="AB76" s="59"/>
      <c r="AC76" s="59"/>
      <c r="AD76" s="61"/>
      <c r="AE76" s="61"/>
      <c r="AF76" s="59"/>
      <c r="AG76" s="59"/>
      <c r="AH76" s="61"/>
      <c r="AI76" s="61"/>
      <c r="AJ76" s="59"/>
      <c r="AK76" s="59"/>
      <c r="AL76" s="61"/>
      <c r="AM76" s="61"/>
      <c r="AN76" s="61"/>
      <c r="AO76" s="62"/>
      <c r="AP76" s="59"/>
    </row>
    <row r="77" spans="1:42" x14ac:dyDescent="0.3">
      <c r="A77" s="58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60"/>
      <c r="R77" s="59"/>
      <c r="S77" s="61"/>
      <c r="T77" s="59"/>
      <c r="U77" s="59"/>
      <c r="V77" s="61"/>
      <c r="W77" s="61"/>
      <c r="X77" s="59"/>
      <c r="Y77" s="59"/>
      <c r="Z77" s="61"/>
      <c r="AA77" s="61"/>
      <c r="AB77" s="59"/>
      <c r="AC77" s="59"/>
      <c r="AD77" s="61"/>
      <c r="AE77" s="61"/>
      <c r="AF77" s="59"/>
      <c r="AG77" s="59"/>
      <c r="AH77" s="61"/>
      <c r="AI77" s="61"/>
      <c r="AJ77" s="59"/>
      <c r="AK77" s="59"/>
      <c r="AL77" s="61"/>
      <c r="AM77" s="61"/>
      <c r="AN77" s="61"/>
      <c r="AO77" s="62"/>
      <c r="AP77" s="59"/>
    </row>
    <row r="78" spans="1:42" x14ac:dyDescent="0.3">
      <c r="A78" s="58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59"/>
      <c r="S78" s="61"/>
      <c r="T78" s="59"/>
      <c r="U78" s="59"/>
      <c r="V78" s="61"/>
      <c r="W78" s="61"/>
      <c r="X78" s="59"/>
      <c r="Y78" s="59"/>
      <c r="Z78" s="61"/>
      <c r="AA78" s="61"/>
      <c r="AB78" s="59"/>
      <c r="AC78" s="59"/>
      <c r="AD78" s="61"/>
      <c r="AE78" s="61"/>
      <c r="AF78" s="59"/>
      <c r="AG78" s="59"/>
      <c r="AH78" s="61"/>
      <c r="AI78" s="61"/>
      <c r="AJ78" s="59"/>
      <c r="AK78" s="59"/>
      <c r="AL78" s="61"/>
      <c r="AM78" s="61"/>
      <c r="AN78" s="61"/>
      <c r="AO78" s="62"/>
      <c r="AP78" s="59"/>
    </row>
    <row r="79" spans="1:42" x14ac:dyDescent="0.3">
      <c r="A79" s="58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60"/>
      <c r="R79" s="59"/>
      <c r="S79" s="61"/>
      <c r="T79" s="59"/>
      <c r="U79" s="59"/>
      <c r="V79" s="61"/>
      <c r="W79" s="61"/>
      <c r="X79" s="59"/>
      <c r="Y79" s="59"/>
      <c r="Z79" s="61"/>
      <c r="AA79" s="61"/>
      <c r="AB79" s="59"/>
      <c r="AC79" s="59"/>
      <c r="AD79" s="61"/>
      <c r="AE79" s="61"/>
      <c r="AF79" s="59"/>
      <c r="AG79" s="59"/>
      <c r="AH79" s="61"/>
      <c r="AI79" s="61"/>
      <c r="AJ79" s="59"/>
      <c r="AK79" s="59"/>
      <c r="AL79" s="61"/>
      <c r="AM79" s="61"/>
      <c r="AN79" s="61"/>
      <c r="AO79" s="62"/>
      <c r="AP79" s="59"/>
    </row>
    <row r="80" spans="1:42" x14ac:dyDescent="0.3">
      <c r="A80" s="58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60"/>
      <c r="R80" s="59"/>
      <c r="S80" s="61"/>
      <c r="T80" s="59"/>
      <c r="U80" s="59"/>
      <c r="V80" s="61"/>
      <c r="W80" s="61"/>
      <c r="X80" s="59"/>
      <c r="Y80" s="59"/>
      <c r="Z80" s="61"/>
      <c r="AA80" s="61"/>
      <c r="AB80" s="59"/>
      <c r="AC80" s="59"/>
      <c r="AD80" s="61"/>
      <c r="AE80" s="61"/>
      <c r="AF80" s="59"/>
      <c r="AG80" s="59"/>
      <c r="AH80" s="61"/>
      <c r="AI80" s="61"/>
      <c r="AJ80" s="59"/>
      <c r="AK80" s="59"/>
      <c r="AL80" s="61"/>
      <c r="AM80" s="61"/>
      <c r="AN80" s="61"/>
      <c r="AO80" s="62"/>
      <c r="AP80" s="59"/>
    </row>
    <row r="81" spans="1:42" x14ac:dyDescent="0.3">
      <c r="A81" s="58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60"/>
      <c r="R81" s="59"/>
      <c r="S81" s="61"/>
      <c r="T81" s="59"/>
      <c r="U81" s="59"/>
      <c r="V81" s="61"/>
      <c r="W81" s="61"/>
      <c r="X81" s="59"/>
      <c r="Y81" s="59"/>
      <c r="Z81" s="61"/>
      <c r="AA81" s="61"/>
      <c r="AB81" s="59"/>
      <c r="AC81" s="59"/>
      <c r="AD81" s="61"/>
      <c r="AE81" s="61"/>
      <c r="AF81" s="59"/>
      <c r="AG81" s="59"/>
      <c r="AH81" s="61"/>
      <c r="AI81" s="61"/>
      <c r="AJ81" s="59"/>
      <c r="AK81" s="59"/>
      <c r="AL81" s="61"/>
      <c r="AM81" s="61"/>
      <c r="AN81" s="61"/>
      <c r="AO81" s="62"/>
      <c r="AP81" s="59"/>
    </row>
    <row r="82" spans="1:42" x14ac:dyDescent="0.3">
      <c r="A82" s="58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60"/>
      <c r="R82" s="59"/>
      <c r="S82" s="61"/>
      <c r="T82" s="59"/>
      <c r="U82" s="59"/>
      <c r="V82" s="61"/>
      <c r="W82" s="61"/>
      <c r="X82" s="59"/>
      <c r="Y82" s="59"/>
      <c r="Z82" s="61"/>
      <c r="AA82" s="61"/>
      <c r="AB82" s="59"/>
      <c r="AC82" s="59"/>
      <c r="AD82" s="61"/>
      <c r="AE82" s="61"/>
      <c r="AF82" s="59"/>
      <c r="AG82" s="59"/>
      <c r="AH82" s="61"/>
      <c r="AI82" s="61"/>
      <c r="AJ82" s="59"/>
      <c r="AK82" s="59"/>
      <c r="AL82" s="61"/>
      <c r="AM82" s="61"/>
      <c r="AN82" s="61"/>
      <c r="AO82" s="62"/>
      <c r="AP82" s="59"/>
    </row>
    <row r="83" spans="1:42" x14ac:dyDescent="0.3">
      <c r="A83" s="58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60"/>
      <c r="R83" s="59"/>
      <c r="S83" s="61"/>
      <c r="T83" s="59"/>
      <c r="U83" s="59"/>
      <c r="V83" s="61"/>
      <c r="W83" s="61"/>
      <c r="X83" s="59"/>
      <c r="Y83" s="59"/>
      <c r="Z83" s="61"/>
      <c r="AA83" s="61"/>
      <c r="AB83" s="59"/>
      <c r="AC83" s="59"/>
      <c r="AD83" s="61"/>
      <c r="AE83" s="61"/>
      <c r="AF83" s="59"/>
      <c r="AG83" s="59"/>
      <c r="AH83" s="61"/>
      <c r="AI83" s="61"/>
      <c r="AJ83" s="59"/>
      <c r="AK83" s="59"/>
      <c r="AL83" s="61"/>
      <c r="AM83" s="61"/>
      <c r="AN83" s="61"/>
      <c r="AO83" s="62"/>
      <c r="AP83" s="59"/>
    </row>
    <row r="84" spans="1:42" x14ac:dyDescent="0.3">
      <c r="A84" s="58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60"/>
      <c r="R84" s="59"/>
      <c r="S84" s="61"/>
      <c r="T84" s="59"/>
      <c r="U84" s="59"/>
      <c r="V84" s="61"/>
      <c r="W84" s="61"/>
      <c r="X84" s="59"/>
      <c r="Y84" s="59"/>
      <c r="Z84" s="61"/>
      <c r="AA84" s="61"/>
      <c r="AB84" s="59"/>
      <c r="AC84" s="59"/>
      <c r="AD84" s="61"/>
      <c r="AE84" s="61"/>
      <c r="AF84" s="59"/>
      <c r="AG84" s="59"/>
      <c r="AH84" s="61"/>
      <c r="AI84" s="61"/>
      <c r="AJ84" s="59"/>
      <c r="AK84" s="59"/>
      <c r="AL84" s="61"/>
      <c r="AM84" s="61"/>
      <c r="AN84" s="61"/>
      <c r="AO84" s="62"/>
      <c r="AP84" s="59"/>
    </row>
    <row r="85" spans="1:42" x14ac:dyDescent="0.3">
      <c r="A85" s="58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60"/>
      <c r="R85" s="59"/>
      <c r="S85" s="61"/>
      <c r="T85" s="59"/>
      <c r="U85" s="59"/>
      <c r="V85" s="61"/>
      <c r="W85" s="61"/>
      <c r="X85" s="59"/>
      <c r="Y85" s="59"/>
      <c r="Z85" s="61"/>
      <c r="AA85" s="61"/>
      <c r="AB85" s="59"/>
      <c r="AC85" s="59"/>
      <c r="AD85" s="61"/>
      <c r="AE85" s="61"/>
      <c r="AF85" s="59"/>
      <c r="AG85" s="59"/>
      <c r="AH85" s="61"/>
      <c r="AI85" s="61"/>
      <c r="AJ85" s="59"/>
      <c r="AK85" s="59"/>
      <c r="AL85" s="61"/>
      <c r="AM85" s="61"/>
      <c r="AN85" s="61"/>
      <c r="AO85" s="62"/>
      <c r="AP85" s="59"/>
    </row>
    <row r="86" spans="1:42" x14ac:dyDescent="0.3">
      <c r="A86" s="58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9"/>
      <c r="S86" s="61"/>
      <c r="T86" s="59"/>
      <c r="U86" s="59"/>
      <c r="V86" s="61"/>
      <c r="W86" s="61"/>
      <c r="X86" s="59"/>
      <c r="Y86" s="59"/>
      <c r="Z86" s="61"/>
      <c r="AA86" s="61"/>
      <c r="AB86" s="59"/>
      <c r="AC86" s="59"/>
      <c r="AD86" s="61"/>
      <c r="AE86" s="61"/>
      <c r="AF86" s="59"/>
      <c r="AG86" s="59"/>
      <c r="AH86" s="61"/>
      <c r="AI86" s="61"/>
      <c r="AJ86" s="59"/>
      <c r="AK86" s="59"/>
      <c r="AL86" s="61"/>
      <c r="AM86" s="61"/>
      <c r="AN86" s="61"/>
      <c r="AO86" s="62"/>
      <c r="AP86" s="59"/>
    </row>
    <row r="87" spans="1:42" x14ac:dyDescent="0.3">
      <c r="A87" s="58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60"/>
      <c r="R87" s="59"/>
      <c r="S87" s="61"/>
      <c r="T87" s="59"/>
      <c r="U87" s="59"/>
      <c r="V87" s="61"/>
      <c r="W87" s="61"/>
      <c r="X87" s="59"/>
      <c r="Y87" s="59"/>
      <c r="Z87" s="61"/>
      <c r="AA87" s="61"/>
      <c r="AB87" s="59"/>
      <c r="AC87" s="59"/>
      <c r="AD87" s="61"/>
      <c r="AE87" s="61"/>
      <c r="AF87" s="59"/>
      <c r="AG87" s="59"/>
      <c r="AH87" s="61"/>
      <c r="AI87" s="61"/>
      <c r="AJ87" s="59"/>
      <c r="AK87" s="59"/>
      <c r="AL87" s="61"/>
      <c r="AM87" s="61"/>
      <c r="AN87" s="61"/>
      <c r="AO87" s="62"/>
      <c r="AP87" s="59"/>
    </row>
    <row r="88" spans="1:42" x14ac:dyDescent="0.3">
      <c r="A88" s="58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60"/>
      <c r="R88" s="59"/>
      <c r="S88" s="61"/>
      <c r="T88" s="59"/>
      <c r="U88" s="59"/>
      <c r="V88" s="61"/>
      <c r="W88" s="61"/>
      <c r="X88" s="59"/>
      <c r="Y88" s="59"/>
      <c r="Z88" s="61"/>
      <c r="AA88" s="61"/>
      <c r="AB88" s="59"/>
      <c r="AC88" s="59"/>
      <c r="AD88" s="61"/>
      <c r="AE88" s="61"/>
      <c r="AF88" s="59"/>
      <c r="AG88" s="59"/>
      <c r="AH88" s="61"/>
      <c r="AI88" s="61"/>
      <c r="AJ88" s="59"/>
      <c r="AK88" s="59"/>
      <c r="AL88" s="61"/>
      <c r="AM88" s="61"/>
      <c r="AN88" s="61"/>
      <c r="AO88" s="62"/>
      <c r="AP88" s="59"/>
    </row>
    <row r="89" spans="1:42" x14ac:dyDescent="0.3">
      <c r="A89" s="58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60"/>
      <c r="R89" s="59"/>
      <c r="S89" s="61"/>
      <c r="T89" s="59"/>
      <c r="U89" s="59"/>
      <c r="V89" s="61"/>
      <c r="W89" s="61"/>
      <c r="X89" s="59"/>
      <c r="Y89" s="59"/>
      <c r="Z89" s="61"/>
      <c r="AA89" s="61"/>
      <c r="AB89" s="59"/>
      <c r="AC89" s="59"/>
      <c r="AD89" s="61"/>
      <c r="AE89" s="61"/>
      <c r="AF89" s="59"/>
      <c r="AG89" s="59"/>
      <c r="AH89" s="61"/>
      <c r="AI89" s="61"/>
      <c r="AJ89" s="59"/>
      <c r="AK89" s="59"/>
      <c r="AL89" s="61"/>
      <c r="AM89" s="61"/>
      <c r="AN89" s="61"/>
      <c r="AO89" s="62"/>
      <c r="AP89" s="59"/>
    </row>
    <row r="90" spans="1:42" x14ac:dyDescent="0.3">
      <c r="A90" s="58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60"/>
      <c r="R90" s="59"/>
      <c r="S90" s="61"/>
      <c r="T90" s="59"/>
      <c r="U90" s="59"/>
      <c r="V90" s="61"/>
      <c r="W90" s="61"/>
      <c r="X90" s="59"/>
      <c r="Y90" s="59"/>
      <c r="Z90" s="61"/>
      <c r="AA90" s="61"/>
      <c r="AB90" s="59"/>
      <c r="AC90" s="59"/>
      <c r="AD90" s="61"/>
      <c r="AE90" s="61"/>
      <c r="AF90" s="59"/>
      <c r="AG90" s="59"/>
      <c r="AH90" s="61"/>
      <c r="AI90" s="61"/>
      <c r="AJ90" s="59"/>
      <c r="AK90" s="59"/>
      <c r="AL90" s="61"/>
      <c r="AM90" s="61"/>
      <c r="AN90" s="61"/>
      <c r="AO90" s="62"/>
      <c r="AP90" s="59"/>
    </row>
    <row r="91" spans="1:42" x14ac:dyDescent="0.3">
      <c r="A91" s="58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60"/>
      <c r="R91" s="59"/>
      <c r="S91" s="61"/>
      <c r="T91" s="59"/>
      <c r="U91" s="59"/>
      <c r="V91" s="61"/>
      <c r="W91" s="61"/>
      <c r="X91" s="59"/>
      <c r="Y91" s="59"/>
      <c r="Z91" s="61"/>
      <c r="AA91" s="61"/>
      <c r="AB91" s="59"/>
      <c r="AC91" s="59"/>
      <c r="AD91" s="61"/>
      <c r="AE91" s="61"/>
      <c r="AF91" s="59"/>
      <c r="AG91" s="59"/>
      <c r="AH91" s="61"/>
      <c r="AI91" s="61"/>
      <c r="AJ91" s="59"/>
      <c r="AK91" s="59"/>
      <c r="AL91" s="61"/>
      <c r="AM91" s="61"/>
      <c r="AN91" s="61"/>
      <c r="AO91" s="62"/>
      <c r="AP91" s="59"/>
    </row>
    <row r="92" spans="1:42" x14ac:dyDescent="0.3">
      <c r="A92" s="58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60"/>
      <c r="R92" s="59"/>
      <c r="S92" s="61"/>
      <c r="T92" s="59"/>
      <c r="U92" s="59"/>
      <c r="V92" s="61"/>
      <c r="W92" s="61"/>
      <c r="X92" s="59"/>
      <c r="Y92" s="59"/>
      <c r="Z92" s="61"/>
      <c r="AA92" s="61"/>
      <c r="AB92" s="59"/>
      <c r="AC92" s="59"/>
      <c r="AD92" s="61"/>
      <c r="AE92" s="61"/>
      <c r="AF92" s="59"/>
      <c r="AG92" s="59"/>
      <c r="AH92" s="61"/>
      <c r="AI92" s="61"/>
      <c r="AJ92" s="59"/>
      <c r="AK92" s="59"/>
      <c r="AL92" s="61"/>
      <c r="AM92" s="61"/>
      <c r="AN92" s="61"/>
      <c r="AO92" s="62"/>
      <c r="AP92" s="59"/>
    </row>
    <row r="93" spans="1:42" x14ac:dyDescent="0.3">
      <c r="A93" s="58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60"/>
      <c r="R93" s="59"/>
      <c r="S93" s="61"/>
      <c r="T93" s="59"/>
      <c r="U93" s="59"/>
      <c r="V93" s="61"/>
      <c r="W93" s="61"/>
      <c r="X93" s="59"/>
      <c r="Y93" s="59"/>
      <c r="Z93" s="61"/>
      <c r="AA93" s="61"/>
      <c r="AB93" s="59"/>
      <c r="AC93" s="59"/>
      <c r="AD93" s="61"/>
      <c r="AE93" s="61"/>
      <c r="AF93" s="59"/>
      <c r="AG93" s="59"/>
      <c r="AH93" s="61"/>
      <c r="AI93" s="61"/>
      <c r="AJ93" s="59"/>
      <c r="AK93" s="59"/>
      <c r="AL93" s="61"/>
      <c r="AM93" s="61"/>
      <c r="AN93" s="61"/>
      <c r="AO93" s="62"/>
      <c r="AP93" s="59"/>
    </row>
    <row r="94" spans="1:42" x14ac:dyDescent="0.3">
      <c r="A94" s="58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60"/>
      <c r="R94" s="59"/>
      <c r="S94" s="61"/>
      <c r="T94" s="59"/>
      <c r="U94" s="59"/>
      <c r="V94" s="61"/>
      <c r="W94" s="61"/>
      <c r="X94" s="59"/>
      <c r="Y94" s="59"/>
      <c r="Z94" s="61"/>
      <c r="AA94" s="61"/>
      <c r="AB94" s="59"/>
      <c r="AC94" s="59"/>
      <c r="AD94" s="61"/>
      <c r="AE94" s="61"/>
      <c r="AF94" s="59"/>
      <c r="AG94" s="59"/>
      <c r="AH94" s="61"/>
      <c r="AI94" s="61"/>
      <c r="AJ94" s="59"/>
      <c r="AK94" s="59"/>
      <c r="AL94" s="61"/>
      <c r="AM94" s="61"/>
      <c r="AN94" s="61"/>
      <c r="AO94" s="62"/>
      <c r="AP94" s="59"/>
    </row>
    <row r="95" spans="1:42" x14ac:dyDescent="0.3">
      <c r="A95" s="58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60"/>
      <c r="R95" s="59"/>
      <c r="S95" s="61"/>
      <c r="T95" s="59"/>
      <c r="U95" s="59"/>
      <c r="V95" s="61"/>
      <c r="W95" s="61"/>
      <c r="X95" s="59"/>
      <c r="Y95" s="59"/>
      <c r="Z95" s="61"/>
      <c r="AA95" s="61"/>
      <c r="AB95" s="59"/>
      <c r="AC95" s="59"/>
      <c r="AD95" s="61"/>
      <c r="AE95" s="61"/>
      <c r="AF95" s="59"/>
      <c r="AG95" s="59"/>
      <c r="AH95" s="61"/>
      <c r="AI95" s="61"/>
      <c r="AJ95" s="59"/>
      <c r="AK95" s="59"/>
      <c r="AL95" s="61"/>
      <c r="AM95" s="61"/>
      <c r="AN95" s="61"/>
      <c r="AO95" s="62"/>
      <c r="AP95" s="59"/>
    </row>
    <row r="96" spans="1:42" x14ac:dyDescent="0.3">
      <c r="A96" s="58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60"/>
      <c r="R96" s="59"/>
      <c r="S96" s="61"/>
      <c r="T96" s="59"/>
      <c r="U96" s="59"/>
      <c r="V96" s="61"/>
      <c r="W96" s="61"/>
      <c r="X96" s="59"/>
      <c r="Y96" s="59"/>
      <c r="Z96" s="61"/>
      <c r="AA96" s="61"/>
      <c r="AB96" s="59"/>
      <c r="AC96" s="59"/>
      <c r="AD96" s="61"/>
      <c r="AE96" s="61"/>
      <c r="AF96" s="59"/>
      <c r="AG96" s="59"/>
      <c r="AH96" s="61"/>
      <c r="AI96" s="61"/>
      <c r="AJ96" s="59"/>
      <c r="AK96" s="59"/>
      <c r="AL96" s="61"/>
      <c r="AM96" s="61"/>
      <c r="AN96" s="61"/>
      <c r="AO96" s="62"/>
      <c r="AP96" s="59"/>
    </row>
    <row r="97" spans="1:42" x14ac:dyDescent="0.3">
      <c r="A97" s="58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60"/>
      <c r="R97" s="59"/>
      <c r="S97" s="61"/>
      <c r="T97" s="59"/>
      <c r="U97" s="59"/>
      <c r="V97" s="61"/>
      <c r="W97" s="61"/>
      <c r="X97" s="59"/>
      <c r="Y97" s="59"/>
      <c r="Z97" s="61"/>
      <c r="AA97" s="61"/>
      <c r="AB97" s="59"/>
      <c r="AC97" s="59"/>
      <c r="AD97" s="61"/>
      <c r="AE97" s="61"/>
      <c r="AF97" s="59"/>
      <c r="AG97" s="59"/>
      <c r="AH97" s="61"/>
      <c r="AI97" s="61"/>
      <c r="AJ97" s="59"/>
      <c r="AK97" s="59"/>
      <c r="AL97" s="61"/>
      <c r="AM97" s="61"/>
      <c r="AN97" s="61"/>
      <c r="AO97" s="62"/>
      <c r="AP97" s="59"/>
    </row>
    <row r="98" spans="1:42" x14ac:dyDescent="0.3">
      <c r="A98" s="58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60"/>
      <c r="R98" s="59"/>
      <c r="S98" s="61"/>
      <c r="T98" s="59"/>
      <c r="U98" s="59"/>
      <c r="V98" s="61"/>
      <c r="W98" s="61"/>
      <c r="X98" s="59"/>
      <c r="Y98" s="59"/>
      <c r="Z98" s="61"/>
      <c r="AA98" s="61"/>
      <c r="AB98" s="59"/>
      <c r="AC98" s="59"/>
      <c r="AD98" s="61"/>
      <c r="AE98" s="61"/>
      <c r="AF98" s="59"/>
      <c r="AG98" s="59"/>
      <c r="AH98" s="61"/>
      <c r="AI98" s="61"/>
      <c r="AJ98" s="59"/>
      <c r="AK98" s="59"/>
      <c r="AL98" s="61"/>
      <c r="AM98" s="61"/>
      <c r="AN98" s="61"/>
      <c r="AO98" s="62"/>
      <c r="AP98" s="59"/>
    </row>
    <row r="99" spans="1:42" x14ac:dyDescent="0.3">
      <c r="A99" s="58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60"/>
      <c r="R99" s="59"/>
      <c r="S99" s="61"/>
      <c r="T99" s="59"/>
      <c r="U99" s="59"/>
      <c r="V99" s="61"/>
      <c r="W99" s="61"/>
      <c r="X99" s="59"/>
      <c r="Y99" s="59"/>
      <c r="Z99" s="61"/>
      <c r="AA99" s="61"/>
      <c r="AB99" s="59"/>
      <c r="AC99" s="59"/>
      <c r="AD99" s="61"/>
      <c r="AE99" s="61"/>
      <c r="AF99" s="59"/>
      <c r="AG99" s="59"/>
      <c r="AH99" s="61"/>
      <c r="AI99" s="61"/>
      <c r="AJ99" s="59"/>
      <c r="AK99" s="59"/>
      <c r="AL99" s="61"/>
      <c r="AM99" s="61"/>
      <c r="AN99" s="61"/>
      <c r="AO99" s="62"/>
      <c r="AP99" s="59"/>
    </row>
    <row r="100" spans="1:42" x14ac:dyDescent="0.3">
      <c r="A100" s="58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60"/>
      <c r="R100" s="59"/>
      <c r="S100" s="61"/>
      <c r="T100" s="59"/>
      <c r="U100" s="59"/>
      <c r="V100" s="61"/>
      <c r="W100" s="61"/>
      <c r="X100" s="59"/>
      <c r="Y100" s="59"/>
      <c r="Z100" s="61"/>
      <c r="AA100" s="61"/>
      <c r="AB100" s="59"/>
      <c r="AC100" s="59"/>
      <c r="AD100" s="61"/>
      <c r="AE100" s="61"/>
      <c r="AF100" s="59"/>
      <c r="AG100" s="59"/>
      <c r="AH100" s="61"/>
      <c r="AI100" s="61"/>
      <c r="AJ100" s="59"/>
      <c r="AK100" s="59"/>
      <c r="AL100" s="61"/>
      <c r="AM100" s="61"/>
      <c r="AN100" s="61"/>
      <c r="AO100" s="62"/>
      <c r="AP100" s="5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2</xdr:col>
                    <xdr:colOff>76200</xdr:colOff>
                    <xdr:row>0</xdr:row>
                    <xdr:rowOff>91440</xdr:rowOff>
                  </from>
                  <to>
                    <xdr:col>3</xdr:col>
                    <xdr:colOff>548640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3:H24"/>
  <sheetViews>
    <sheetView workbookViewId="0">
      <selection activeCell="E12" sqref="E12"/>
    </sheetView>
  </sheetViews>
  <sheetFormatPr defaultRowHeight="14.4" x14ac:dyDescent="0.3"/>
  <sheetData>
    <row r="13" spans="5:8" x14ac:dyDescent="0.3">
      <c r="E13" t="s">
        <v>4815</v>
      </c>
      <c r="F13" t="s">
        <v>4816</v>
      </c>
    </row>
    <row r="14" spans="5:8" x14ac:dyDescent="0.3">
      <c r="E14" s="56">
        <v>0.14722222222222223</v>
      </c>
      <c r="F14">
        <v>3</v>
      </c>
    </row>
    <row r="15" spans="5:8" x14ac:dyDescent="0.3">
      <c r="E15" s="56">
        <f>E14+H15</f>
        <v>0.15069444444444444</v>
      </c>
      <c r="F15">
        <v>4</v>
      </c>
      <c r="H15" s="57">
        <v>3.472222222222222E-3</v>
      </c>
    </row>
    <row r="16" spans="5:8" x14ac:dyDescent="0.3">
      <c r="E16" s="56">
        <f>E15+H16</f>
        <v>0.15416666666666665</v>
      </c>
      <c r="F16">
        <v>5</v>
      </c>
      <c r="H16" s="57">
        <v>3.472222222222222E-3</v>
      </c>
    </row>
    <row r="17" spans="5:8" x14ac:dyDescent="0.3">
      <c r="E17" s="56">
        <f>E16+H17</f>
        <v>0.15763888888888886</v>
      </c>
      <c r="F17">
        <v>23</v>
      </c>
      <c r="H17" s="57">
        <v>3.472222222222222E-3</v>
      </c>
    </row>
    <row r="18" spans="5:8" x14ac:dyDescent="0.3">
      <c r="E18" s="56">
        <f>E17+H18</f>
        <v>0.16111111111111107</v>
      </c>
      <c r="F18">
        <v>34</v>
      </c>
      <c r="H18" s="57">
        <v>3.472222222222222E-3</v>
      </c>
    </row>
    <row r="19" spans="5:8" x14ac:dyDescent="0.3">
      <c r="E19" s="56">
        <f>E18+H19</f>
        <v>0.16458333333333328</v>
      </c>
      <c r="F19">
        <v>66</v>
      </c>
      <c r="H19" s="57">
        <v>3.472222222222222E-3</v>
      </c>
    </row>
    <row r="20" spans="5:8" x14ac:dyDescent="0.3">
      <c r="E20" s="56">
        <f>E19+H20</f>
        <v>0.16805555555555549</v>
      </c>
      <c r="F20">
        <v>34</v>
      </c>
      <c r="H20" s="57">
        <v>3.472222222222222E-3</v>
      </c>
    </row>
    <row r="21" spans="5:8" x14ac:dyDescent="0.3">
      <c r="E21" s="56">
        <f>E20+H21</f>
        <v>0.1715277777777777</v>
      </c>
      <c r="F21">
        <v>4</v>
      </c>
      <c r="H21" s="57">
        <v>3.472222222222222E-3</v>
      </c>
    </row>
    <row r="22" spans="5:8" x14ac:dyDescent="0.3">
      <c r="E22" s="56">
        <f>E21+H22</f>
        <v>0.17499999999999991</v>
      </c>
      <c r="F22">
        <v>23</v>
      </c>
      <c r="H22" s="57">
        <v>3.472222222222222E-3</v>
      </c>
    </row>
    <row r="23" spans="5:8" x14ac:dyDescent="0.3">
      <c r="E23" s="56">
        <f>E22+H23</f>
        <v>0.17847222222222212</v>
      </c>
      <c r="F23">
        <v>12</v>
      </c>
      <c r="H23" s="57">
        <v>3.472222222222222E-3</v>
      </c>
    </row>
    <row r="24" spans="5:8" x14ac:dyDescent="0.3">
      <c r="E24" s="56">
        <f>E23+H24</f>
        <v>0.18194444444444433</v>
      </c>
      <c r="F24">
        <v>66</v>
      </c>
      <c r="H24" s="57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nse</vt:lpstr>
      <vt:lpstr>TotalBuySellGraph</vt:lpstr>
      <vt:lpstr>Sheet1</vt:lpstr>
      <vt:lpstr>Export Data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2018-07-20T10:40:35Z</dcterms:modified>
</cp:coreProperties>
</file>