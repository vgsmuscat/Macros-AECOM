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firstSheet="1" activeTab="2"/>
  </bookViews>
  <sheets>
    <sheet name="nse" sheetId="4" state="hidden" r:id="rId1"/>
    <sheet name="Stocks" sheetId="6" r:id="rId2"/>
    <sheet name="Export Data" sheetId="7" r:id="rId3"/>
    <sheet name="TotalBuySellGraph" sheetId="9" r:id="rId4"/>
    <sheet name="Basic data" sheetId="10" r:id="rId5"/>
    <sheet name="Rough Calculation" sheetId="8" state="hidden" r:id="rId6"/>
  </sheets>
  <functionGroups builtInGroupCount="18"/>
  <definedNames>
    <definedName name="_xlnm._FilterDatabase" localSheetId="1" hidden="1">Stocks!$B$1:$B$1597</definedName>
  </definedNames>
  <calcPr calcId="152511"/>
</workbook>
</file>

<file path=xl/calcChain.xml><?xml version="1.0" encoding="utf-8"?>
<calcChain xmlns="http://schemas.openxmlformats.org/spreadsheetml/2006/main">
  <c r="AR51" i="7" l="1"/>
  <c r="AR100" i="7" l="1"/>
  <c r="AR99" i="7"/>
  <c r="AR98" i="7"/>
  <c r="AR97" i="7"/>
  <c r="AR96" i="7"/>
  <c r="AR95" i="7"/>
  <c r="AR94" i="7"/>
  <c r="AR93" i="7"/>
  <c r="AR92" i="7"/>
  <c r="AR91" i="7"/>
  <c r="AR90" i="7"/>
  <c r="AR89" i="7"/>
  <c r="AR88" i="7"/>
  <c r="AR87" i="7"/>
  <c r="AR86" i="7"/>
  <c r="AR85" i="7"/>
  <c r="AR84" i="7"/>
  <c r="AR83" i="7"/>
  <c r="AR82" i="7"/>
  <c r="AR81" i="7"/>
  <c r="AR80" i="7"/>
  <c r="AR79" i="7"/>
  <c r="AR78" i="7"/>
  <c r="AR77" i="7"/>
  <c r="AR76" i="7"/>
  <c r="AR75" i="7"/>
  <c r="AR74" i="7"/>
  <c r="AR73" i="7"/>
  <c r="AR72" i="7"/>
  <c r="AR71" i="7"/>
  <c r="AR70" i="7"/>
  <c r="AR69" i="7"/>
  <c r="AR68" i="7"/>
  <c r="AR67" i="7"/>
  <c r="AR66" i="7"/>
  <c r="AR65" i="7"/>
  <c r="AR64" i="7"/>
  <c r="AR63" i="7"/>
  <c r="AR62" i="7"/>
  <c r="AR61" i="7"/>
  <c r="AR60" i="7"/>
  <c r="AR59" i="7"/>
  <c r="AR58" i="7"/>
  <c r="AR57" i="7"/>
  <c r="AR56" i="7"/>
  <c r="AR55" i="7"/>
  <c r="AR54" i="7"/>
  <c r="AR53" i="7"/>
  <c r="AR52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R35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R13" i="7"/>
  <c r="AR12" i="7"/>
  <c r="AR11" i="7"/>
  <c r="AR10" i="7"/>
  <c r="AR9" i="7"/>
  <c r="AR8" i="7"/>
  <c r="AR7" i="7"/>
  <c r="AR6" i="7"/>
  <c r="AR5" i="7"/>
  <c r="AR4" i="7"/>
  <c r="AR3" i="7"/>
  <c r="AR2" i="7"/>
  <c r="D1" i="7" l="1"/>
  <c r="B6" i="10" l="1"/>
  <c r="B1" i="8" l="1"/>
  <c r="A2" i="8"/>
  <c r="B3" i="8"/>
  <c r="B4" i="8"/>
  <c r="H4" i="8"/>
  <c r="I4" i="8"/>
  <c r="B5" i="8"/>
  <c r="J5" i="8"/>
  <c r="B6" i="8"/>
  <c r="C6" i="8" l="1"/>
  <c r="E6" i="8" s="1"/>
  <c r="BB2" i="7"/>
  <c r="BB3" i="7"/>
  <c r="AZ3" i="7"/>
  <c r="AZ2" i="7"/>
  <c r="AY3" i="7"/>
  <c r="AY2" i="7"/>
  <c r="E15" i="8" l="1"/>
  <c r="E16" i="8" s="1"/>
  <c r="E17" i="8" s="1"/>
  <c r="E18" i="8" s="1"/>
  <c r="E19" i="8" s="1"/>
  <c r="E20" i="8" s="1"/>
  <c r="E21" i="8" s="1"/>
  <c r="E22" i="8" s="1"/>
  <c r="E23" i="8" s="1"/>
  <c r="E24" i="8" s="1"/>
</calcChain>
</file>

<file path=xl/sharedStrings.xml><?xml version="1.0" encoding="utf-8"?>
<sst xmlns="http://schemas.openxmlformats.org/spreadsheetml/2006/main" count="8733" uniqueCount="4850">
  <si>
    <t>INFY</t>
  </si>
  <si>
    <t>NSE Ticker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</si>
  <si>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</si>
  <si>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</si>
  <si>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</si>
  <si>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</si>
  <si>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</si>
  <si>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</si>
  <si>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</si>
  <si>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</si>
  <si>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</si>
  <si>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</si>
  <si>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</si>
  <si>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</si>
  <si>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</si>
  <si>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</si>
  <si>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</si>
  <si>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</si>
  <si>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</si>
  <si>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</si>
  <si>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</si>
  <si>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</si>
  <si>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</si>
  <si>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</si>
  <si>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</si>
  <si>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</si>
  <si>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</si>
  <si>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</si>
  <si>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</si>
  <si>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</si>
  <si>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</si>
  <si>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</si>
  <si>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</si>
  <si>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</si>
  <si>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</si>
  <si>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</si>
  <si>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</si>
  <si>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</si>
  <si>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</si>
  <si>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</si>
  <si>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</si>
  <si>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</si>
  <si>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</si>
  <si>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</si>
  <si>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</si>
  <si>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</si>
  <si>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</si>
  <si>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</si>
  <si>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</si>
  <si>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</si>
  <si>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</si>
  <si>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</si>
  <si>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</si>
  <si>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</si>
  <si>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</si>
  <si>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</si>
  <si>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</si>
  <si>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</si>
  <si>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</si>
  <si>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</si>
  <si>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</si>
  <si>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</si>
  <si>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</si>
  <si>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</si>
  <si>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</si>
  <si>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</si>
  <si>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</si>
  <si>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</si>
  <si>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</si>
  <si>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</si>
  <si>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</si>
  <si>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</si>
  <si>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</si>
  <si>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</si>
  <si>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</si>
  <si>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</si>
  <si>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</si>
  <si>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</si>
  <si>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</si>
  <si>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</si>
  <si>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</si>
  <si>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</si>
  <si>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</si>
  <si>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</si>
  <si>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</si>
  <si>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</si>
  <si>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</si>
  <si>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</si>
  <si>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</si>
  <si>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</si>
  <si>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</si>
  <si>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</si>
  <si>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</si>
  <si>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</si>
  <si>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</si>
  <si>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</si>
  <si>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</si>
  <si>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</si>
  <si>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</si>
  <si>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</si>
  <si>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</si>
  <si>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</si>
  <si>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</si>
  <si>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</si>
  <si>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</si>
  <si>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</si>
  <si>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</si>
  <si>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</si>
  <si>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</si>
  <si>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</si>
  <si>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</si>
  <si>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</si>
  <si>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</si>
  <si>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</si>
  <si>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</si>
  <si>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</si>
  <si>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</si>
  <si>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</si>
  <si>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</si>
  <si>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</si>
  <si>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</si>
  <si>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</si>
  <si>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</si>
  <si>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</si>
  <si>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</si>
  <si>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</si>
  <si>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</si>
  <si>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</si>
  <si>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</si>
  <si>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</si>
  <si>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</si>
  <si>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</si>
  <si>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</si>
  <si>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</si>
  <si>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</si>
  <si>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</si>
  <si>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</si>
  <si>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</si>
  <si>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</si>
  <si>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</si>
  <si>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</si>
  <si>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</si>
  <si>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</si>
  <si>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</si>
  <si>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</si>
  <si>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</si>
  <si>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</si>
  <si>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</si>
  <si>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</si>
  <si>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</si>
  <si>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</si>
  <si>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</si>
  <si>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</si>
  <si>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</si>
  <si>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</si>
  <si>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</si>
  <si>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</si>
  <si>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</si>
  <si>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</si>
  <si>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</si>
  <si>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</si>
  <si>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</si>
  <si>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</si>
  <si>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</si>
  <si>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</si>
  <si>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</si>
  <si>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</si>
  <si>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</si>
  <si>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</si>
  <si>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</si>
  <si>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</si>
  <si>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</si>
  <si>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</si>
  <si>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</si>
  <si>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</si>
  <si>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</si>
  <si>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</si>
  <si>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</si>
  <si>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</si>
  <si>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</si>
  <si>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</si>
  <si>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</si>
  <si>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</si>
  <si>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</si>
  <si>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</si>
  <si>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</si>
  <si>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</si>
  <si>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</si>
  <si>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</si>
  <si>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</si>
  <si>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</si>
  <si>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</si>
  <si>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</si>
  <si>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</si>
  <si>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</si>
  <si>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</si>
  <si>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</si>
  <si>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</si>
  <si>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</si>
  <si>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</si>
  <si>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</si>
  <si>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</si>
  <si>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</si>
  <si>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</si>
  <si>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</si>
  <si>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</si>
  <si>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</si>
  <si>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</si>
  <si>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</si>
  <si>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</si>
  <si>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</si>
  <si>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</si>
  <si>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</si>
  <si>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</si>
  <si>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</si>
  <si>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</si>
  <si>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</si>
  <si>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</si>
  <si>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</si>
  <si>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</si>
  <si>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</si>
  <si>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</si>
  <si>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</si>
  <si>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</si>
  <si>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</si>
  <si>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</si>
  <si>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</si>
  <si>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</si>
  <si>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</si>
  <si>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</si>
  <si>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</si>
  <si>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</si>
  <si>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</si>
  <si>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</si>
  <si>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</si>
  <si>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</si>
  <si>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</si>
  <si>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</si>
  <si>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</si>
  <si>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</si>
  <si>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</si>
  <si>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</si>
  <si>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</si>
  <si>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</si>
  <si>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</si>
  <si>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</si>
  <si>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</si>
  <si>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</si>
  <si>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</si>
  <si>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</si>
  <si>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</si>
  <si>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</si>
  <si>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</si>
  <si>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</si>
  <si>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</si>
  <si>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</si>
  <si>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</si>
  <si>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</si>
  <si>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</si>
  <si>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</si>
  <si>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</si>
  <si>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</si>
  <si>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</si>
  <si>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</si>
  <si>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</si>
  <si>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</si>
  <si>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</si>
  <si>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</si>
  <si>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</si>
  <si>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</si>
  <si>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</si>
  <si>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</si>
  <si>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</si>
  <si>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</si>
  <si>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</si>
  <si>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</si>
  <si>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</si>
  <si>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</si>
  <si>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</si>
  <si>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</si>
  <si>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</si>
  <si>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</si>
  <si>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</si>
  <si>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</si>
  <si>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</si>
  <si>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</si>
  <si>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</si>
  <si>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</si>
  <si>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</si>
  <si>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</si>
  <si>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</si>
  <si>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</si>
  <si>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</si>
  <si>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</si>
  <si>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</si>
  <si>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</si>
  <si>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</si>
  <si>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</si>
  <si>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</si>
  <si>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</si>
  <si>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</si>
  <si>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</si>
  <si>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</si>
  <si>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</si>
  <si>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</si>
  <si>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</si>
  <si>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</si>
  <si>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</si>
  <si>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</si>
  <si>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</si>
  <si>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</si>
  <si>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</si>
  <si>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</si>
  <si>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</si>
  <si>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</si>
  <si>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</si>
  <si>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</si>
  <si>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</si>
  <si>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</si>
  <si>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</si>
  <si>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</si>
  <si>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</si>
  <si>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</si>
  <si>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</si>
  <si>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</si>
  <si>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</si>
  <si>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</si>
  <si>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</si>
  <si>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</si>
  <si>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</si>
  <si>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</si>
  <si>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</si>
  <si>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</si>
  <si>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</si>
  <si>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</si>
  <si>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</si>
  <si>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</si>
  <si>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</si>
  <si>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</si>
  <si>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</si>
  <si>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</si>
  <si>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</si>
  <si>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</si>
  <si>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</si>
  <si>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</si>
  <si>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</si>
  <si>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</si>
  <si>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</si>
  <si>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</si>
  <si>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</si>
  <si>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</si>
  <si>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</si>
  <si>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</si>
  <si>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</si>
  <si>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</si>
  <si>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</si>
  <si>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</si>
  <si>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</si>
  <si>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</si>
  <si>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</si>
  <si>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</si>
  <si>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</si>
  <si>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</si>
  <si>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</si>
  <si>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</si>
  <si>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</si>
  <si>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</si>
  <si>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</si>
  <si>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</si>
  <si>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</si>
  <si>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</si>
  <si>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</si>
  <si>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</si>
  <si>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</si>
  <si>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</si>
  <si>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</si>
  <si>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</si>
  <si>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</si>
  <si>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</si>
  <si>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</si>
  <si>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</si>
  <si>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</si>
  <si>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</si>
  <si>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</si>
  <si>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</si>
  <si>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</si>
  <si>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</si>
  <si>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</si>
  <si>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</si>
  <si>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</si>
  <si>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</si>
  <si>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</si>
  <si>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</si>
  <si>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</si>
  <si>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</si>
  <si>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</si>
  <si>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</si>
  <si>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</si>
  <si>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</si>
  <si>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</si>
  <si>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</si>
  <si>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</si>
  <si>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</si>
  <si>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</si>
  <si>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</si>
  <si>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</si>
  <si>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</si>
  <si>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</si>
  <si>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</si>
  <si>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</si>
  <si>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</si>
  <si>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</si>
  <si>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</si>
  <si>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</si>
  <si>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</si>
  <si>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</si>
  <si>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</si>
  <si>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</si>
  <si>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</si>
  <si>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</si>
  <si>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</si>
  <si>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</si>
  <si>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</si>
  <si>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</si>
  <si>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</si>
  <si>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</si>
  <si>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</si>
  <si>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</si>
  <si>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</si>
  <si>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</si>
  <si>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</si>
  <si>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</si>
  <si>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</si>
  <si>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</si>
  <si>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</si>
  <si>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</si>
  <si>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</si>
  <si>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</si>
  <si>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</si>
  <si>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</si>
  <si>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</si>
  <si>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</si>
  <si>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</si>
  <si>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</si>
  <si>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</si>
  <si>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</si>
  <si>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</si>
  <si>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</si>
  <si>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</si>
  <si>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</si>
  <si>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</si>
  <si>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</si>
  <si>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</si>
  <si>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</si>
  <si>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</si>
  <si>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</si>
  <si>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</si>
  <si>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</si>
  <si>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</si>
  <si>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</si>
  <si>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</si>
  <si>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</si>
  <si>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</si>
  <si>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</si>
  <si>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</si>
  <si>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</si>
  <si>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</si>
  <si>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</si>
  <si>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</si>
  <si>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</si>
  <si>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</si>
  <si>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</si>
  <si>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</si>
  <si>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</si>
  <si>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</si>
  <si>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</si>
  <si>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</si>
  <si>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</si>
  <si>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</si>
  <si>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</si>
  <si>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</si>
  <si>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</si>
  <si>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</si>
  <si>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</si>
  <si>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</si>
  <si>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</si>
  <si>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</si>
  <si>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</si>
  <si>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</si>
  <si>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</si>
  <si>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</si>
  <si>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</si>
  <si>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</si>
  <si>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</si>
  <si>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</si>
  <si>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</si>
  <si>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</si>
  <si>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</si>
  <si>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</si>
  <si>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</si>
  <si>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</si>
  <si>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</si>
  <si>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</si>
  <si>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</si>
  <si>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</si>
  <si>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</si>
  <si>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</si>
  <si>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</si>
  <si>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</si>
  <si>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</si>
  <si>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</si>
  <si>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</si>
  <si>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</si>
  <si>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</si>
  <si>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</si>
  <si>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</si>
  <si>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</si>
  <si>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</si>
  <si>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</si>
  <si>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</si>
  <si>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</si>
  <si>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</si>
  <si>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</si>
  <si>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</si>
  <si>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</si>
  <si>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</si>
  <si>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</si>
  <si>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</si>
  <si>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</si>
  <si>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</si>
  <si>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</si>
  <si>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</si>
  <si>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</si>
  <si>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</si>
  <si>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</si>
  <si>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</si>
  <si>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</si>
  <si>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</si>
  <si>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</si>
  <si>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</si>
  <si>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</si>
  <si>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</si>
  <si>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</si>
  <si>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</si>
  <si>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</si>
  <si>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</si>
  <si>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</si>
  <si>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</si>
  <si>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</si>
  <si>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</si>
  <si>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</si>
  <si>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</si>
  <si>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</si>
  <si>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</si>
  <si>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</si>
  <si>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</si>
  <si>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</si>
  <si>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</si>
  <si>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</si>
  <si>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</si>
  <si>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</si>
  <si>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</si>
  <si>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</si>
  <si>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</si>
  <si>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</si>
  <si>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</si>
  <si>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</si>
  <si>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</si>
  <si>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</si>
  <si>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</si>
  <si>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</si>
  <si>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</si>
  <si>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</si>
  <si>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</si>
  <si>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</si>
  <si>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</si>
  <si>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</si>
  <si>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</si>
  <si>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</si>
  <si>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</si>
  <si>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</si>
  <si>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</si>
  <si>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</si>
  <si>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</si>
  <si>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</si>
  <si>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</si>
  <si>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</si>
  <si>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</si>
  <si>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</si>
  <si>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</si>
  <si>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</si>
  <si>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</si>
  <si>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</si>
  <si>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</si>
  <si>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</si>
  <si>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</si>
  <si>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</si>
  <si>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</si>
  <si>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</si>
  <si>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</si>
  <si>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</si>
  <si>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</si>
  <si>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</si>
  <si>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</si>
  <si>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</si>
  <si>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</si>
  <si>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</si>
  <si>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</si>
  <si>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</si>
  <si>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</si>
  <si>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</si>
  <si>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</si>
  <si>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</si>
  <si>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</si>
  <si>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</si>
  <si>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</si>
  <si>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</si>
  <si>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</si>
  <si>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</si>
  <si>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</si>
  <si>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</si>
  <si>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</si>
  <si>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</si>
  <si>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</si>
  <si>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</si>
  <si>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</si>
  <si>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</si>
  <si>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</si>
  <si>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</si>
  <si>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</si>
  <si>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</si>
  <si>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</si>
  <si>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</si>
  <si>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</si>
  <si>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</si>
  <si>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</si>
  <si>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</si>
  <si>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</si>
  <si>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</si>
  <si>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</si>
  <si>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</si>
  <si>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</si>
  <si>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</si>
  <si>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</si>
  <si>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</si>
  <si>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</si>
  <si>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</si>
  <si>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</si>
  <si>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</si>
  <si>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</si>
  <si>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</si>
  <si>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</si>
  <si>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</si>
  <si>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</si>
  <si>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</si>
  <si>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</si>
  <si>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</si>
  <si>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</si>
  <si>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</si>
  <si>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</si>
  <si>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</si>
  <si>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</si>
  <si>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</si>
  <si>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</si>
  <si>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</si>
  <si>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</si>
  <si>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</si>
  <si>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</si>
  <si>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</si>
  <si>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</si>
  <si>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</si>
  <si>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</si>
  <si>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</si>
  <si>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</si>
  <si>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</si>
  <si>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</si>
  <si>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</si>
  <si>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</si>
  <si>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</si>
  <si>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</si>
  <si>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</si>
  <si>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</si>
  <si>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</si>
  <si>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</si>
  <si>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</si>
  <si>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</si>
  <si>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</si>
  <si>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</si>
  <si>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</si>
  <si>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</si>
  <si>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</si>
  <si>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</si>
  <si>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</si>
  <si>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</si>
  <si>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</si>
  <si>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</si>
  <si>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</si>
  <si>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</si>
  <si>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</si>
  <si>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</si>
  <si>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</si>
  <si>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</si>
  <si>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</si>
  <si>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</si>
  <si>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</si>
  <si>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</si>
  <si>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</si>
  <si>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</si>
  <si>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</si>
  <si>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</si>
  <si>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</si>
  <si>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</si>
  <si>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</si>
  <si>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</si>
  <si>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</si>
  <si>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</si>
  <si>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</si>
  <si>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</si>
  <si>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</si>
  <si>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</si>
  <si>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</si>
  <si>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</si>
  <si>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</si>
  <si>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</si>
  <si>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</si>
  <si>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</si>
  <si>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</si>
  <si>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</si>
  <si>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</si>
  <si>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</si>
  <si>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</si>
  <si>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</si>
  <si>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</si>
  <si>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</si>
  <si>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</si>
  <si>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</si>
  <si>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</si>
  <si>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</si>
  <si>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</si>
  <si>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</si>
  <si>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</si>
  <si>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</si>
  <si>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</si>
  <si>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</si>
  <si>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</si>
  <si>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</si>
  <si>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</si>
  <si>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</si>
  <si>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</si>
  <si>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</si>
  <si>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</si>
  <si>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</si>
  <si>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</si>
  <si>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</si>
  <si>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</si>
  <si>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</si>
  <si>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</si>
  <si>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</si>
  <si>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</si>
  <si>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</si>
  <si>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</si>
  <si>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</si>
  <si>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</si>
  <si>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</si>
  <si>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</si>
  <si>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</si>
  <si>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</si>
  <si>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</si>
  <si>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</si>
  <si>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</si>
  <si>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</si>
  <si>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</si>
  <si>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</si>
  <si>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</si>
  <si>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</si>
  <si>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</si>
  <si>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</si>
  <si>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</si>
  <si>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</si>
  <si>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</si>
  <si>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</si>
  <si>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</si>
  <si>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</si>
  <si>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</si>
  <si>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</si>
  <si>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</si>
  <si>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</si>
  <si>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</si>
  <si>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</si>
  <si>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</si>
  <si>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</si>
  <si>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</si>
  <si>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</si>
  <si>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</si>
  <si>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</si>
  <si>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</si>
  <si>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</si>
  <si>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</si>
  <si>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</si>
  <si>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</si>
  <si>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</si>
  <si>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</si>
  <si>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</si>
  <si>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</si>
  <si>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</si>
  <si>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</si>
  <si>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</si>
  <si>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</si>
  <si>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</si>
  <si>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</si>
  <si>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</si>
  <si>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</si>
  <si>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</si>
  <si>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</si>
  <si>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</si>
  <si>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</si>
  <si>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</si>
  <si>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</si>
  <si>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</si>
  <si>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</si>
  <si>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</si>
  <si>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</si>
  <si>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</si>
  <si>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</si>
  <si>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</si>
  <si>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</si>
  <si>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</si>
  <si>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</si>
  <si>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</si>
  <si>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</si>
  <si>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</si>
  <si>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</si>
  <si>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</si>
  <si>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</si>
  <si>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</si>
  <si>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</si>
  <si>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</si>
  <si>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</si>
  <si>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</si>
  <si>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</si>
  <si>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</si>
  <si>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</si>
  <si>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</si>
  <si>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</si>
  <si>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</si>
  <si>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</si>
  <si>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</si>
  <si>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</si>
  <si>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</si>
  <si>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</si>
  <si>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</si>
  <si>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</si>
  <si>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</si>
  <si>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</si>
  <si>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</si>
  <si>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</si>
  <si>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</si>
  <si>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</si>
  <si>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</si>
  <si>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</si>
  <si>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</si>
  <si>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</si>
  <si>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</si>
  <si>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</si>
  <si>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</si>
  <si>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</si>
  <si>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</si>
  <si>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</si>
  <si>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</si>
  <si>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</si>
  <si>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</si>
  <si>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</si>
  <si>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</si>
  <si>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</si>
  <si>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</si>
  <si>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</si>
  <si>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</si>
  <si>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</si>
  <si>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</si>
  <si>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</si>
  <si>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</si>
  <si>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</si>
  <si>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</si>
  <si>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</si>
  <si>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</si>
  <si>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</si>
  <si>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</si>
  <si>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</si>
  <si>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</si>
  <si>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</si>
  <si>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</si>
  <si>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</si>
  <si>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</si>
  <si>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</si>
  <si>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</si>
  <si>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</si>
  <si>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</si>
  <si>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</si>
  <si>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</si>
  <si>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</si>
  <si>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</si>
  <si>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</si>
  <si>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</si>
  <si>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</si>
  <si>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</si>
  <si>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</si>
  <si>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</si>
  <si>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</si>
  <si>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</si>
  <si>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</si>
  <si>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</si>
  <si>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</si>
  <si>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</si>
  <si>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</si>
  <si>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</si>
  <si>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</si>
  <si>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</si>
  <si>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</si>
  <si>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</si>
  <si>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</si>
  <si>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</si>
  <si>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</si>
  <si>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</si>
  <si>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</si>
  <si>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</si>
  <si>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</si>
  <si>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</si>
  <si>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</si>
  <si>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</si>
  <si>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</si>
  <si>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</si>
  <si>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</si>
  <si>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</si>
  <si>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</si>
  <si>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</si>
  <si>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</si>
  <si>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</si>
  <si>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</si>
  <si>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</si>
  <si>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</si>
  <si>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</si>
  <si>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</si>
  <si>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</si>
  <si>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</si>
  <si>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</si>
  <si>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</si>
  <si>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</si>
  <si>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</si>
  <si>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</si>
  <si>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</si>
  <si>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</si>
  <si>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</si>
  <si>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</si>
  <si>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</si>
  <si>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</si>
  <si>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</si>
  <si>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</si>
  <si>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</si>
  <si>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</si>
  <si>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</si>
  <si>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</si>
  <si>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</si>
  <si>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</si>
  <si>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</si>
  <si>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</si>
  <si>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</si>
  <si>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</si>
  <si>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</si>
  <si>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</si>
  <si>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</si>
  <si>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</si>
  <si>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</si>
  <si>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</si>
  <si>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</si>
  <si>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</si>
  <si>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</si>
  <si>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</si>
  <si>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</si>
  <si>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</si>
  <si>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</si>
  <si>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</si>
  <si>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</si>
  <si>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</si>
  <si>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</si>
  <si>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</si>
  <si>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</si>
  <si>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</si>
  <si>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</si>
  <si>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</si>
  <si>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</si>
  <si>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</si>
  <si>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</si>
  <si>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</si>
  <si>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</si>
  <si>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</si>
  <si>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</si>
  <si>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</si>
  <si>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</si>
  <si>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</si>
  <si>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</si>
  <si>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</si>
  <si>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</si>
  <si>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</si>
  <si>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</si>
  <si>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</si>
  <si>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</si>
  <si>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</si>
  <si>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</si>
  <si>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</si>
  <si>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</si>
  <si>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</si>
  <si>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</si>
  <si>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</si>
  <si>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</si>
  <si>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</si>
  <si>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</si>
  <si>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</si>
  <si>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</si>
  <si>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</si>
  <si>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</si>
  <si>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</si>
  <si>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</si>
  <si>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</si>
  <si>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</si>
  <si>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</si>
  <si>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</si>
  <si>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</si>
  <si>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</si>
  <si>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</si>
  <si>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</si>
  <si>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</si>
  <si>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</si>
  <si>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</si>
  <si>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</si>
  <si>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</si>
  <si>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</si>
  <si>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</si>
  <si>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</si>
  <si>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</si>
  <si>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</si>
  <si>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</si>
  <si>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</si>
  <si>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</si>
  <si>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</si>
  <si>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</si>
  <si>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</si>
  <si>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</si>
  <si>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</si>
  <si>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</si>
  <si>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</si>
  <si>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</si>
  <si>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</si>
  <si>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</si>
  <si>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</si>
  <si>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</si>
  <si>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</si>
  <si>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</si>
  <si>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</si>
  <si>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</si>
  <si>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</si>
  <si>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</si>
  <si>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</si>
  <si>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</si>
  <si>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</si>
  <si>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</si>
  <si>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</si>
  <si>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</si>
  <si>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</si>
  <si>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</si>
  <si>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</si>
  <si>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</si>
  <si>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</si>
  <si>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</si>
  <si>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</si>
  <si>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</si>
  <si>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</si>
  <si>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</si>
  <si>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</si>
  <si>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</si>
  <si>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</si>
  <si>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</si>
  <si>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</si>
  <si>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</si>
  <si>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</si>
  <si>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</si>
  <si>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</si>
  <si>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</si>
  <si>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</si>
  <si>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</si>
  <si>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</si>
  <si>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</si>
  <si>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</si>
  <si>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</si>
  <si>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</si>
  <si>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</si>
  <si>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</si>
  <si>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</si>
  <si>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</si>
  <si>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</si>
  <si>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</si>
  <si>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</si>
  <si>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</si>
  <si>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</si>
  <si>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</si>
  <si>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</si>
  <si>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</si>
  <si>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</si>
  <si>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</si>
  <si>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</si>
  <si>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</si>
  <si>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</si>
  <si>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</si>
  <si>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</si>
  <si>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</si>
  <si>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</si>
  <si>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</si>
  <si>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</si>
  <si>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</si>
  <si>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</si>
  <si>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</si>
  <si>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</si>
  <si>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</si>
  <si>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</si>
  <si>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</si>
  <si>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</si>
  <si>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</si>
  <si>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</si>
  <si>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</si>
  <si>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</si>
  <si>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</si>
  <si>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</si>
  <si>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</si>
  <si>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</si>
  <si>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</si>
  <si>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</si>
  <si>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</si>
  <si>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</si>
  <si>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</si>
  <si>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</si>
  <si>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</si>
  <si>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</si>
  <si>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</si>
  <si>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</si>
  <si>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</si>
  <si>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</si>
  <si>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</si>
  <si>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</si>
  <si>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</si>
  <si>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</si>
  <si>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</si>
  <si>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</si>
  <si>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</si>
  <si>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</si>
  <si>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</si>
  <si>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</si>
  <si>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</si>
  <si>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</si>
  <si>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</si>
  <si>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</si>
  <si>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</si>
  <si>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</si>
  <si>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</si>
  <si>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</si>
  <si>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</si>
  <si>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</si>
  <si>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</si>
  <si>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</si>
  <si>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</si>
  <si>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</si>
  <si>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</si>
  <si>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</si>
  <si>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</si>
  <si>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</si>
  <si>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</si>
  <si>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</si>
  <si>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</si>
  <si>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</si>
  <si>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</si>
  <si>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</si>
  <si>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</si>
  <si>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</si>
  <si>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</si>
  <si>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</si>
  <si>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</si>
  <si>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</si>
  <si>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</si>
  <si>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</si>
  <si>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</si>
  <si>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</si>
  <si>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</si>
  <si>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</si>
  <si>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</si>
  <si>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</si>
  <si>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</si>
  <si>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</si>
  <si>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</si>
  <si>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</si>
  <si>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</si>
  <si>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</si>
  <si>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</si>
  <si>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</si>
  <si>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</si>
  <si>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</si>
  <si>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</si>
  <si>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</si>
  <si>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</si>
  <si>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</si>
  <si>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</si>
  <si>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</si>
  <si>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</si>
  <si>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</si>
  <si>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</si>
  <si>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</si>
  <si>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</si>
  <si>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</si>
  <si>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</si>
  <si>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</si>
  <si>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</si>
  <si>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</si>
  <si>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</si>
  <si>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</si>
  <si>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</si>
  <si>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</si>
  <si>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</si>
  <si>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</si>
  <si>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</si>
  <si>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</si>
  <si>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</si>
  <si>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</si>
  <si>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</si>
  <si>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</si>
  <si>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</si>
  <si>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</si>
  <si>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</si>
  <si>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</si>
  <si>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</si>
  <si>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</si>
  <si>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</si>
  <si>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</si>
  <si>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</si>
  <si>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</si>
  <si>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</si>
  <si>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</si>
  <si>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</si>
  <si>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</si>
  <si>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</si>
  <si>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</si>
  <si>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</si>
  <si>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</si>
  <si>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</si>
  <si>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</si>
  <si>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</si>
  <si>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</si>
  <si>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</si>
  <si>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</si>
  <si>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</si>
  <si>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</si>
  <si>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</si>
  <si>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</si>
  <si>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</si>
  <si>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</si>
  <si>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</si>
  <si>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</si>
  <si>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</si>
  <si>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</si>
  <si>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</si>
  <si>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</si>
  <si>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</si>
  <si>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</si>
  <si>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</si>
  <si>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</si>
  <si>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</si>
  <si>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</si>
  <si>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</si>
  <si>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</si>
  <si>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</si>
  <si>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</si>
  <si>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</si>
  <si>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</si>
  <si>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</si>
  <si>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</si>
  <si>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</si>
  <si>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</si>
  <si>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</si>
  <si>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</si>
  <si>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</si>
  <si>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</si>
  <si>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</si>
  <si>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</si>
  <si>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</si>
  <si>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</si>
  <si>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</si>
  <si>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</si>
  <si>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</si>
  <si>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</si>
  <si>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</si>
  <si>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</si>
  <si>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</si>
  <si>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</si>
  <si>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</si>
  <si>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</si>
  <si>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</si>
  <si>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</si>
  <si>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</si>
  <si>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</si>
  <si>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</si>
  <si>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</si>
  <si>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</si>
  <si>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</si>
  <si>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</si>
  <si>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</si>
  <si>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</si>
  <si>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</si>
  <si>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</si>
  <si>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</si>
  <si>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</si>
  <si>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</si>
  <si>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</si>
  <si>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</si>
  <si>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</si>
  <si>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</si>
  <si>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</si>
  <si>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</si>
  <si>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</si>
  <si>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</si>
  <si>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</si>
  <si>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</si>
  <si>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</si>
  <si>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</si>
  <si>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</si>
  <si>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</si>
  <si>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</si>
  <si>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</si>
  <si>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</si>
  <si>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</si>
  <si>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</si>
  <si>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</si>
  <si>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</si>
  <si>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</si>
  <si>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</si>
  <si>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</si>
  <si>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</si>
  <si>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</si>
  <si>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</si>
  <si>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</si>
  <si>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</si>
  <si>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</si>
  <si>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</si>
  <si>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</si>
  <si>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</si>
  <si>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</si>
  <si>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</si>
  <si>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</si>
  <si>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</si>
  <si>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</si>
  <si>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</si>
  <si>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</si>
  <si>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</si>
  <si>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</si>
  <si>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</si>
  <si>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</si>
  <si>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</si>
  <si>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</si>
  <si>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</si>
  <si>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</si>
  <si>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</si>
  <si>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</si>
  <si>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</si>
  <si>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</si>
  <si>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</si>
  <si>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</si>
  <si>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</si>
  <si>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</si>
  <si>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</si>
  <si>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</si>
  <si>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</si>
  <si>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</si>
  <si>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</si>
  <si>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</si>
  <si>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</si>
  <si>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</si>
  <si>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</si>
  <si>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</si>
  <si>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</si>
  <si>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</si>
  <si>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</si>
  <si>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</si>
  <si>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</si>
  <si>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</si>
  <si>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</si>
  <si>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</si>
  <si>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</si>
  <si>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</si>
  <si>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</si>
  <si>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</si>
  <si>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</si>
  <si>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</si>
  <si>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</si>
  <si>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</si>
  <si>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</si>
  <si>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</si>
  <si>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</si>
  <si>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</si>
  <si>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</si>
  <si>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</si>
  <si>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</si>
  <si>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</si>
  <si>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</si>
  <si>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</si>
  <si>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</si>
  <si>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</si>
  <si>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</si>
  <si>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</si>
  <si>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</si>
  <si>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</si>
  <si>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</si>
  <si>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</si>
  <si>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</si>
  <si>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</si>
  <si>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</si>
  <si>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</si>
  <si>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</si>
  <si>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</si>
  <si>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</si>
  <si>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</si>
  <si>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</si>
  <si>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</si>
  <si>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</si>
  <si>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</si>
  <si>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</si>
  <si>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</si>
  <si>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</si>
  <si>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</si>
  <si>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</si>
  <si>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</si>
  <si>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</si>
  <si>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</si>
  <si>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</si>
  <si>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</si>
  <si>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</si>
  <si>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</si>
  <si>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</si>
  <si>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</si>
  <si>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</si>
  <si>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</si>
  <si>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</si>
  <si>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</si>
  <si>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</si>
  <si>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</si>
  <si>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</si>
  <si>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</si>
  <si>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</si>
  <si>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</si>
  <si>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</si>
  <si>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</si>
  <si>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</si>
  <si>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</si>
  <si>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</si>
  <si>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</si>
  <si>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</si>
  <si>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</si>
  <si>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</si>
  <si>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</si>
  <si>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</si>
  <si>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</si>
  <si>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</si>
  <si>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</si>
  <si>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</si>
  <si>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</si>
  <si>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</si>
  <si>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</si>
  <si>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</si>
  <si>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</si>
  <si>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</si>
  <si>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</si>
  <si>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</si>
  <si>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</si>
  <si>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</si>
  <si>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</si>
  <si>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</si>
  <si>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</si>
  <si>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</si>
  <si>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</si>
  <si>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</si>
  <si>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</si>
  <si>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</si>
  <si>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</si>
  <si>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</si>
  <si>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</si>
  <si>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</si>
  <si>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</si>
  <si>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</si>
  <si>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</si>
  <si>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</si>
  <si>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</si>
  <si>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</si>
  <si>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</si>
  <si>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</si>
  <si>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</si>
  <si>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</si>
  <si>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</si>
  <si>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</si>
  <si>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</si>
  <si>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</si>
  <si>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</si>
  <si>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</si>
  <si>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</si>
  <si>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</si>
  <si>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</si>
  <si>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</si>
  <si>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</si>
  <si>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</si>
  <si>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</si>
  <si>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</si>
  <si>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</si>
  <si>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</si>
  <si>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</si>
  <si>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</si>
  <si>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</si>
  <si>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</si>
  <si>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</si>
  <si>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</si>
  <si>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</si>
  <si>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</si>
  <si>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</si>
  <si>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</si>
  <si>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</si>
  <si>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</si>
  <si>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</si>
  <si>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</si>
  <si>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</si>
  <si>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</si>
  <si>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</si>
  <si>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</si>
  <si>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</si>
  <si>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</si>
  <si>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</si>
  <si>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</si>
  <si>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</si>
  <si>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</si>
  <si>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</si>
  <si>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</si>
  <si>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</si>
  <si>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</si>
  <si>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</si>
  <si>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</si>
  <si>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</si>
  <si>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</si>
  <si>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</si>
  <si>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</si>
  <si>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</si>
  <si>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</si>
  <si>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</si>
  <si>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</si>
  <si>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</si>
  <si>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</si>
  <si>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</si>
  <si>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</si>
  <si>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</si>
  <si>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</si>
  <si>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</si>
  <si>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</si>
  <si>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</si>
  <si>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</si>
  <si>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</si>
  <si>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</si>
  <si>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</si>
  <si>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</si>
  <si>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</si>
  <si>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</si>
  <si>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</si>
  <si>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</si>
  <si>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</si>
  <si>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</si>
  <si>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</si>
  <si>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</si>
  <si>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</si>
  <si>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</si>
  <si>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</si>
  <si>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</si>
  <si>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</si>
  <si>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</si>
  <si>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</si>
  <si>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</si>
  <si>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</si>
  <si>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</si>
  <si>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</si>
  <si>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</si>
  <si>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</si>
  <si>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</si>
  <si>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</si>
  <si>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</si>
  <si>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</si>
  <si>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</si>
  <si>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</si>
  <si>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</si>
  <si>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</si>
  <si>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</si>
  <si>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</si>
  <si>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</si>
  <si>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</si>
  <si>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</si>
  <si>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</si>
  <si>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</si>
  <si>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</si>
  <si>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</si>
  <si>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</si>
  <si>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</si>
  <si>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</si>
  <si>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</si>
  <si>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</si>
  <si>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</si>
  <si>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</si>
  <si>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</si>
  <si>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</si>
  <si>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</si>
  <si>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</si>
  <si>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</si>
  <si>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</si>
  <si>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</si>
  <si>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</si>
  <si>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</si>
  <si>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</si>
  <si>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</si>
  <si>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</si>
  <si>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</si>
  <si>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</si>
  <si>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</si>
  <si>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</si>
  <si>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</si>
  <si>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</si>
  <si>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</si>
  <si>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</si>
  <si>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</si>
  <si>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</si>
  <si>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</si>
  <si>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</si>
  <si>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</si>
  <si>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</si>
  <si>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</si>
  <si>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</si>
  <si>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</si>
  <si>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</si>
  <si>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</si>
  <si>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</si>
  <si>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</si>
  <si>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</si>
  <si>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</si>
  <si>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</si>
  <si>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</si>
  <si>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</si>
  <si>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</si>
  <si>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</si>
  <si>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</si>
  <si>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</si>
  <si>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</si>
  <si>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</si>
  <si>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</si>
  <si>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</si>
  <si>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</si>
  <si>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</si>
  <si>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</si>
  <si>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</si>
  <si>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</si>
  <si>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</si>
  <si>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</si>
  <si>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</si>
  <si>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</si>
  <si>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</si>
  <si>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</si>
  <si>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</si>
  <si>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</si>
  <si>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</si>
  <si>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</si>
  <si>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</si>
  <si>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</si>
  <si>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</si>
  <si>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</si>
  <si>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</si>
  <si>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</si>
  <si>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</si>
  <si>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</si>
  <si>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</si>
  <si>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</si>
  <si>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</si>
  <si>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</si>
  <si>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</si>
  <si>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</si>
  <si>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</si>
  <si>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</si>
  <si>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</si>
  <si>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</si>
  <si>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</si>
  <si>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</si>
  <si>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</si>
  <si>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</si>
  <si>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</si>
  <si>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</si>
  <si>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</si>
  <si>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</si>
  <si>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</si>
  <si>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</si>
  <si>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</si>
  <si>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</si>
  <si>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</si>
  <si>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</si>
  <si>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</si>
  <si>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</si>
  <si>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</si>
  <si>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</si>
  <si>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</si>
  <si>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</si>
  <si>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</si>
  <si>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</si>
  <si>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</si>
  <si>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</si>
  <si>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</si>
  <si>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</si>
  <si>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</si>
  <si>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</si>
  <si>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</si>
  <si>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</si>
  <si>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</si>
  <si>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</si>
  <si>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</si>
  <si>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</si>
  <si>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</si>
  <si>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</si>
  <si>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</si>
  <si>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</si>
  <si>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</si>
  <si>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</si>
  <si>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</si>
  <si>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</si>
  <si>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</si>
  <si>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</si>
  <si>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</si>
  <si>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</si>
  <si>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</si>
  <si>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</si>
  <si>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</si>
  <si>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</si>
  <si>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</si>
  <si>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</si>
  <si>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</si>
  <si>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</si>
  <si>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</si>
  <si>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</si>
  <si>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</si>
  <si>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</si>
  <si>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</si>
  <si>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</si>
  <si>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</si>
  <si>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</si>
  <si>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</si>
  <si>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</si>
  <si>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</si>
  <si>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</si>
  <si>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</si>
  <si>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</si>
  <si>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</si>
  <si>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</si>
  <si>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</si>
  <si>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</si>
  <si>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</si>
  <si>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</si>
  <si>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</si>
  <si>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</si>
  <si>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</si>
  <si>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</si>
  <si>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</si>
  <si>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</si>
  <si>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</si>
  <si>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</si>
  <si>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</si>
  <si>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</si>
  <si>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</si>
  <si>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</si>
  <si>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</si>
  <si>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</si>
  <si>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</si>
  <si>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</si>
  <si>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</si>
  <si>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</si>
  <si>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</si>
  <si>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</si>
  <si>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</si>
  <si>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</si>
  <si>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</si>
  <si>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</si>
  <si>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</si>
  <si>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</si>
  <si>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</si>
  <si>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</si>
  <si>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</si>
  <si>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</si>
  <si>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</si>
  <si>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</si>
  <si>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</si>
  <si>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</si>
  <si>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</si>
  <si>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</si>
  <si>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</si>
  <si>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</si>
  <si>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</si>
  <si>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</si>
  <si>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</si>
  <si>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</si>
  <si>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</si>
  <si>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</si>
  <si>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</si>
  <si>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</si>
  <si>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</si>
  <si>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</si>
  <si>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</si>
  <si>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</si>
  <si>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</si>
  <si>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</si>
  <si>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</si>
  <si>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</si>
  <si>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</si>
  <si>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</si>
  <si>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</si>
  <si>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</si>
  <si>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</si>
  <si>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</si>
  <si>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</si>
  <si>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</si>
  <si>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</si>
  <si>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</si>
  <si>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</si>
  <si>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</si>
  <si>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</si>
  <si>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</si>
  <si>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</si>
  <si>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</si>
  <si>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</si>
  <si>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</si>
  <si>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</si>
  <si>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</si>
  <si>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</si>
  <si>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</si>
  <si>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</si>
  <si>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</si>
  <si>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</si>
  <si>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</si>
  <si>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</si>
  <si>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</si>
  <si>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</si>
  <si>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</si>
  <si>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</si>
  <si>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</si>
  <si>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</si>
  <si>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</si>
  <si>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</si>
  <si>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</si>
  <si>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</si>
  <si>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</si>
  <si>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</si>
  <si>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</si>
  <si>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</si>
  <si>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</si>
  <si>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</si>
  <si>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</si>
  <si>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</si>
  <si>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</si>
  <si>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</si>
  <si>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</si>
  <si>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</si>
  <si>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</si>
  <si>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</si>
  <si>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</si>
  <si>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</si>
  <si>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</si>
  <si>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</si>
  <si>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</si>
  <si>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</si>
  <si>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</si>
  <si>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</si>
  <si>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</si>
  <si>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</si>
  <si>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</si>
  <si>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</si>
  <si>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</si>
  <si>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</si>
  <si>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</si>
  <si>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</si>
  <si>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</si>
  <si>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</si>
  <si>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</si>
  <si>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</si>
  <si>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</si>
  <si>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</si>
  <si>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</si>
  <si>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</si>
  <si>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</si>
  <si>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</si>
  <si>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</si>
  <si>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</si>
  <si>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</si>
  <si>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</si>
  <si>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</si>
  <si>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</si>
  <si>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</si>
  <si>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</si>
  <si>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</si>
  <si>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</si>
  <si>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</si>
  <si>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</si>
  <si>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</si>
  <si>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</si>
  <si>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</si>
  <si>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</si>
  <si>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</si>
  <si>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</si>
  <si>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</si>
  <si>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</si>
  <si>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</si>
  <si>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</si>
  <si>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</si>
  <si>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</si>
  <si>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</si>
  <si>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</si>
  <si>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</si>
  <si>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</si>
  <si>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</si>
  <si>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</si>
  <si>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</si>
  <si>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</si>
  <si>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</si>
  <si>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</si>
  <si>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</si>
  <si>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</si>
  <si>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</si>
  <si>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</si>
  <si>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</si>
  <si>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</si>
  <si>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</si>
  <si>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</si>
  <si>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</si>
  <si>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</si>
  <si>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</si>
  <si>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</si>
  <si>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</si>
  <si>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</si>
  <si>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</si>
  <si>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</si>
  <si>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</si>
  <si>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</si>
  <si>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</si>
  <si>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</si>
  <si>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</si>
  <si>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</si>
  <si>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</si>
  <si>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</si>
  <si>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</si>
  <si>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</si>
  <si>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</si>
  <si>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</si>
  <si>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</si>
  <si>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</si>
  <si>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</si>
  <si>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</si>
  <si>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</si>
  <si>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</si>
  <si>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</si>
  <si>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</si>
  <si>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</si>
  <si>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</si>
  <si>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</si>
  <si>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</si>
  <si>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</si>
  <si>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</si>
  <si>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</si>
  <si>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</si>
  <si>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</si>
  <si>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</si>
  <si>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</si>
  <si>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</si>
  <si>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</si>
  <si>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</si>
  <si>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</si>
  <si>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</si>
  <si>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</si>
  <si>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</si>
  <si>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</si>
  <si>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</si>
  <si>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</si>
  <si>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</si>
  <si>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</si>
  <si>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</si>
  <si>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</si>
  <si>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</si>
  <si>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</si>
  <si>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</si>
  <si>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</si>
  <si>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</si>
  <si>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</si>
  <si>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</si>
  <si>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</si>
  <si>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</si>
  <si>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</si>
  <si>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</si>
  <si>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</si>
  <si>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</si>
  <si>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</si>
  <si>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</si>
  <si>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</si>
  <si>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</si>
  <si>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</si>
  <si>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</si>
  <si>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</si>
  <si>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</si>
  <si>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</si>
  <si>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</si>
  <si>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</si>
  <si>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</si>
  <si>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</si>
  <si>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</si>
  <si>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</si>
  <si>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</si>
  <si>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</si>
  <si>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</si>
  <si>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</si>
  <si>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</si>
  <si>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</si>
  <si>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</si>
  <si>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</si>
  <si>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</si>
  <si>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</si>
  <si>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</si>
  <si>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</si>
  <si>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</si>
  <si>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</si>
  <si>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</si>
  <si>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</si>
  <si>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</si>
  <si>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</si>
  <si>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</si>
  <si>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</si>
  <si>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</si>
  <si>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</si>
  <si>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</si>
  <si>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</si>
  <si>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</si>
  <si>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</si>
  <si>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</si>
  <si>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</si>
  <si>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</si>
  <si>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</si>
  <si>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</si>
  <si>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</si>
  <si>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</si>
  <si>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</si>
  <si>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</si>
  <si>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</si>
  <si>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</si>
  <si>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</si>
  <si>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</si>
  <si>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</si>
  <si>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</si>
  <si>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</si>
  <si>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</si>
  <si>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</si>
  <si>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</si>
  <si>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</si>
  <si>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</si>
  <si>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</si>
  <si>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</si>
  <si>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</si>
  <si>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</si>
  <si>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</si>
  <si>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</si>
  <si>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</si>
  <si>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</si>
  <si>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</si>
  <si>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</si>
  <si>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</si>
  <si>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</si>
  <si>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</si>
  <si>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</si>
  <si>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</si>
  <si>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</si>
  <si>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</si>
  <si>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</si>
  <si>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</si>
  <si>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</si>
  <si>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</si>
  <si>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</si>
  <si>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</si>
  <si>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</si>
  <si>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</si>
  <si>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</si>
  <si>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</si>
  <si>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</si>
  <si>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</si>
  <si>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</si>
  <si>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</si>
  <si>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</si>
  <si>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</si>
  <si>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</si>
  <si>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</si>
  <si>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</si>
  <si>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</si>
  <si>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</si>
  <si>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</si>
  <si>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</si>
  <si>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</si>
  <si>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</si>
  <si>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</si>
  <si>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</si>
  <si>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</si>
  <si>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</si>
  <si>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</si>
  <si>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</si>
  <si>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</si>
  <si>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</si>
  <si>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</si>
  <si>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</si>
  <si>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</si>
  <si>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</si>
  <si>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</si>
  <si>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</si>
  <si>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</si>
  <si>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</si>
  <si>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</si>
  <si>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</si>
  <si>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</si>
  <si>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</si>
  <si>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</si>
  <si>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</si>
  <si>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</si>
  <si>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</si>
  <si>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</si>
  <si>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</si>
  <si>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</si>
  <si>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</si>
  <si>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</si>
  <si>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</si>
  <si>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</si>
  <si>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</si>
  <si>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</si>
  <si>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</si>
  <si>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</si>
  <si>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</si>
  <si>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</si>
  <si>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</si>
  <si>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</si>
  <si>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</si>
  <si>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</si>
  <si>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</si>
  <si>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</si>
  <si>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</si>
  <si>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</si>
  <si>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</si>
  <si>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</si>
  <si>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</si>
  <si>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</si>
  <si>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</si>
  <si>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</si>
  <si>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</si>
  <si>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</si>
  <si>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</si>
  <si>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</si>
  <si>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</si>
  <si>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</si>
  <si>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</si>
  <si>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</si>
  <si>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</si>
  <si>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</si>
  <si>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</si>
  <si>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</si>
  <si>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</si>
  <si>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</si>
  <si>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</si>
  <si>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</si>
  <si>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</si>
  <si>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</si>
  <si>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</si>
  <si>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</si>
  <si>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</si>
  <si>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</si>
  <si>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</si>
  <si>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</si>
  <si>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</si>
  <si>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</si>
  <si>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</si>
  <si>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</si>
  <si>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</si>
  <si>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</si>
  <si>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</si>
  <si>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</si>
  <si>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</si>
  <si>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</si>
  <si>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</si>
  <si>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</si>
  <si>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</si>
  <si>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</si>
  <si>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</si>
  <si>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</si>
  <si>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</si>
  <si>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</si>
  <si>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</si>
  <si>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</si>
  <si>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</si>
  <si>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</si>
  <si>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</si>
  <si>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</si>
  <si>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</si>
  <si>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</si>
  <si>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</si>
  <si>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</si>
  <si>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</si>
  <si>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</si>
  <si>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</si>
  <si>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</si>
  <si>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</si>
  <si>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</si>
  <si>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</si>
  <si>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</si>
  <si>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</si>
  <si>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</si>
  <si>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</si>
  <si>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</si>
  <si>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</si>
  <si>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</si>
  <si>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</si>
  <si>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</si>
  <si>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</si>
  <si>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</si>
  <si>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</si>
  <si>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</si>
  <si>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</si>
  <si>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</si>
  <si>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</si>
  <si>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</si>
  <si>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</si>
  <si>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</si>
  <si>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</si>
  <si>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</si>
  <si>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</si>
  <si>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</si>
  <si>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</si>
  <si>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</si>
  <si>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</si>
  <si>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</si>
  <si>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</si>
  <si>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</si>
  <si>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</si>
  <si>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</si>
  <si>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</si>
  <si>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</si>
  <si>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</si>
  <si>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</si>
  <si>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</si>
  <si>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</si>
  <si>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</si>
  <si>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</si>
  <si>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</si>
  <si>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</si>
  <si>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</si>
  <si>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</si>
  <si>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</si>
  <si>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</si>
  <si>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</si>
  <si>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</si>
  <si>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</si>
  <si>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</si>
  <si>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</si>
  <si>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</si>
  <si>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</si>
  <si>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</si>
  <si>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</si>
  <si>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</si>
  <si>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</si>
  <si>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</si>
  <si>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</si>
  <si>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</si>
  <si>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</si>
  <si>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</si>
  <si>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</si>
  <si>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</si>
  <si>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</si>
  <si>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</si>
  <si>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</si>
  <si>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</si>
  <si>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</si>
  <si>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</si>
  <si>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</si>
  <si>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</si>
  <si>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</si>
  <si>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</si>
  <si>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</si>
  <si>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</si>
  <si>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</si>
  <si>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</si>
  <si>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</si>
  <si>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</si>
  <si>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</si>
  <si>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</si>
  <si>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</si>
  <si>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</si>
  <si>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</si>
  <si>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</si>
  <si>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</si>
  <si>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</si>
  <si>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</si>
  <si>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</si>
  <si>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</si>
  <si>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</si>
  <si>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</si>
  <si>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</si>
  <si>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</si>
  <si>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</si>
  <si>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</si>
  <si>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</si>
  <si>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</si>
  <si>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</si>
  <si>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</si>
  <si>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</si>
  <si>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</si>
  <si>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</si>
  <si>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</si>
  <si>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</si>
  <si>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</si>
  <si>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</si>
  <si>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</si>
  <si>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</si>
  <si>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</si>
  <si>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</si>
  <si>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</si>
  <si>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</si>
  <si>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</si>
  <si>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</si>
  <si>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</si>
  <si>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</si>
  <si>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</si>
  <si>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</si>
  <si>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</si>
  <si>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</si>
  <si>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</si>
  <si>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</si>
  <si>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</si>
  <si>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</si>
  <si>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</si>
  <si>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</si>
  <si>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</si>
  <si>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</si>
  <si>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</si>
  <si>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</si>
  <si>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</si>
  <si>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</si>
  <si>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</si>
  <si>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</si>
  <si>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</si>
  <si>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</si>
  <si>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</si>
  <si>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</si>
  <si>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</si>
  <si>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</si>
  <si>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</si>
  <si>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</si>
  <si>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</si>
  <si>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</si>
  <si>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</si>
  <si>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</si>
  <si>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</si>
  <si>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</si>
  <si>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</si>
  <si>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</si>
  <si>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</si>
  <si>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</si>
  <si>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</si>
  <si>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</si>
  <si>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</si>
  <si>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</si>
  <si>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</si>
  <si>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</si>
  <si>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</si>
  <si>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</si>
  <si>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</si>
  <si>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</si>
  <si>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</si>
  <si>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</si>
  <si>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</si>
  <si>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</si>
  <si>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</si>
  <si>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</si>
  <si>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</si>
  <si>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</si>
  <si>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</si>
  <si>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</si>
  <si>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</si>
  <si>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</si>
  <si>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</si>
  <si>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</si>
  <si>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</si>
  <si>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</si>
  <si>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</si>
  <si>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</si>
  <si>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</si>
  <si>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</si>
  <si>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</si>
  <si>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</si>
  <si>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</si>
  <si>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</si>
  <si>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</si>
  <si>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</si>
  <si>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</si>
  <si>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</si>
  <si>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</si>
  <si>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</si>
  <si>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</si>
  <si>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</si>
  <si>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</si>
  <si>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</si>
  <si>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</si>
  <si>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</si>
  <si>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</si>
  <si>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</si>
  <si>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</si>
  <si>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</si>
  <si>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</si>
  <si>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</si>
  <si>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</si>
  <si>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</si>
  <si>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</si>
  <si>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</si>
  <si>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</si>
  <si>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</si>
  <si>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</si>
  <si>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</si>
  <si>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</si>
  <si>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</si>
  <si>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</si>
  <si>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</si>
  <si>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</si>
  <si>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</si>
  <si>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</si>
  <si>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</si>
  <si>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</si>
  <si>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</si>
  <si>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</si>
  <si>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</si>
  <si>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</si>
  <si>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</si>
  <si>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</si>
  <si>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</si>
  <si>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</si>
  <si>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</si>
  <si>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</si>
  <si>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</si>
  <si>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</si>
  <si>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</si>
  <si>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</si>
  <si>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</si>
  <si>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</si>
  <si>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</si>
  <si>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</si>
  <si>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</si>
  <si>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</si>
  <si>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</si>
  <si>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</si>
  <si>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</si>
  <si>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</si>
  <si>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</si>
  <si>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</si>
  <si>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</si>
  <si>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</si>
  <si>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</si>
  <si>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</si>
  <si>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</si>
  <si>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</si>
  <si>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</si>
  <si>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</si>
  <si>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</si>
  <si>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</si>
  <si>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</si>
  <si>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</si>
  <si>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</si>
  <si>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</si>
  <si>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</si>
  <si>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</si>
  <si>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</si>
  <si>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</si>
  <si>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</si>
  <si>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</si>
  <si>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</si>
  <si>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</si>
  <si>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</si>
  <si>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</si>
  <si>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</si>
  <si>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</si>
  <si>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</si>
  <si>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</si>
  <si>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</si>
  <si>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</si>
  <si>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</si>
  <si>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</si>
  <si>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</si>
  <si>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</si>
  <si>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</si>
  <si>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</si>
  <si>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</si>
  <si>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</si>
  <si>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</si>
  <si>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</si>
  <si>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</si>
  <si>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</si>
  <si>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</si>
  <si>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</si>
  <si>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</si>
  <si>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</si>
  <si>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</si>
  <si>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</si>
  <si>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</si>
  <si>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</si>
  <si>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</si>
  <si>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</si>
  <si>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</si>
  <si>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</si>
  <si>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</si>
  <si>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</si>
  <si>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</si>
  <si>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</si>
  <si>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</si>
  <si>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</si>
  <si>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</si>
  <si>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</si>
  <si>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</si>
  <si>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</si>
  <si>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</si>
  <si>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</si>
  <si>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</si>
  <si>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</si>
  <si>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</si>
  <si>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</si>
  <si>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</si>
  <si>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</si>
  <si>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</si>
  <si>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</si>
  <si>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</si>
  <si>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</si>
  <si>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</si>
  <si>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</si>
  <si>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</si>
  <si>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</si>
  <si>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</si>
  <si>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</si>
  <si>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</si>
  <si>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</si>
  <si>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</si>
  <si>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</si>
  <si>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</si>
  <si>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</si>
  <si>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</si>
  <si>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</si>
  <si>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</si>
  <si>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</si>
  <si>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</si>
  <si>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</si>
  <si>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</si>
  <si>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</si>
  <si>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</si>
  <si>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</si>
  <si>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</si>
  <si>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</si>
  <si>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</si>
  <si>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</si>
  <si>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</si>
  <si>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</si>
  <si>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</si>
  <si>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</si>
  <si>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</si>
  <si>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</si>
  <si>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</si>
  <si>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</si>
  <si>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</si>
  <si>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</si>
  <si>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</si>
  <si>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</si>
  <si>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</si>
  <si>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</si>
  <si>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</si>
  <si>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</si>
  <si>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</si>
  <si>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</si>
  <si>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</si>
  <si>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</si>
  <si>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</si>
  <si>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</si>
  <si>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</si>
  <si>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</si>
  <si>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</si>
  <si>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</si>
  <si>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</si>
  <si>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</si>
  <si>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</si>
  <si>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</si>
  <si>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</si>
  <si>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</si>
  <si>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</si>
  <si>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</si>
  <si>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</si>
  <si>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</si>
  <si>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</si>
  <si>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</si>
  <si>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</si>
  <si>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</si>
  <si>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</si>
  <si>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</si>
  <si>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</si>
  <si>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</si>
  <si>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</si>
  <si>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</si>
  <si>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</si>
  <si>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</si>
  <si>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</si>
  <si>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</si>
  <si>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</si>
  <si>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</si>
  <si>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</si>
  <si>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</si>
  <si>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</si>
  <si>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</si>
  <si>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</si>
  <si>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</si>
  <si>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</si>
  <si>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</si>
  <si>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</si>
  <si>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</si>
  <si>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</si>
  <si>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</si>
  <si>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</si>
  <si>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</si>
  <si>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</si>
  <si>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</si>
  <si>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</si>
  <si>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</si>
  <si>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</si>
  <si>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</si>
  <si>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</si>
  <si>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</si>
  <si>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</si>
  <si>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</si>
  <si>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</si>
  <si>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</si>
  <si>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</si>
  <si>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</si>
  <si>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</si>
  <si>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</si>
  <si>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</si>
  <si>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</si>
  <si>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</si>
  <si>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</si>
  <si>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</si>
  <si>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</si>
  <si>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</si>
  <si>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</si>
  <si>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</si>
  <si>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</si>
  <si>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</si>
  <si>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</si>
  <si>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</si>
  <si>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</si>
  <si>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</si>
  <si>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</si>
  <si>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</si>
  <si>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</si>
  <si>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</si>
  <si>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</si>
  <si>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</si>
  <si>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</si>
  <si>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</si>
  <si>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</si>
  <si>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</si>
  <si>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</si>
  <si>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</si>
  <si>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</si>
  <si>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</si>
  <si>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</si>
  <si>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</si>
  <si>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</si>
  <si>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</si>
  <si>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</si>
  <si>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</si>
  <si>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</si>
  <si>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</si>
  <si>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</si>
  <si>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</si>
  <si>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</si>
  <si>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</si>
  <si>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</si>
  <si>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</si>
  <si>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</si>
  <si>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</si>
  <si>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</si>
  <si>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</si>
  <si>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</si>
  <si>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</si>
  <si>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</si>
  <si>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</si>
  <si>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</si>
  <si>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</si>
  <si>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</si>
  <si>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</si>
  <si>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</si>
  <si>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</si>
  <si>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</si>
  <si>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</si>
  <si>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</si>
  <si>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</si>
  <si>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</si>
  <si>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</si>
  <si>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</si>
  <si>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</si>
  <si>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</si>
  <si>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</si>
  <si>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</si>
  <si>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</si>
  <si>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</si>
  <si>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</si>
  <si>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</si>
  <si>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</si>
  <si>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</si>
  <si>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</si>
  <si>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</si>
  <si>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</si>
  <si>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</si>
  <si>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</si>
  <si>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</si>
  <si>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</si>
  <si>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</si>
  <si>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</si>
  <si>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</si>
  <si>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</si>
  <si>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</si>
  <si>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</si>
  <si>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</si>
  <si>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</si>
  <si>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</si>
  <si>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</si>
  <si>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</si>
  <si>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</si>
  <si>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</si>
  <si>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</si>
  <si>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</si>
  <si>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</si>
  <si>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</si>
  <si>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</si>
  <si>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</si>
  <si>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</si>
  <si>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</si>
  <si>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</si>
  <si>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</si>
  <si>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</si>
  <si>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</si>
  <si>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</si>
  <si>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</si>
  <si>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</si>
  <si>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</si>
  <si>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</si>
  <si>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</si>
  <si>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</si>
  <si>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</si>
  <si>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</si>
  <si>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</si>
  <si>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</si>
  <si>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</si>
  <si>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</si>
  <si>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</si>
  <si>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</si>
  <si>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</si>
  <si>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</si>
  <si>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</si>
  <si>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</si>
  <si>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</si>
  <si>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</si>
  <si>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</si>
  <si>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</si>
  <si>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</si>
  <si>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</si>
  <si>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</si>
  <si>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</si>
  <si>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</si>
  <si>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</si>
  <si>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</si>
  <si>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</si>
  <si>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</si>
  <si>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</si>
  <si>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</si>
  <si>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</si>
  <si>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</si>
  <si>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</si>
  <si>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</si>
  <si>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</si>
  <si>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</si>
  <si>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</si>
  <si>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</si>
  <si>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</si>
  <si>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</si>
  <si>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</si>
  <si>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</si>
  <si>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</si>
  <si>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</si>
  <si>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</si>
  <si>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</si>
  <si>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</si>
  <si>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</si>
  <si>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</si>
  <si>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</si>
  <si>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</si>
  <si>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</si>
  <si>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</si>
  <si>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</si>
  <si>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</si>
  <si>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</si>
  <si>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</si>
  <si>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</si>
  <si>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</si>
  <si>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</si>
  <si>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</si>
  <si>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</si>
  <si>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</si>
  <si>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</si>
  <si>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</si>
  <si>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</si>
  <si>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</si>
  <si>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</si>
  <si>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</si>
  <si>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</si>
  <si>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</si>
  <si>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</si>
  <si>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</si>
  <si>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</si>
  <si>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</si>
  <si>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</si>
  <si>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</si>
  <si>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</si>
  <si>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</si>
  <si>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</si>
  <si>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</si>
  <si>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</si>
  <si>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</si>
  <si>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</si>
  <si>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</si>
  <si>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</si>
  <si>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</si>
  <si>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</si>
  <si>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</si>
  <si>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</si>
  <si>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</si>
  <si>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</si>
  <si>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</si>
  <si>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</si>
  <si>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</si>
  <si>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</si>
  <si>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</si>
  <si>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</si>
  <si>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</si>
  <si>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</si>
  <si>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</si>
  <si>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</si>
  <si>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</si>
  <si>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</si>
  <si>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</si>
  <si>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</si>
  <si>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</si>
  <si>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</si>
  <si>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</si>
  <si>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</si>
  <si>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</si>
  <si>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</si>
  <si>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</si>
  <si>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</si>
  <si>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</si>
  <si>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</si>
  <si>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</si>
  <si>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</si>
  <si>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</si>
  <si>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</si>
  <si>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</si>
  <si>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</si>
  <si>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</si>
  <si>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</si>
  <si>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</si>
  <si>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</si>
  <si>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</si>
  <si>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</si>
  <si>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</si>
  <si>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</si>
  <si>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</si>
  <si>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</si>
  <si>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</si>
  <si>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</si>
  <si>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</si>
  <si>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</si>
  <si>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</si>
  <si>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</si>
  <si>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</si>
  <si>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</si>
  <si>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</si>
  <si>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</si>
  <si>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</si>
  <si>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</si>
  <si>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</si>
  <si>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</si>
  <si>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</si>
  <si>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</si>
  <si>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</si>
  <si>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</si>
  <si>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</si>
  <si>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</si>
  <si>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</si>
  <si>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</si>
  <si>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</si>
  <si>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</si>
  <si>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</si>
  <si>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</si>
  <si>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</si>
  <si>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</si>
  <si>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</si>
  <si>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</si>
  <si>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</si>
  <si>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</si>
  <si>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</si>
  <si>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</si>
  <si>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</si>
  <si>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</si>
  <si>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</si>
  <si>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</si>
  <si>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</si>
  <si>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</si>
  <si>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</si>
  <si>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</si>
  <si>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</si>
  <si>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</si>
  <si>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</si>
  <si>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</si>
  <si>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</si>
  <si>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</si>
  <si>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</si>
  <si>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</si>
  <si>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</si>
  <si>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</si>
  <si>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</si>
  <si>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</si>
  <si>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</si>
  <si>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</si>
  <si>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</si>
  <si>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</si>
  <si>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</si>
  <si>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</si>
  <si>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</si>
  <si>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</si>
  <si>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</si>
  <si>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</si>
  <si>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</si>
  <si>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</si>
  <si>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</si>
  <si>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</si>
  <si>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</si>
  <si>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</si>
  <si>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</si>
  <si>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</si>
  <si>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</si>
  <si>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</si>
  <si>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</si>
  <si>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</si>
  <si>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</si>
  <si>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</si>
  <si>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</si>
  <si>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</si>
  <si>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</si>
  <si>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</si>
  <si>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</si>
  <si>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</si>
  <si>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</si>
  <si>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</si>
  <si>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</si>
  <si>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</si>
  <si>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</si>
  <si>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</si>
  <si>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</si>
  <si>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</si>
  <si>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</si>
  <si>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</si>
  <si>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</si>
  <si>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</si>
  <si>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</si>
  <si>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</si>
  <si>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</si>
  <si>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</si>
  <si>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</si>
  <si>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</si>
  <si>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</si>
  <si>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</si>
  <si>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</si>
  <si>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</si>
  <si>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</si>
  <si>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</si>
  <si>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</si>
  <si>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</si>
  <si>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</si>
  <si>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</si>
  <si>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</si>
  <si>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</si>
  <si>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</si>
  <si>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</si>
  <si>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</si>
  <si>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</si>
  <si>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</si>
  <si>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</si>
  <si>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</si>
  <si>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</si>
  <si>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</si>
  <si>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</si>
  <si>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</si>
  <si>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</si>
  <si>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</si>
  <si>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</si>
  <si>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</si>
  <si>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</si>
  <si>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</si>
  <si>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</si>
  <si>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</si>
  <si>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</si>
  <si>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</si>
  <si>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</si>
  <si>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</si>
  <si>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</si>
  <si>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</si>
  <si>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</si>
  <si>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</si>
  <si>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</si>
  <si>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</si>
  <si>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</si>
  <si>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</si>
  <si>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</si>
  <si>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</si>
  <si>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</si>
  <si>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</si>
  <si>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</si>
  <si>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</si>
  <si>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</si>
  <si>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</si>
  <si>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</si>
  <si>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</si>
  <si>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</si>
  <si>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</si>
  <si>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</si>
  <si>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</si>
  <si>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</si>
  <si>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</si>
  <si>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</si>
  <si>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</si>
  <si>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</si>
  <si>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</si>
  <si>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</si>
  <si>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</si>
  <si>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</si>
  <si>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</si>
  <si>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</si>
  <si>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</si>
  <si>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</si>
  <si>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</si>
  <si>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</si>
  <si>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</si>
  <si>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</si>
  <si>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</si>
  <si>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</si>
  <si>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</si>
  <si>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</si>
  <si>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</si>
  <si>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</si>
  <si>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</si>
  <si>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</si>
  <si>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</si>
  <si>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</si>
  <si>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</si>
  <si>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</si>
  <si>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</si>
  <si>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</si>
  <si>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</si>
  <si>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</si>
  <si>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</si>
  <si>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</si>
  <si>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</si>
  <si>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</si>
  <si>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</si>
  <si>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</si>
  <si>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</si>
  <si>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</si>
  <si>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</si>
  <si>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</si>
  <si>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</si>
  <si>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</si>
  <si>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</si>
  <si>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</si>
  <si>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</si>
  <si>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</si>
  <si>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</si>
  <si>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</si>
  <si>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</si>
  <si>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</si>
  <si>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</si>
  <si>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</si>
  <si>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</si>
  <si>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</si>
  <si>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</si>
  <si>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</si>
  <si>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</si>
  <si>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</si>
  <si>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</si>
  <si>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</si>
  <si>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</si>
  <si>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</si>
  <si>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</si>
  <si>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</si>
  <si>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</si>
  <si>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</si>
  <si>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</si>
  <si>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</si>
  <si>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</si>
  <si>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</si>
  <si>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</si>
  <si>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</si>
  <si>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</si>
  <si>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</si>
  <si>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</si>
  <si>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</si>
  <si>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</si>
  <si>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</si>
  <si>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</si>
  <si>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</si>
  <si>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</si>
  <si>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</si>
  <si>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</si>
  <si>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</si>
  <si>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</si>
  <si>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</si>
  <si>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</si>
  <si>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</si>
  <si>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</si>
  <si>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</si>
  <si>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</si>
  <si>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</si>
  <si>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</si>
  <si>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</si>
  <si>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</si>
  <si>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</si>
  <si>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</si>
  <si>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</si>
  <si>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</si>
  <si>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</si>
  <si>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</si>
  <si>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</si>
  <si>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</si>
  <si>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</si>
  <si>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</si>
  <si>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</si>
  <si>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</si>
  <si>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</si>
  <si>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</si>
  <si>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</si>
  <si>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</si>
  <si>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</si>
  <si>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</si>
  <si>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</si>
  <si>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</si>
  <si>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</si>
  <si>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</si>
  <si>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</si>
  <si>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</si>
  <si>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</si>
  <si>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</si>
  <si>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</si>
  <si>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</si>
  <si>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</si>
  <si>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</si>
  <si>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</si>
  <si>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</si>
  <si>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</si>
  <si>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</si>
  <si>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</si>
  <si>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</si>
  <si>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</si>
  <si>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</si>
  <si>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</si>
  <si>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</si>
  <si>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</si>
  <si>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</si>
  <si>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</si>
  <si>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</si>
  <si>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</si>
  <si>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</si>
  <si>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</si>
  <si>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</si>
  <si>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</si>
  <si>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</si>
  <si>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</si>
  <si>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</si>
  <si>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</si>
  <si>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</si>
  <si>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</si>
  <si>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</si>
  <si>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</si>
  <si>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</si>
  <si>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</si>
  <si>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</si>
  <si>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</si>
  <si>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</si>
  <si>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</si>
  <si>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</si>
  <si>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</si>
  <si>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</si>
  <si>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</si>
  <si>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</si>
  <si>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</si>
  <si>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</si>
  <si>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</si>
  <si>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</si>
  <si>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</si>
  <si>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</si>
  <si>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</si>
  <si>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</si>
  <si>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</si>
  <si>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</si>
  <si>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</si>
  <si>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</si>
  <si>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</si>
  <si>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</si>
  <si>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</si>
  <si>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</si>
  <si>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</si>
  <si>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</si>
  <si>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</si>
  <si>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</si>
  <si>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</si>
  <si>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</si>
  <si>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</si>
  <si>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</si>
  <si>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</si>
  <si>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</si>
  <si>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</si>
  <si>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</si>
  <si>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</si>
  <si>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</si>
  <si>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</si>
  <si>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</si>
  <si>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</si>
  <si>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</si>
  <si>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</si>
  <si>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</si>
  <si>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</si>
  <si>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</si>
  <si>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</si>
  <si>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</si>
  <si>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</si>
  <si>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</si>
  <si>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</si>
  <si>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</si>
  <si>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</si>
  <si>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</si>
  <si>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</si>
  <si>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</si>
  <si>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</si>
  <si>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</si>
  <si>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</si>
  <si>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</si>
  <si>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</si>
  <si>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</si>
  <si>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</si>
  <si>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</si>
  <si>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</si>
  <si>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</si>
  <si>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</si>
  <si>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</si>
  <si>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</si>
  <si>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</si>
  <si>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</si>
  <si>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</si>
  <si>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</si>
  <si>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</si>
  <si>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</si>
  <si>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</si>
  <si>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</si>
  <si>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</si>
  <si>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</si>
  <si>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</si>
  <si>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</si>
  <si>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</si>
  <si>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</si>
  <si>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</si>
  <si>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</si>
  <si>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</si>
  <si>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</si>
  <si>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</si>
  <si>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</si>
  <si>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</si>
  <si>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</si>
  <si>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</si>
  <si>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</si>
  <si>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</si>
  <si>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</si>
  <si>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</si>
  <si>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</si>
  <si>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</si>
  <si>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</si>
  <si>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</si>
  <si>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</si>
  <si>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</si>
  <si>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</si>
  <si>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</si>
  <si>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</si>
  <si>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</si>
  <si>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</si>
  <si>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</si>
  <si>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</si>
  <si>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</si>
  <si>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</si>
  <si>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</si>
  <si>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</si>
  <si>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</si>
  <si>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</si>
  <si>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</si>
  <si>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</si>
  <si>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</si>
  <si>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</si>
  <si>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</si>
  <si>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</si>
  <si>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</si>
  <si>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</si>
  <si>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</si>
  <si>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</si>
  <si>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</si>
  <si>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</si>
  <si>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</si>
  <si>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</si>
  <si>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</si>
  <si>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</si>
  <si>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</si>
  <si>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</si>
  <si>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</si>
  <si>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</si>
  <si>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</si>
  <si>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</si>
  <si>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</si>
  <si>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</si>
  <si>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</si>
  <si>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</si>
  <si>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</si>
  <si>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</si>
  <si>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</si>
  <si>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</si>
  <si>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</si>
  <si>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</si>
  <si>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</si>
  <si>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</si>
  <si>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</si>
  <si>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</si>
  <si>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</si>
  <si>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</si>
  <si>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</si>
  <si>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</si>
  <si>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</si>
  <si>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</si>
  <si>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</si>
  <si>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</si>
  <si>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</si>
  <si>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</si>
  <si>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</si>
  <si>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</si>
  <si>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</si>
  <si>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</si>
  <si>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</si>
  <si>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</si>
  <si>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</si>
  <si>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</si>
  <si>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</si>
  <si>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</si>
  <si>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</si>
  <si>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</si>
  <si>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</si>
  <si>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</si>
  <si>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</si>
  <si>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</si>
  <si>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</si>
  <si>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</si>
  <si>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</si>
  <si>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</si>
  <si>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</si>
  <si>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</si>
  <si>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</si>
  <si>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</si>
  <si>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</si>
  <si>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</si>
  <si>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</si>
  <si>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</si>
  <si>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</si>
  <si>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</si>
  <si>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</si>
  <si>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</si>
  <si>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</si>
  <si>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</si>
  <si>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</si>
  <si>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</si>
  <si>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</si>
  <si>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</si>
  <si>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</si>
  <si>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</si>
  <si>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</si>
  <si>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</si>
  <si>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</si>
  <si>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</si>
  <si>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</si>
  <si>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</si>
  <si>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</si>
  <si>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</si>
  <si>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</si>
  <si>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</si>
  <si>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</si>
  <si>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</si>
  <si>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</si>
  <si>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</si>
  <si>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</si>
  <si>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</si>
  <si>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</si>
  <si>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</si>
  <si>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</si>
  <si>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</si>
  <si>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</si>
  <si>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</si>
  <si>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</si>
  <si>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</si>
  <si>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</si>
  <si>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</si>
  <si>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</si>
  <si>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</si>
  <si>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</si>
  <si>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</si>
  <si>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</si>
  <si>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</si>
  <si>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</si>
  <si>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</si>
  <si>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</si>
  <si>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</si>
  <si>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</si>
  <si>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</si>
  <si>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</si>
  <si>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</si>
  <si>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</si>
  <si>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</si>
  <si>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</si>
  <si>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</si>
  <si>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</si>
  <si>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</si>
  <si>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</si>
  <si>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</si>
  <si>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</si>
  <si>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</si>
  <si>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</si>
  <si>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</si>
  <si>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</si>
  <si>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</si>
  <si>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</si>
  <si>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</si>
  <si>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</si>
  <si>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</si>
  <si>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</si>
  <si>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</si>
  <si>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</si>
  <si>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</si>
  <si>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</si>
  <si>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</si>
  <si>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</si>
  <si>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</si>
  <si>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</si>
  <si>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</si>
  <si>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</si>
  <si>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</si>
  <si>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</si>
  <si>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</si>
  <si>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</si>
  <si>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</si>
  <si>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</si>
  <si>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</si>
  <si>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</si>
  <si>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</si>
  <si>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</si>
  <si>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</si>
  <si>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</si>
  <si>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</si>
  <si>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</si>
  <si>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</si>
  <si>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</si>
  <si>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</si>
  <si>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</si>
  <si>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</si>
  <si>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</si>
  <si>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</si>
  <si>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</si>
  <si>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</si>
  <si>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</si>
  <si>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</si>
  <si>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</si>
  <si>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</si>
  <si>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</si>
  <si>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</si>
  <si>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</si>
  <si>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</si>
  <si>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</si>
  <si>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</si>
  <si>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</si>
  <si>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</si>
  <si>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</si>
  <si>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</si>
  <si>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</si>
  <si>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</si>
  <si>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</si>
  <si>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</si>
  <si>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</si>
  <si>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</si>
  <si>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</si>
  <si>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</si>
  <si>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</si>
  <si>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</si>
  <si>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</si>
  <si>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</si>
  <si>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</si>
  <si>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</si>
  <si>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</si>
  <si>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</si>
  <si>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</si>
  <si>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</si>
  <si>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</si>
  <si>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</si>
  <si>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</si>
  <si>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</si>
  <si>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</si>
  <si>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</si>
  <si>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</si>
  <si>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</si>
  <si>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</si>
  <si>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</si>
  <si>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</si>
  <si>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</si>
  <si>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</si>
  <si>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</si>
  <si>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</si>
  <si>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</si>
  <si>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</si>
  <si>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</si>
  <si>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</si>
  <si>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</si>
  <si>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</si>
  <si>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</si>
  <si>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</si>
  <si>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</si>
  <si>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</si>
  <si>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</si>
  <si>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</si>
  <si>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</si>
  <si>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</si>
  <si>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</si>
  <si>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</si>
  <si>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</si>
  <si>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</si>
  <si>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</si>
  <si>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</si>
  <si>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</si>
  <si>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</si>
  <si>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</si>
  <si>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</si>
  <si>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</si>
  <si>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</si>
  <si>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</si>
  <si>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</si>
  <si>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</si>
  <si>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</si>
  <si>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</si>
  <si>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</si>
  <si>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</si>
  <si>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</si>
  <si>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</si>
  <si>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</si>
  <si>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</si>
  <si>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</si>
  <si>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</si>
  <si>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</si>
  <si>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</si>
  <si>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</si>
  <si>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</si>
  <si>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</si>
  <si>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</si>
  <si>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</si>
  <si>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</si>
  <si>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</si>
  <si>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</si>
  <si>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</si>
  <si>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</si>
  <si>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</si>
  <si>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</si>
  <si>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</si>
  <si>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</si>
  <si>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</si>
  <si>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</si>
  <si>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</si>
  <si>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</si>
  <si>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</si>
  <si>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</si>
  <si>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</si>
  <si>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</si>
  <si>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</si>
  <si>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</si>
  <si>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</si>
  <si>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</si>
  <si>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</si>
  <si>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</si>
  <si>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</si>
  <si>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</si>
  <si>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</si>
  <si>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</si>
  <si>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</si>
  <si>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</si>
  <si>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</si>
  <si>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</si>
  <si>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</si>
  <si>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</si>
  <si>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</si>
  <si>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</si>
  <si>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</si>
  <si>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</si>
  <si>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</si>
  <si>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</si>
  <si>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</si>
  <si>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</si>
  <si>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</si>
  <si>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</si>
  <si>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</si>
  <si>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</si>
  <si>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</si>
  <si>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</si>
  <si>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</si>
  <si>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</si>
  <si>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</si>
  <si>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</si>
  <si>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</si>
  <si>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</si>
  <si>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</si>
  <si>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</si>
  <si>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</si>
  <si>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</si>
  <si>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</si>
  <si>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</si>
  <si>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</si>
  <si>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</si>
  <si>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</si>
  <si>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</si>
  <si>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</si>
  <si>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</si>
  <si>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</si>
  <si>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</si>
  <si>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</si>
  <si>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</si>
  <si>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</si>
  <si>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</si>
  <si>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</si>
  <si>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</si>
  <si>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</si>
  <si>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</si>
  <si>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</si>
  <si>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</si>
  <si>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</si>
  <si>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</si>
  <si>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</si>
  <si>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</si>
  <si>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</si>
  <si>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</si>
  <si>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</si>
  <si>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</si>
  <si>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</si>
  <si>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</si>
  <si>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</si>
  <si>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</si>
  <si>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</si>
  <si>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</si>
  <si>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</si>
  <si>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</si>
  <si>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</si>
  <si>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</si>
  <si>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</si>
  <si>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</si>
  <si>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</si>
  <si>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</si>
  <si>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</si>
  <si>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</si>
  <si>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</si>
  <si>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</si>
  <si>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</si>
  <si>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</si>
  <si>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</si>
  <si>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</si>
  <si>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</si>
  <si>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</si>
  <si>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</si>
  <si>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</si>
  <si>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</si>
  <si>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</si>
  <si>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</si>
  <si>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</si>
  <si>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</si>
  <si>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</si>
  <si>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</si>
  <si>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</si>
  <si>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</si>
  <si>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</si>
  <si>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</si>
  <si>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</si>
  <si>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</si>
  <si>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</si>
  <si>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</si>
  <si>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</si>
  <si>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</si>
  <si>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</si>
  <si>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</si>
  <si>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</si>
  <si>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</si>
  <si>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</si>
  <si>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</si>
  <si>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</si>
  <si>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</si>
  <si>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</si>
  <si>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</si>
  <si>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</si>
  <si>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</si>
  <si>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</si>
  <si>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</si>
  <si>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</si>
  <si>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</si>
  <si>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</si>
  <si>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</si>
  <si>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</si>
  <si>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</si>
  <si>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</si>
  <si>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</si>
  <si>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</si>
  <si>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</si>
  <si>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</si>
  <si>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</si>
  <si>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</si>
  <si>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</si>
  <si>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</si>
  <si>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</si>
  <si>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</si>
  <si>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</si>
  <si>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</si>
  <si>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</si>
  <si>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</si>
  <si>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</si>
  <si>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</si>
  <si>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</si>
  <si>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</si>
  <si>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</si>
  <si>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</si>
  <si>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</si>
  <si>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</si>
  <si>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</si>
  <si>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</si>
  <si>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</si>
  <si>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</si>
  <si>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</si>
  <si>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</si>
  <si>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</si>
  <si>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</si>
  <si>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</si>
  <si>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</si>
  <si>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</si>
  <si>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</si>
  <si>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</si>
  <si>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</si>
  <si>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</si>
  <si>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</si>
  <si>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</si>
  <si>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</si>
  <si>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</si>
  <si>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</si>
  <si>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</si>
  <si>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</si>
  <si>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</si>
  <si>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</si>
  <si>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</si>
  <si>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</si>
  <si>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</si>
  <si>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</si>
  <si>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</si>
  <si>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</si>
  <si>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</si>
  <si>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</si>
  <si>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</si>
  <si>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</si>
  <si>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</si>
  <si>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</si>
  <si>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</si>
  <si>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</si>
  <si>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</si>
  <si>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</si>
  <si>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</si>
  <si>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</si>
  <si>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</si>
  <si>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</si>
  <si>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</si>
  <si>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</si>
  <si>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</si>
  <si>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</si>
  <si>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</si>
  <si>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</si>
  <si>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</si>
  <si>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</si>
  <si>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</si>
  <si>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</si>
  <si>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</si>
  <si>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</si>
  <si>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</si>
  <si>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</si>
  <si>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</si>
  <si>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</si>
  <si>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</si>
  <si>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</si>
  <si>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</si>
  <si>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</si>
  <si>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</si>
  <si>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</si>
  <si>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</si>
  <si>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</si>
  <si>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</si>
  <si>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</si>
  <si>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</si>
  <si>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</si>
  <si>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</si>
  <si>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</si>
  <si>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</si>
  <si>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</si>
  <si>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</si>
  <si>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</si>
  <si>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</si>
  <si>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</si>
  <si>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</si>
  <si>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</si>
  <si>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</si>
  <si>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</si>
  <si>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</si>
  <si>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</si>
  <si>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</si>
  <si>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</si>
  <si>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</si>
  <si>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</si>
  <si>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</si>
  <si>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</si>
  <si>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</si>
  <si>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</si>
  <si>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</si>
  <si>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</si>
  <si>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</si>
  <si>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</si>
  <si>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</si>
  <si>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</si>
  <si>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</si>
  <si>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</si>
  <si>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</si>
  <si>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</si>
  <si>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</si>
  <si>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</si>
  <si>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</si>
  <si>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</si>
  <si>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</si>
  <si>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</si>
  <si>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</si>
  <si>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</si>
  <si>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</si>
  <si>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</si>
  <si>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</si>
  <si>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</si>
  <si>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</si>
  <si>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</si>
  <si>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</si>
  <si>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</si>
  <si>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</si>
  <si>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</si>
  <si>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</si>
  <si>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</si>
  <si>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</si>
  <si>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</si>
  <si>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</si>
  <si>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</si>
  <si>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</si>
  <si>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</si>
  <si>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</si>
  <si>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</si>
  <si>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</si>
  <si>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</si>
  <si>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</si>
  <si>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</si>
  <si>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</si>
  <si>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</si>
  <si>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</si>
  <si>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</si>
  <si>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</si>
  <si>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</si>
  <si>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</si>
  <si>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</si>
  <si>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</si>
  <si>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</si>
  <si>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</si>
  <si>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</si>
  <si>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</si>
  <si>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</si>
  <si>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</si>
  <si>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</si>
  <si>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</si>
  <si>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</si>
  <si>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</si>
  <si>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</si>
  <si>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</si>
  <si>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</si>
  <si>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</si>
  <si>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</si>
  <si>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</si>
  <si>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</si>
  <si>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</si>
  <si>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</si>
  <si>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</si>
  <si>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</si>
  <si>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</si>
  <si>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</si>
  <si>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</si>
  <si>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</si>
  <si>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</si>
  <si>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</si>
  <si>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</si>
  <si>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</si>
  <si>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</si>
  <si>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</si>
  <si>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</si>
  <si>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</si>
  <si>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</si>
  <si>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</si>
  <si>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</si>
  <si>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</si>
  <si>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</si>
  <si>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</si>
  <si>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</si>
  <si>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</si>
  <si>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</si>
  <si>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</si>
  <si>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</si>
  <si>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</si>
  <si>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</si>
  <si>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</si>
  <si>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</si>
  <si>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</si>
  <si>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</si>
  <si>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</si>
  <si>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</si>
  <si>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</si>
  <si>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</si>
  <si>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</si>
  <si>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</si>
  <si>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</si>
  <si>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</si>
  <si>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</si>
  <si>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</si>
  <si>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</si>
  <si>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</si>
  <si>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</si>
  <si>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</si>
  <si>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</si>
  <si>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</si>
  <si>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</si>
  <si>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</si>
  <si>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</si>
  <si>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</si>
  <si>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</si>
  <si>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</si>
  <si>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</si>
  <si>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</si>
  <si>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</si>
  <si>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</si>
  <si>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</si>
  <si>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</si>
  <si>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</si>
  <si>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</si>
  <si>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</si>
  <si>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</si>
  <si>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</si>
  <si>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</si>
  <si>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</si>
  <si>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</si>
  <si>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</si>
  <si>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</si>
  <si>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</si>
  <si>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</si>
  <si>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</si>
  <si>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</si>
  <si>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</si>
  <si>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</si>
  <si>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</si>
  <si>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</si>
  <si>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</si>
  <si>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</si>
  <si>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</si>
  <si>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</si>
  <si>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</si>
  <si>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</si>
  <si>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</si>
  <si>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</si>
  <si>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</si>
  <si>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</si>
  <si>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</si>
  <si>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</si>
  <si>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</si>
  <si>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</si>
  <si>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</si>
  <si>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</si>
  <si>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</si>
  <si>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</si>
  <si>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</si>
  <si>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</si>
  <si>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</si>
  <si>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</si>
  <si>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</si>
  <si>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</si>
  <si>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</si>
  <si>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</si>
  <si>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</si>
  <si>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</si>
  <si>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</si>
  <si>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</si>
  <si>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</si>
  <si>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</si>
  <si>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</si>
  <si>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</si>
  <si>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</si>
  <si>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</si>
  <si>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</si>
  <si>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</si>
  <si>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</si>
  <si>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</si>
  <si>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</si>
  <si>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</si>
  <si>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</si>
  <si>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</si>
  <si>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</si>
  <si>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</si>
  <si>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</si>
  <si>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</si>
  <si>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</si>
  <si>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</si>
  <si>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</si>
  <si>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</si>
  <si>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</si>
  <si>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</si>
  <si>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</si>
  <si>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</si>
  <si>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</si>
  <si>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</si>
  <si>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</si>
  <si>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</si>
  <si>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</si>
  <si>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</si>
  <si>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</si>
  <si>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</si>
  <si>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</si>
  <si>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</si>
  <si>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</si>
  <si>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</si>
  <si>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</si>
  <si>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</si>
  <si>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</si>
  <si>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</si>
  <si>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</si>
  <si>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</si>
  <si>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</si>
  <si>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</si>
  <si>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</si>
  <si>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</si>
  <si>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</si>
  <si>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</si>
  <si>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</si>
  <si>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</si>
  <si>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</si>
  <si>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</si>
  <si>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</si>
  <si>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</si>
  <si>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</si>
  <si>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</si>
  <si>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</si>
  <si>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</si>
  <si>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</si>
  <si>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</si>
  <si>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</si>
  <si>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</si>
  <si>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</si>
  <si>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</si>
  <si>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</si>
  <si>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</si>
  <si>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</si>
  <si>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</si>
  <si>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</si>
  <si>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</si>
  <si>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</si>
  <si>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</si>
  <si>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</si>
  <si>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</si>
  <si>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</si>
  <si>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</si>
  <si>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</si>
  <si>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</si>
  <si>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</si>
  <si>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</si>
  <si>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</si>
  <si>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</si>
  <si>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</si>
  <si>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</si>
  <si>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</si>
  <si>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</si>
  <si>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</si>
  <si>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</si>
  <si>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</si>
  <si>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</si>
  <si>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</si>
  <si>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</si>
  <si>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</si>
  <si>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</si>
  <si>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</si>
  <si>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</si>
  <si>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</si>
  <si>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</si>
  <si>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</si>
  <si>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</si>
  <si>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</si>
  <si>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</si>
  <si>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</si>
  <si>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</si>
  <si>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</si>
  <si>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</si>
  <si>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</si>
  <si>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</si>
  <si>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</si>
  <si>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</si>
  <si>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</si>
  <si>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</si>
  <si>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</si>
  <si>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</si>
  <si>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</si>
  <si>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</si>
  <si>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</si>
  <si>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</si>
  <si>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</si>
  <si>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</si>
  <si>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</si>
  <si>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</si>
  <si>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</si>
  <si>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</si>
  <si>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</si>
  <si>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</si>
  <si>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</si>
  <si>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</si>
  <si>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</si>
  <si>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</si>
  <si>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</si>
  <si>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</si>
  <si>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</si>
  <si>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</si>
  <si>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</si>
  <si>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</si>
  <si>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</si>
  <si>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</si>
  <si>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</si>
  <si>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</si>
  <si>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</si>
  <si>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</si>
  <si>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</si>
  <si>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</si>
  <si>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</si>
  <si>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</si>
  <si>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</si>
  <si>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</si>
  <si>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</si>
  <si>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</si>
  <si>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</si>
  <si>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</si>
  <si>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</si>
  <si>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</si>
  <si>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</si>
  <si>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</si>
  <si>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</si>
  <si>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</si>
  <si>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</si>
  <si>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</si>
  <si>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</si>
  <si>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</si>
  <si>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</si>
  <si>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</si>
  <si>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</si>
  <si>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</si>
  <si>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</si>
  <si>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</si>
  <si>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</si>
  <si>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</si>
  <si>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</si>
  <si>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</si>
  <si>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</si>
  <si>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</si>
  <si>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</si>
  <si>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</si>
  <si>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</si>
  <si>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</si>
  <si>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</si>
  <si>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</si>
  <si>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</si>
  <si>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</si>
  <si>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</si>
  <si>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</si>
  <si>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</si>
  <si>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</si>
  <si>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</si>
  <si>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</si>
  <si>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</si>
  <si>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</si>
  <si>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</si>
  <si>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</si>
  <si>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</si>
  <si>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</si>
  <si>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</si>
  <si>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</si>
  <si>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</si>
  <si>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</si>
  <si>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</si>
  <si>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</si>
  <si>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</si>
  <si>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</si>
  <si>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</si>
  <si>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</si>
  <si>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</si>
  <si>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</si>
  <si>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</si>
  <si>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</si>
  <si>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</si>
  <si>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</si>
  <si>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</si>
  <si>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</si>
  <si>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</si>
  <si>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</si>
  <si>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</si>
  <si>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</si>
  <si>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</si>
  <si>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</si>
  <si>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</si>
  <si>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</si>
  <si>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</si>
  <si>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</si>
  <si>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</si>
  <si>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</si>
  <si>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</si>
  <si>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</si>
  <si>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</si>
  <si>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</si>
  <si>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</si>
  <si>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</si>
  <si>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</si>
  <si>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</si>
  <si>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</si>
  <si>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</si>
  <si>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</si>
  <si>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</si>
  <si>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</si>
  <si>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</si>
  <si>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</si>
  <si>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</si>
  <si>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</si>
  <si>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</si>
  <si>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</si>
  <si>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</si>
  <si>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</si>
  <si>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</si>
  <si>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</si>
  <si>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</si>
  <si>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</si>
  <si>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</si>
  <si>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</si>
  <si>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</si>
  <si>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</si>
  <si>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</si>
  <si>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</si>
  <si>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</si>
  <si>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</si>
  <si>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</si>
  <si>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</si>
  <si>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</si>
  <si>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</si>
  <si>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</si>
  <si>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</si>
  <si>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</si>
  <si>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</si>
  <si>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</si>
  <si>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</si>
  <si>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</si>
  <si>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</si>
  <si>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</si>
  <si>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</si>
  <si>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</si>
  <si>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</si>
  <si>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</si>
  <si>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</si>
  <si>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</si>
  <si>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</si>
  <si>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</si>
  <si>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</si>
  <si>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</si>
  <si>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</si>
  <si>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</si>
  <si>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</si>
  <si>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</si>
  <si>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</si>
  <si>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</si>
  <si>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</si>
  <si>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</si>
  <si>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</si>
  <si>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</si>
  <si>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</si>
  <si>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</si>
  <si>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</si>
  <si>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</si>
  <si>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</si>
  <si>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</si>
  <si>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</si>
  <si>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</si>
  <si>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</si>
  <si>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</si>
  <si>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</si>
  <si>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</si>
  <si>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</si>
  <si>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</si>
  <si>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</si>
  <si>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</si>
  <si>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</si>
  <si>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</si>
  <si>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</si>
  <si>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</si>
  <si>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</si>
  <si>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</si>
  <si>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</si>
  <si>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</si>
  <si>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</si>
  <si>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</si>
  <si>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</si>
  <si>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</si>
  <si>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</si>
  <si>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</si>
  <si>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</si>
  <si>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</si>
  <si>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</si>
  <si>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</si>
  <si>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</si>
  <si>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</si>
  <si>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</si>
  <si>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</si>
  <si>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</si>
  <si>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</si>
  <si>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</si>
  <si>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</si>
  <si>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</si>
  <si>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</si>
  <si>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</si>
  <si>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</si>
  <si>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</si>
  <si>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</si>
  <si>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</si>
  <si>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</si>
  <si>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</si>
  <si>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</si>
  <si>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</si>
  <si>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</si>
  <si>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</si>
  <si>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</si>
  <si>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</si>
  <si>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</si>
  <si>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</si>
  <si>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</si>
  <si>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</si>
  <si>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</si>
  <si>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</si>
  <si>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</si>
  <si>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</si>
  <si>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</si>
  <si>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</si>
  <si>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</si>
  <si>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</si>
  <si>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</si>
  <si>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</si>
  <si>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</si>
  <si>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</si>
  <si>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</si>
  <si>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</si>
  <si>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</si>
  <si>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</si>
  <si>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</si>
  <si>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</si>
  <si>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</si>
  <si>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</si>
  <si>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</si>
  <si>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</si>
  <si>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</si>
  <si>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</si>
  <si>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</si>
  <si>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</si>
  <si>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</si>
  <si>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</si>
  <si>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</si>
  <si>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</si>
  <si>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</si>
  <si>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</si>
  <si>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</si>
  <si>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</si>
  <si>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</si>
  <si>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</si>
  <si>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</si>
  <si>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</si>
  <si>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</si>
  <si>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</si>
  <si>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</si>
  <si>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</si>
  <si>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</si>
  <si>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</si>
  <si>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</si>
  <si>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</si>
  <si>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</si>
  <si>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</si>
  <si>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</si>
  <si>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</si>
  <si>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</si>
  <si>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</si>
  <si>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</si>
  <si>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</si>
  <si>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</si>
  <si>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</si>
  <si>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</si>
  <si>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</si>
  <si>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</si>
  <si>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</si>
  <si>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</si>
  <si>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</si>
  <si>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</si>
  <si>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</si>
  <si>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</si>
  <si>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</si>
  <si>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</si>
  <si>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</si>
  <si>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</si>
  <si>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</si>
  <si>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</si>
  <si>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</si>
  <si>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</si>
  <si>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</si>
  <si>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</si>
  <si>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</si>
  <si>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</si>
  <si>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</si>
  <si>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</si>
  <si>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</si>
  <si>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</si>
  <si>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</si>
  <si>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</si>
  <si>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</si>
  <si>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</si>
  <si>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</si>
  <si>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</si>
  <si>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</si>
  <si>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</si>
  <si>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</si>
  <si>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</si>
  <si>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</si>
  <si>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</si>
  <si>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</si>
  <si>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</si>
  <si>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</si>
  <si>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</si>
  <si>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</si>
  <si>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</si>
  <si>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</si>
  <si>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</si>
  <si>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</si>
  <si>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</si>
  <si>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</si>
  <si>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</si>
  <si>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</si>
  <si>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</si>
  <si>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</si>
  <si>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</si>
  <si>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</si>
  <si>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</si>
  <si>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</si>
  <si>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</si>
  <si>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</si>
  <si>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</si>
  <si>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</si>
  <si>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</si>
  <si>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</si>
  <si>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</si>
  <si>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</si>
  <si>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</si>
  <si>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</si>
  <si>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</si>
  <si>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</si>
  <si>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</si>
  <si>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</si>
  <si>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</si>
  <si>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</si>
  <si>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</si>
  <si>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</si>
  <si>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</si>
  <si>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</si>
  <si>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</si>
  <si>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</si>
  <si>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</si>
  <si>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</si>
  <si>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</si>
  <si>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</si>
  <si>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</si>
  <si>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</si>
  <si>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</si>
  <si>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</si>
  <si>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</si>
  <si>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</si>
  <si>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</si>
  <si>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</si>
  <si>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</si>
  <si>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</si>
  <si>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</si>
  <si>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</si>
  <si>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</si>
  <si>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</si>
  <si>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</si>
  <si>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</si>
  <si>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</si>
  <si>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</si>
  <si>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</si>
  <si>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</si>
  <si>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</si>
  <si>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</si>
  <si>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</si>
  <si>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</si>
  <si>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</si>
  <si>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</si>
  <si>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</si>
  <si>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</si>
  <si>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</si>
  <si>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</si>
  <si>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</si>
  <si>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</si>
  <si>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</si>
  <si>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</si>
  <si>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</si>
  <si>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</si>
  <si>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</si>
  <si>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</si>
  <si>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</si>
  <si>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</si>
  <si>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</si>
  <si>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</si>
  <si>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</si>
  <si>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</si>
  <si>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</si>
  <si>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</si>
  <si>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</si>
  <si>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</si>
  <si>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</si>
  <si>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</si>
  <si>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</si>
  <si>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</si>
  <si>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</si>
  <si>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</si>
  <si>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</si>
  <si>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</si>
  <si>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</si>
  <si>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</si>
  <si>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</si>
  <si>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</si>
  <si>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</si>
  <si>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</si>
  <si>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</si>
  <si>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</si>
  <si>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</si>
  <si>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</si>
  <si>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</si>
  <si>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</si>
  <si>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</si>
  <si>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</si>
  <si>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</si>
  <si>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</si>
  <si>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</si>
  <si>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</si>
  <si>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</si>
  <si>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</si>
  <si>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</si>
  <si>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</si>
  <si>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</si>
  <si>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</si>
  <si>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</si>
  <si>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</si>
  <si>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</si>
  <si>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</si>
  <si>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</si>
  <si>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</si>
  <si>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</si>
  <si>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</si>
  <si>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</si>
  <si>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</si>
  <si>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</si>
  <si>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</si>
  <si>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</si>
  <si>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</si>
  <si>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</si>
  <si>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</si>
  <si>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</si>
  <si>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</si>
  <si>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</si>
  <si>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</si>
  <si>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</si>
  <si>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</si>
  <si>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</si>
  <si>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</si>
  <si>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</si>
  <si>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</si>
  <si>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</si>
  <si>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</si>
  <si>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</si>
  <si>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</si>
  <si>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</si>
  <si>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</si>
  <si>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</si>
  <si>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</si>
  <si>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</si>
  <si>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</si>
  <si>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</si>
  <si>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</si>
  <si>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</si>
  <si>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</si>
  <si>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</si>
  <si>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</si>
  <si>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</si>
  <si>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</si>
  <si>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</si>
  <si>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</si>
  <si>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</si>
  <si>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</si>
  <si>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</si>
  <si>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</si>
  <si>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</si>
  <si>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</si>
  <si>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</si>
  <si>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</si>
  <si>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</si>
  <si>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</si>
  <si>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</si>
  <si>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</si>
  <si>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</si>
  <si>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</si>
  <si>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</si>
  <si>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</si>
  <si>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</si>
  <si>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</si>
  <si>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</si>
  <si>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</si>
  <si>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</si>
  <si>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</si>
  <si>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</si>
  <si>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</si>
  <si>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</si>
  <si>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</si>
  <si>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</si>
  <si>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</si>
  <si>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</si>
  <si>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</si>
  <si>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</si>
  <si>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</si>
  <si>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</si>
  <si>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</si>
  <si>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</si>
  <si>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</si>
  <si>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</si>
  <si>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</si>
  <si>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</si>
  <si>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</si>
  <si>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</si>
  <si>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</si>
  <si>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</si>
  <si>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</si>
  <si>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</si>
  <si>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</si>
  <si>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</si>
  <si>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</si>
  <si>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</si>
  <si>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</si>
  <si>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</si>
  <si>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</si>
  <si>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</si>
  <si>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</si>
  <si>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</si>
  <si>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</si>
  <si>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</si>
  <si>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</si>
  <si>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</si>
  <si>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</si>
  <si>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</si>
  <si>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</si>
  <si>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</si>
  <si>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</si>
  <si>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</si>
  <si>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</si>
  <si>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</si>
  <si>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</si>
  <si>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</si>
  <si>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</si>
  <si>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</si>
  <si>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</si>
  <si>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</si>
  <si>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</si>
  <si>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</si>
  <si>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</si>
  <si>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</si>
  <si>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</si>
  <si>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</si>
  <si>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</si>
  <si>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</si>
  <si>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</si>
  <si>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</si>
  <si>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N</t>
  </si>
  <si>
    <t>-</t>
  </si>
  <si>
    <t xml:space="preserve">
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</si>
  <si>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</si>
  <si>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</si>
  <si>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</si>
  <si>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</si>
  <si>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</si>
  <si>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</si>
  <si>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</si>
  <si>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</si>
  <si>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</si>
  <si>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VWAP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</si>
  <si>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</si>
  <si>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</si>
  <si>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</si>
  <si>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</si>
  <si>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</si>
  <si>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</si>
  <si>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</si>
  <si>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</si>
  <si>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</si>
  <si>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</si>
  <si>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</si>
  <si>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</si>
  <si>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</si>
  <si>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</si>
  <si>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</si>
  <si>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</si>
  <si>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</si>
  <si>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</si>
  <si>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</si>
  <si>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</si>
  <si>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</si>
  <si>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</si>
  <si>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</si>
  <si>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</si>
  <si>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Time</t>
  </si>
  <si>
    <t>Qty</t>
  </si>
  <si>
    <t>5 Min</t>
  </si>
  <si>
    <t>seconds</t>
  </si>
  <si>
    <t>Minute</t>
  </si>
  <si>
    <t>Hours</t>
  </si>
  <si>
    <t>Day</t>
  </si>
  <si>
    <t>Interval</t>
  </si>
  <si>
    <t>Difference</t>
  </si>
  <si>
    <t>Major Units</t>
  </si>
  <si>
    <t>Minor Units</t>
  </si>
  <si>
    <t xml:space="preserve">
SUCCESS-;-UNITECH</t>
  </si>
  <si>
    <t>Bounds</t>
  </si>
  <si>
    <t>Minimum</t>
  </si>
  <si>
    <t>Maximum</t>
  </si>
  <si>
    <t>Units</t>
  </si>
  <si>
    <t>Major</t>
  </si>
  <si>
    <t>Minor</t>
  </si>
  <si>
    <t>24-JUL-2018 10;50;16</t>
  </si>
  <si>
    <t>Formatted Date &amp; Time</t>
  </si>
  <si>
    <t>24-JUL-2018 11;37;48</t>
  </si>
  <si>
    <t>24-JUL-2018 11;43;18</t>
  </si>
  <si>
    <t>24-JUL-2018 11;44;48</t>
  </si>
  <si>
    <t>24-JUL-2018 11;47;48</t>
  </si>
  <si>
    <t>24-JUL-2018 11;49;48</t>
  </si>
  <si>
    <t>24-JUL-2018 11;52;48</t>
  </si>
  <si>
    <t>24-JUL-2018 11;54;18</t>
  </si>
  <si>
    <t>Start Export Row</t>
  </si>
  <si>
    <t>Miscelleneous</t>
  </si>
  <si>
    <t>No Data Found.</t>
  </si>
  <si>
    <t>24-JUL-2018 11;57;48</t>
  </si>
  <si>
    <t>24-JUL-2018 11;59;49</t>
  </si>
  <si>
    <t>24-JUL-2018 12;01;49</t>
  </si>
  <si>
    <t>24-JUL-2018 12;03;49</t>
  </si>
  <si>
    <t>24-JUL-2018 12;06;49</t>
  </si>
  <si>
    <t>Open</t>
  </si>
  <si>
    <t>Increase</t>
  </si>
  <si>
    <t>Percentage Increase</t>
  </si>
  <si>
    <t>24-JUL-2018 12;11;49</t>
  </si>
  <si>
    <t>24-JUL-2018 12;14;19</t>
  </si>
  <si>
    <t>24-JUL-2018 12;17;49</t>
  </si>
  <si>
    <t>24-JUL-2018 12;20;49</t>
  </si>
  <si>
    <t>24-JUL-2018 12;23;49</t>
  </si>
  <si>
    <t>24-JUL-2018 12;38;20</t>
  </si>
  <si>
    <t>24-JUL-2018 12;44;20</t>
  </si>
  <si>
    <t>24-JUL-2018 12;47;50</t>
  </si>
  <si>
    <t>24-JUL-2018 12;53;50</t>
  </si>
  <si>
    <t>24-JUL-2018 12;57;20</t>
  </si>
  <si>
    <t>24-JUL-2018 14;12;23</t>
  </si>
  <si>
    <t>24-JUL-2018 14;15;23</t>
  </si>
  <si>
    <t>24-JUL-2018 14;16;53</t>
  </si>
  <si>
    <t>24-JUL-2018 14;20;53</t>
  </si>
  <si>
    <t>24-JUL-2018 14;24;23</t>
  </si>
  <si>
    <t>24-JUL-2018 14;26;23</t>
  </si>
  <si>
    <t>24-JUL-2018 14;29;53</t>
  </si>
  <si>
    <t>24-JUL-2018 14;35;23</t>
  </si>
  <si>
    <t>24-JUL-2018 14;39;23</t>
  </si>
  <si>
    <t>24-JUL-2018 14;41;23</t>
  </si>
  <si>
    <t>24-JUL-2018 14;45;24</t>
  </si>
  <si>
    <t>24-JUL-2018 14;48;54</t>
  </si>
  <si>
    <t>24-JUL-2018 14;52;54</t>
  </si>
  <si>
    <t>24-JUL-2018 14;55;54</t>
  </si>
  <si>
    <t>24-JUL-2018 14;57;54</t>
  </si>
  <si>
    <t>24-JUL-2018 15;00;54</t>
  </si>
  <si>
    <t>24-JUL-2018 15;02;54</t>
  </si>
  <si>
    <t>24-JUL-2018 15;07;24</t>
  </si>
  <si>
    <t>24-JUL-2018 15;08;24</t>
  </si>
  <si>
    <t>24-JUL-2018 15;12;24</t>
  </si>
  <si>
    <t>24-JUL-2018 15;15;54</t>
  </si>
  <si>
    <t>24-JUL-2018 15;18;55</t>
  </si>
  <si>
    <t>24-JUL-2018 15;21;55</t>
  </si>
  <si>
    <t>24-JUL-2018 15;25;55</t>
  </si>
  <si>
    <t>24-JUL-2018 15;29;55</t>
  </si>
  <si>
    <t>24-JUL-2018 15;30;01</t>
  </si>
  <si>
    <t>24-JUL-2018 15;59;26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</si>
</sst>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67" formatCode="_(* #,##0.000000_);_(* \(#,##0.000000\);_(* &quot;-&quot;??_);_(@_)"/>
    <numFmt numFmtId="168" formatCode="_(* #,##0.000000000000_);_(* \(#,##0.000000000000\);_(* &quot;-&quot;??_);_(@_)"/>
    <numFmt numFmtId="169" formatCode="[$-409]dd/mm/yyyy\ hh:mm:ss"/>
    <numFmt numFmtId="170" formatCode="0.0000000000"/>
    <numFmt numFmtId="171" formatCode="0.000"/>
    <numFmt numFmtId="172" formatCode="_(* #,##0.00000000_);_(* \(#,##0.00000000\);_(* &quot;-&quot;??_);_(@_)"/>
    <numFmt numFmtId="173" formatCode="[h]:mm:ss;@"/>
    <numFmt numFmtId="174" formatCode="0.00000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" fillId="0" borderId="0"/>
  </cellStyleXfs>
  <cellXfs count="39">
    <xf numFmtId="0" fontId="0" fillId="0" borderId="0" xfId="0"/>
    <xf numFmtId="0" fontId="3" fillId="2" borderId="0" xfId="0" applyFont="1" applyFill="1"/>
    <xf numFmtId="15" fontId="0" fillId="0" borderId="0" xfId="0" applyNumberFormat="1"/>
    <xf numFmtId="4" fontId="0" fillId="0" borderId="0" xfId="0" applyNumberFormat="1"/>
    <xf numFmtId="0" fontId="0" fillId="0" borderId="1" xfId="0" applyBorder="1"/>
    <xf numFmtId="14" fontId="0" fillId="0" borderId="0" xfId="0" applyNumberFormat="1"/>
    <xf numFmtId="0" fontId="4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6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3" fontId="0" fillId="0" borderId="1" xfId="0" applyNumberFormat="1" applyBorder="1" applyAlignment="1">
      <alignment vertical="center"/>
    </xf>
    <xf numFmtId="164" fontId="0" fillId="0" borderId="1" xfId="1" applyNumberFormat="1" applyFont="1" applyBorder="1" applyAlignment="1">
      <alignment vertical="center"/>
    </xf>
    <xf numFmtId="15" fontId="0" fillId="0" borderId="1" xfId="0" applyNumberFormat="1" applyBorder="1" applyAlignment="1">
      <alignment vertical="center"/>
    </xf>
    <xf numFmtId="22" fontId="0" fillId="0" borderId="1" xfId="0" applyNumberFormat="1" applyBorder="1" applyAlignment="1">
      <alignment vertical="center"/>
    </xf>
    <xf numFmtId="0" fontId="6" fillId="4" borderId="1" xfId="0" applyFont="1" applyFill="1" applyBorder="1" applyAlignment="1">
      <alignment vertical="center" wrapText="1"/>
    </xf>
    <xf numFmtId="165" fontId="0" fillId="0" borderId="0" xfId="1" applyNumberFormat="1" applyFont="1"/>
    <xf numFmtId="166" fontId="0" fillId="0" borderId="0" xfId="0" applyNumberFormat="1" applyBorder="1" applyAlignment="1"/>
    <xf numFmtId="43" fontId="0" fillId="0" borderId="0" xfId="1" applyFont="1"/>
    <xf numFmtId="167" fontId="0" fillId="0" borderId="0" xfId="0" applyNumberFormat="1"/>
    <xf numFmtId="167" fontId="0" fillId="4" borderId="0" xfId="0" applyNumberFormat="1" applyFill="1"/>
    <xf numFmtId="168" fontId="0" fillId="4" borderId="0" xfId="1" applyNumberFormat="1" applyFont="1" applyFill="1"/>
    <xf numFmtId="169" fontId="0" fillId="4" borderId="0" xfId="0" applyNumberFormat="1" applyFill="1"/>
    <xf numFmtId="170" fontId="0" fillId="0" borderId="0" xfId="0" applyNumberFormat="1"/>
    <xf numFmtId="171" fontId="0" fillId="0" borderId="0" xfId="0" applyNumberFormat="1"/>
    <xf numFmtId="0" fontId="0" fillId="4" borderId="0" xfId="0" applyFill="1"/>
    <xf numFmtId="168" fontId="0" fillId="0" borderId="0" xfId="1" applyNumberFormat="1" applyFont="1"/>
    <xf numFmtId="169" fontId="0" fillId="0" borderId="0" xfId="0" applyNumberFormat="1"/>
    <xf numFmtId="172" fontId="0" fillId="0" borderId="0" xfId="1" applyNumberFormat="1" applyFont="1"/>
    <xf numFmtId="22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4" fillId="5" borderId="0" xfId="0" applyFont="1" applyFill="1" applyAlignment="1">
      <alignment horizontal="center" wrapText="1"/>
    </xf>
    <xf numFmtId="0" fontId="4" fillId="5" borderId="0" xfId="0" applyFont="1" applyFill="1" applyAlignment="1">
      <alignment horizontal="center" vertical="center" wrapText="1"/>
    </xf>
    <xf numFmtId="173" fontId="4" fillId="5" borderId="0" xfId="0" applyNumberFormat="1" applyFont="1" applyFill="1" applyAlignment="1">
      <alignment horizontal="center" vertical="center" wrapText="1"/>
    </xf>
    <xf numFmtId="0" fontId="8" fillId="0" borderId="1" xfId="0" applyFont="1" applyBorder="1"/>
    <xf numFmtId="174" fontId="0" fillId="0" borderId="1" xfId="0" applyNumberFormat="1" applyBorder="1"/>
    <xf numFmtId="0" fontId="8" fillId="5" borderId="2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0753376223225E-2"/>
          <c:y val="7.794275718099998E-2"/>
          <c:w val="0.89986328321462661"/>
          <c:h val="0.74748272840272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43305.53738425926</c:v>
                </c:pt>
                <c:pt idx="52">
                  <c:v>43305.539814814816</c:v>
                </c:pt>
                <c:pt idx="53">
                  <c:v>43305.591932870368</c:v>
                </c:pt>
                <c:pt idx="54">
                  <c:v>43305.591932870368</c:v>
                </c:pt>
                <c:pt idx="55">
                  <c:v>43305.591932870368</c:v>
                </c:pt>
                <c:pt idx="56">
                  <c:v>43305.5940162037</c:v>
                </c:pt>
                <c:pt idx="57">
                  <c:v>43305.5940162037</c:v>
                </c:pt>
                <c:pt idx="58">
                  <c:v>43305.595057870371</c:v>
                </c:pt>
                <c:pt idx="59">
                  <c:v>43305.59783564815</c:v>
                </c:pt>
                <c:pt idx="60">
                  <c:v>43305.59783564815</c:v>
                </c:pt>
                <c:pt idx="61">
                  <c:v>43305.600266203706</c:v>
                </c:pt>
                <c:pt idx="62">
                  <c:v>43305.601655092592</c:v>
                </c:pt>
                <c:pt idx="63">
                  <c:v>43305.601655092592</c:v>
                </c:pt>
                <c:pt idx="64">
                  <c:v>43305.604085648149</c:v>
                </c:pt>
                <c:pt idx="65">
                  <c:v>43305.600266203706</c:v>
                </c:pt>
                <c:pt idx="66">
                  <c:v>43305.607905092591</c:v>
                </c:pt>
                <c:pt idx="67">
                  <c:v>43305.601655092592</c:v>
                </c:pt>
                <c:pt idx="68">
                  <c:v>43305.604085648149</c:v>
                </c:pt>
                <c:pt idx="69">
                  <c:v>43305.610682870371</c:v>
                </c:pt>
                <c:pt idx="70">
                  <c:v>43305.610682870371</c:v>
                </c:pt>
                <c:pt idx="71">
                  <c:v>43305.612071759257</c:v>
                </c:pt>
                <c:pt idx="72">
                  <c:v>43305.612071759257</c:v>
                </c:pt>
                <c:pt idx="73">
                  <c:v>43305.614861111113</c:v>
                </c:pt>
                <c:pt idx="74">
                  <c:v>43305.614861111113</c:v>
                </c:pt>
                <c:pt idx="75">
                  <c:v>43305.617291666669</c:v>
                </c:pt>
                <c:pt idx="76">
                  <c:v>43305.617291666669</c:v>
                </c:pt>
                <c:pt idx="77">
                  <c:v>43305.620069444441</c:v>
                </c:pt>
                <c:pt idx="78">
                  <c:v>43305.620069444441</c:v>
                </c:pt>
                <c:pt idx="79">
                  <c:v>43305.622152777774</c:v>
                </c:pt>
                <c:pt idx="80">
                  <c:v>43305.622152777774</c:v>
                </c:pt>
                <c:pt idx="81">
                  <c:v>43305.623541666668</c:v>
                </c:pt>
                <c:pt idx="82">
                  <c:v>43305.625625000001</c:v>
                </c:pt>
                <c:pt idx="83">
                  <c:v>43305.627013888887</c:v>
                </c:pt>
                <c:pt idx="84">
                  <c:v>43305.627013888887</c:v>
                </c:pt>
                <c:pt idx="85">
                  <c:v>43305.63013888889</c:v>
                </c:pt>
                <c:pt idx="86">
                  <c:v>43305.63013888889</c:v>
                </c:pt>
                <c:pt idx="87">
                  <c:v>43305.630833333336</c:v>
                </c:pt>
                <c:pt idx="88">
                  <c:v>43305.633611111109</c:v>
                </c:pt>
                <c:pt idx="89">
                  <c:v>43305.633611111109</c:v>
                </c:pt>
                <c:pt idx="90">
                  <c:v>43305.636041666665</c:v>
                </c:pt>
                <c:pt idx="91">
                  <c:v>43305.636041666665</c:v>
                </c:pt>
                <c:pt idx="92">
                  <c:v>43305.638136574074</c:v>
                </c:pt>
                <c:pt idx="93">
                  <c:v>43305.638136574074</c:v>
                </c:pt>
                <c:pt idx="94">
                  <c:v>43305.640219907407</c:v>
                </c:pt>
                <c:pt idx="95">
                  <c:v>43305.640219907407</c:v>
                </c:pt>
                <c:pt idx="96">
                  <c:v>43305.642997685187</c:v>
                </c:pt>
                <c:pt idx="97">
                  <c:v>43305.642997685187</c:v>
                </c:pt>
                <c:pt idx="98">
                  <c:v>43305.645775462966</c:v>
                </c:pt>
              </c:numCache>
            </c:numRef>
          </c:xVal>
          <c:yVal>
            <c:numRef>
              <c:f>'Export Data'!$AM$2:$AM$285</c:f>
              <c:numCache>
                <c:formatCode>_(* #,##0_);_(* \(#,##0\);_(* "-"??_);_(@_)</c:formatCode>
                <c:ptCount val="284"/>
                <c:pt idx="0">
                  <c:v>6228183</c:v>
                </c:pt>
                <c:pt idx="1">
                  <c:v>6518275</c:v>
                </c:pt>
                <c:pt idx="3">
                  <c:v>6518275</c:v>
                </c:pt>
                <c:pt idx="4">
                  <c:v>6518275</c:v>
                </c:pt>
                <c:pt idx="5">
                  <c:v>6518275</c:v>
                </c:pt>
                <c:pt idx="6">
                  <c:v>7592345</c:v>
                </c:pt>
                <c:pt idx="7">
                  <c:v>7592345</c:v>
                </c:pt>
                <c:pt idx="8">
                  <c:v>5710057</c:v>
                </c:pt>
                <c:pt idx="9">
                  <c:v>5710057</c:v>
                </c:pt>
                <c:pt idx="10">
                  <c:v>6223522</c:v>
                </c:pt>
                <c:pt idx="11">
                  <c:v>6223522</c:v>
                </c:pt>
                <c:pt idx="12">
                  <c:v>6354958</c:v>
                </c:pt>
                <c:pt idx="13">
                  <c:v>6354958</c:v>
                </c:pt>
                <c:pt idx="14">
                  <c:v>6354958</c:v>
                </c:pt>
                <c:pt idx="15">
                  <c:v>5716804</c:v>
                </c:pt>
                <c:pt idx="16">
                  <c:v>5716804</c:v>
                </c:pt>
                <c:pt idx="17">
                  <c:v>5719410</c:v>
                </c:pt>
                <c:pt idx="20">
                  <c:v>5628897</c:v>
                </c:pt>
                <c:pt idx="21">
                  <c:v>5628897</c:v>
                </c:pt>
                <c:pt idx="22">
                  <c:v>5572600</c:v>
                </c:pt>
                <c:pt idx="23">
                  <c:v>5572600</c:v>
                </c:pt>
                <c:pt idx="24">
                  <c:v>5639959</c:v>
                </c:pt>
                <c:pt idx="25">
                  <c:v>5661427</c:v>
                </c:pt>
                <c:pt idx="26">
                  <c:v>5661427</c:v>
                </c:pt>
                <c:pt idx="27">
                  <c:v>5661299</c:v>
                </c:pt>
                <c:pt idx="28">
                  <c:v>5661299</c:v>
                </c:pt>
                <c:pt idx="29">
                  <c:v>5661299</c:v>
                </c:pt>
                <c:pt idx="30">
                  <c:v>5519760</c:v>
                </c:pt>
                <c:pt idx="31">
                  <c:v>5519760</c:v>
                </c:pt>
                <c:pt idx="32">
                  <c:v>5465688</c:v>
                </c:pt>
                <c:pt idx="33">
                  <c:v>5465688</c:v>
                </c:pt>
                <c:pt idx="34">
                  <c:v>6040515</c:v>
                </c:pt>
                <c:pt idx="35">
                  <c:v>6040515</c:v>
                </c:pt>
                <c:pt idx="36">
                  <c:v>6066470</c:v>
                </c:pt>
                <c:pt idx="37">
                  <c:v>6066470</c:v>
                </c:pt>
                <c:pt idx="38">
                  <c:v>5590097</c:v>
                </c:pt>
                <c:pt idx="41">
                  <c:v>6212796</c:v>
                </c:pt>
                <c:pt idx="42">
                  <c:v>6212796</c:v>
                </c:pt>
                <c:pt idx="45">
                  <c:v>5874012</c:v>
                </c:pt>
                <c:pt idx="46">
                  <c:v>5874012</c:v>
                </c:pt>
                <c:pt idx="47">
                  <c:v>6370663</c:v>
                </c:pt>
                <c:pt idx="48">
                  <c:v>5661427</c:v>
                </c:pt>
                <c:pt idx="50">
                  <c:v>6379254</c:v>
                </c:pt>
                <c:pt idx="51">
                  <c:v>6379254</c:v>
                </c:pt>
                <c:pt idx="52">
                  <c:v>6514750</c:v>
                </c:pt>
                <c:pt idx="53">
                  <c:v>6601021</c:v>
                </c:pt>
                <c:pt idx="54">
                  <c:v>6601021</c:v>
                </c:pt>
                <c:pt idx="55">
                  <c:v>6601021</c:v>
                </c:pt>
                <c:pt idx="56">
                  <c:v>6594921</c:v>
                </c:pt>
                <c:pt idx="57">
                  <c:v>6594921</c:v>
                </c:pt>
                <c:pt idx="58">
                  <c:v>6638076</c:v>
                </c:pt>
                <c:pt idx="59">
                  <c:v>6653860</c:v>
                </c:pt>
                <c:pt idx="60">
                  <c:v>6653860</c:v>
                </c:pt>
                <c:pt idx="61">
                  <c:v>6753684</c:v>
                </c:pt>
                <c:pt idx="62">
                  <c:v>6744524</c:v>
                </c:pt>
                <c:pt idx="63">
                  <c:v>6744524</c:v>
                </c:pt>
                <c:pt idx="64">
                  <c:v>6741307</c:v>
                </c:pt>
                <c:pt idx="65">
                  <c:v>6753684</c:v>
                </c:pt>
                <c:pt idx="66">
                  <c:v>6715907</c:v>
                </c:pt>
                <c:pt idx="67">
                  <c:v>6744524</c:v>
                </c:pt>
                <c:pt idx="68">
                  <c:v>6741307</c:v>
                </c:pt>
                <c:pt idx="69">
                  <c:v>6597821</c:v>
                </c:pt>
                <c:pt idx="70">
                  <c:v>6597821</c:v>
                </c:pt>
                <c:pt idx="71">
                  <c:v>6600413</c:v>
                </c:pt>
                <c:pt idx="72">
                  <c:v>6600413</c:v>
                </c:pt>
                <c:pt idx="73">
                  <c:v>6511725</c:v>
                </c:pt>
                <c:pt idx="74">
                  <c:v>6511725</c:v>
                </c:pt>
                <c:pt idx="75">
                  <c:v>6586693</c:v>
                </c:pt>
                <c:pt idx="76">
                  <c:v>6586693</c:v>
                </c:pt>
                <c:pt idx="77">
                  <c:v>6486306</c:v>
                </c:pt>
                <c:pt idx="78">
                  <c:v>6486306</c:v>
                </c:pt>
                <c:pt idx="79">
                  <c:v>5978413</c:v>
                </c:pt>
                <c:pt idx="80">
                  <c:v>5978413</c:v>
                </c:pt>
                <c:pt idx="81">
                  <c:v>5891503</c:v>
                </c:pt>
                <c:pt idx="82">
                  <c:v>5865086</c:v>
                </c:pt>
                <c:pt idx="83">
                  <c:v>5934815</c:v>
                </c:pt>
                <c:pt idx="84">
                  <c:v>5934815</c:v>
                </c:pt>
                <c:pt idx="85">
                  <c:v>5675246</c:v>
                </c:pt>
                <c:pt idx="86">
                  <c:v>5675246</c:v>
                </c:pt>
                <c:pt idx="87">
                  <c:v>5666486</c:v>
                </c:pt>
                <c:pt idx="88">
                  <c:v>5653463</c:v>
                </c:pt>
                <c:pt idx="89">
                  <c:v>5653463</c:v>
                </c:pt>
                <c:pt idx="90">
                  <c:v>5725583</c:v>
                </c:pt>
                <c:pt idx="91">
                  <c:v>5725583</c:v>
                </c:pt>
                <c:pt idx="92">
                  <c:v>6219342</c:v>
                </c:pt>
                <c:pt idx="93">
                  <c:v>6219342</c:v>
                </c:pt>
                <c:pt idx="94">
                  <c:v>6420675</c:v>
                </c:pt>
                <c:pt idx="95">
                  <c:v>6420675</c:v>
                </c:pt>
                <c:pt idx="96">
                  <c:v>6276366</c:v>
                </c:pt>
                <c:pt idx="97">
                  <c:v>6276366</c:v>
                </c:pt>
                <c:pt idx="98">
                  <c:v>6057748</c:v>
                </c:pt>
                <c:pt idx="99">
                  <c:v>6057748</c:v>
                </c:pt>
                <c:pt idx="100">
                  <c:v>6108065</c:v>
                </c:pt>
                <c:pt idx="101">
                  <c:v>223716</c:v>
                </c:pt>
                <c:pt idx="102">
                  <c:v>223716</c:v>
                </c:pt>
                <c:pt idx="103">
                  <c:v>223716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43305.53738425926</c:v>
                </c:pt>
                <c:pt idx="52">
                  <c:v>43305.539814814816</c:v>
                </c:pt>
                <c:pt idx="53">
                  <c:v>43305.591932870368</c:v>
                </c:pt>
                <c:pt idx="54">
                  <c:v>43305.591932870368</c:v>
                </c:pt>
                <c:pt idx="55">
                  <c:v>43305.591932870368</c:v>
                </c:pt>
                <c:pt idx="56">
                  <c:v>43305.5940162037</c:v>
                </c:pt>
                <c:pt idx="57">
                  <c:v>43305.5940162037</c:v>
                </c:pt>
                <c:pt idx="58">
                  <c:v>43305.595057870371</c:v>
                </c:pt>
                <c:pt idx="59">
                  <c:v>43305.59783564815</c:v>
                </c:pt>
                <c:pt idx="60">
                  <c:v>43305.59783564815</c:v>
                </c:pt>
                <c:pt idx="61">
                  <c:v>43305.600266203706</c:v>
                </c:pt>
                <c:pt idx="62">
                  <c:v>43305.601655092592</c:v>
                </c:pt>
                <c:pt idx="63">
                  <c:v>43305.601655092592</c:v>
                </c:pt>
                <c:pt idx="64">
                  <c:v>43305.604085648149</c:v>
                </c:pt>
                <c:pt idx="65">
                  <c:v>43305.600266203706</c:v>
                </c:pt>
                <c:pt idx="66">
                  <c:v>43305.607905092591</c:v>
                </c:pt>
                <c:pt idx="67">
                  <c:v>43305.601655092592</c:v>
                </c:pt>
                <c:pt idx="68">
                  <c:v>43305.604085648149</c:v>
                </c:pt>
                <c:pt idx="69">
                  <c:v>43305.610682870371</c:v>
                </c:pt>
                <c:pt idx="70">
                  <c:v>43305.610682870371</c:v>
                </c:pt>
                <c:pt idx="71">
                  <c:v>43305.612071759257</c:v>
                </c:pt>
                <c:pt idx="72">
                  <c:v>43305.612071759257</c:v>
                </c:pt>
                <c:pt idx="73">
                  <c:v>43305.614861111113</c:v>
                </c:pt>
                <c:pt idx="74">
                  <c:v>43305.614861111113</c:v>
                </c:pt>
                <c:pt idx="75">
                  <c:v>43305.617291666669</c:v>
                </c:pt>
                <c:pt idx="76">
                  <c:v>43305.617291666669</c:v>
                </c:pt>
                <c:pt idx="77">
                  <c:v>43305.620069444441</c:v>
                </c:pt>
                <c:pt idx="78">
                  <c:v>43305.620069444441</c:v>
                </c:pt>
                <c:pt idx="79">
                  <c:v>43305.622152777774</c:v>
                </c:pt>
                <c:pt idx="80">
                  <c:v>43305.622152777774</c:v>
                </c:pt>
                <c:pt idx="81">
                  <c:v>43305.623541666668</c:v>
                </c:pt>
                <c:pt idx="82">
                  <c:v>43305.625625000001</c:v>
                </c:pt>
                <c:pt idx="83">
                  <c:v>43305.627013888887</c:v>
                </c:pt>
                <c:pt idx="84">
                  <c:v>43305.627013888887</c:v>
                </c:pt>
                <c:pt idx="85">
                  <c:v>43305.63013888889</c:v>
                </c:pt>
                <c:pt idx="86">
                  <c:v>43305.63013888889</c:v>
                </c:pt>
                <c:pt idx="87">
                  <c:v>43305.630833333336</c:v>
                </c:pt>
                <c:pt idx="88">
                  <c:v>43305.633611111109</c:v>
                </c:pt>
                <c:pt idx="89">
                  <c:v>43305.633611111109</c:v>
                </c:pt>
                <c:pt idx="90">
                  <c:v>43305.636041666665</c:v>
                </c:pt>
                <c:pt idx="91">
                  <c:v>43305.636041666665</c:v>
                </c:pt>
                <c:pt idx="92">
                  <c:v>43305.638136574074</c:v>
                </c:pt>
                <c:pt idx="93">
                  <c:v>43305.638136574074</c:v>
                </c:pt>
                <c:pt idx="94">
                  <c:v>43305.640219907407</c:v>
                </c:pt>
                <c:pt idx="95">
                  <c:v>43305.640219907407</c:v>
                </c:pt>
                <c:pt idx="96">
                  <c:v>43305.642997685187</c:v>
                </c:pt>
                <c:pt idx="97">
                  <c:v>43305.642997685187</c:v>
                </c:pt>
                <c:pt idx="98">
                  <c:v>43305.645775462966</c:v>
                </c:pt>
              </c:numCache>
            </c:numRef>
          </c:xVal>
          <c:yVal>
            <c:numRef>
              <c:f>'Export Data'!$AN$2:$AN$285</c:f>
              <c:numCache>
                <c:formatCode>_(* #,##0_);_(* \(#,##0\);_(* "-"??_);_(@_)</c:formatCode>
                <c:ptCount val="284"/>
                <c:pt idx="0">
                  <c:v>2301280</c:v>
                </c:pt>
                <c:pt idx="1">
                  <c:v>2114432</c:v>
                </c:pt>
                <c:pt idx="3">
                  <c:v>2114432</c:v>
                </c:pt>
                <c:pt idx="4">
                  <c:v>2114432</c:v>
                </c:pt>
                <c:pt idx="5">
                  <c:v>2114432</c:v>
                </c:pt>
                <c:pt idx="6">
                  <c:v>2410483</c:v>
                </c:pt>
                <c:pt idx="7">
                  <c:v>2410483</c:v>
                </c:pt>
                <c:pt idx="8">
                  <c:v>2752698</c:v>
                </c:pt>
                <c:pt idx="9">
                  <c:v>2752698</c:v>
                </c:pt>
                <c:pt idx="10">
                  <c:v>2778903</c:v>
                </c:pt>
                <c:pt idx="11">
                  <c:v>2778903</c:v>
                </c:pt>
                <c:pt idx="12">
                  <c:v>2869606</c:v>
                </c:pt>
                <c:pt idx="13">
                  <c:v>2869606</c:v>
                </c:pt>
                <c:pt idx="14">
                  <c:v>2869606</c:v>
                </c:pt>
                <c:pt idx="15">
                  <c:v>4014305</c:v>
                </c:pt>
                <c:pt idx="16">
                  <c:v>4014305</c:v>
                </c:pt>
                <c:pt idx="17">
                  <c:v>4090679</c:v>
                </c:pt>
                <c:pt idx="20">
                  <c:v>4302799</c:v>
                </c:pt>
                <c:pt idx="21">
                  <c:v>4302799</c:v>
                </c:pt>
                <c:pt idx="22">
                  <c:v>4448151</c:v>
                </c:pt>
                <c:pt idx="23">
                  <c:v>4448151</c:v>
                </c:pt>
                <c:pt idx="24">
                  <c:v>4510035</c:v>
                </c:pt>
                <c:pt idx="25">
                  <c:v>4609196</c:v>
                </c:pt>
                <c:pt idx="26">
                  <c:v>4609196</c:v>
                </c:pt>
                <c:pt idx="27">
                  <c:v>4681876</c:v>
                </c:pt>
                <c:pt idx="28">
                  <c:v>4681876</c:v>
                </c:pt>
                <c:pt idx="29">
                  <c:v>4681876</c:v>
                </c:pt>
                <c:pt idx="30">
                  <c:v>4707747</c:v>
                </c:pt>
                <c:pt idx="31">
                  <c:v>4707747</c:v>
                </c:pt>
                <c:pt idx="32">
                  <c:v>4718459</c:v>
                </c:pt>
                <c:pt idx="33">
                  <c:v>4718459</c:v>
                </c:pt>
                <c:pt idx="34">
                  <c:v>3922622</c:v>
                </c:pt>
                <c:pt idx="35">
                  <c:v>3922622</c:v>
                </c:pt>
                <c:pt idx="36">
                  <c:v>4083200</c:v>
                </c:pt>
                <c:pt idx="37">
                  <c:v>4083200</c:v>
                </c:pt>
                <c:pt idx="38">
                  <c:v>3900640</c:v>
                </c:pt>
                <c:pt idx="41">
                  <c:v>3698297</c:v>
                </c:pt>
                <c:pt idx="42">
                  <c:v>3698297</c:v>
                </c:pt>
                <c:pt idx="45">
                  <c:v>3894902</c:v>
                </c:pt>
                <c:pt idx="46">
                  <c:v>3894902</c:v>
                </c:pt>
                <c:pt idx="47">
                  <c:v>3898389</c:v>
                </c:pt>
                <c:pt idx="48">
                  <c:v>4609196</c:v>
                </c:pt>
                <c:pt idx="50">
                  <c:v>3921768</c:v>
                </c:pt>
                <c:pt idx="51">
                  <c:v>3921768</c:v>
                </c:pt>
                <c:pt idx="52">
                  <c:v>3953006</c:v>
                </c:pt>
                <c:pt idx="53">
                  <c:v>4089240</c:v>
                </c:pt>
                <c:pt idx="54">
                  <c:v>4089240</c:v>
                </c:pt>
                <c:pt idx="55">
                  <c:v>4089240</c:v>
                </c:pt>
                <c:pt idx="56">
                  <c:v>4099161</c:v>
                </c:pt>
                <c:pt idx="57">
                  <c:v>4099161</c:v>
                </c:pt>
                <c:pt idx="58">
                  <c:v>4100664</c:v>
                </c:pt>
                <c:pt idx="59">
                  <c:v>4114046</c:v>
                </c:pt>
                <c:pt idx="60">
                  <c:v>4114046</c:v>
                </c:pt>
                <c:pt idx="61">
                  <c:v>4093159</c:v>
                </c:pt>
                <c:pt idx="62">
                  <c:v>4080282</c:v>
                </c:pt>
                <c:pt idx="63">
                  <c:v>4080282</c:v>
                </c:pt>
                <c:pt idx="64">
                  <c:v>4253863</c:v>
                </c:pt>
                <c:pt idx="65">
                  <c:v>4093159</c:v>
                </c:pt>
                <c:pt idx="66">
                  <c:v>4100376</c:v>
                </c:pt>
                <c:pt idx="67">
                  <c:v>4080282</c:v>
                </c:pt>
                <c:pt idx="68">
                  <c:v>4253863</c:v>
                </c:pt>
                <c:pt idx="69">
                  <c:v>4165415</c:v>
                </c:pt>
                <c:pt idx="70">
                  <c:v>4165415</c:v>
                </c:pt>
                <c:pt idx="71">
                  <c:v>4249995</c:v>
                </c:pt>
                <c:pt idx="72">
                  <c:v>4249995</c:v>
                </c:pt>
                <c:pt idx="73">
                  <c:v>4168657</c:v>
                </c:pt>
                <c:pt idx="74">
                  <c:v>4168657</c:v>
                </c:pt>
                <c:pt idx="75">
                  <c:v>4191576</c:v>
                </c:pt>
                <c:pt idx="76">
                  <c:v>4191576</c:v>
                </c:pt>
                <c:pt idx="77">
                  <c:v>4185964</c:v>
                </c:pt>
                <c:pt idx="78">
                  <c:v>4185964</c:v>
                </c:pt>
                <c:pt idx="79">
                  <c:v>4297088</c:v>
                </c:pt>
                <c:pt idx="80">
                  <c:v>4297088</c:v>
                </c:pt>
                <c:pt idx="81">
                  <c:v>4259168</c:v>
                </c:pt>
                <c:pt idx="82">
                  <c:v>4235364</c:v>
                </c:pt>
                <c:pt idx="83">
                  <c:v>4232571</c:v>
                </c:pt>
                <c:pt idx="84">
                  <c:v>4232571</c:v>
                </c:pt>
                <c:pt idx="85">
                  <c:v>4227780</c:v>
                </c:pt>
                <c:pt idx="86">
                  <c:v>4227780</c:v>
                </c:pt>
                <c:pt idx="87">
                  <c:v>4199065</c:v>
                </c:pt>
                <c:pt idx="88">
                  <c:v>4231585</c:v>
                </c:pt>
                <c:pt idx="89">
                  <c:v>4231585</c:v>
                </c:pt>
                <c:pt idx="90">
                  <c:v>4106802</c:v>
                </c:pt>
                <c:pt idx="91">
                  <c:v>4106802</c:v>
                </c:pt>
                <c:pt idx="92">
                  <c:v>4109262</c:v>
                </c:pt>
                <c:pt idx="93">
                  <c:v>4109262</c:v>
                </c:pt>
                <c:pt idx="94">
                  <c:v>4059779</c:v>
                </c:pt>
                <c:pt idx="95">
                  <c:v>4059779</c:v>
                </c:pt>
                <c:pt idx="96">
                  <c:v>4169473</c:v>
                </c:pt>
                <c:pt idx="97">
                  <c:v>4169473</c:v>
                </c:pt>
                <c:pt idx="98">
                  <c:v>3959251</c:v>
                </c:pt>
                <c:pt idx="99">
                  <c:v>3959251</c:v>
                </c:pt>
                <c:pt idx="100">
                  <c:v>3786063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'Export Data'!$Q$1</c:f>
              <c:strCache>
                <c:ptCount val="1"/>
                <c:pt idx="0">
                  <c:v>Traded Volume (shares)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43305.53738425926</c:v>
                </c:pt>
                <c:pt idx="52">
                  <c:v>43305.539814814816</c:v>
                </c:pt>
                <c:pt idx="53">
                  <c:v>43305.591932870368</c:v>
                </c:pt>
                <c:pt idx="54">
                  <c:v>43305.591932870368</c:v>
                </c:pt>
                <c:pt idx="55">
                  <c:v>43305.591932870368</c:v>
                </c:pt>
                <c:pt idx="56">
                  <c:v>43305.5940162037</c:v>
                </c:pt>
                <c:pt idx="57">
                  <c:v>43305.5940162037</c:v>
                </c:pt>
                <c:pt idx="58">
                  <c:v>43305.595057870371</c:v>
                </c:pt>
                <c:pt idx="59">
                  <c:v>43305.59783564815</c:v>
                </c:pt>
                <c:pt idx="60">
                  <c:v>43305.59783564815</c:v>
                </c:pt>
                <c:pt idx="61">
                  <c:v>43305.600266203706</c:v>
                </c:pt>
                <c:pt idx="62">
                  <c:v>43305.601655092592</c:v>
                </c:pt>
                <c:pt idx="63">
                  <c:v>43305.601655092592</c:v>
                </c:pt>
                <c:pt idx="64">
                  <c:v>43305.604085648149</c:v>
                </c:pt>
                <c:pt idx="65">
                  <c:v>43305.600266203706</c:v>
                </c:pt>
                <c:pt idx="66">
                  <c:v>43305.607905092591</c:v>
                </c:pt>
                <c:pt idx="67">
                  <c:v>43305.601655092592</c:v>
                </c:pt>
                <c:pt idx="68">
                  <c:v>43305.604085648149</c:v>
                </c:pt>
                <c:pt idx="69">
                  <c:v>43305.610682870371</c:v>
                </c:pt>
                <c:pt idx="70">
                  <c:v>43305.610682870371</c:v>
                </c:pt>
                <c:pt idx="71">
                  <c:v>43305.612071759257</c:v>
                </c:pt>
                <c:pt idx="72">
                  <c:v>43305.612071759257</c:v>
                </c:pt>
                <c:pt idx="73">
                  <c:v>43305.614861111113</c:v>
                </c:pt>
                <c:pt idx="74">
                  <c:v>43305.614861111113</c:v>
                </c:pt>
                <c:pt idx="75">
                  <c:v>43305.617291666669</c:v>
                </c:pt>
                <c:pt idx="76">
                  <c:v>43305.617291666669</c:v>
                </c:pt>
                <c:pt idx="77">
                  <c:v>43305.620069444441</c:v>
                </c:pt>
                <c:pt idx="78">
                  <c:v>43305.620069444441</c:v>
                </c:pt>
                <c:pt idx="79">
                  <c:v>43305.622152777774</c:v>
                </c:pt>
                <c:pt idx="80">
                  <c:v>43305.622152777774</c:v>
                </c:pt>
                <c:pt idx="81">
                  <c:v>43305.623541666668</c:v>
                </c:pt>
                <c:pt idx="82">
                  <c:v>43305.625625000001</c:v>
                </c:pt>
                <c:pt idx="83">
                  <c:v>43305.627013888887</c:v>
                </c:pt>
                <c:pt idx="84">
                  <c:v>43305.627013888887</c:v>
                </c:pt>
                <c:pt idx="85">
                  <c:v>43305.63013888889</c:v>
                </c:pt>
                <c:pt idx="86">
                  <c:v>43305.63013888889</c:v>
                </c:pt>
                <c:pt idx="87">
                  <c:v>43305.630833333336</c:v>
                </c:pt>
                <c:pt idx="88">
                  <c:v>43305.633611111109</c:v>
                </c:pt>
                <c:pt idx="89">
                  <c:v>43305.633611111109</c:v>
                </c:pt>
                <c:pt idx="90">
                  <c:v>43305.636041666665</c:v>
                </c:pt>
                <c:pt idx="91">
                  <c:v>43305.636041666665</c:v>
                </c:pt>
                <c:pt idx="92">
                  <c:v>43305.638136574074</c:v>
                </c:pt>
                <c:pt idx="93">
                  <c:v>43305.638136574074</c:v>
                </c:pt>
                <c:pt idx="94">
                  <c:v>43305.640219907407</c:v>
                </c:pt>
                <c:pt idx="95">
                  <c:v>43305.640219907407</c:v>
                </c:pt>
                <c:pt idx="96">
                  <c:v>43305.642997685187</c:v>
                </c:pt>
                <c:pt idx="97">
                  <c:v>43305.642997685187</c:v>
                </c:pt>
                <c:pt idx="98">
                  <c:v>43305.645775462966</c:v>
                </c:pt>
              </c:numCache>
            </c:numRef>
          </c:xVal>
          <c:yVal>
            <c:numRef>
              <c:f>'Export Data'!$Q$2:$Q$285</c:f>
              <c:numCache>
                <c:formatCode>#,##0</c:formatCode>
                <c:ptCount val="284"/>
                <c:pt idx="0">
                  <c:v>2397895</c:v>
                </c:pt>
                <c:pt idx="1">
                  <c:v>4693315</c:v>
                </c:pt>
                <c:pt idx="3">
                  <c:v>4693315</c:v>
                </c:pt>
                <c:pt idx="4">
                  <c:v>4693315</c:v>
                </c:pt>
                <c:pt idx="5">
                  <c:v>4693315</c:v>
                </c:pt>
                <c:pt idx="6">
                  <c:v>6878210</c:v>
                </c:pt>
                <c:pt idx="7">
                  <c:v>6878210</c:v>
                </c:pt>
                <c:pt idx="8">
                  <c:v>7127617</c:v>
                </c:pt>
                <c:pt idx="9">
                  <c:v>7127617</c:v>
                </c:pt>
                <c:pt idx="10">
                  <c:v>7392675</c:v>
                </c:pt>
                <c:pt idx="11">
                  <c:v>7392675</c:v>
                </c:pt>
                <c:pt idx="12">
                  <c:v>7407199</c:v>
                </c:pt>
                <c:pt idx="13">
                  <c:v>7407199</c:v>
                </c:pt>
                <c:pt idx="14">
                  <c:v>7407199</c:v>
                </c:pt>
                <c:pt idx="15">
                  <c:v>7770373</c:v>
                </c:pt>
                <c:pt idx="16">
                  <c:v>7770373</c:v>
                </c:pt>
                <c:pt idx="17">
                  <c:v>7782784</c:v>
                </c:pt>
                <c:pt idx="20">
                  <c:v>7909868</c:v>
                </c:pt>
                <c:pt idx="21">
                  <c:v>7909868</c:v>
                </c:pt>
                <c:pt idx="22">
                  <c:v>8001738</c:v>
                </c:pt>
                <c:pt idx="23">
                  <c:v>8001738</c:v>
                </c:pt>
                <c:pt idx="24">
                  <c:v>8200652</c:v>
                </c:pt>
                <c:pt idx="25">
                  <c:v>8243929</c:v>
                </c:pt>
                <c:pt idx="26">
                  <c:v>8243929</c:v>
                </c:pt>
                <c:pt idx="27">
                  <c:v>8272897</c:v>
                </c:pt>
                <c:pt idx="28">
                  <c:v>8272897</c:v>
                </c:pt>
                <c:pt idx="29">
                  <c:v>8272897</c:v>
                </c:pt>
                <c:pt idx="30">
                  <c:v>8311174</c:v>
                </c:pt>
                <c:pt idx="31">
                  <c:v>8311174</c:v>
                </c:pt>
                <c:pt idx="32">
                  <c:v>8384196</c:v>
                </c:pt>
                <c:pt idx="33">
                  <c:v>8384196</c:v>
                </c:pt>
                <c:pt idx="34">
                  <c:v>9133736</c:v>
                </c:pt>
                <c:pt idx="35">
                  <c:v>9133736</c:v>
                </c:pt>
                <c:pt idx="36">
                  <c:v>9265874</c:v>
                </c:pt>
                <c:pt idx="37">
                  <c:v>9265874</c:v>
                </c:pt>
                <c:pt idx="38">
                  <c:v>9647383</c:v>
                </c:pt>
                <c:pt idx="41">
                  <c:v>9943302</c:v>
                </c:pt>
                <c:pt idx="42">
                  <c:v>9943302</c:v>
                </c:pt>
                <c:pt idx="45">
                  <c:v>10479820</c:v>
                </c:pt>
                <c:pt idx="46">
                  <c:v>10479820</c:v>
                </c:pt>
                <c:pt idx="47">
                  <c:v>10538185</c:v>
                </c:pt>
                <c:pt idx="48">
                  <c:v>8243929</c:v>
                </c:pt>
                <c:pt idx="50">
                  <c:v>10644871</c:v>
                </c:pt>
                <c:pt idx="51">
                  <c:v>10644871</c:v>
                </c:pt>
                <c:pt idx="52">
                  <c:v>10656658</c:v>
                </c:pt>
                <c:pt idx="53">
                  <c:v>11389200</c:v>
                </c:pt>
                <c:pt idx="54">
                  <c:v>11389200</c:v>
                </c:pt>
                <c:pt idx="55">
                  <c:v>11389200</c:v>
                </c:pt>
                <c:pt idx="56">
                  <c:v>11424010</c:v>
                </c:pt>
                <c:pt idx="57">
                  <c:v>11424010</c:v>
                </c:pt>
                <c:pt idx="58">
                  <c:v>11437697</c:v>
                </c:pt>
                <c:pt idx="59">
                  <c:v>11490613</c:v>
                </c:pt>
                <c:pt idx="60">
                  <c:v>11490613</c:v>
                </c:pt>
                <c:pt idx="61">
                  <c:v>11512001</c:v>
                </c:pt>
                <c:pt idx="62">
                  <c:v>11525463</c:v>
                </c:pt>
                <c:pt idx="63">
                  <c:v>11525463</c:v>
                </c:pt>
                <c:pt idx="64">
                  <c:v>11544927</c:v>
                </c:pt>
                <c:pt idx="65">
                  <c:v>11512001</c:v>
                </c:pt>
                <c:pt idx="66">
                  <c:v>11612418</c:v>
                </c:pt>
                <c:pt idx="67">
                  <c:v>11525463</c:v>
                </c:pt>
                <c:pt idx="68">
                  <c:v>11544927</c:v>
                </c:pt>
                <c:pt idx="69">
                  <c:v>11671662</c:v>
                </c:pt>
                <c:pt idx="70">
                  <c:v>11671662</c:v>
                </c:pt>
                <c:pt idx="71">
                  <c:v>11675414</c:v>
                </c:pt>
                <c:pt idx="72">
                  <c:v>11675414</c:v>
                </c:pt>
                <c:pt idx="73">
                  <c:v>11708841</c:v>
                </c:pt>
                <c:pt idx="74">
                  <c:v>11708841</c:v>
                </c:pt>
                <c:pt idx="75">
                  <c:v>11731213</c:v>
                </c:pt>
                <c:pt idx="76">
                  <c:v>11731213</c:v>
                </c:pt>
                <c:pt idx="77">
                  <c:v>11744435</c:v>
                </c:pt>
                <c:pt idx="78">
                  <c:v>11744435</c:v>
                </c:pt>
                <c:pt idx="79">
                  <c:v>11821939</c:v>
                </c:pt>
                <c:pt idx="80">
                  <c:v>11821939</c:v>
                </c:pt>
                <c:pt idx="81">
                  <c:v>11842716</c:v>
                </c:pt>
                <c:pt idx="82">
                  <c:v>11901538</c:v>
                </c:pt>
                <c:pt idx="83">
                  <c:v>11910782</c:v>
                </c:pt>
                <c:pt idx="84">
                  <c:v>11910782</c:v>
                </c:pt>
                <c:pt idx="85">
                  <c:v>11956663</c:v>
                </c:pt>
                <c:pt idx="86">
                  <c:v>11956663</c:v>
                </c:pt>
                <c:pt idx="87">
                  <c:v>11960864</c:v>
                </c:pt>
                <c:pt idx="88">
                  <c:v>11999657</c:v>
                </c:pt>
                <c:pt idx="89">
                  <c:v>11999657</c:v>
                </c:pt>
                <c:pt idx="90">
                  <c:v>12034322</c:v>
                </c:pt>
                <c:pt idx="91">
                  <c:v>12034322</c:v>
                </c:pt>
                <c:pt idx="92">
                  <c:v>12107740</c:v>
                </c:pt>
                <c:pt idx="93">
                  <c:v>12107740</c:v>
                </c:pt>
                <c:pt idx="94">
                  <c:v>12222989</c:v>
                </c:pt>
                <c:pt idx="95">
                  <c:v>12222989</c:v>
                </c:pt>
                <c:pt idx="96">
                  <c:v>12491265</c:v>
                </c:pt>
                <c:pt idx="97">
                  <c:v>12491265</c:v>
                </c:pt>
                <c:pt idx="98">
                  <c:v>12668996</c:v>
                </c:pt>
                <c:pt idx="99">
                  <c:v>12668996</c:v>
                </c:pt>
                <c:pt idx="100">
                  <c:v>12755684</c:v>
                </c:pt>
                <c:pt idx="101">
                  <c:v>12757354</c:v>
                </c:pt>
                <c:pt idx="102">
                  <c:v>12757354</c:v>
                </c:pt>
                <c:pt idx="103">
                  <c:v>12757354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782000"/>
        <c:axId val="9167719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'Export Data'!$AP$1</c15:sqref>
                        </c15:formulaRef>
                      </c:ext>
                    </c:extLst>
                    <c:strCache>
                      <c:ptCount val="1"/>
                      <c:pt idx="0">
                        <c:v>Date &amp; Time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'Export Data'!$AR$2:$AR$285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43305.451574074075</c:v>
                      </c:pt>
                      <c:pt idx="1">
                        <c:v>43305.484583333331</c:v>
                      </c:pt>
                      <c:pt idx="2">
                        <c:v>0</c:v>
                      </c:pt>
                      <c:pt idx="3">
                        <c:v>43305.484583333331</c:v>
                      </c:pt>
                      <c:pt idx="4">
                        <c:v>43305.484583333331</c:v>
                      </c:pt>
                      <c:pt idx="5">
                        <c:v>43305.484583333331</c:v>
                      </c:pt>
                      <c:pt idx="6">
                        <c:v>43305.488402777781</c:v>
                      </c:pt>
                      <c:pt idx="7">
                        <c:v>43305.488402777781</c:v>
                      </c:pt>
                      <c:pt idx="8">
                        <c:v>43305.489444444444</c:v>
                      </c:pt>
                      <c:pt idx="9">
                        <c:v>43305.489444444444</c:v>
                      </c:pt>
                      <c:pt idx="10">
                        <c:v>43305.491527777776</c:v>
                      </c:pt>
                      <c:pt idx="11">
                        <c:v>43305.491527777776</c:v>
                      </c:pt>
                      <c:pt idx="12">
                        <c:v>43305.49291666667</c:v>
                      </c:pt>
                      <c:pt idx="13">
                        <c:v>43305.49291666667</c:v>
                      </c:pt>
                      <c:pt idx="14">
                        <c:v>43305.49291666667</c:v>
                      </c:pt>
                      <c:pt idx="15">
                        <c:v>43305.495000000003</c:v>
                      </c:pt>
                      <c:pt idx="16">
                        <c:v>43305.495000000003</c:v>
                      </c:pt>
                      <c:pt idx="17">
                        <c:v>43305.496041666665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43305.498472222222</c:v>
                      </c:pt>
                      <c:pt idx="21">
                        <c:v>43305.498472222222</c:v>
                      </c:pt>
                      <c:pt idx="22">
                        <c:v>43305.499872685185</c:v>
                      </c:pt>
                      <c:pt idx="23">
                        <c:v>43305.499872685185</c:v>
                      </c:pt>
                      <c:pt idx="24">
                        <c:v>43305.501261574071</c:v>
                      </c:pt>
                      <c:pt idx="25">
                        <c:v>43305.502650462964</c:v>
                      </c:pt>
                      <c:pt idx="26">
                        <c:v>43305.502650462964</c:v>
                      </c:pt>
                      <c:pt idx="27">
                        <c:v>43305.504733796297</c:v>
                      </c:pt>
                      <c:pt idx="28">
                        <c:v>43305.504733796297</c:v>
                      </c:pt>
                      <c:pt idx="29">
                        <c:v>43305.504733796297</c:v>
                      </c:pt>
                      <c:pt idx="30">
                        <c:v>43305.508206018516</c:v>
                      </c:pt>
                      <c:pt idx="31">
                        <c:v>43305.508206018516</c:v>
                      </c:pt>
                      <c:pt idx="32">
                        <c:v>43305.509942129633</c:v>
                      </c:pt>
                      <c:pt idx="33">
                        <c:v>43305.509942129633</c:v>
                      </c:pt>
                      <c:pt idx="34">
                        <c:v>43305.512372685182</c:v>
                      </c:pt>
                      <c:pt idx="35">
                        <c:v>43305.512372685182</c:v>
                      </c:pt>
                      <c:pt idx="36">
                        <c:v>43305.514456018522</c:v>
                      </c:pt>
                      <c:pt idx="37">
                        <c:v>43305.514456018522</c:v>
                      </c:pt>
                      <c:pt idx="38">
                        <c:v>43305.516539351855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43305.526620370372</c:v>
                      </c:pt>
                      <c:pt idx="42">
                        <c:v>43305.526620370372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43305.530787037038</c:v>
                      </c:pt>
                      <c:pt idx="46">
                        <c:v>43305.530787037038</c:v>
                      </c:pt>
                      <c:pt idx="47">
                        <c:v>43305.533217592594</c:v>
                      </c:pt>
                      <c:pt idx="48">
                        <c:v>43305.502650462964</c:v>
                      </c:pt>
                      <c:pt idx="49">
                        <c:v>0</c:v>
                      </c:pt>
                      <c:pt idx="50">
                        <c:v>43305.53738425926</c:v>
                      </c:pt>
                      <c:pt idx="51">
                        <c:v>43305.53738425926</c:v>
                      </c:pt>
                      <c:pt idx="52">
                        <c:v>43305.539814814816</c:v>
                      </c:pt>
                      <c:pt idx="53">
                        <c:v>43305.591932870368</c:v>
                      </c:pt>
                      <c:pt idx="54">
                        <c:v>43305.591932870368</c:v>
                      </c:pt>
                      <c:pt idx="55">
                        <c:v>43305.591932870368</c:v>
                      </c:pt>
                      <c:pt idx="56">
                        <c:v>43305.5940162037</c:v>
                      </c:pt>
                      <c:pt idx="57">
                        <c:v>43305.5940162037</c:v>
                      </c:pt>
                      <c:pt idx="58">
                        <c:v>43305.595057870371</c:v>
                      </c:pt>
                      <c:pt idx="59">
                        <c:v>43305.59783564815</c:v>
                      </c:pt>
                      <c:pt idx="60">
                        <c:v>43305.59783564815</c:v>
                      </c:pt>
                      <c:pt idx="61">
                        <c:v>43305.600266203706</c:v>
                      </c:pt>
                      <c:pt idx="62">
                        <c:v>43305.601655092592</c:v>
                      </c:pt>
                      <c:pt idx="63">
                        <c:v>43305.601655092592</c:v>
                      </c:pt>
                      <c:pt idx="64">
                        <c:v>43305.604085648149</c:v>
                      </c:pt>
                      <c:pt idx="65">
                        <c:v>43305.600266203706</c:v>
                      </c:pt>
                      <c:pt idx="66">
                        <c:v>43305.607905092591</c:v>
                      </c:pt>
                      <c:pt idx="67">
                        <c:v>43305.601655092592</c:v>
                      </c:pt>
                      <c:pt idx="68">
                        <c:v>43305.604085648149</c:v>
                      </c:pt>
                      <c:pt idx="69">
                        <c:v>43305.610682870371</c:v>
                      </c:pt>
                      <c:pt idx="70">
                        <c:v>43305.610682870371</c:v>
                      </c:pt>
                      <c:pt idx="71">
                        <c:v>43305.612071759257</c:v>
                      </c:pt>
                      <c:pt idx="72">
                        <c:v>43305.612071759257</c:v>
                      </c:pt>
                      <c:pt idx="73">
                        <c:v>43305.614861111113</c:v>
                      </c:pt>
                      <c:pt idx="74">
                        <c:v>43305.614861111113</c:v>
                      </c:pt>
                      <c:pt idx="75">
                        <c:v>43305.617291666669</c:v>
                      </c:pt>
                      <c:pt idx="76">
                        <c:v>43305.617291666669</c:v>
                      </c:pt>
                      <c:pt idx="77">
                        <c:v>43305.620069444441</c:v>
                      </c:pt>
                      <c:pt idx="78">
                        <c:v>43305.620069444441</c:v>
                      </c:pt>
                      <c:pt idx="79">
                        <c:v>43305.622152777774</c:v>
                      </c:pt>
                      <c:pt idx="80">
                        <c:v>43305.622152777774</c:v>
                      </c:pt>
                      <c:pt idx="81">
                        <c:v>43305.623541666668</c:v>
                      </c:pt>
                      <c:pt idx="82">
                        <c:v>43305.625625000001</c:v>
                      </c:pt>
                      <c:pt idx="83">
                        <c:v>43305.627013888887</c:v>
                      </c:pt>
                      <c:pt idx="84">
                        <c:v>43305.627013888887</c:v>
                      </c:pt>
                      <c:pt idx="85">
                        <c:v>43305.63013888889</c:v>
                      </c:pt>
                      <c:pt idx="86">
                        <c:v>43305.63013888889</c:v>
                      </c:pt>
                      <c:pt idx="87">
                        <c:v>43305.630833333336</c:v>
                      </c:pt>
                      <c:pt idx="88">
                        <c:v>43305.633611111109</c:v>
                      </c:pt>
                      <c:pt idx="89">
                        <c:v>43305.633611111109</c:v>
                      </c:pt>
                      <c:pt idx="90">
                        <c:v>43305.636041666665</c:v>
                      </c:pt>
                      <c:pt idx="91">
                        <c:v>43305.636041666665</c:v>
                      </c:pt>
                      <c:pt idx="92">
                        <c:v>43305.638136574074</c:v>
                      </c:pt>
                      <c:pt idx="93">
                        <c:v>43305.638136574074</c:v>
                      </c:pt>
                      <c:pt idx="94">
                        <c:v>43305.640219907407</c:v>
                      </c:pt>
                      <c:pt idx="95">
                        <c:v>43305.640219907407</c:v>
                      </c:pt>
                      <c:pt idx="96">
                        <c:v>43305.642997685187</c:v>
                      </c:pt>
                      <c:pt idx="97">
                        <c:v>43305.642997685187</c:v>
                      </c:pt>
                      <c:pt idx="98">
                        <c:v>43305.645775462966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'Export Data'!$AP$2:$AP$285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0</c:v>
                      </c:pt>
                      <c:pt idx="1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  <c:pt idx="71" formatCode="General">
                        <c:v>0</c:v>
                      </c:pt>
                      <c:pt idx="72" formatCode="General">
                        <c:v>0</c:v>
                      </c:pt>
                      <c:pt idx="73" formatCode="General">
                        <c:v>0</c:v>
                      </c:pt>
                      <c:pt idx="74" formatCode="General">
                        <c:v>0</c:v>
                      </c:pt>
                      <c:pt idx="75" formatCode="General">
                        <c:v>0</c:v>
                      </c:pt>
                      <c:pt idx="76" formatCode="General">
                        <c:v>0</c:v>
                      </c:pt>
                      <c:pt idx="77" formatCode="General">
                        <c:v>0</c:v>
                      </c:pt>
                      <c:pt idx="78" formatCode="General">
                        <c:v>0</c:v>
                      </c:pt>
                      <c:pt idx="79" formatCode="General">
                        <c:v>0</c:v>
                      </c:pt>
                      <c:pt idx="80" formatCode="General">
                        <c:v>0</c:v>
                      </c:pt>
                      <c:pt idx="81" formatCode="General">
                        <c:v>0</c:v>
                      </c:pt>
                      <c:pt idx="82" formatCode="General">
                        <c:v>0</c:v>
                      </c:pt>
                      <c:pt idx="83" formatCode="General">
                        <c:v>0</c:v>
                      </c:pt>
                      <c:pt idx="84" formatCode="General">
                        <c:v>0</c:v>
                      </c:pt>
                      <c:pt idx="85" formatCode="General">
                        <c:v>0</c:v>
                      </c:pt>
                      <c:pt idx="86" formatCode="General">
                        <c:v>0</c:v>
                      </c:pt>
                      <c:pt idx="87" formatCode="General">
                        <c:v>0</c:v>
                      </c:pt>
                      <c:pt idx="88" formatCode="General">
                        <c:v>0</c:v>
                      </c:pt>
                      <c:pt idx="89" formatCode="General">
                        <c:v>0</c:v>
                      </c:pt>
                      <c:pt idx="90" formatCode="General">
                        <c:v>0</c:v>
                      </c:pt>
                      <c:pt idx="91" formatCode="General">
                        <c:v>0</c:v>
                      </c:pt>
                      <c:pt idx="92" formatCode="General">
                        <c:v>0</c:v>
                      </c:pt>
                      <c:pt idx="93" formatCode="General">
                        <c:v>0</c:v>
                      </c:pt>
                      <c:pt idx="94" formatCode="General">
                        <c:v>0</c:v>
                      </c:pt>
                      <c:pt idx="95" formatCode="General">
                        <c:v>0</c:v>
                      </c:pt>
                      <c:pt idx="96" formatCode="General">
                        <c:v>0</c:v>
                      </c:pt>
                      <c:pt idx="97" formatCode="General">
                        <c:v>0</c:v>
                      </c:pt>
                      <c:pt idx="98" formatCode="General">
                        <c:v>0</c:v>
                      </c:pt>
                      <c:pt idx="99" formatCode="General">
                        <c:v>0</c:v>
                      </c:pt>
                      <c:pt idx="100" formatCode="General">
                        <c:v>0</c:v>
                      </c:pt>
                      <c:pt idx="101" formatCode="General">
                        <c:v>0</c:v>
                      </c:pt>
                      <c:pt idx="102" formatCode="General">
                        <c:v>0</c:v>
                      </c:pt>
                      <c:pt idx="103" formatCode="General">
                        <c:v>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'Export Data'!$N$1</c:f>
              <c:strCache>
                <c:ptCount val="1"/>
                <c:pt idx="0">
                  <c:v>CMP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2460000" spcFirstLastPara="1" vertOverflow="ellipsis" vert="horz" wrap="square" lIns="91440" tIns="0" rIns="91440" bIns="548640" anchor="b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43305.53738425926</c:v>
                </c:pt>
                <c:pt idx="52">
                  <c:v>43305.539814814816</c:v>
                </c:pt>
                <c:pt idx="53">
                  <c:v>43305.591932870368</c:v>
                </c:pt>
                <c:pt idx="54">
                  <c:v>43305.591932870368</c:v>
                </c:pt>
                <c:pt idx="55">
                  <c:v>43305.591932870368</c:v>
                </c:pt>
                <c:pt idx="56">
                  <c:v>43305.5940162037</c:v>
                </c:pt>
                <c:pt idx="57">
                  <c:v>43305.5940162037</c:v>
                </c:pt>
                <c:pt idx="58">
                  <c:v>43305.595057870371</c:v>
                </c:pt>
                <c:pt idx="59">
                  <c:v>43305.59783564815</c:v>
                </c:pt>
                <c:pt idx="60">
                  <c:v>43305.59783564815</c:v>
                </c:pt>
                <c:pt idx="61">
                  <c:v>43305.600266203706</c:v>
                </c:pt>
                <c:pt idx="62">
                  <c:v>43305.601655092592</c:v>
                </c:pt>
                <c:pt idx="63">
                  <c:v>43305.601655092592</c:v>
                </c:pt>
                <c:pt idx="64">
                  <c:v>43305.604085648149</c:v>
                </c:pt>
                <c:pt idx="65">
                  <c:v>43305.600266203706</c:v>
                </c:pt>
                <c:pt idx="66">
                  <c:v>43305.607905092591</c:v>
                </c:pt>
                <c:pt idx="67">
                  <c:v>43305.601655092592</c:v>
                </c:pt>
                <c:pt idx="68">
                  <c:v>43305.604085648149</c:v>
                </c:pt>
                <c:pt idx="69">
                  <c:v>43305.610682870371</c:v>
                </c:pt>
                <c:pt idx="70">
                  <c:v>43305.610682870371</c:v>
                </c:pt>
                <c:pt idx="71">
                  <c:v>43305.612071759257</c:v>
                </c:pt>
                <c:pt idx="72">
                  <c:v>43305.612071759257</c:v>
                </c:pt>
                <c:pt idx="73">
                  <c:v>43305.614861111113</c:v>
                </c:pt>
                <c:pt idx="74">
                  <c:v>43305.614861111113</c:v>
                </c:pt>
                <c:pt idx="75">
                  <c:v>43305.617291666669</c:v>
                </c:pt>
                <c:pt idx="76">
                  <c:v>43305.617291666669</c:v>
                </c:pt>
                <c:pt idx="77">
                  <c:v>43305.620069444441</c:v>
                </c:pt>
                <c:pt idx="78">
                  <c:v>43305.620069444441</c:v>
                </c:pt>
                <c:pt idx="79">
                  <c:v>43305.622152777774</c:v>
                </c:pt>
                <c:pt idx="80">
                  <c:v>43305.622152777774</c:v>
                </c:pt>
                <c:pt idx="81">
                  <c:v>43305.623541666668</c:v>
                </c:pt>
                <c:pt idx="82">
                  <c:v>43305.625625000001</c:v>
                </c:pt>
                <c:pt idx="83">
                  <c:v>43305.627013888887</c:v>
                </c:pt>
                <c:pt idx="84">
                  <c:v>43305.627013888887</c:v>
                </c:pt>
                <c:pt idx="85">
                  <c:v>43305.63013888889</c:v>
                </c:pt>
                <c:pt idx="86">
                  <c:v>43305.63013888889</c:v>
                </c:pt>
                <c:pt idx="87">
                  <c:v>43305.630833333336</c:v>
                </c:pt>
                <c:pt idx="88">
                  <c:v>43305.633611111109</c:v>
                </c:pt>
                <c:pt idx="89">
                  <c:v>43305.633611111109</c:v>
                </c:pt>
                <c:pt idx="90">
                  <c:v>43305.636041666665</c:v>
                </c:pt>
                <c:pt idx="91">
                  <c:v>43305.636041666665</c:v>
                </c:pt>
                <c:pt idx="92">
                  <c:v>43305.638136574074</c:v>
                </c:pt>
                <c:pt idx="93">
                  <c:v>43305.638136574074</c:v>
                </c:pt>
                <c:pt idx="94">
                  <c:v>43305.640219907407</c:v>
                </c:pt>
                <c:pt idx="95">
                  <c:v>43305.640219907407</c:v>
                </c:pt>
                <c:pt idx="96">
                  <c:v>43305.642997685187</c:v>
                </c:pt>
                <c:pt idx="97">
                  <c:v>43305.642997685187</c:v>
                </c:pt>
                <c:pt idx="98">
                  <c:v>43305.645775462966</c:v>
                </c:pt>
              </c:numCache>
            </c:numRef>
          </c:xVal>
          <c:yVal>
            <c:numRef>
              <c:f>'Export Data'!$N$2:$N$285</c:f>
              <c:numCache>
                <c:formatCode>General</c:formatCode>
                <c:ptCount val="284"/>
                <c:pt idx="0">
                  <c:v>4.1500000000000004</c:v>
                </c:pt>
                <c:pt idx="1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4.3499999999999996</c:v>
                </c:pt>
                <c:pt idx="7">
                  <c:v>4.3499999999999996</c:v>
                </c:pt>
                <c:pt idx="8">
                  <c:v>4.3499999999999996</c:v>
                </c:pt>
                <c:pt idx="9">
                  <c:v>4.3499999999999996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4.3</c:v>
                </c:pt>
                <c:pt idx="16">
                  <c:v>4.3</c:v>
                </c:pt>
                <c:pt idx="17">
                  <c:v>4.3</c:v>
                </c:pt>
                <c:pt idx="20">
                  <c:v>4.3</c:v>
                </c:pt>
                <c:pt idx="21">
                  <c:v>4.3</c:v>
                </c:pt>
                <c:pt idx="22">
                  <c:v>4.3499999999999996</c:v>
                </c:pt>
                <c:pt idx="23">
                  <c:v>4.3499999999999996</c:v>
                </c:pt>
                <c:pt idx="24">
                  <c:v>4.3499999999999996</c:v>
                </c:pt>
                <c:pt idx="25">
                  <c:v>4.3</c:v>
                </c:pt>
                <c:pt idx="26">
                  <c:v>4.3</c:v>
                </c:pt>
                <c:pt idx="27">
                  <c:v>4.3499999999999996</c:v>
                </c:pt>
                <c:pt idx="28">
                  <c:v>4.3499999999999996</c:v>
                </c:pt>
                <c:pt idx="29">
                  <c:v>4.3499999999999996</c:v>
                </c:pt>
                <c:pt idx="30">
                  <c:v>4.3499999999999996</c:v>
                </c:pt>
                <c:pt idx="31">
                  <c:v>4.3499999999999996</c:v>
                </c:pt>
                <c:pt idx="32">
                  <c:v>4.3</c:v>
                </c:pt>
                <c:pt idx="33">
                  <c:v>4.3</c:v>
                </c:pt>
                <c:pt idx="34">
                  <c:v>4.3499999999999996</c:v>
                </c:pt>
                <c:pt idx="35">
                  <c:v>4.3499999999999996</c:v>
                </c:pt>
                <c:pt idx="36">
                  <c:v>4.4000000000000004</c:v>
                </c:pt>
                <c:pt idx="37">
                  <c:v>4.4000000000000004</c:v>
                </c:pt>
                <c:pt idx="38">
                  <c:v>4.3</c:v>
                </c:pt>
                <c:pt idx="41">
                  <c:v>4.3499999999999996</c:v>
                </c:pt>
                <c:pt idx="42">
                  <c:v>4.3499999999999996</c:v>
                </c:pt>
                <c:pt idx="45">
                  <c:v>4.3</c:v>
                </c:pt>
                <c:pt idx="46">
                  <c:v>4.3</c:v>
                </c:pt>
                <c:pt idx="47">
                  <c:v>4.3</c:v>
                </c:pt>
                <c:pt idx="48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4.3499999999999996</c:v>
                </c:pt>
                <c:pt idx="53">
                  <c:v>4.3</c:v>
                </c:pt>
                <c:pt idx="54">
                  <c:v>4.3</c:v>
                </c:pt>
                <c:pt idx="55">
                  <c:v>4.3</c:v>
                </c:pt>
                <c:pt idx="56">
                  <c:v>4.3499999999999996</c:v>
                </c:pt>
                <c:pt idx="57">
                  <c:v>4.3499999999999996</c:v>
                </c:pt>
                <c:pt idx="58">
                  <c:v>4.3499999999999996</c:v>
                </c:pt>
                <c:pt idx="59">
                  <c:v>4.3</c:v>
                </c:pt>
                <c:pt idx="60">
                  <c:v>4.3</c:v>
                </c:pt>
                <c:pt idx="61">
                  <c:v>4.3499999999999996</c:v>
                </c:pt>
                <c:pt idx="62">
                  <c:v>4.3</c:v>
                </c:pt>
                <c:pt idx="63">
                  <c:v>4.3</c:v>
                </c:pt>
                <c:pt idx="64">
                  <c:v>4.3499999999999996</c:v>
                </c:pt>
                <c:pt idx="65">
                  <c:v>4.3499999999999996</c:v>
                </c:pt>
                <c:pt idx="66">
                  <c:v>4.3499999999999996</c:v>
                </c:pt>
                <c:pt idx="67">
                  <c:v>4.3</c:v>
                </c:pt>
                <c:pt idx="68">
                  <c:v>4.3499999999999996</c:v>
                </c:pt>
                <c:pt idx="69">
                  <c:v>4.3499999999999996</c:v>
                </c:pt>
                <c:pt idx="70">
                  <c:v>4.3499999999999996</c:v>
                </c:pt>
                <c:pt idx="71">
                  <c:v>4.3499999999999996</c:v>
                </c:pt>
                <c:pt idx="72">
                  <c:v>4.3499999999999996</c:v>
                </c:pt>
                <c:pt idx="73">
                  <c:v>4.3499999999999996</c:v>
                </c:pt>
                <c:pt idx="74">
                  <c:v>4.3499999999999996</c:v>
                </c:pt>
                <c:pt idx="75">
                  <c:v>4.3499999999999996</c:v>
                </c:pt>
                <c:pt idx="76">
                  <c:v>4.3499999999999996</c:v>
                </c:pt>
                <c:pt idx="77">
                  <c:v>4.3</c:v>
                </c:pt>
                <c:pt idx="78">
                  <c:v>4.3</c:v>
                </c:pt>
                <c:pt idx="79">
                  <c:v>4.3</c:v>
                </c:pt>
                <c:pt idx="80">
                  <c:v>4.3</c:v>
                </c:pt>
                <c:pt idx="81">
                  <c:v>4.3</c:v>
                </c:pt>
                <c:pt idx="82">
                  <c:v>4.3</c:v>
                </c:pt>
                <c:pt idx="83">
                  <c:v>4.3</c:v>
                </c:pt>
                <c:pt idx="84">
                  <c:v>4.3</c:v>
                </c:pt>
                <c:pt idx="85">
                  <c:v>4.3</c:v>
                </c:pt>
                <c:pt idx="86">
                  <c:v>4.3</c:v>
                </c:pt>
                <c:pt idx="87">
                  <c:v>4.3</c:v>
                </c:pt>
                <c:pt idx="88">
                  <c:v>4.3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4.3499999999999996</c:v>
                </c:pt>
                <c:pt idx="92">
                  <c:v>4.3499999999999996</c:v>
                </c:pt>
                <c:pt idx="93">
                  <c:v>4.3499999999999996</c:v>
                </c:pt>
                <c:pt idx="94">
                  <c:v>4.3499999999999996</c:v>
                </c:pt>
                <c:pt idx="95">
                  <c:v>4.3499999999999996</c:v>
                </c:pt>
                <c:pt idx="96">
                  <c:v>4.3499999999999996</c:v>
                </c:pt>
                <c:pt idx="97">
                  <c:v>4.3499999999999996</c:v>
                </c:pt>
                <c:pt idx="98">
                  <c:v>4.3499999999999996</c:v>
                </c:pt>
                <c:pt idx="99">
                  <c:v>4.3499999999999996</c:v>
                </c:pt>
                <c:pt idx="100">
                  <c:v>4.3499999999999996</c:v>
                </c:pt>
                <c:pt idx="101">
                  <c:v>4.3499999999999996</c:v>
                </c:pt>
                <c:pt idx="102">
                  <c:v>4.3499999999999996</c:v>
                </c:pt>
                <c:pt idx="103">
                  <c:v>4.3499999999999996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780320"/>
        <c:axId val="916782560"/>
      </c:scatterChart>
      <c:valAx>
        <c:axId val="916782000"/>
        <c:scaling>
          <c:orientation val="minMax"/>
          <c:max val="43305.666666666701"/>
          <c:min val="43305.3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hh:mm:ss\ dd/mmm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771920"/>
        <c:crosses val="autoZero"/>
        <c:crossBetween val="midCat"/>
        <c:majorUnit val="1.0416666666666701E-2"/>
      </c:valAx>
      <c:valAx>
        <c:axId val="91677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782000"/>
        <c:crosses val="autoZero"/>
        <c:crossBetween val="midCat"/>
      </c:valAx>
      <c:valAx>
        <c:axId val="916782560"/>
        <c:scaling>
          <c:orientation val="minMax"/>
          <c:max val="5"/>
          <c:min val="3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780320"/>
        <c:crosses val="max"/>
        <c:crossBetween val="midCat"/>
      </c:valAx>
      <c:valAx>
        <c:axId val="91678032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916782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'Rough Calculation'!$F$13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'Rough Calculation'!$E$14:$E$24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'Rough Calculation'!$F$14:$F$24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08912"/>
        <c:axId val="230410592"/>
      </c:scatterChart>
      <c:valAx>
        <c:axId val="230408912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410592"/>
        <c:crosses val="autoZero"/>
        <c:crossBetween val="midCat"/>
        <c:majorUnit val="2.0900000000000005E-2"/>
      </c:valAx>
      <c:valAx>
        <c:axId val="23041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40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theme="6" tint="0.39997558519241921"/>
  </sheetPr>
  <sheetViews>
    <sheetView zoomScale="85" workbookViewId="0"/>
  </sheetViews>
  <pageMargins left="0.7" right="0.7" top="0.75" bottom="0.75" header="0.3" footer="0.3"/>
  <pageSetup paperSize="8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1" max="30000" page="10" val="105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106680</xdr:rowOff>
        </xdr:from>
        <xdr:to>
          <xdr:col>1</xdr:col>
          <xdr:colOff>60960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114300</xdr:rowOff>
        </xdr:from>
        <xdr:to>
          <xdr:col>2</xdr:col>
          <xdr:colOff>571500</xdr:colOff>
          <xdr:row>0</xdr:row>
          <xdr:rowOff>403860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434340</xdr:rowOff>
        </xdr:from>
        <xdr:to>
          <xdr:col>0</xdr:col>
          <xdr:colOff>784860</xdr:colOff>
          <xdr:row>0</xdr:row>
          <xdr:rowOff>807720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449580</xdr:rowOff>
        </xdr:from>
        <xdr:to>
          <xdr:col>2</xdr:col>
          <xdr:colOff>236220</xdr:colOff>
          <xdr:row>0</xdr:row>
          <xdr:rowOff>807720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0</xdr:row>
          <xdr:rowOff>457200</xdr:rowOff>
        </xdr:from>
        <xdr:to>
          <xdr:col>3</xdr:col>
          <xdr:colOff>7620</xdr:colOff>
          <xdr:row>0</xdr:row>
          <xdr:rowOff>1097280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2626</v>
      </c>
      <c r="C1" t="s">
        <v>2627</v>
      </c>
      <c r="D1" t="s">
        <v>2628</v>
      </c>
      <c r="E1" t="s">
        <v>2629</v>
      </c>
      <c r="F1" t="s">
        <v>2630</v>
      </c>
      <c r="G1" t="s">
        <v>2631</v>
      </c>
      <c r="H1" t="s">
        <v>2632</v>
      </c>
      <c r="I1" t="s">
        <v>2633</v>
      </c>
    </row>
    <row r="2" spans="2:9" x14ac:dyDescent="0.3">
      <c r="B2" t="s">
        <v>111</v>
      </c>
      <c r="C2" t="s">
        <v>1323</v>
      </c>
      <c r="D2" t="s">
        <v>2634</v>
      </c>
      <c r="E2" s="2">
        <v>39727</v>
      </c>
      <c r="F2">
        <v>5</v>
      </c>
      <c r="G2">
        <v>1</v>
      </c>
      <c r="H2" t="s">
        <v>2635</v>
      </c>
      <c r="I2">
        <v>5</v>
      </c>
    </row>
    <row r="3" spans="2:9" x14ac:dyDescent="0.3">
      <c r="B3" t="s">
        <v>112</v>
      </c>
      <c r="C3" t="s">
        <v>1324</v>
      </c>
      <c r="D3" t="s">
        <v>2634</v>
      </c>
      <c r="E3" s="2">
        <v>38464</v>
      </c>
      <c r="F3">
        <v>10</v>
      </c>
      <c r="G3">
        <v>1</v>
      </c>
      <c r="H3" t="s">
        <v>2636</v>
      </c>
      <c r="I3">
        <v>10</v>
      </c>
    </row>
    <row r="4" spans="2:9" x14ac:dyDescent="0.3">
      <c r="B4" t="s">
        <v>113</v>
      </c>
      <c r="C4" t="s">
        <v>1325</v>
      </c>
      <c r="D4" t="s">
        <v>2634</v>
      </c>
      <c r="E4" s="2">
        <v>38212</v>
      </c>
      <c r="F4">
        <v>10</v>
      </c>
      <c r="G4">
        <v>1</v>
      </c>
      <c r="H4" t="s">
        <v>2637</v>
      </c>
      <c r="I4">
        <v>10</v>
      </c>
    </row>
    <row r="5" spans="2:9" x14ac:dyDescent="0.3">
      <c r="B5" t="s">
        <v>2638</v>
      </c>
      <c r="C5" t="s">
        <v>2639</v>
      </c>
      <c r="D5" t="s">
        <v>2634</v>
      </c>
      <c r="E5" s="2">
        <v>38523</v>
      </c>
      <c r="F5">
        <v>2</v>
      </c>
      <c r="G5">
        <v>1</v>
      </c>
      <c r="H5" t="s">
        <v>2640</v>
      </c>
      <c r="I5">
        <v>2</v>
      </c>
    </row>
    <row r="6" spans="2:9" x14ac:dyDescent="0.3">
      <c r="B6" t="s">
        <v>114</v>
      </c>
      <c r="C6" t="s">
        <v>1326</v>
      </c>
      <c r="D6" t="s">
        <v>2634</v>
      </c>
      <c r="E6" s="2">
        <v>41668</v>
      </c>
      <c r="F6">
        <v>5</v>
      </c>
      <c r="G6">
        <v>1</v>
      </c>
      <c r="H6" t="s">
        <v>2641</v>
      </c>
      <c r="I6">
        <v>5</v>
      </c>
    </row>
    <row r="7" spans="2:9" x14ac:dyDescent="0.3">
      <c r="B7" t="s">
        <v>2642</v>
      </c>
      <c r="C7" t="s">
        <v>2643</v>
      </c>
      <c r="D7" t="s">
        <v>2634</v>
      </c>
      <c r="E7" s="2">
        <v>40535</v>
      </c>
      <c r="F7">
        <v>10</v>
      </c>
      <c r="G7">
        <v>1</v>
      </c>
      <c r="H7" t="s">
        <v>2644</v>
      </c>
      <c r="I7">
        <v>10</v>
      </c>
    </row>
    <row r="8" spans="2:9" x14ac:dyDescent="0.3">
      <c r="B8" t="s">
        <v>115</v>
      </c>
      <c r="C8" t="s">
        <v>1327</v>
      </c>
      <c r="D8" t="s">
        <v>2634</v>
      </c>
      <c r="E8" s="2">
        <v>37883</v>
      </c>
      <c r="F8">
        <v>10</v>
      </c>
      <c r="G8">
        <v>1</v>
      </c>
      <c r="H8" t="s">
        <v>2645</v>
      </c>
      <c r="I8">
        <v>10</v>
      </c>
    </row>
    <row r="9" spans="2:9" x14ac:dyDescent="0.3">
      <c r="B9" t="s">
        <v>116</v>
      </c>
      <c r="C9" t="s">
        <v>1328</v>
      </c>
      <c r="D9" t="s">
        <v>2634</v>
      </c>
      <c r="E9" s="2">
        <v>34738</v>
      </c>
      <c r="F9">
        <v>5</v>
      </c>
      <c r="G9">
        <v>1</v>
      </c>
      <c r="H9" t="s">
        <v>2646</v>
      </c>
      <c r="I9">
        <v>5</v>
      </c>
    </row>
    <row r="10" spans="2:9" x14ac:dyDescent="0.3">
      <c r="B10" t="s">
        <v>117</v>
      </c>
      <c r="C10" t="s">
        <v>1329</v>
      </c>
      <c r="D10" t="s">
        <v>2634</v>
      </c>
      <c r="E10" s="2">
        <v>39042</v>
      </c>
      <c r="F10">
        <v>10</v>
      </c>
      <c r="G10">
        <v>1</v>
      </c>
      <c r="H10" t="s">
        <v>2647</v>
      </c>
      <c r="I10">
        <v>10</v>
      </c>
    </row>
    <row r="11" spans="2:9" x14ac:dyDescent="0.3">
      <c r="B11" t="s">
        <v>118</v>
      </c>
      <c r="C11" t="s">
        <v>1330</v>
      </c>
      <c r="D11" t="s">
        <v>2634</v>
      </c>
      <c r="E11" s="2">
        <v>34787</v>
      </c>
      <c r="F11">
        <v>2</v>
      </c>
      <c r="G11">
        <v>1</v>
      </c>
      <c r="H11" t="s">
        <v>2648</v>
      </c>
      <c r="I11">
        <v>2</v>
      </c>
    </row>
    <row r="12" spans="2:9" x14ac:dyDescent="0.3">
      <c r="B12" t="s">
        <v>2</v>
      </c>
      <c r="C12" t="s">
        <v>2649</v>
      </c>
      <c r="D12" t="s">
        <v>2634</v>
      </c>
      <c r="E12" s="2">
        <v>34738</v>
      </c>
      <c r="F12">
        <v>2</v>
      </c>
      <c r="G12">
        <v>1</v>
      </c>
      <c r="H12" t="s">
        <v>2650</v>
      </c>
      <c r="I12">
        <v>2</v>
      </c>
    </row>
    <row r="13" spans="2:9" x14ac:dyDescent="0.3">
      <c r="B13" t="s">
        <v>2651</v>
      </c>
      <c r="C13" t="s">
        <v>2652</v>
      </c>
      <c r="D13" t="s">
        <v>2634</v>
      </c>
      <c r="E13" s="2">
        <v>40186</v>
      </c>
      <c r="F13">
        <v>10</v>
      </c>
      <c r="G13">
        <v>1</v>
      </c>
      <c r="H13" t="s">
        <v>2653</v>
      </c>
      <c r="I13">
        <v>10</v>
      </c>
    </row>
    <row r="14" spans="2:9" x14ac:dyDescent="0.3">
      <c r="B14" t="s">
        <v>2654</v>
      </c>
      <c r="C14" t="s">
        <v>2655</v>
      </c>
      <c r="D14" t="s">
        <v>2634</v>
      </c>
      <c r="E14" s="2">
        <v>41472</v>
      </c>
      <c r="F14">
        <v>10</v>
      </c>
      <c r="G14">
        <v>1</v>
      </c>
      <c r="H14" t="s">
        <v>2656</v>
      </c>
      <c r="I14">
        <v>10</v>
      </c>
    </row>
    <row r="15" spans="2:9" x14ac:dyDescent="0.3">
      <c r="B15" t="s">
        <v>119</v>
      </c>
      <c r="C15" t="s">
        <v>1331</v>
      </c>
      <c r="D15" t="s">
        <v>2657</v>
      </c>
      <c r="E15" s="2">
        <v>39183</v>
      </c>
      <c r="F15">
        <v>10</v>
      </c>
      <c r="G15">
        <v>1</v>
      </c>
      <c r="H15" t="s">
        <v>2658</v>
      </c>
      <c r="I15">
        <v>10</v>
      </c>
    </row>
    <row r="16" spans="2:9" x14ac:dyDescent="0.3">
      <c r="B16" t="s">
        <v>17</v>
      </c>
      <c r="C16" t="s">
        <v>1332</v>
      </c>
      <c r="D16" t="s">
        <v>2634</v>
      </c>
      <c r="E16" s="2">
        <v>34955</v>
      </c>
      <c r="F16">
        <v>10</v>
      </c>
      <c r="G16">
        <v>1</v>
      </c>
      <c r="H16" t="s">
        <v>2659</v>
      </c>
      <c r="I16">
        <v>10</v>
      </c>
    </row>
    <row r="17" spans="2:9" x14ac:dyDescent="0.3">
      <c r="B17" t="s">
        <v>2660</v>
      </c>
      <c r="C17" t="s">
        <v>2661</v>
      </c>
      <c r="D17" t="s">
        <v>2662</v>
      </c>
      <c r="E17" s="2">
        <v>42535</v>
      </c>
      <c r="F17">
        <v>10</v>
      </c>
      <c r="G17">
        <v>1</v>
      </c>
      <c r="H17" t="s">
        <v>2663</v>
      </c>
      <c r="I17">
        <v>10</v>
      </c>
    </row>
    <row r="18" spans="2:9" x14ac:dyDescent="0.3">
      <c r="B18" t="s">
        <v>120</v>
      </c>
      <c r="C18" t="s">
        <v>1333</v>
      </c>
      <c r="D18" t="s">
        <v>2634</v>
      </c>
      <c r="E18" s="2">
        <v>35389</v>
      </c>
      <c r="F18">
        <v>10</v>
      </c>
      <c r="G18">
        <v>1</v>
      </c>
      <c r="H18" t="s">
        <v>2664</v>
      </c>
      <c r="I18">
        <v>10</v>
      </c>
    </row>
    <row r="19" spans="2:9" x14ac:dyDescent="0.3">
      <c r="B19" t="s">
        <v>121</v>
      </c>
      <c r="C19" t="s">
        <v>1334</v>
      </c>
      <c r="D19" t="s">
        <v>2634</v>
      </c>
      <c r="E19" s="2">
        <v>36495</v>
      </c>
      <c r="F19">
        <v>10</v>
      </c>
      <c r="G19">
        <v>1</v>
      </c>
      <c r="H19" t="s">
        <v>2665</v>
      </c>
      <c r="I19">
        <v>10</v>
      </c>
    </row>
    <row r="20" spans="2:9" x14ac:dyDescent="0.3">
      <c r="B20" t="s">
        <v>122</v>
      </c>
      <c r="C20" t="s">
        <v>1335</v>
      </c>
      <c r="D20" t="s">
        <v>2634</v>
      </c>
      <c r="E20" s="2">
        <v>38986</v>
      </c>
      <c r="F20">
        <v>2</v>
      </c>
      <c r="G20">
        <v>1</v>
      </c>
      <c r="H20" t="s">
        <v>2666</v>
      </c>
      <c r="I20">
        <v>2</v>
      </c>
    </row>
    <row r="21" spans="2:9" x14ac:dyDescent="0.3">
      <c r="B21" t="s">
        <v>123</v>
      </c>
      <c r="C21" t="s">
        <v>1336</v>
      </c>
      <c r="D21" t="s">
        <v>2634</v>
      </c>
      <c r="E21" s="2">
        <v>35585</v>
      </c>
      <c r="F21">
        <v>1</v>
      </c>
      <c r="G21">
        <v>1</v>
      </c>
      <c r="H21" t="s">
        <v>2667</v>
      </c>
      <c r="I21">
        <v>1</v>
      </c>
    </row>
    <row r="22" spans="2:9" x14ac:dyDescent="0.3">
      <c r="B22" t="s">
        <v>124</v>
      </c>
      <c r="C22" t="s">
        <v>1337</v>
      </c>
      <c r="D22" t="s">
        <v>2634</v>
      </c>
      <c r="E22" s="2">
        <v>39413</v>
      </c>
      <c r="F22">
        <v>2</v>
      </c>
      <c r="G22">
        <v>1</v>
      </c>
      <c r="H22" t="s">
        <v>2668</v>
      </c>
      <c r="I22">
        <v>2</v>
      </c>
    </row>
    <row r="23" spans="2:9" x14ac:dyDescent="0.3">
      <c r="B23" t="s">
        <v>125</v>
      </c>
      <c r="C23" t="s">
        <v>1338</v>
      </c>
      <c r="D23" t="s">
        <v>2634</v>
      </c>
      <c r="E23" s="2">
        <v>40045</v>
      </c>
      <c r="F23">
        <v>10</v>
      </c>
      <c r="G23">
        <v>1</v>
      </c>
      <c r="H23" t="s">
        <v>2669</v>
      </c>
      <c r="I23">
        <v>10</v>
      </c>
    </row>
    <row r="24" spans="2:9" x14ac:dyDescent="0.3">
      <c r="B24" t="s">
        <v>2670</v>
      </c>
      <c r="C24" t="s">
        <v>2671</v>
      </c>
      <c r="D24" t="s">
        <v>2634</v>
      </c>
      <c r="E24" s="2">
        <v>42216</v>
      </c>
      <c r="F24">
        <v>10</v>
      </c>
      <c r="G24">
        <v>1</v>
      </c>
      <c r="H24" t="s">
        <v>2672</v>
      </c>
      <c r="I24">
        <v>10</v>
      </c>
    </row>
    <row r="25" spans="2:9" x14ac:dyDescent="0.3">
      <c r="B25" t="s">
        <v>126</v>
      </c>
      <c r="C25" t="s">
        <v>1339</v>
      </c>
      <c r="D25" t="s">
        <v>2634</v>
      </c>
      <c r="E25" s="2">
        <v>40436</v>
      </c>
      <c r="F25">
        <v>10</v>
      </c>
      <c r="G25">
        <v>1</v>
      </c>
      <c r="H25" t="s">
        <v>2673</v>
      </c>
      <c r="I25">
        <v>10</v>
      </c>
    </row>
    <row r="26" spans="2:9" x14ac:dyDescent="0.3">
      <c r="B26" t="s">
        <v>127</v>
      </c>
      <c r="C26" t="s">
        <v>1340</v>
      </c>
      <c r="D26" t="s">
        <v>2634</v>
      </c>
      <c r="E26" s="2">
        <v>38812</v>
      </c>
      <c r="F26">
        <v>10</v>
      </c>
      <c r="G26">
        <v>1</v>
      </c>
      <c r="H26" t="s">
        <v>2674</v>
      </c>
      <c r="I26">
        <v>10</v>
      </c>
    </row>
    <row r="27" spans="2:9" x14ac:dyDescent="0.3">
      <c r="B27" t="s">
        <v>2675</v>
      </c>
      <c r="C27" t="s">
        <v>2676</v>
      </c>
      <c r="D27" t="s">
        <v>2634</v>
      </c>
      <c r="E27" s="2">
        <v>42552</v>
      </c>
      <c r="F27">
        <v>10</v>
      </c>
      <c r="G27">
        <v>1</v>
      </c>
      <c r="H27" t="s">
        <v>2677</v>
      </c>
      <c r="I27">
        <v>10</v>
      </c>
    </row>
    <row r="28" spans="2:9" x14ac:dyDescent="0.3">
      <c r="B28" t="s">
        <v>2678</v>
      </c>
      <c r="C28" t="s">
        <v>2679</v>
      </c>
      <c r="D28" t="s">
        <v>2634</v>
      </c>
      <c r="E28" s="2">
        <v>42100</v>
      </c>
      <c r="F28">
        <v>10</v>
      </c>
      <c r="G28">
        <v>1</v>
      </c>
      <c r="H28" t="s">
        <v>2680</v>
      </c>
      <c r="I28">
        <v>10</v>
      </c>
    </row>
    <row r="29" spans="2:9" x14ac:dyDescent="0.3">
      <c r="B29" t="s">
        <v>128</v>
      </c>
      <c r="C29" t="s">
        <v>1341</v>
      </c>
      <c r="D29" t="s">
        <v>2634</v>
      </c>
      <c r="E29" s="2">
        <v>34829</v>
      </c>
      <c r="F29">
        <v>10</v>
      </c>
      <c r="G29">
        <v>1</v>
      </c>
      <c r="H29" t="s">
        <v>2681</v>
      </c>
      <c r="I29">
        <v>10</v>
      </c>
    </row>
    <row r="30" spans="2:9" x14ac:dyDescent="0.3">
      <c r="B30" t="s">
        <v>129</v>
      </c>
      <c r="C30" t="s">
        <v>1342</v>
      </c>
      <c r="D30" t="s">
        <v>2662</v>
      </c>
      <c r="E30" s="2">
        <v>39288</v>
      </c>
      <c r="F30">
        <v>5</v>
      </c>
      <c r="G30">
        <v>1</v>
      </c>
      <c r="H30" t="s">
        <v>2682</v>
      </c>
      <c r="I30">
        <v>5</v>
      </c>
    </row>
    <row r="31" spans="2:9" x14ac:dyDescent="0.3">
      <c r="B31" t="s">
        <v>130</v>
      </c>
      <c r="C31" t="s">
        <v>1343</v>
      </c>
      <c r="D31" t="s">
        <v>2634</v>
      </c>
      <c r="E31" s="2">
        <v>39258</v>
      </c>
      <c r="F31">
        <v>2</v>
      </c>
      <c r="G31">
        <v>1</v>
      </c>
      <c r="H31" t="s">
        <v>2683</v>
      </c>
      <c r="I31">
        <v>2</v>
      </c>
    </row>
    <row r="32" spans="2:9" x14ac:dyDescent="0.3">
      <c r="B32" t="s">
        <v>2684</v>
      </c>
      <c r="C32" t="s">
        <v>2685</v>
      </c>
      <c r="D32" t="s">
        <v>2634</v>
      </c>
      <c r="E32" s="2">
        <v>42583</v>
      </c>
      <c r="F32">
        <v>2</v>
      </c>
      <c r="G32">
        <v>1</v>
      </c>
      <c r="H32" t="s">
        <v>2686</v>
      </c>
      <c r="I32">
        <v>2</v>
      </c>
    </row>
    <row r="33" spans="2:9" x14ac:dyDescent="0.3">
      <c r="B33" t="s">
        <v>131</v>
      </c>
      <c r="C33" t="s">
        <v>1344</v>
      </c>
      <c r="D33" t="s">
        <v>2634</v>
      </c>
      <c r="E33" s="2">
        <v>35158</v>
      </c>
      <c r="F33">
        <v>1</v>
      </c>
      <c r="G33">
        <v>1</v>
      </c>
      <c r="H33" t="s">
        <v>2687</v>
      </c>
      <c r="I33">
        <v>1</v>
      </c>
    </row>
    <row r="34" spans="2:9" x14ac:dyDescent="0.3">
      <c r="B34" t="s">
        <v>132</v>
      </c>
      <c r="C34" t="s">
        <v>1345</v>
      </c>
      <c r="D34" t="s">
        <v>2662</v>
      </c>
      <c r="E34" s="2">
        <v>39020</v>
      </c>
      <c r="F34">
        <v>10</v>
      </c>
      <c r="G34">
        <v>1</v>
      </c>
      <c r="H34" t="s">
        <v>2688</v>
      </c>
      <c r="I34">
        <v>10</v>
      </c>
    </row>
    <row r="35" spans="2:9" x14ac:dyDescent="0.3">
      <c r="B35" t="s">
        <v>133</v>
      </c>
      <c r="C35" t="s">
        <v>1346</v>
      </c>
      <c r="D35" t="s">
        <v>2662</v>
      </c>
      <c r="E35" s="2">
        <v>41785</v>
      </c>
      <c r="F35">
        <v>10</v>
      </c>
      <c r="G35">
        <v>1</v>
      </c>
      <c r="H35" t="s">
        <v>2689</v>
      </c>
      <c r="I35">
        <v>10</v>
      </c>
    </row>
    <row r="36" spans="2:9" x14ac:dyDescent="0.3">
      <c r="B36" t="s">
        <v>134</v>
      </c>
      <c r="C36" t="s">
        <v>1347</v>
      </c>
      <c r="D36" t="s">
        <v>2634</v>
      </c>
      <c r="E36" s="2">
        <v>37824</v>
      </c>
      <c r="F36">
        <v>10</v>
      </c>
      <c r="G36">
        <v>1</v>
      </c>
      <c r="H36" t="s">
        <v>2690</v>
      </c>
      <c r="I36">
        <v>10</v>
      </c>
    </row>
    <row r="37" spans="2:9" x14ac:dyDescent="0.3">
      <c r="B37" t="s">
        <v>135</v>
      </c>
      <c r="C37" t="s">
        <v>1348</v>
      </c>
      <c r="D37" t="s">
        <v>2634</v>
      </c>
      <c r="E37" s="2">
        <v>41667</v>
      </c>
      <c r="F37">
        <v>10</v>
      </c>
      <c r="G37">
        <v>1</v>
      </c>
      <c r="H37" t="s">
        <v>2691</v>
      </c>
      <c r="I37">
        <v>10</v>
      </c>
    </row>
    <row r="38" spans="2:9" x14ac:dyDescent="0.3">
      <c r="B38" t="s">
        <v>136</v>
      </c>
      <c r="C38" t="s">
        <v>1349</v>
      </c>
      <c r="D38" t="s">
        <v>2634</v>
      </c>
      <c r="E38" s="2">
        <v>40401</v>
      </c>
      <c r="F38">
        <v>10</v>
      </c>
      <c r="G38">
        <v>1</v>
      </c>
      <c r="H38" t="s">
        <v>2692</v>
      </c>
      <c r="I38">
        <v>10</v>
      </c>
    </row>
    <row r="39" spans="2:9" x14ac:dyDescent="0.3">
      <c r="B39" t="s">
        <v>137</v>
      </c>
      <c r="C39" t="s">
        <v>1350</v>
      </c>
      <c r="D39" t="s">
        <v>2634</v>
      </c>
      <c r="E39" s="2">
        <v>40161</v>
      </c>
      <c r="F39">
        <v>2</v>
      </c>
      <c r="G39">
        <v>1</v>
      </c>
      <c r="H39" t="s">
        <v>2693</v>
      </c>
      <c r="I39">
        <v>2</v>
      </c>
    </row>
    <row r="40" spans="2:9" x14ac:dyDescent="0.3">
      <c r="B40" t="s">
        <v>138</v>
      </c>
      <c r="C40" t="s">
        <v>1351</v>
      </c>
      <c r="D40" t="s">
        <v>2634</v>
      </c>
      <c r="E40" s="2">
        <v>40395</v>
      </c>
      <c r="F40">
        <v>10</v>
      </c>
      <c r="G40">
        <v>1</v>
      </c>
      <c r="H40" t="s">
        <v>2694</v>
      </c>
      <c r="I40">
        <v>10</v>
      </c>
    </row>
    <row r="41" spans="2:9" x14ac:dyDescent="0.3">
      <c r="B41" t="s">
        <v>139</v>
      </c>
      <c r="C41" t="s">
        <v>1352</v>
      </c>
      <c r="D41" t="s">
        <v>2634</v>
      </c>
      <c r="E41" s="2">
        <v>38700</v>
      </c>
      <c r="F41">
        <v>2</v>
      </c>
      <c r="G41">
        <v>1</v>
      </c>
      <c r="H41" t="s">
        <v>2695</v>
      </c>
      <c r="I41">
        <v>2</v>
      </c>
    </row>
    <row r="42" spans="2:9" x14ac:dyDescent="0.3">
      <c r="B42" t="s">
        <v>1272</v>
      </c>
      <c r="C42" t="s">
        <v>1353</v>
      </c>
      <c r="D42" t="s">
        <v>2662</v>
      </c>
      <c r="E42" s="2">
        <v>39127</v>
      </c>
      <c r="F42">
        <v>5</v>
      </c>
      <c r="G42">
        <v>1</v>
      </c>
      <c r="H42" t="s">
        <v>2696</v>
      </c>
      <c r="I42">
        <v>5</v>
      </c>
    </row>
    <row r="43" spans="2:9" x14ac:dyDescent="0.3">
      <c r="B43" t="s">
        <v>2697</v>
      </c>
      <c r="C43" t="s">
        <v>2698</v>
      </c>
      <c r="D43" t="s">
        <v>2634</v>
      </c>
      <c r="E43" s="2">
        <v>42340</v>
      </c>
      <c r="F43">
        <v>10</v>
      </c>
      <c r="G43">
        <v>1</v>
      </c>
      <c r="H43" t="s">
        <v>2699</v>
      </c>
      <c r="I43">
        <v>10</v>
      </c>
    </row>
    <row r="44" spans="2:9" x14ac:dyDescent="0.3">
      <c r="B44" t="s">
        <v>140</v>
      </c>
      <c r="C44" t="s">
        <v>1354</v>
      </c>
      <c r="D44" t="s">
        <v>2634</v>
      </c>
      <c r="E44" s="2">
        <v>36675</v>
      </c>
      <c r="F44">
        <v>2</v>
      </c>
      <c r="G44">
        <v>1</v>
      </c>
      <c r="H44" t="s">
        <v>2700</v>
      </c>
      <c r="I44">
        <v>2</v>
      </c>
    </row>
    <row r="45" spans="2:9" x14ac:dyDescent="0.3">
      <c r="B45" t="s">
        <v>141</v>
      </c>
      <c r="C45" t="s">
        <v>1355</v>
      </c>
      <c r="D45" t="s">
        <v>2634</v>
      </c>
      <c r="E45" s="2">
        <v>39980</v>
      </c>
      <c r="F45">
        <v>10</v>
      </c>
      <c r="G45">
        <v>1</v>
      </c>
      <c r="H45" t="s">
        <v>2701</v>
      </c>
      <c r="I45">
        <v>10</v>
      </c>
    </row>
    <row r="46" spans="2:9" x14ac:dyDescent="0.3">
      <c r="B46" t="s">
        <v>2702</v>
      </c>
      <c r="C46" t="s">
        <v>2703</v>
      </c>
      <c r="D46" t="s">
        <v>2634</v>
      </c>
      <c r="E46" s="2">
        <v>42822</v>
      </c>
      <c r="F46">
        <v>10</v>
      </c>
      <c r="G46">
        <v>1</v>
      </c>
      <c r="H46" t="s">
        <v>2704</v>
      </c>
      <c r="I46">
        <v>10</v>
      </c>
    </row>
    <row r="47" spans="2:9" x14ac:dyDescent="0.3">
      <c r="B47" t="s">
        <v>142</v>
      </c>
      <c r="C47" t="s">
        <v>1356</v>
      </c>
      <c r="D47" t="s">
        <v>2634</v>
      </c>
      <c r="E47" s="2">
        <v>36756</v>
      </c>
      <c r="F47">
        <v>5</v>
      </c>
      <c r="G47">
        <v>1</v>
      </c>
      <c r="H47" t="s">
        <v>2705</v>
      </c>
      <c r="I47">
        <v>5</v>
      </c>
    </row>
    <row r="48" spans="2:9" x14ac:dyDescent="0.3">
      <c r="B48" t="s">
        <v>143</v>
      </c>
      <c r="C48" t="s">
        <v>1357</v>
      </c>
      <c r="D48" t="s">
        <v>2634</v>
      </c>
      <c r="E48" s="2">
        <v>37070</v>
      </c>
      <c r="F48">
        <v>10</v>
      </c>
      <c r="G48">
        <v>1</v>
      </c>
      <c r="H48" t="s">
        <v>2706</v>
      </c>
      <c r="I48">
        <v>10</v>
      </c>
    </row>
    <row r="49" spans="2:9" x14ac:dyDescent="0.3">
      <c r="B49" t="s">
        <v>2707</v>
      </c>
      <c r="C49" t="s">
        <v>2708</v>
      </c>
      <c r="D49" t="s">
        <v>2634</v>
      </c>
      <c r="E49" s="2">
        <v>42185</v>
      </c>
      <c r="F49">
        <v>1</v>
      </c>
      <c r="G49">
        <v>1</v>
      </c>
      <c r="H49" t="s">
        <v>2709</v>
      </c>
      <c r="I49">
        <v>1</v>
      </c>
    </row>
    <row r="50" spans="2:9" x14ac:dyDescent="0.3">
      <c r="B50" t="s">
        <v>2710</v>
      </c>
      <c r="C50" t="s">
        <v>2711</v>
      </c>
      <c r="D50" t="s">
        <v>2634</v>
      </c>
      <c r="E50" s="2">
        <v>42535</v>
      </c>
      <c r="F50">
        <v>10</v>
      </c>
      <c r="G50">
        <v>1</v>
      </c>
      <c r="H50" t="s">
        <v>2712</v>
      </c>
      <c r="I50">
        <v>10</v>
      </c>
    </row>
    <row r="51" spans="2:9" x14ac:dyDescent="0.3">
      <c r="B51" t="s">
        <v>3</v>
      </c>
      <c r="C51" t="s">
        <v>1358</v>
      </c>
      <c r="D51" t="s">
        <v>2634</v>
      </c>
      <c r="E51" s="2">
        <v>37589</v>
      </c>
      <c r="F51">
        <v>10</v>
      </c>
      <c r="G51">
        <v>1</v>
      </c>
      <c r="H51" t="s">
        <v>2713</v>
      </c>
      <c r="I51">
        <v>10</v>
      </c>
    </row>
    <row r="52" spans="2:9" x14ac:dyDescent="0.3">
      <c r="B52" t="s">
        <v>144</v>
      </c>
      <c r="C52" t="s">
        <v>1359</v>
      </c>
      <c r="D52" t="s">
        <v>2634</v>
      </c>
      <c r="E52" s="2">
        <v>39294</v>
      </c>
      <c r="F52">
        <v>10</v>
      </c>
      <c r="G52">
        <v>1</v>
      </c>
      <c r="H52" t="s">
        <v>2714</v>
      </c>
      <c r="I52">
        <v>10</v>
      </c>
    </row>
    <row r="53" spans="2:9" x14ac:dyDescent="0.3">
      <c r="B53" t="s">
        <v>145</v>
      </c>
      <c r="C53" t="s">
        <v>1360</v>
      </c>
      <c r="D53" t="s">
        <v>2634</v>
      </c>
      <c r="E53" s="2">
        <v>36425</v>
      </c>
      <c r="F53">
        <v>2</v>
      </c>
      <c r="G53">
        <v>1</v>
      </c>
      <c r="H53" t="s">
        <v>2715</v>
      </c>
      <c r="I53">
        <v>2</v>
      </c>
    </row>
    <row r="54" spans="2:9" x14ac:dyDescent="0.3">
      <c r="B54" t="s">
        <v>146</v>
      </c>
      <c r="C54" t="s">
        <v>1361</v>
      </c>
      <c r="D54" t="s">
        <v>2634</v>
      </c>
      <c r="E54" s="2">
        <v>38989</v>
      </c>
      <c r="F54">
        <v>5</v>
      </c>
      <c r="G54">
        <v>1</v>
      </c>
      <c r="H54" t="s">
        <v>2716</v>
      </c>
      <c r="I54">
        <v>5</v>
      </c>
    </row>
    <row r="55" spans="2:9" x14ac:dyDescent="0.3">
      <c r="B55" t="s">
        <v>147</v>
      </c>
      <c r="C55" t="s">
        <v>1362</v>
      </c>
      <c r="D55" t="s">
        <v>2634</v>
      </c>
      <c r="E55" s="2">
        <v>39758</v>
      </c>
      <c r="F55">
        <v>10</v>
      </c>
      <c r="G55">
        <v>1</v>
      </c>
      <c r="H55" t="s">
        <v>2717</v>
      </c>
      <c r="I55">
        <v>10</v>
      </c>
    </row>
    <row r="56" spans="2:9" x14ac:dyDescent="0.3">
      <c r="B56" t="s">
        <v>2718</v>
      </c>
      <c r="C56" t="s">
        <v>2719</v>
      </c>
      <c r="D56" t="s">
        <v>2634</v>
      </c>
      <c r="E56" s="2">
        <v>42361</v>
      </c>
      <c r="F56">
        <v>2</v>
      </c>
      <c r="G56">
        <v>1</v>
      </c>
      <c r="H56" t="s">
        <v>2720</v>
      </c>
      <c r="I56">
        <v>2</v>
      </c>
    </row>
    <row r="57" spans="2:9" x14ac:dyDescent="0.3">
      <c r="B57" t="s">
        <v>148</v>
      </c>
      <c r="C57" t="s">
        <v>1363</v>
      </c>
      <c r="D57" t="s">
        <v>2634</v>
      </c>
      <c r="E57" s="2">
        <v>39412</v>
      </c>
      <c r="F57">
        <v>5</v>
      </c>
      <c r="G57">
        <v>1</v>
      </c>
      <c r="H57" t="s">
        <v>2721</v>
      </c>
      <c r="I57">
        <v>5</v>
      </c>
    </row>
    <row r="58" spans="2:9" x14ac:dyDescent="0.3">
      <c r="B58" t="s">
        <v>149</v>
      </c>
      <c r="C58" t="s">
        <v>1364</v>
      </c>
      <c r="D58" t="s">
        <v>2634</v>
      </c>
      <c r="E58" s="2">
        <v>38891</v>
      </c>
      <c r="F58">
        <v>2</v>
      </c>
      <c r="G58">
        <v>1</v>
      </c>
      <c r="H58" t="s">
        <v>2722</v>
      </c>
      <c r="I58">
        <v>2</v>
      </c>
    </row>
    <row r="59" spans="2:9" x14ac:dyDescent="0.3">
      <c r="B59" t="s">
        <v>150</v>
      </c>
      <c r="C59" t="s">
        <v>1365</v>
      </c>
      <c r="D59" t="s">
        <v>2634</v>
      </c>
      <c r="E59" s="2">
        <v>38481</v>
      </c>
      <c r="F59">
        <v>10</v>
      </c>
      <c r="G59">
        <v>1</v>
      </c>
      <c r="H59" t="s">
        <v>2723</v>
      </c>
      <c r="I59">
        <v>10</v>
      </c>
    </row>
    <row r="60" spans="2:9" x14ac:dyDescent="0.3">
      <c r="B60" t="s">
        <v>151</v>
      </c>
      <c r="C60" t="s">
        <v>1366</v>
      </c>
      <c r="D60" t="s">
        <v>2634</v>
      </c>
      <c r="E60" s="2">
        <v>39615</v>
      </c>
      <c r="F60">
        <v>6</v>
      </c>
      <c r="G60">
        <v>1</v>
      </c>
      <c r="H60" t="s">
        <v>2724</v>
      </c>
      <c r="I60">
        <v>6</v>
      </c>
    </row>
    <row r="61" spans="2:9" x14ac:dyDescent="0.3">
      <c r="B61" t="s">
        <v>152</v>
      </c>
      <c r="C61" t="s">
        <v>1367</v>
      </c>
      <c r="D61" t="s">
        <v>2634</v>
      </c>
      <c r="E61" s="2">
        <v>35165</v>
      </c>
      <c r="F61">
        <v>10</v>
      </c>
      <c r="G61">
        <v>1</v>
      </c>
      <c r="H61" t="s">
        <v>2725</v>
      </c>
      <c r="I61">
        <v>10</v>
      </c>
    </row>
    <row r="62" spans="2:9" x14ac:dyDescent="0.3">
      <c r="B62" t="s">
        <v>153</v>
      </c>
      <c r="C62" t="s">
        <v>1368</v>
      </c>
      <c r="D62" t="s">
        <v>2662</v>
      </c>
      <c r="E62" s="2">
        <v>39300</v>
      </c>
      <c r="F62">
        <v>10</v>
      </c>
      <c r="G62">
        <v>1</v>
      </c>
      <c r="H62" t="s">
        <v>2726</v>
      </c>
      <c r="I62">
        <v>10</v>
      </c>
    </row>
    <row r="63" spans="2:9" x14ac:dyDescent="0.3">
      <c r="B63" t="s">
        <v>154</v>
      </c>
      <c r="C63" t="s">
        <v>1369</v>
      </c>
      <c r="D63" t="s">
        <v>2634</v>
      </c>
      <c r="E63" s="2">
        <v>39213</v>
      </c>
      <c r="F63">
        <v>10</v>
      </c>
      <c r="G63">
        <v>1</v>
      </c>
      <c r="H63" t="s">
        <v>2727</v>
      </c>
      <c r="I63">
        <v>10</v>
      </c>
    </row>
    <row r="64" spans="2:9" x14ac:dyDescent="0.3">
      <c r="B64" t="s">
        <v>1273</v>
      </c>
      <c r="C64" t="s">
        <v>1370</v>
      </c>
      <c r="D64" t="s">
        <v>2634</v>
      </c>
      <c r="E64" s="2">
        <v>35179</v>
      </c>
      <c r="F64">
        <v>10</v>
      </c>
      <c r="G64">
        <v>1</v>
      </c>
      <c r="H64" t="s">
        <v>2728</v>
      </c>
      <c r="I64">
        <v>10</v>
      </c>
    </row>
    <row r="65" spans="2:9" x14ac:dyDescent="0.3">
      <c r="B65" t="s">
        <v>18</v>
      </c>
      <c r="C65" t="s">
        <v>1371</v>
      </c>
      <c r="D65" t="s">
        <v>2634</v>
      </c>
      <c r="E65" s="2">
        <v>37869</v>
      </c>
      <c r="F65">
        <v>1</v>
      </c>
      <c r="G65">
        <v>1</v>
      </c>
      <c r="H65" t="s">
        <v>2729</v>
      </c>
      <c r="I65">
        <v>1</v>
      </c>
    </row>
    <row r="66" spans="2:9" x14ac:dyDescent="0.3">
      <c r="B66" t="s">
        <v>155</v>
      </c>
      <c r="C66" t="s">
        <v>1372</v>
      </c>
      <c r="D66" t="s">
        <v>2634</v>
      </c>
      <c r="E66" s="2">
        <v>39476</v>
      </c>
      <c r="F66">
        <v>10</v>
      </c>
      <c r="G66">
        <v>1</v>
      </c>
      <c r="H66" t="s">
        <v>2730</v>
      </c>
      <c r="I66">
        <v>10</v>
      </c>
    </row>
    <row r="67" spans="2:9" x14ac:dyDescent="0.3">
      <c r="B67" t="s">
        <v>156</v>
      </c>
      <c r="C67" t="s">
        <v>1373</v>
      </c>
      <c r="D67" t="s">
        <v>2634</v>
      </c>
      <c r="E67" s="2">
        <v>35844</v>
      </c>
      <c r="F67">
        <v>2</v>
      </c>
      <c r="G67">
        <v>1</v>
      </c>
      <c r="H67" t="s">
        <v>2731</v>
      </c>
      <c r="I67">
        <v>2</v>
      </c>
    </row>
    <row r="68" spans="2:9" x14ac:dyDescent="0.3">
      <c r="B68" t="s">
        <v>157</v>
      </c>
      <c r="C68" t="s">
        <v>1374</v>
      </c>
      <c r="D68" t="s">
        <v>2634</v>
      </c>
      <c r="E68" s="2">
        <v>39160</v>
      </c>
      <c r="F68">
        <v>10</v>
      </c>
      <c r="G68">
        <v>1</v>
      </c>
      <c r="H68" t="s">
        <v>2732</v>
      </c>
      <c r="I68">
        <v>10</v>
      </c>
    </row>
    <row r="69" spans="2:9" x14ac:dyDescent="0.3">
      <c r="B69" t="s">
        <v>2733</v>
      </c>
      <c r="C69" t="s">
        <v>2734</v>
      </c>
      <c r="D69" t="s">
        <v>2634</v>
      </c>
      <c r="E69" s="2">
        <v>42006</v>
      </c>
      <c r="F69">
        <v>2</v>
      </c>
      <c r="G69">
        <v>1</v>
      </c>
      <c r="H69" t="s">
        <v>2735</v>
      </c>
      <c r="I69">
        <v>2</v>
      </c>
    </row>
    <row r="70" spans="2:9" x14ac:dyDescent="0.3">
      <c r="B70" t="s">
        <v>158</v>
      </c>
      <c r="C70" t="s">
        <v>1375</v>
      </c>
      <c r="D70" t="s">
        <v>2634</v>
      </c>
      <c r="E70" s="2">
        <v>38413</v>
      </c>
      <c r="F70">
        <v>2</v>
      </c>
      <c r="G70">
        <v>1</v>
      </c>
      <c r="H70" t="s">
        <v>2736</v>
      </c>
      <c r="I70">
        <v>2</v>
      </c>
    </row>
    <row r="71" spans="2:9" x14ac:dyDescent="0.3">
      <c r="B71" t="s">
        <v>2737</v>
      </c>
      <c r="C71" t="s">
        <v>2738</v>
      </c>
      <c r="D71" t="s">
        <v>2634</v>
      </c>
      <c r="E71" s="2">
        <v>42338</v>
      </c>
      <c r="F71">
        <v>10</v>
      </c>
      <c r="G71">
        <v>1</v>
      </c>
      <c r="H71" t="s">
        <v>2739</v>
      </c>
      <c r="I71">
        <v>10</v>
      </c>
    </row>
    <row r="72" spans="2:9" x14ac:dyDescent="0.3">
      <c r="B72" t="s">
        <v>159</v>
      </c>
      <c r="C72" t="s">
        <v>1376</v>
      </c>
      <c r="D72" t="s">
        <v>2634</v>
      </c>
      <c r="E72" s="2">
        <v>38987</v>
      </c>
      <c r="F72">
        <v>2</v>
      </c>
      <c r="G72">
        <v>1</v>
      </c>
      <c r="H72" t="s">
        <v>2740</v>
      </c>
      <c r="I72">
        <v>2</v>
      </c>
    </row>
    <row r="73" spans="2:9" x14ac:dyDescent="0.3">
      <c r="B73" t="s">
        <v>160</v>
      </c>
      <c r="C73" t="s">
        <v>1377</v>
      </c>
      <c r="D73" t="s">
        <v>2634</v>
      </c>
      <c r="E73" s="2">
        <v>36985</v>
      </c>
      <c r="F73">
        <v>10</v>
      </c>
      <c r="G73">
        <v>1</v>
      </c>
      <c r="H73" t="s">
        <v>2741</v>
      </c>
      <c r="I73">
        <v>10</v>
      </c>
    </row>
    <row r="74" spans="2:9" x14ac:dyDescent="0.3">
      <c r="B74" t="s">
        <v>161</v>
      </c>
      <c r="C74" t="s">
        <v>1378</v>
      </c>
      <c r="D74" t="s">
        <v>2662</v>
      </c>
      <c r="E74" s="2">
        <v>40490</v>
      </c>
      <c r="F74">
        <v>10</v>
      </c>
      <c r="G74">
        <v>1</v>
      </c>
      <c r="H74" t="s">
        <v>2742</v>
      </c>
      <c r="I74">
        <v>10</v>
      </c>
    </row>
    <row r="75" spans="2:9" x14ac:dyDescent="0.3">
      <c r="B75" t="s">
        <v>162</v>
      </c>
      <c r="C75" t="s">
        <v>1379</v>
      </c>
      <c r="D75" t="s">
        <v>2634</v>
      </c>
      <c r="E75" s="2">
        <v>35004</v>
      </c>
      <c r="F75">
        <v>10</v>
      </c>
      <c r="G75">
        <v>1</v>
      </c>
      <c r="H75" t="s">
        <v>2743</v>
      </c>
      <c r="I75">
        <v>10</v>
      </c>
    </row>
    <row r="76" spans="2:9" x14ac:dyDescent="0.3">
      <c r="B76" t="s">
        <v>163</v>
      </c>
      <c r="C76" t="s">
        <v>1380</v>
      </c>
      <c r="D76" t="s">
        <v>2634</v>
      </c>
      <c r="E76" s="2">
        <v>39125</v>
      </c>
      <c r="F76">
        <v>10</v>
      </c>
      <c r="G76">
        <v>1</v>
      </c>
      <c r="H76" t="s">
        <v>2744</v>
      </c>
      <c r="I76">
        <v>10</v>
      </c>
    </row>
    <row r="77" spans="2:9" x14ac:dyDescent="0.3">
      <c r="B77" t="s">
        <v>164</v>
      </c>
      <c r="C77" t="s">
        <v>1381</v>
      </c>
      <c r="D77" t="s">
        <v>2662</v>
      </c>
      <c r="E77" s="2">
        <v>39589</v>
      </c>
      <c r="F77">
        <v>10</v>
      </c>
      <c r="G77">
        <v>1</v>
      </c>
      <c r="H77" t="s">
        <v>2745</v>
      </c>
      <c r="I77">
        <v>10</v>
      </c>
    </row>
    <row r="78" spans="2:9" x14ac:dyDescent="0.3">
      <c r="B78" t="s">
        <v>165</v>
      </c>
      <c r="C78" t="s">
        <v>1382</v>
      </c>
      <c r="D78" t="s">
        <v>2634</v>
      </c>
      <c r="E78" s="2">
        <v>41347</v>
      </c>
      <c r="F78">
        <v>10</v>
      </c>
      <c r="G78">
        <v>1</v>
      </c>
      <c r="H78" t="s">
        <v>2746</v>
      </c>
      <c r="I78">
        <v>10</v>
      </c>
    </row>
    <row r="79" spans="2:9" x14ac:dyDescent="0.3">
      <c r="B79" t="s">
        <v>166</v>
      </c>
      <c r="C79" t="s">
        <v>1383</v>
      </c>
      <c r="D79" t="s">
        <v>2634</v>
      </c>
      <c r="E79" s="2">
        <v>38744</v>
      </c>
      <c r="F79">
        <v>5</v>
      </c>
      <c r="G79">
        <v>1</v>
      </c>
      <c r="H79" t="s">
        <v>2747</v>
      </c>
      <c r="I79">
        <v>5</v>
      </c>
    </row>
    <row r="80" spans="2:9" x14ac:dyDescent="0.3">
      <c r="B80" t="s">
        <v>167</v>
      </c>
      <c r="C80" t="s">
        <v>1384</v>
      </c>
      <c r="D80" t="s">
        <v>2634</v>
      </c>
      <c r="E80" s="2">
        <v>38996</v>
      </c>
      <c r="F80">
        <v>10</v>
      </c>
      <c r="G80">
        <v>1</v>
      </c>
      <c r="H80" t="s">
        <v>2748</v>
      </c>
      <c r="I80">
        <v>10</v>
      </c>
    </row>
    <row r="81" spans="2:9" x14ac:dyDescent="0.3">
      <c r="B81" t="s">
        <v>168</v>
      </c>
      <c r="C81" t="s">
        <v>1385</v>
      </c>
      <c r="D81" t="s">
        <v>2662</v>
      </c>
      <c r="E81" s="2">
        <v>36691</v>
      </c>
      <c r="F81">
        <v>1</v>
      </c>
      <c r="G81">
        <v>1</v>
      </c>
      <c r="H81" t="s">
        <v>2749</v>
      </c>
      <c r="I81">
        <v>1</v>
      </c>
    </row>
    <row r="82" spans="2:9" x14ac:dyDescent="0.3">
      <c r="B82" t="s">
        <v>169</v>
      </c>
      <c r="C82" t="s">
        <v>1386</v>
      </c>
      <c r="D82" t="s">
        <v>2634</v>
      </c>
      <c r="E82" s="2">
        <v>38180</v>
      </c>
      <c r="F82">
        <v>10</v>
      </c>
      <c r="G82">
        <v>1</v>
      </c>
      <c r="H82" t="s">
        <v>2750</v>
      </c>
      <c r="I82">
        <v>10</v>
      </c>
    </row>
    <row r="83" spans="2:9" x14ac:dyDescent="0.3">
      <c r="B83" t="s">
        <v>2751</v>
      </c>
      <c r="C83" t="s">
        <v>2752</v>
      </c>
      <c r="D83" t="s">
        <v>2634</v>
      </c>
      <c r="E83" s="2">
        <v>42835</v>
      </c>
      <c r="F83">
        <v>10</v>
      </c>
      <c r="G83">
        <v>1</v>
      </c>
      <c r="H83" t="s">
        <v>2753</v>
      </c>
      <c r="I83">
        <v>10</v>
      </c>
    </row>
    <row r="84" spans="2:9" x14ac:dyDescent="0.3">
      <c r="B84" t="s">
        <v>170</v>
      </c>
      <c r="C84" t="s">
        <v>1387</v>
      </c>
      <c r="D84" t="s">
        <v>2634</v>
      </c>
      <c r="E84" s="2">
        <v>34948</v>
      </c>
      <c r="F84">
        <v>5</v>
      </c>
      <c r="G84">
        <v>1</v>
      </c>
      <c r="H84" t="s">
        <v>2754</v>
      </c>
      <c r="I84">
        <v>5</v>
      </c>
    </row>
    <row r="85" spans="2:9" x14ac:dyDescent="0.3">
      <c r="B85" t="s">
        <v>171</v>
      </c>
      <c r="C85" t="s">
        <v>1388</v>
      </c>
      <c r="D85" t="s">
        <v>2634</v>
      </c>
      <c r="E85" s="2">
        <v>40891</v>
      </c>
      <c r="F85">
        <v>10</v>
      </c>
      <c r="G85">
        <v>1</v>
      </c>
      <c r="H85" t="s">
        <v>2755</v>
      </c>
      <c r="I85">
        <v>10</v>
      </c>
    </row>
    <row r="86" spans="2:9" x14ac:dyDescent="0.3">
      <c r="B86" t="s">
        <v>172</v>
      </c>
      <c r="C86" t="s">
        <v>1389</v>
      </c>
      <c r="D86" t="s">
        <v>2634</v>
      </c>
      <c r="E86" s="2">
        <v>40806</v>
      </c>
      <c r="F86">
        <v>2</v>
      </c>
      <c r="G86">
        <v>1</v>
      </c>
      <c r="H86" t="s">
        <v>2756</v>
      </c>
      <c r="I86">
        <v>2</v>
      </c>
    </row>
    <row r="87" spans="2:9" x14ac:dyDescent="0.3">
      <c r="B87" t="s">
        <v>19</v>
      </c>
      <c r="C87" t="s">
        <v>1390</v>
      </c>
      <c r="D87" t="s">
        <v>2634</v>
      </c>
      <c r="E87" s="2">
        <v>35074</v>
      </c>
      <c r="F87">
        <v>5</v>
      </c>
      <c r="G87">
        <v>1</v>
      </c>
      <c r="H87" t="s">
        <v>2757</v>
      </c>
      <c r="I87">
        <v>5</v>
      </c>
    </row>
    <row r="88" spans="2:9" x14ac:dyDescent="0.3">
      <c r="B88" t="s">
        <v>20</v>
      </c>
      <c r="C88" t="s">
        <v>1391</v>
      </c>
      <c r="D88" t="s">
        <v>2634</v>
      </c>
      <c r="E88" s="2">
        <v>34850</v>
      </c>
      <c r="F88">
        <v>1</v>
      </c>
      <c r="G88">
        <v>1</v>
      </c>
      <c r="H88" t="s">
        <v>2758</v>
      </c>
      <c r="I88">
        <v>1</v>
      </c>
    </row>
    <row r="89" spans="2:9" x14ac:dyDescent="0.3">
      <c r="B89" t="s">
        <v>2759</v>
      </c>
      <c r="C89" t="s">
        <v>2760</v>
      </c>
      <c r="D89" t="s">
        <v>2662</v>
      </c>
      <c r="E89" s="2">
        <v>42032</v>
      </c>
      <c r="F89">
        <v>10</v>
      </c>
      <c r="G89">
        <v>1</v>
      </c>
      <c r="H89" t="s">
        <v>2761</v>
      </c>
      <c r="I89">
        <v>10</v>
      </c>
    </row>
    <row r="90" spans="2:9" x14ac:dyDescent="0.3">
      <c r="B90" t="s">
        <v>173</v>
      </c>
      <c r="C90" t="s">
        <v>1392</v>
      </c>
      <c r="D90" t="s">
        <v>2634</v>
      </c>
      <c r="E90" s="2">
        <v>37526</v>
      </c>
      <c r="F90">
        <v>10</v>
      </c>
      <c r="G90">
        <v>1</v>
      </c>
      <c r="H90" t="s">
        <v>2762</v>
      </c>
      <c r="I90">
        <v>10</v>
      </c>
    </row>
    <row r="91" spans="2:9" x14ac:dyDescent="0.3">
      <c r="B91" t="s">
        <v>174</v>
      </c>
      <c r="C91" t="s">
        <v>1393</v>
      </c>
      <c r="D91" t="s">
        <v>2634</v>
      </c>
      <c r="E91" s="2">
        <v>39633</v>
      </c>
      <c r="F91">
        <v>10</v>
      </c>
      <c r="G91">
        <v>1</v>
      </c>
      <c r="H91" t="s">
        <v>2763</v>
      </c>
      <c r="I91">
        <v>10</v>
      </c>
    </row>
    <row r="92" spans="2:9" x14ac:dyDescent="0.3">
      <c r="B92" t="s">
        <v>175</v>
      </c>
      <c r="C92" t="s">
        <v>1394</v>
      </c>
      <c r="D92" t="s">
        <v>2634</v>
      </c>
      <c r="E92" s="2">
        <v>36040</v>
      </c>
      <c r="F92">
        <v>2</v>
      </c>
      <c r="G92">
        <v>1</v>
      </c>
      <c r="H92" t="s">
        <v>2764</v>
      </c>
      <c r="I92">
        <v>2</v>
      </c>
    </row>
    <row r="93" spans="2:9" x14ac:dyDescent="0.3">
      <c r="B93" t="s">
        <v>176</v>
      </c>
      <c r="C93" t="s">
        <v>1395</v>
      </c>
      <c r="D93" t="s">
        <v>2634</v>
      </c>
      <c r="E93" s="2">
        <v>41745</v>
      </c>
      <c r="F93">
        <v>10</v>
      </c>
      <c r="G93">
        <v>1</v>
      </c>
      <c r="H93" t="s">
        <v>2765</v>
      </c>
      <c r="I93">
        <v>10</v>
      </c>
    </row>
    <row r="94" spans="2:9" x14ac:dyDescent="0.3">
      <c r="B94" t="s">
        <v>177</v>
      </c>
      <c r="C94" t="s">
        <v>1396</v>
      </c>
      <c r="D94" t="s">
        <v>2634</v>
      </c>
      <c r="E94" s="2">
        <v>39458</v>
      </c>
      <c r="F94">
        <v>10</v>
      </c>
      <c r="G94">
        <v>1</v>
      </c>
      <c r="H94" t="s">
        <v>2766</v>
      </c>
      <c r="I94">
        <v>10</v>
      </c>
    </row>
    <row r="95" spans="2:9" x14ac:dyDescent="0.3">
      <c r="B95" t="s">
        <v>178</v>
      </c>
      <c r="C95" t="s">
        <v>1397</v>
      </c>
      <c r="D95" t="s">
        <v>2662</v>
      </c>
      <c r="E95" s="2">
        <v>39077</v>
      </c>
      <c r="F95">
        <v>10</v>
      </c>
      <c r="G95">
        <v>1</v>
      </c>
      <c r="H95" t="s">
        <v>2767</v>
      </c>
      <c r="I95">
        <v>10</v>
      </c>
    </row>
    <row r="96" spans="2:9" x14ac:dyDescent="0.3">
      <c r="B96" t="s">
        <v>2768</v>
      </c>
      <c r="C96" t="s">
        <v>2769</v>
      </c>
      <c r="D96" t="s">
        <v>2634</v>
      </c>
      <c r="E96" s="2">
        <v>42822</v>
      </c>
      <c r="F96">
        <v>10</v>
      </c>
      <c r="G96">
        <v>1</v>
      </c>
      <c r="H96" t="s">
        <v>2770</v>
      </c>
      <c r="I96">
        <v>10</v>
      </c>
    </row>
    <row r="97" spans="2:9" x14ac:dyDescent="0.3">
      <c r="B97" t="s">
        <v>2771</v>
      </c>
      <c r="C97" t="s">
        <v>2772</v>
      </c>
      <c r="D97" t="s">
        <v>2634</v>
      </c>
      <c r="E97" s="2">
        <v>42535</v>
      </c>
      <c r="F97">
        <v>10</v>
      </c>
      <c r="G97">
        <v>1</v>
      </c>
      <c r="H97" t="s">
        <v>2773</v>
      </c>
      <c r="I97">
        <v>10</v>
      </c>
    </row>
    <row r="98" spans="2:9" x14ac:dyDescent="0.3">
      <c r="B98" t="s">
        <v>179</v>
      </c>
      <c r="C98" t="s">
        <v>1398</v>
      </c>
      <c r="D98" t="s">
        <v>2634</v>
      </c>
      <c r="E98" s="2">
        <v>39196</v>
      </c>
      <c r="F98">
        <v>10</v>
      </c>
      <c r="G98">
        <v>1</v>
      </c>
      <c r="H98" t="s">
        <v>2774</v>
      </c>
      <c r="I98">
        <v>10</v>
      </c>
    </row>
    <row r="99" spans="2:9" x14ac:dyDescent="0.3">
      <c r="B99" t="s">
        <v>2775</v>
      </c>
      <c r="C99" t="s">
        <v>2776</v>
      </c>
      <c r="D99" t="s">
        <v>2634</v>
      </c>
      <c r="E99" s="2">
        <v>42145</v>
      </c>
      <c r="F99">
        <v>10</v>
      </c>
      <c r="G99">
        <v>1</v>
      </c>
      <c r="H99" t="s">
        <v>2777</v>
      </c>
      <c r="I99">
        <v>10</v>
      </c>
    </row>
    <row r="100" spans="2:9" x14ac:dyDescent="0.3">
      <c r="B100" t="s">
        <v>180</v>
      </c>
      <c r="C100" t="s">
        <v>1399</v>
      </c>
      <c r="D100" t="s">
        <v>2634</v>
      </c>
      <c r="E100" s="2">
        <v>39944</v>
      </c>
      <c r="F100">
        <v>10</v>
      </c>
      <c r="G100">
        <v>1</v>
      </c>
      <c r="H100" t="s">
        <v>2778</v>
      </c>
      <c r="I100">
        <v>10</v>
      </c>
    </row>
    <row r="101" spans="2:9" x14ac:dyDescent="0.3">
      <c r="B101" t="s">
        <v>181</v>
      </c>
      <c r="C101" t="s">
        <v>1400</v>
      </c>
      <c r="D101" t="s">
        <v>2662</v>
      </c>
      <c r="E101" s="2">
        <v>40161</v>
      </c>
      <c r="F101">
        <v>2</v>
      </c>
      <c r="G101">
        <v>1</v>
      </c>
      <c r="H101" t="s">
        <v>2779</v>
      </c>
      <c r="I101">
        <v>2</v>
      </c>
    </row>
    <row r="102" spans="2:9" x14ac:dyDescent="0.3">
      <c r="B102" t="s">
        <v>182</v>
      </c>
      <c r="C102" t="s">
        <v>1401</v>
      </c>
      <c r="D102" t="s">
        <v>2634</v>
      </c>
      <c r="E102" s="2">
        <v>40240</v>
      </c>
      <c r="F102">
        <v>10</v>
      </c>
      <c r="G102">
        <v>1</v>
      </c>
      <c r="H102" t="s">
        <v>2780</v>
      </c>
      <c r="I102">
        <v>10</v>
      </c>
    </row>
    <row r="103" spans="2:9" x14ac:dyDescent="0.3">
      <c r="B103" t="s">
        <v>21</v>
      </c>
      <c r="C103" t="s">
        <v>1402</v>
      </c>
      <c r="D103" t="s">
        <v>2634</v>
      </c>
      <c r="E103" s="2">
        <v>34738</v>
      </c>
      <c r="F103">
        <v>10</v>
      </c>
      <c r="G103">
        <v>1</v>
      </c>
      <c r="H103" t="s">
        <v>2781</v>
      </c>
      <c r="I103">
        <v>10</v>
      </c>
    </row>
    <row r="104" spans="2:9" x14ac:dyDescent="0.3">
      <c r="B104" t="s">
        <v>2782</v>
      </c>
      <c r="C104" t="s">
        <v>2783</v>
      </c>
      <c r="D104" t="s">
        <v>2634</v>
      </c>
      <c r="E104" s="2">
        <v>42242</v>
      </c>
      <c r="F104">
        <v>10</v>
      </c>
      <c r="G104">
        <v>1</v>
      </c>
      <c r="H104" t="s">
        <v>2784</v>
      </c>
      <c r="I104">
        <v>10</v>
      </c>
    </row>
    <row r="105" spans="2:9" x14ac:dyDescent="0.3">
      <c r="B105" t="s">
        <v>183</v>
      </c>
      <c r="C105" t="s">
        <v>1403</v>
      </c>
      <c r="D105" t="s">
        <v>2634</v>
      </c>
      <c r="E105" s="2">
        <v>35872</v>
      </c>
      <c r="F105">
        <v>1</v>
      </c>
      <c r="G105">
        <v>1</v>
      </c>
      <c r="H105" t="s">
        <v>2785</v>
      </c>
      <c r="I105">
        <v>1</v>
      </c>
    </row>
    <row r="106" spans="2:9" x14ac:dyDescent="0.3">
      <c r="B106" t="s">
        <v>184</v>
      </c>
      <c r="C106" t="s">
        <v>1404</v>
      </c>
      <c r="D106" t="s">
        <v>2634</v>
      </c>
      <c r="E106" s="2">
        <v>40784</v>
      </c>
      <c r="F106">
        <v>10</v>
      </c>
      <c r="G106">
        <v>1</v>
      </c>
      <c r="H106" t="s">
        <v>2786</v>
      </c>
      <c r="I106">
        <v>10</v>
      </c>
    </row>
    <row r="107" spans="2:9" x14ac:dyDescent="0.3">
      <c r="B107" t="s">
        <v>185</v>
      </c>
      <c r="C107" t="s">
        <v>1405</v>
      </c>
      <c r="D107" t="s">
        <v>2634</v>
      </c>
      <c r="E107" s="2">
        <v>37327</v>
      </c>
      <c r="F107">
        <v>10</v>
      </c>
      <c r="G107">
        <v>1</v>
      </c>
      <c r="H107" t="s">
        <v>2787</v>
      </c>
      <c r="I107">
        <v>10</v>
      </c>
    </row>
    <row r="108" spans="2:9" x14ac:dyDescent="0.3">
      <c r="B108" t="s">
        <v>186</v>
      </c>
      <c r="C108" t="s">
        <v>1406</v>
      </c>
      <c r="D108" t="s">
        <v>2634</v>
      </c>
      <c r="E108" s="2">
        <v>34962</v>
      </c>
      <c r="F108">
        <v>2</v>
      </c>
      <c r="G108">
        <v>1</v>
      </c>
      <c r="H108" t="s">
        <v>2788</v>
      </c>
      <c r="I108">
        <v>2</v>
      </c>
    </row>
    <row r="109" spans="2:9" x14ac:dyDescent="0.3">
      <c r="B109" t="s">
        <v>187</v>
      </c>
      <c r="C109" t="s">
        <v>1407</v>
      </c>
      <c r="D109" t="s">
        <v>2634</v>
      </c>
      <c r="E109" s="2">
        <v>40723</v>
      </c>
      <c r="F109">
        <v>2</v>
      </c>
      <c r="G109">
        <v>1</v>
      </c>
      <c r="H109" t="s">
        <v>2789</v>
      </c>
      <c r="I109">
        <v>2</v>
      </c>
    </row>
    <row r="110" spans="2:9" x14ac:dyDescent="0.3">
      <c r="B110" t="s">
        <v>188</v>
      </c>
      <c r="C110" t="s">
        <v>1408</v>
      </c>
      <c r="D110" t="s">
        <v>2634</v>
      </c>
      <c r="E110" s="2">
        <v>34907</v>
      </c>
      <c r="F110">
        <v>10</v>
      </c>
      <c r="G110">
        <v>1</v>
      </c>
      <c r="H110" t="s">
        <v>2790</v>
      </c>
      <c r="I110">
        <v>10</v>
      </c>
    </row>
    <row r="111" spans="2:9" x14ac:dyDescent="0.3">
      <c r="B111" t="s">
        <v>189</v>
      </c>
      <c r="C111" t="s">
        <v>1409</v>
      </c>
      <c r="D111" t="s">
        <v>2634</v>
      </c>
      <c r="E111" s="2">
        <v>40465</v>
      </c>
      <c r="F111">
        <v>5</v>
      </c>
      <c r="G111">
        <v>1</v>
      </c>
      <c r="H111" t="s">
        <v>2791</v>
      </c>
      <c r="I111">
        <v>5</v>
      </c>
    </row>
    <row r="112" spans="2:9" x14ac:dyDescent="0.3">
      <c r="B112" t="s">
        <v>22</v>
      </c>
      <c r="C112" t="s">
        <v>1410</v>
      </c>
      <c r="D112" t="s">
        <v>2634</v>
      </c>
      <c r="E112" s="2">
        <v>34844</v>
      </c>
      <c r="F112">
        <v>1</v>
      </c>
      <c r="G112">
        <v>1</v>
      </c>
      <c r="H112" t="s">
        <v>2792</v>
      </c>
      <c r="I112">
        <v>1</v>
      </c>
    </row>
    <row r="113" spans="2:9" x14ac:dyDescent="0.3">
      <c r="B113" t="s">
        <v>190</v>
      </c>
      <c r="C113" t="s">
        <v>1411</v>
      </c>
      <c r="D113" t="s">
        <v>2634</v>
      </c>
      <c r="E113" s="2">
        <v>40275</v>
      </c>
      <c r="F113">
        <v>10</v>
      </c>
      <c r="G113">
        <v>1</v>
      </c>
      <c r="H113" t="s">
        <v>2793</v>
      </c>
      <c r="I113">
        <v>10</v>
      </c>
    </row>
    <row r="114" spans="2:9" x14ac:dyDescent="0.3">
      <c r="B114" t="s">
        <v>191</v>
      </c>
      <c r="C114" t="s">
        <v>1412</v>
      </c>
      <c r="D114" t="s">
        <v>2634</v>
      </c>
      <c r="E114" s="2">
        <v>34850</v>
      </c>
      <c r="F114">
        <v>1</v>
      </c>
      <c r="G114">
        <v>1</v>
      </c>
      <c r="H114" t="s">
        <v>2794</v>
      </c>
      <c r="I114">
        <v>1</v>
      </c>
    </row>
    <row r="115" spans="2:9" x14ac:dyDescent="0.3">
      <c r="B115" t="s">
        <v>192</v>
      </c>
      <c r="C115" t="s">
        <v>1413</v>
      </c>
      <c r="D115" t="s">
        <v>2634</v>
      </c>
      <c r="E115" s="2">
        <v>39317</v>
      </c>
      <c r="F115">
        <v>10</v>
      </c>
      <c r="G115">
        <v>1</v>
      </c>
      <c r="H115" t="s">
        <v>2795</v>
      </c>
      <c r="I115">
        <v>10</v>
      </c>
    </row>
    <row r="116" spans="2:9" x14ac:dyDescent="0.3">
      <c r="B116" t="s">
        <v>1274</v>
      </c>
      <c r="C116" t="s">
        <v>1414</v>
      </c>
      <c r="D116" t="s">
        <v>2662</v>
      </c>
      <c r="E116" s="2">
        <v>38642</v>
      </c>
      <c r="F116">
        <v>5</v>
      </c>
      <c r="G116">
        <v>1</v>
      </c>
      <c r="H116" t="s">
        <v>2796</v>
      </c>
      <c r="I116">
        <v>5</v>
      </c>
    </row>
    <row r="117" spans="2:9" x14ac:dyDescent="0.3">
      <c r="B117" t="s">
        <v>2797</v>
      </c>
      <c r="C117" t="s">
        <v>2798</v>
      </c>
      <c r="D117" t="s">
        <v>2662</v>
      </c>
      <c r="E117" s="2">
        <v>42535</v>
      </c>
      <c r="F117">
        <v>10</v>
      </c>
      <c r="G117">
        <v>1</v>
      </c>
      <c r="H117" t="s">
        <v>2799</v>
      </c>
      <c r="I117">
        <v>10</v>
      </c>
    </row>
    <row r="118" spans="2:9" x14ac:dyDescent="0.3">
      <c r="B118" t="s">
        <v>193</v>
      </c>
      <c r="C118" t="s">
        <v>1415</v>
      </c>
      <c r="D118" t="s">
        <v>2634</v>
      </c>
      <c r="E118" s="2">
        <v>38989</v>
      </c>
      <c r="F118">
        <v>1</v>
      </c>
      <c r="G118">
        <v>1</v>
      </c>
      <c r="H118" t="s">
        <v>2800</v>
      </c>
      <c r="I118">
        <v>1</v>
      </c>
    </row>
    <row r="119" spans="2:9" x14ac:dyDescent="0.3">
      <c r="B119" t="s">
        <v>194</v>
      </c>
      <c r="C119" t="s">
        <v>1416</v>
      </c>
      <c r="D119" t="s">
        <v>2634</v>
      </c>
      <c r="E119" s="2">
        <v>40142</v>
      </c>
      <c r="F119">
        <v>10</v>
      </c>
      <c r="G119">
        <v>1</v>
      </c>
      <c r="H119" t="s">
        <v>2801</v>
      </c>
      <c r="I119">
        <v>10</v>
      </c>
    </row>
    <row r="120" spans="2:9" x14ac:dyDescent="0.3">
      <c r="B120" t="s">
        <v>195</v>
      </c>
      <c r="C120" t="s">
        <v>1417</v>
      </c>
      <c r="D120" t="s">
        <v>2634</v>
      </c>
      <c r="E120" s="2">
        <v>39161</v>
      </c>
      <c r="F120">
        <v>1</v>
      </c>
      <c r="G120">
        <v>1</v>
      </c>
      <c r="H120" t="s">
        <v>2802</v>
      </c>
      <c r="I120">
        <v>1</v>
      </c>
    </row>
    <row r="121" spans="2:9" x14ac:dyDescent="0.3">
      <c r="B121" t="s">
        <v>196</v>
      </c>
      <c r="C121" t="s">
        <v>1418</v>
      </c>
      <c r="D121" t="s">
        <v>2634</v>
      </c>
      <c r="E121" s="2">
        <v>38292</v>
      </c>
      <c r="F121">
        <v>2</v>
      </c>
      <c r="G121">
        <v>1</v>
      </c>
      <c r="H121" t="s">
        <v>2803</v>
      </c>
      <c r="I121">
        <v>2</v>
      </c>
    </row>
    <row r="122" spans="2:9" x14ac:dyDescent="0.3">
      <c r="B122" t="s">
        <v>197</v>
      </c>
      <c r="C122" t="s">
        <v>1419</v>
      </c>
      <c r="D122" t="s">
        <v>2634</v>
      </c>
      <c r="E122" s="2">
        <v>37015</v>
      </c>
      <c r="F122">
        <v>2</v>
      </c>
      <c r="G122">
        <v>1</v>
      </c>
      <c r="H122" t="s">
        <v>2804</v>
      </c>
      <c r="I122">
        <v>2</v>
      </c>
    </row>
    <row r="123" spans="2:9" x14ac:dyDescent="0.3">
      <c r="B123" t="s">
        <v>198</v>
      </c>
      <c r="C123" t="s">
        <v>1420</v>
      </c>
      <c r="D123" t="s">
        <v>2634</v>
      </c>
      <c r="E123" s="2">
        <v>37596</v>
      </c>
      <c r="F123">
        <v>10</v>
      </c>
      <c r="G123">
        <v>1</v>
      </c>
      <c r="H123" t="s">
        <v>2805</v>
      </c>
      <c r="I123">
        <v>10</v>
      </c>
    </row>
    <row r="124" spans="2:9" x14ac:dyDescent="0.3">
      <c r="B124" t="s">
        <v>199</v>
      </c>
      <c r="C124" t="s">
        <v>1421</v>
      </c>
      <c r="D124" t="s">
        <v>2634</v>
      </c>
      <c r="E124" s="2">
        <v>38985</v>
      </c>
      <c r="F124">
        <v>2</v>
      </c>
      <c r="G124">
        <v>1</v>
      </c>
      <c r="H124" t="s">
        <v>2806</v>
      </c>
      <c r="I124">
        <v>2</v>
      </c>
    </row>
    <row r="125" spans="2:9" x14ac:dyDescent="0.3">
      <c r="B125" t="s">
        <v>200</v>
      </c>
      <c r="C125" t="s">
        <v>1422</v>
      </c>
      <c r="D125" t="s">
        <v>2662</v>
      </c>
      <c r="E125" s="2">
        <v>36642</v>
      </c>
      <c r="F125">
        <v>10</v>
      </c>
      <c r="G125">
        <v>1</v>
      </c>
      <c r="H125" t="s">
        <v>2807</v>
      </c>
      <c r="I125">
        <v>10</v>
      </c>
    </row>
    <row r="126" spans="2:9" x14ac:dyDescent="0.3">
      <c r="B126" t="s">
        <v>1275</v>
      </c>
      <c r="C126" t="s">
        <v>1423</v>
      </c>
      <c r="D126" t="s">
        <v>2662</v>
      </c>
      <c r="E126" s="2">
        <v>38961</v>
      </c>
      <c r="F126">
        <v>4</v>
      </c>
      <c r="G126">
        <v>1</v>
      </c>
      <c r="H126" t="s">
        <v>2808</v>
      </c>
      <c r="I126">
        <v>4</v>
      </c>
    </row>
    <row r="127" spans="2:9" x14ac:dyDescent="0.3">
      <c r="B127" t="s">
        <v>201</v>
      </c>
      <c r="C127" t="s">
        <v>1424</v>
      </c>
      <c r="D127" t="s">
        <v>2634</v>
      </c>
      <c r="E127" s="2">
        <v>35921</v>
      </c>
      <c r="F127">
        <v>10</v>
      </c>
      <c r="G127">
        <v>1</v>
      </c>
      <c r="H127" t="s">
        <v>2809</v>
      </c>
      <c r="I127">
        <v>10</v>
      </c>
    </row>
    <row r="128" spans="2:9" x14ac:dyDescent="0.3">
      <c r="B128" t="s">
        <v>202</v>
      </c>
      <c r="C128" t="s">
        <v>1425</v>
      </c>
      <c r="D128" t="s">
        <v>2634</v>
      </c>
      <c r="E128" s="2">
        <v>41451</v>
      </c>
      <c r="F128">
        <v>5</v>
      </c>
      <c r="G128">
        <v>1</v>
      </c>
      <c r="H128" t="s">
        <v>2810</v>
      </c>
      <c r="I128">
        <v>5</v>
      </c>
    </row>
    <row r="129" spans="2:9" x14ac:dyDescent="0.3">
      <c r="B129" t="s">
        <v>203</v>
      </c>
      <c r="C129" t="s">
        <v>1426</v>
      </c>
      <c r="D129" t="s">
        <v>2634</v>
      </c>
      <c r="E129" s="2">
        <v>38650</v>
      </c>
      <c r="F129">
        <v>10</v>
      </c>
      <c r="G129">
        <v>1</v>
      </c>
      <c r="H129" t="s">
        <v>2811</v>
      </c>
      <c r="I129">
        <v>10</v>
      </c>
    </row>
    <row r="130" spans="2:9" x14ac:dyDescent="0.3">
      <c r="B130" t="s">
        <v>23</v>
      </c>
      <c r="C130" t="s">
        <v>1427</v>
      </c>
      <c r="D130" t="s">
        <v>2634</v>
      </c>
      <c r="E130" s="2">
        <v>36726</v>
      </c>
      <c r="F130">
        <v>1</v>
      </c>
      <c r="G130">
        <v>1</v>
      </c>
      <c r="H130" t="s">
        <v>2812</v>
      </c>
      <c r="I130">
        <v>1</v>
      </c>
    </row>
    <row r="131" spans="2:9" x14ac:dyDescent="0.3">
      <c r="B131" t="s">
        <v>1276</v>
      </c>
      <c r="C131" t="s">
        <v>1428</v>
      </c>
      <c r="D131" t="s">
        <v>2634</v>
      </c>
      <c r="E131" s="2">
        <v>35172</v>
      </c>
      <c r="F131">
        <v>10</v>
      </c>
      <c r="G131">
        <v>1</v>
      </c>
      <c r="H131" t="s">
        <v>2813</v>
      </c>
      <c r="I131">
        <v>10</v>
      </c>
    </row>
    <row r="132" spans="2:9" x14ac:dyDescent="0.3">
      <c r="B132" t="s">
        <v>204</v>
      </c>
      <c r="C132" t="s">
        <v>1429</v>
      </c>
      <c r="D132" t="s">
        <v>2662</v>
      </c>
      <c r="E132" s="2">
        <v>39695</v>
      </c>
      <c r="F132">
        <v>1</v>
      </c>
      <c r="G132">
        <v>1</v>
      </c>
      <c r="H132" t="s">
        <v>2814</v>
      </c>
      <c r="I132">
        <v>1</v>
      </c>
    </row>
    <row r="133" spans="2:9" x14ac:dyDescent="0.3">
      <c r="B133" t="s">
        <v>205</v>
      </c>
      <c r="C133" t="s">
        <v>1430</v>
      </c>
      <c r="D133" t="s">
        <v>2634</v>
      </c>
      <c r="E133" s="2">
        <v>37770</v>
      </c>
      <c r="F133">
        <v>10</v>
      </c>
      <c r="G133">
        <v>1</v>
      </c>
      <c r="H133" t="s">
        <v>2815</v>
      </c>
      <c r="I133">
        <v>10</v>
      </c>
    </row>
    <row r="134" spans="2:9" x14ac:dyDescent="0.3">
      <c r="B134" t="s">
        <v>206</v>
      </c>
      <c r="C134" t="s">
        <v>1431</v>
      </c>
      <c r="D134" t="s">
        <v>2634</v>
      </c>
      <c r="E134" s="2">
        <v>39113</v>
      </c>
      <c r="F134">
        <v>10</v>
      </c>
      <c r="G134">
        <v>1</v>
      </c>
      <c r="H134" t="s">
        <v>2816</v>
      </c>
      <c r="I134">
        <v>10</v>
      </c>
    </row>
    <row r="135" spans="2:9" x14ac:dyDescent="0.3">
      <c r="B135" t="s">
        <v>207</v>
      </c>
      <c r="C135" t="s">
        <v>1432</v>
      </c>
      <c r="D135" t="s">
        <v>2634</v>
      </c>
      <c r="E135" s="2">
        <v>34850</v>
      </c>
      <c r="F135">
        <v>10</v>
      </c>
      <c r="G135">
        <v>1</v>
      </c>
      <c r="H135" t="s">
        <v>2817</v>
      </c>
      <c r="I135">
        <v>10</v>
      </c>
    </row>
    <row r="136" spans="2:9" x14ac:dyDescent="0.3">
      <c r="B136" t="s">
        <v>2818</v>
      </c>
      <c r="C136" t="s">
        <v>2819</v>
      </c>
      <c r="D136" t="s">
        <v>2634</v>
      </c>
      <c r="E136" s="2">
        <v>42109</v>
      </c>
      <c r="F136">
        <v>2</v>
      </c>
      <c r="G136">
        <v>1</v>
      </c>
      <c r="H136" t="s">
        <v>2820</v>
      </c>
      <c r="I136">
        <v>2</v>
      </c>
    </row>
    <row r="137" spans="2:9" x14ac:dyDescent="0.3">
      <c r="B137" t="s">
        <v>208</v>
      </c>
      <c r="C137" t="s">
        <v>1433</v>
      </c>
      <c r="D137" t="s">
        <v>2634</v>
      </c>
      <c r="E137" s="2">
        <v>39092</v>
      </c>
      <c r="F137">
        <v>1</v>
      </c>
      <c r="G137">
        <v>1</v>
      </c>
      <c r="H137" t="s">
        <v>2821</v>
      </c>
      <c r="I137">
        <v>1</v>
      </c>
    </row>
    <row r="138" spans="2:9" x14ac:dyDescent="0.3">
      <c r="B138" t="s">
        <v>209</v>
      </c>
      <c r="C138" t="s">
        <v>1434</v>
      </c>
      <c r="D138" t="s">
        <v>2634</v>
      </c>
      <c r="E138" s="2">
        <v>36115</v>
      </c>
      <c r="F138">
        <v>2</v>
      </c>
      <c r="G138">
        <v>1</v>
      </c>
      <c r="H138" t="s">
        <v>2822</v>
      </c>
      <c r="I138">
        <v>2</v>
      </c>
    </row>
    <row r="139" spans="2:9" x14ac:dyDescent="0.3">
      <c r="B139" t="s">
        <v>210</v>
      </c>
      <c r="C139" t="s">
        <v>1435</v>
      </c>
      <c r="D139" t="s">
        <v>2634</v>
      </c>
      <c r="E139" s="2">
        <v>36881</v>
      </c>
      <c r="F139">
        <v>5</v>
      </c>
      <c r="G139">
        <v>1</v>
      </c>
      <c r="H139" t="s">
        <v>2823</v>
      </c>
      <c r="I139">
        <v>5</v>
      </c>
    </row>
    <row r="140" spans="2:9" x14ac:dyDescent="0.3">
      <c r="B140" t="s">
        <v>2824</v>
      </c>
      <c r="C140" t="s">
        <v>2825</v>
      </c>
      <c r="D140" t="s">
        <v>2634</v>
      </c>
      <c r="E140" s="2">
        <v>42230</v>
      </c>
      <c r="F140">
        <v>10</v>
      </c>
      <c r="G140">
        <v>1</v>
      </c>
      <c r="H140" t="s">
        <v>2826</v>
      </c>
      <c r="I140">
        <v>10</v>
      </c>
    </row>
    <row r="141" spans="2:9" x14ac:dyDescent="0.3">
      <c r="B141" t="s">
        <v>211</v>
      </c>
      <c r="C141" t="s">
        <v>1436</v>
      </c>
      <c r="D141" t="s">
        <v>2634</v>
      </c>
      <c r="E141" s="2">
        <v>41225</v>
      </c>
      <c r="F141">
        <v>10</v>
      </c>
      <c r="G141">
        <v>1</v>
      </c>
      <c r="H141" t="s">
        <v>2827</v>
      </c>
      <c r="I141">
        <v>10</v>
      </c>
    </row>
    <row r="142" spans="2:9" x14ac:dyDescent="0.3">
      <c r="B142" t="s">
        <v>212</v>
      </c>
      <c r="C142" t="s">
        <v>1437</v>
      </c>
      <c r="D142" t="s">
        <v>2634</v>
      </c>
      <c r="E142" s="2">
        <v>37911</v>
      </c>
      <c r="F142">
        <v>2</v>
      </c>
      <c r="G142">
        <v>1</v>
      </c>
      <c r="H142" t="s">
        <v>2828</v>
      </c>
      <c r="I142">
        <v>2</v>
      </c>
    </row>
    <row r="143" spans="2:9" x14ac:dyDescent="0.3">
      <c r="B143" t="s">
        <v>213</v>
      </c>
      <c r="C143" t="s">
        <v>1438</v>
      </c>
      <c r="D143" t="s">
        <v>2634</v>
      </c>
      <c r="E143" s="2">
        <v>39594</v>
      </c>
      <c r="F143">
        <v>10</v>
      </c>
      <c r="G143">
        <v>1</v>
      </c>
      <c r="H143" t="s">
        <v>2829</v>
      </c>
      <c r="I143">
        <v>10</v>
      </c>
    </row>
    <row r="144" spans="2:9" x14ac:dyDescent="0.3">
      <c r="B144" t="s">
        <v>214</v>
      </c>
      <c r="C144" t="s">
        <v>1439</v>
      </c>
      <c r="D144" t="s">
        <v>2634</v>
      </c>
      <c r="E144" s="2">
        <v>40408</v>
      </c>
      <c r="F144">
        <v>1</v>
      </c>
      <c r="G144">
        <v>1</v>
      </c>
      <c r="H144" t="s">
        <v>2830</v>
      </c>
      <c r="I144">
        <v>1</v>
      </c>
    </row>
    <row r="145" spans="2:9" x14ac:dyDescent="0.3">
      <c r="B145" t="s">
        <v>215</v>
      </c>
      <c r="C145" t="s">
        <v>1440</v>
      </c>
      <c r="D145" t="s">
        <v>2634</v>
      </c>
      <c r="E145" s="2">
        <v>39388</v>
      </c>
      <c r="F145">
        <v>2</v>
      </c>
      <c r="G145">
        <v>1</v>
      </c>
      <c r="H145" t="s">
        <v>2831</v>
      </c>
      <c r="I145">
        <v>2</v>
      </c>
    </row>
    <row r="146" spans="2:9" x14ac:dyDescent="0.3">
      <c r="B146" t="s">
        <v>25</v>
      </c>
      <c r="C146" t="s">
        <v>1441</v>
      </c>
      <c r="D146" t="s">
        <v>2634</v>
      </c>
      <c r="E146" s="2">
        <v>39594</v>
      </c>
      <c r="F146">
        <v>5</v>
      </c>
      <c r="G146">
        <v>1</v>
      </c>
      <c r="H146" t="s">
        <v>2832</v>
      </c>
      <c r="I146">
        <v>5</v>
      </c>
    </row>
    <row r="147" spans="2:9" x14ac:dyDescent="0.3">
      <c r="B147" t="s">
        <v>216</v>
      </c>
      <c r="C147" t="s">
        <v>2833</v>
      </c>
      <c r="D147" t="s">
        <v>2634</v>
      </c>
      <c r="E147" s="2">
        <v>34829</v>
      </c>
      <c r="F147">
        <v>1</v>
      </c>
      <c r="G147">
        <v>1</v>
      </c>
      <c r="H147" t="s">
        <v>2834</v>
      </c>
      <c r="I147">
        <v>1</v>
      </c>
    </row>
    <row r="148" spans="2:9" x14ac:dyDescent="0.3">
      <c r="B148" t="s">
        <v>217</v>
      </c>
      <c r="C148" t="s">
        <v>1442</v>
      </c>
      <c r="D148" t="s">
        <v>2634</v>
      </c>
      <c r="E148" s="2">
        <v>34773</v>
      </c>
      <c r="F148">
        <v>10</v>
      </c>
      <c r="G148">
        <v>1</v>
      </c>
      <c r="H148" t="s">
        <v>2835</v>
      </c>
      <c r="I148">
        <v>10</v>
      </c>
    </row>
    <row r="149" spans="2:9" x14ac:dyDescent="0.3">
      <c r="B149" t="s">
        <v>24</v>
      </c>
      <c r="C149" t="s">
        <v>1443</v>
      </c>
      <c r="D149" t="s">
        <v>2634</v>
      </c>
      <c r="E149" s="2">
        <v>37712</v>
      </c>
      <c r="F149">
        <v>2</v>
      </c>
      <c r="G149">
        <v>1</v>
      </c>
      <c r="H149" t="s">
        <v>2836</v>
      </c>
      <c r="I149">
        <v>2</v>
      </c>
    </row>
    <row r="150" spans="2:9" x14ac:dyDescent="0.3">
      <c r="B150" t="s">
        <v>218</v>
      </c>
      <c r="C150" t="s">
        <v>1444</v>
      </c>
      <c r="D150" t="s">
        <v>2634</v>
      </c>
      <c r="E150" s="2">
        <v>36852</v>
      </c>
      <c r="F150">
        <v>2</v>
      </c>
      <c r="G150">
        <v>1</v>
      </c>
      <c r="H150" t="s">
        <v>2837</v>
      </c>
      <c r="I150">
        <v>2</v>
      </c>
    </row>
    <row r="151" spans="2:9" x14ac:dyDescent="0.3">
      <c r="B151" t="s">
        <v>219</v>
      </c>
      <c r="C151" t="s">
        <v>1445</v>
      </c>
      <c r="D151" t="s">
        <v>2634</v>
      </c>
      <c r="E151" s="2">
        <v>39177</v>
      </c>
      <c r="F151">
        <v>2</v>
      </c>
      <c r="G151">
        <v>1</v>
      </c>
      <c r="H151" t="s">
        <v>2838</v>
      </c>
      <c r="I151">
        <v>2</v>
      </c>
    </row>
    <row r="152" spans="2:9" x14ac:dyDescent="0.3">
      <c r="B152" t="s">
        <v>2839</v>
      </c>
      <c r="C152" t="s">
        <v>2840</v>
      </c>
      <c r="D152" t="s">
        <v>2634</v>
      </c>
      <c r="E152" s="2">
        <v>42213</v>
      </c>
      <c r="F152">
        <v>10</v>
      </c>
      <c r="G152">
        <v>1</v>
      </c>
      <c r="H152" t="s">
        <v>2841</v>
      </c>
      <c r="I152">
        <v>10</v>
      </c>
    </row>
    <row r="153" spans="2:9" x14ac:dyDescent="0.3">
      <c r="B153" t="s">
        <v>220</v>
      </c>
      <c r="C153" t="s">
        <v>1446</v>
      </c>
      <c r="D153" t="s">
        <v>2634</v>
      </c>
      <c r="E153" s="2">
        <v>38744</v>
      </c>
      <c r="F153">
        <v>2</v>
      </c>
      <c r="G153">
        <v>1</v>
      </c>
      <c r="H153" t="s">
        <v>2842</v>
      </c>
      <c r="I153">
        <v>2</v>
      </c>
    </row>
    <row r="154" spans="2:9" x14ac:dyDescent="0.3">
      <c r="B154" t="s">
        <v>221</v>
      </c>
      <c r="C154" t="s">
        <v>1447</v>
      </c>
      <c r="D154" t="s">
        <v>2634</v>
      </c>
      <c r="E154" s="2">
        <v>39538</v>
      </c>
      <c r="F154">
        <v>2</v>
      </c>
      <c r="G154">
        <v>1</v>
      </c>
      <c r="H154" t="s">
        <v>2843</v>
      </c>
      <c r="I154">
        <v>2</v>
      </c>
    </row>
    <row r="155" spans="2:9" x14ac:dyDescent="0.3">
      <c r="B155" t="s">
        <v>222</v>
      </c>
      <c r="C155" t="s">
        <v>1448</v>
      </c>
      <c r="D155" t="s">
        <v>2634</v>
      </c>
      <c r="E155" s="2">
        <v>34886</v>
      </c>
      <c r="F155">
        <v>10</v>
      </c>
      <c r="G155">
        <v>1</v>
      </c>
      <c r="H155" t="s">
        <v>2844</v>
      </c>
      <c r="I155">
        <v>10</v>
      </c>
    </row>
    <row r="156" spans="2:9" x14ac:dyDescent="0.3">
      <c r="B156" t="s">
        <v>223</v>
      </c>
      <c r="C156" t="s">
        <v>1449</v>
      </c>
      <c r="D156" t="s">
        <v>2634</v>
      </c>
      <c r="E156" s="2">
        <v>38845</v>
      </c>
      <c r="F156">
        <v>10</v>
      </c>
      <c r="G156">
        <v>1</v>
      </c>
      <c r="H156" t="s">
        <v>2845</v>
      </c>
      <c r="I156">
        <v>10</v>
      </c>
    </row>
    <row r="157" spans="2:9" x14ac:dyDescent="0.3">
      <c r="B157" t="s">
        <v>224</v>
      </c>
      <c r="C157" t="s">
        <v>1450</v>
      </c>
      <c r="D157" t="s">
        <v>2634</v>
      </c>
      <c r="E157" s="2">
        <v>34738</v>
      </c>
      <c r="F157">
        <v>1</v>
      </c>
      <c r="G157">
        <v>1</v>
      </c>
      <c r="H157" t="s">
        <v>2846</v>
      </c>
      <c r="I157">
        <v>1</v>
      </c>
    </row>
    <row r="158" spans="2:9" x14ac:dyDescent="0.3">
      <c r="B158" t="s">
        <v>225</v>
      </c>
      <c r="C158" t="s">
        <v>1451</v>
      </c>
      <c r="D158" t="s">
        <v>2662</v>
      </c>
      <c r="E158" s="2">
        <v>36922</v>
      </c>
      <c r="F158">
        <v>10</v>
      </c>
      <c r="G158">
        <v>1</v>
      </c>
      <c r="H158" t="s">
        <v>2847</v>
      </c>
      <c r="I158">
        <v>10</v>
      </c>
    </row>
    <row r="159" spans="2:9" x14ac:dyDescent="0.3">
      <c r="B159" t="s">
        <v>226</v>
      </c>
      <c r="C159" t="s">
        <v>1452</v>
      </c>
      <c r="D159" t="s">
        <v>2634</v>
      </c>
      <c r="E159" s="2">
        <v>37769</v>
      </c>
      <c r="F159">
        <v>10</v>
      </c>
      <c r="G159">
        <v>1</v>
      </c>
      <c r="H159" t="s">
        <v>2848</v>
      </c>
      <c r="I159">
        <v>10</v>
      </c>
    </row>
    <row r="160" spans="2:9" x14ac:dyDescent="0.3">
      <c r="B160" t="s">
        <v>227</v>
      </c>
      <c r="C160" t="s">
        <v>1453</v>
      </c>
      <c r="D160" t="s">
        <v>2634</v>
      </c>
      <c r="E160" s="2">
        <v>39073</v>
      </c>
      <c r="F160">
        <v>2</v>
      </c>
      <c r="G160">
        <v>1</v>
      </c>
      <c r="H160" t="s">
        <v>2849</v>
      </c>
      <c r="I160">
        <v>2</v>
      </c>
    </row>
    <row r="161" spans="2:9" x14ac:dyDescent="0.3">
      <c r="B161" t="s">
        <v>228</v>
      </c>
      <c r="C161" t="s">
        <v>1454</v>
      </c>
      <c r="D161" t="s">
        <v>2662</v>
      </c>
      <c r="E161" s="2">
        <v>39498</v>
      </c>
      <c r="F161">
        <v>10</v>
      </c>
      <c r="G161">
        <v>1</v>
      </c>
      <c r="H161" t="s">
        <v>2850</v>
      </c>
      <c r="I161">
        <v>10</v>
      </c>
    </row>
    <row r="162" spans="2:9" x14ac:dyDescent="0.3">
      <c r="B162" t="s">
        <v>229</v>
      </c>
      <c r="C162" t="s">
        <v>1455</v>
      </c>
      <c r="D162" t="s">
        <v>2634</v>
      </c>
      <c r="E162" s="2">
        <v>35480</v>
      </c>
      <c r="F162">
        <v>2</v>
      </c>
      <c r="G162">
        <v>1</v>
      </c>
      <c r="H162" t="s">
        <v>2851</v>
      </c>
      <c r="I162">
        <v>2</v>
      </c>
    </row>
    <row r="163" spans="2:9" x14ac:dyDescent="0.3">
      <c r="B163" t="s">
        <v>26</v>
      </c>
      <c r="C163" t="s">
        <v>1456</v>
      </c>
      <c r="D163" t="s">
        <v>2634</v>
      </c>
      <c r="E163" s="2">
        <v>35550</v>
      </c>
      <c r="F163">
        <v>10</v>
      </c>
      <c r="G163">
        <v>1</v>
      </c>
      <c r="H163" t="s">
        <v>2852</v>
      </c>
      <c r="I163">
        <v>10</v>
      </c>
    </row>
    <row r="164" spans="2:9" x14ac:dyDescent="0.3">
      <c r="B164" t="s">
        <v>230</v>
      </c>
      <c r="C164" t="s">
        <v>1457</v>
      </c>
      <c r="D164" t="s">
        <v>2634</v>
      </c>
      <c r="E164" s="2">
        <v>39183</v>
      </c>
      <c r="F164">
        <v>10</v>
      </c>
      <c r="G164">
        <v>1</v>
      </c>
      <c r="H164" t="s">
        <v>2853</v>
      </c>
      <c r="I164">
        <v>10</v>
      </c>
    </row>
    <row r="165" spans="2:9" x14ac:dyDescent="0.3">
      <c r="B165" t="s">
        <v>231</v>
      </c>
      <c r="C165" t="s">
        <v>1458</v>
      </c>
      <c r="D165" t="s">
        <v>2634</v>
      </c>
      <c r="E165" s="2">
        <v>38729</v>
      </c>
      <c r="F165">
        <v>10</v>
      </c>
      <c r="G165">
        <v>1</v>
      </c>
      <c r="H165" t="s">
        <v>2854</v>
      </c>
      <c r="I165">
        <v>10</v>
      </c>
    </row>
    <row r="166" spans="2:9" x14ac:dyDescent="0.3">
      <c r="B166" t="s">
        <v>232</v>
      </c>
      <c r="C166" t="s">
        <v>1459</v>
      </c>
      <c r="D166" t="s">
        <v>2634</v>
      </c>
      <c r="E166" s="2">
        <v>34836</v>
      </c>
      <c r="F166">
        <v>10</v>
      </c>
      <c r="G166">
        <v>1</v>
      </c>
      <c r="H166" t="s">
        <v>2855</v>
      </c>
      <c r="I166">
        <v>10</v>
      </c>
    </row>
    <row r="167" spans="2:9" x14ac:dyDescent="0.3">
      <c r="B167" t="s">
        <v>233</v>
      </c>
      <c r="C167" t="s">
        <v>1460</v>
      </c>
      <c r="D167" t="s">
        <v>2634</v>
      </c>
      <c r="E167" s="2">
        <v>38670</v>
      </c>
      <c r="F167">
        <v>10</v>
      </c>
      <c r="G167">
        <v>1</v>
      </c>
      <c r="H167" t="s">
        <v>2856</v>
      </c>
      <c r="I167">
        <v>10</v>
      </c>
    </row>
    <row r="168" spans="2:9" x14ac:dyDescent="0.3">
      <c r="B168" t="s">
        <v>27</v>
      </c>
      <c r="C168" t="s">
        <v>1461</v>
      </c>
      <c r="D168" t="s">
        <v>2634</v>
      </c>
      <c r="E168" s="2">
        <v>37790</v>
      </c>
      <c r="F168">
        <v>5</v>
      </c>
      <c r="G168">
        <v>1</v>
      </c>
      <c r="H168" t="s">
        <v>2857</v>
      </c>
      <c r="I168">
        <v>5</v>
      </c>
    </row>
    <row r="169" spans="2:9" x14ac:dyDescent="0.3">
      <c r="B169" t="s">
        <v>2858</v>
      </c>
      <c r="C169" t="s">
        <v>2859</v>
      </c>
      <c r="D169" t="s">
        <v>2634</v>
      </c>
      <c r="E169" s="2">
        <v>40186</v>
      </c>
      <c r="F169">
        <v>10</v>
      </c>
      <c r="G169">
        <v>1</v>
      </c>
      <c r="H169" t="s">
        <v>2860</v>
      </c>
      <c r="I169">
        <v>10</v>
      </c>
    </row>
    <row r="170" spans="2:9" x14ac:dyDescent="0.3">
      <c r="B170" t="s">
        <v>234</v>
      </c>
      <c r="C170" t="s">
        <v>1462</v>
      </c>
      <c r="D170" t="s">
        <v>2634</v>
      </c>
      <c r="E170" s="2">
        <v>39042</v>
      </c>
      <c r="F170">
        <v>10</v>
      </c>
      <c r="G170">
        <v>1</v>
      </c>
      <c r="H170" t="s">
        <v>2861</v>
      </c>
      <c r="I170">
        <v>10</v>
      </c>
    </row>
    <row r="171" spans="2:9" x14ac:dyDescent="0.3">
      <c r="B171" t="s">
        <v>235</v>
      </c>
      <c r="C171" t="s">
        <v>1463</v>
      </c>
      <c r="D171" t="s">
        <v>2634</v>
      </c>
      <c r="E171" s="2">
        <v>35158</v>
      </c>
      <c r="F171">
        <v>2</v>
      </c>
      <c r="G171">
        <v>1</v>
      </c>
      <c r="H171" t="s">
        <v>2862</v>
      </c>
      <c r="I171">
        <v>2</v>
      </c>
    </row>
    <row r="172" spans="2:9" x14ac:dyDescent="0.3">
      <c r="B172" t="s">
        <v>2863</v>
      </c>
      <c r="C172" t="s">
        <v>2864</v>
      </c>
      <c r="D172" t="s">
        <v>2662</v>
      </c>
      <c r="E172" s="2">
        <v>42017</v>
      </c>
      <c r="F172">
        <v>2</v>
      </c>
      <c r="G172">
        <v>1</v>
      </c>
      <c r="H172" t="s">
        <v>2865</v>
      </c>
      <c r="I172">
        <v>2</v>
      </c>
    </row>
    <row r="173" spans="2:9" x14ac:dyDescent="0.3">
      <c r="B173" t="s">
        <v>236</v>
      </c>
      <c r="C173" t="s">
        <v>1464</v>
      </c>
      <c r="D173" t="s">
        <v>2634</v>
      </c>
      <c r="E173" s="2">
        <v>40465</v>
      </c>
      <c r="F173">
        <v>10</v>
      </c>
      <c r="G173">
        <v>1</v>
      </c>
      <c r="H173" t="s">
        <v>2866</v>
      </c>
      <c r="I173">
        <v>10</v>
      </c>
    </row>
    <row r="174" spans="2:9" x14ac:dyDescent="0.3">
      <c r="B174" t="s">
        <v>28</v>
      </c>
      <c r="C174" t="s">
        <v>1465</v>
      </c>
      <c r="D174" t="s">
        <v>2634</v>
      </c>
      <c r="E174" s="2">
        <v>36726</v>
      </c>
      <c r="F174">
        <v>1</v>
      </c>
      <c r="G174">
        <v>1</v>
      </c>
      <c r="H174" t="s">
        <v>2867</v>
      </c>
      <c r="I174">
        <v>1</v>
      </c>
    </row>
    <row r="175" spans="2:9" x14ac:dyDescent="0.3">
      <c r="B175" t="s">
        <v>237</v>
      </c>
      <c r="C175" t="s">
        <v>1466</v>
      </c>
      <c r="D175" t="s">
        <v>2634</v>
      </c>
      <c r="E175" s="2">
        <v>37930</v>
      </c>
      <c r="F175">
        <v>10</v>
      </c>
      <c r="G175">
        <v>1</v>
      </c>
      <c r="H175" t="s">
        <v>2868</v>
      </c>
      <c r="I175">
        <v>10</v>
      </c>
    </row>
    <row r="176" spans="2:9" x14ac:dyDescent="0.3">
      <c r="B176" t="s">
        <v>238</v>
      </c>
      <c r="C176" t="s">
        <v>1467</v>
      </c>
      <c r="D176" t="s">
        <v>2634</v>
      </c>
      <c r="E176" s="2">
        <v>38432</v>
      </c>
      <c r="F176">
        <v>1</v>
      </c>
      <c r="G176">
        <v>1</v>
      </c>
      <c r="H176" t="s">
        <v>2869</v>
      </c>
      <c r="I176">
        <v>1</v>
      </c>
    </row>
    <row r="177" spans="2:9" x14ac:dyDescent="0.3">
      <c r="B177" t="s">
        <v>239</v>
      </c>
      <c r="C177" t="s">
        <v>1468</v>
      </c>
      <c r="D177" t="s">
        <v>2634</v>
      </c>
      <c r="E177" s="2">
        <v>36488</v>
      </c>
      <c r="F177">
        <v>1</v>
      </c>
      <c r="G177">
        <v>1</v>
      </c>
      <c r="H177" t="s">
        <v>2870</v>
      </c>
      <c r="I177">
        <v>1</v>
      </c>
    </row>
    <row r="178" spans="2:9" x14ac:dyDescent="0.3">
      <c r="B178" t="s">
        <v>240</v>
      </c>
      <c r="C178" t="s">
        <v>1469</v>
      </c>
      <c r="D178" t="s">
        <v>2634</v>
      </c>
      <c r="E178" s="2">
        <v>40557</v>
      </c>
      <c r="F178">
        <v>5</v>
      </c>
      <c r="G178">
        <v>1</v>
      </c>
      <c r="H178" t="s">
        <v>2871</v>
      </c>
      <c r="I178">
        <v>5</v>
      </c>
    </row>
    <row r="179" spans="2:9" x14ac:dyDescent="0.3">
      <c r="B179" t="s">
        <v>241</v>
      </c>
      <c r="C179" t="s">
        <v>1470</v>
      </c>
      <c r="D179" t="s">
        <v>2634</v>
      </c>
      <c r="E179" s="2">
        <v>39205</v>
      </c>
      <c r="F179">
        <v>5</v>
      </c>
      <c r="G179">
        <v>1</v>
      </c>
      <c r="H179" t="s">
        <v>2872</v>
      </c>
      <c r="I179">
        <v>5</v>
      </c>
    </row>
    <row r="180" spans="2:9" x14ac:dyDescent="0.3">
      <c r="B180" t="s">
        <v>242</v>
      </c>
      <c r="C180" t="s">
        <v>1471</v>
      </c>
      <c r="D180" t="s">
        <v>2662</v>
      </c>
      <c r="E180" s="2">
        <v>40752</v>
      </c>
      <c r="F180">
        <v>10</v>
      </c>
      <c r="G180">
        <v>1</v>
      </c>
      <c r="H180" t="s">
        <v>2873</v>
      </c>
      <c r="I180">
        <v>10</v>
      </c>
    </row>
    <row r="181" spans="2:9" x14ac:dyDescent="0.3">
      <c r="B181" t="s">
        <v>243</v>
      </c>
      <c r="C181" t="s">
        <v>1472</v>
      </c>
      <c r="D181" t="s">
        <v>2634</v>
      </c>
      <c r="E181" s="2">
        <v>39450</v>
      </c>
      <c r="F181">
        <v>10</v>
      </c>
      <c r="G181">
        <v>1</v>
      </c>
      <c r="H181" t="s">
        <v>2874</v>
      </c>
      <c r="I181">
        <v>10</v>
      </c>
    </row>
    <row r="182" spans="2:9" x14ac:dyDescent="0.3">
      <c r="B182" t="s">
        <v>2875</v>
      </c>
      <c r="C182" t="s">
        <v>2876</v>
      </c>
      <c r="D182" t="s">
        <v>2634</v>
      </c>
      <c r="E182" s="2">
        <v>42431</v>
      </c>
      <c r="F182">
        <v>5</v>
      </c>
      <c r="G182">
        <v>1</v>
      </c>
      <c r="H182" t="s">
        <v>2877</v>
      </c>
      <c r="I182">
        <v>5</v>
      </c>
    </row>
    <row r="183" spans="2:9" x14ac:dyDescent="0.3">
      <c r="B183" t="s">
        <v>2878</v>
      </c>
      <c r="C183" t="s">
        <v>1473</v>
      </c>
      <c r="D183" t="s">
        <v>2662</v>
      </c>
      <c r="E183" s="2">
        <v>42872</v>
      </c>
      <c r="F183">
        <v>2</v>
      </c>
      <c r="G183">
        <v>1</v>
      </c>
      <c r="H183" t="s">
        <v>2879</v>
      </c>
      <c r="I183">
        <v>2</v>
      </c>
    </row>
    <row r="184" spans="2:9" x14ac:dyDescent="0.3">
      <c r="B184" t="s">
        <v>2880</v>
      </c>
      <c r="C184" t="s">
        <v>2881</v>
      </c>
      <c r="D184" t="s">
        <v>2634</v>
      </c>
      <c r="E184" s="2">
        <v>42765</v>
      </c>
      <c r="F184">
        <v>1</v>
      </c>
      <c r="G184">
        <v>1</v>
      </c>
      <c r="H184" t="s">
        <v>2882</v>
      </c>
      <c r="I184">
        <v>1</v>
      </c>
    </row>
    <row r="185" spans="2:9" x14ac:dyDescent="0.3">
      <c r="B185" t="s">
        <v>2883</v>
      </c>
      <c r="C185" t="s">
        <v>2884</v>
      </c>
      <c r="D185" t="s">
        <v>2634</v>
      </c>
      <c r="E185" s="2">
        <v>40406</v>
      </c>
      <c r="F185">
        <v>10</v>
      </c>
      <c r="G185">
        <v>1</v>
      </c>
      <c r="H185" t="s">
        <v>2885</v>
      </c>
      <c r="I185">
        <v>10</v>
      </c>
    </row>
    <row r="186" spans="2:9" x14ac:dyDescent="0.3">
      <c r="B186" t="s">
        <v>29</v>
      </c>
      <c r="C186" t="s">
        <v>1474</v>
      </c>
      <c r="D186" t="s">
        <v>2634</v>
      </c>
      <c r="E186" s="2">
        <v>37715</v>
      </c>
      <c r="F186">
        <v>2</v>
      </c>
      <c r="G186">
        <v>1</v>
      </c>
      <c r="H186" t="s">
        <v>2886</v>
      </c>
      <c r="I186">
        <v>2</v>
      </c>
    </row>
    <row r="187" spans="2:9" x14ac:dyDescent="0.3">
      <c r="B187" t="s">
        <v>244</v>
      </c>
      <c r="C187" t="s">
        <v>1475</v>
      </c>
      <c r="D187" t="s">
        <v>2634</v>
      </c>
      <c r="E187" s="2">
        <v>35158</v>
      </c>
      <c r="F187">
        <v>10</v>
      </c>
      <c r="G187">
        <v>1</v>
      </c>
      <c r="H187" t="s">
        <v>2887</v>
      </c>
      <c r="I187">
        <v>10</v>
      </c>
    </row>
    <row r="188" spans="2:9" x14ac:dyDescent="0.3">
      <c r="B188" t="s">
        <v>2888</v>
      </c>
      <c r="C188" t="s">
        <v>2889</v>
      </c>
      <c r="D188" t="s">
        <v>2634</v>
      </c>
      <c r="E188" s="2">
        <v>38351</v>
      </c>
      <c r="F188">
        <v>10</v>
      </c>
      <c r="G188">
        <v>1</v>
      </c>
      <c r="H188" t="s">
        <v>2890</v>
      </c>
      <c r="I188">
        <v>10</v>
      </c>
    </row>
    <row r="189" spans="2:9" x14ac:dyDescent="0.3">
      <c r="B189" t="s">
        <v>245</v>
      </c>
      <c r="C189" t="s">
        <v>1476</v>
      </c>
      <c r="D189" t="s">
        <v>2634</v>
      </c>
      <c r="E189" s="2">
        <v>34983</v>
      </c>
      <c r="F189">
        <v>10</v>
      </c>
      <c r="G189">
        <v>1</v>
      </c>
      <c r="H189" t="s">
        <v>2891</v>
      </c>
      <c r="I189">
        <v>10</v>
      </c>
    </row>
    <row r="190" spans="2:9" x14ac:dyDescent="0.3">
      <c r="B190" t="s">
        <v>2892</v>
      </c>
      <c r="C190" t="s">
        <v>2893</v>
      </c>
      <c r="D190" t="s">
        <v>2634</v>
      </c>
      <c r="E190" s="2">
        <v>42461</v>
      </c>
      <c r="F190">
        <v>10</v>
      </c>
      <c r="G190">
        <v>1</v>
      </c>
      <c r="H190" t="s">
        <v>2894</v>
      </c>
      <c r="I190">
        <v>10</v>
      </c>
    </row>
    <row r="191" spans="2:9" x14ac:dyDescent="0.3">
      <c r="B191" t="s">
        <v>246</v>
      </c>
      <c r="C191" t="s">
        <v>1477</v>
      </c>
      <c r="D191" t="s">
        <v>2634</v>
      </c>
      <c r="E191" s="2">
        <v>37302</v>
      </c>
      <c r="F191">
        <v>5</v>
      </c>
      <c r="G191">
        <v>1</v>
      </c>
      <c r="H191" t="s">
        <v>2895</v>
      </c>
      <c r="I191">
        <v>5</v>
      </c>
    </row>
    <row r="192" spans="2:9" x14ac:dyDescent="0.3">
      <c r="B192" t="s">
        <v>110</v>
      </c>
      <c r="C192" t="s">
        <v>1478</v>
      </c>
      <c r="D192" t="s">
        <v>2634</v>
      </c>
      <c r="E192" s="2">
        <v>37936</v>
      </c>
      <c r="F192">
        <v>2</v>
      </c>
      <c r="G192">
        <v>1</v>
      </c>
      <c r="H192" t="s">
        <v>2896</v>
      </c>
      <c r="I192">
        <v>2</v>
      </c>
    </row>
    <row r="193" spans="2:9" x14ac:dyDescent="0.3">
      <c r="B193" t="s">
        <v>31</v>
      </c>
      <c r="C193" t="s">
        <v>1479</v>
      </c>
      <c r="D193" t="s">
        <v>2634</v>
      </c>
      <c r="E193" s="2">
        <v>37946</v>
      </c>
      <c r="F193">
        <v>2</v>
      </c>
      <c r="G193">
        <v>1</v>
      </c>
      <c r="H193" t="s">
        <v>2897</v>
      </c>
      <c r="I193">
        <v>2</v>
      </c>
    </row>
    <row r="194" spans="2:9" x14ac:dyDescent="0.3">
      <c r="B194" t="s">
        <v>2898</v>
      </c>
      <c r="C194" t="s">
        <v>2899</v>
      </c>
      <c r="D194" t="s">
        <v>2634</v>
      </c>
      <c r="E194" s="2">
        <v>42615</v>
      </c>
      <c r="F194">
        <v>10</v>
      </c>
      <c r="G194">
        <v>1</v>
      </c>
      <c r="H194" t="s">
        <v>2900</v>
      </c>
      <c r="I194">
        <v>10</v>
      </c>
    </row>
    <row r="195" spans="2:9" x14ac:dyDescent="0.3">
      <c r="B195" t="s">
        <v>247</v>
      </c>
      <c r="C195" t="s">
        <v>1480</v>
      </c>
      <c r="D195" t="s">
        <v>2634</v>
      </c>
      <c r="E195" s="2">
        <v>36628</v>
      </c>
      <c r="F195">
        <v>10</v>
      </c>
      <c r="G195">
        <v>1</v>
      </c>
      <c r="H195" t="s">
        <v>2901</v>
      </c>
      <c r="I195">
        <v>10</v>
      </c>
    </row>
    <row r="196" spans="2:9" x14ac:dyDescent="0.3">
      <c r="B196" t="s">
        <v>248</v>
      </c>
      <c r="C196" t="s">
        <v>1481</v>
      </c>
      <c r="D196" t="s">
        <v>2634</v>
      </c>
      <c r="E196" s="2">
        <v>40589</v>
      </c>
      <c r="F196">
        <v>1</v>
      </c>
      <c r="G196">
        <v>1</v>
      </c>
      <c r="H196" t="s">
        <v>2902</v>
      </c>
      <c r="I196">
        <v>1</v>
      </c>
    </row>
    <row r="197" spans="2:9" x14ac:dyDescent="0.3">
      <c r="B197" t="s">
        <v>1277</v>
      </c>
      <c r="C197" t="s">
        <v>1482</v>
      </c>
      <c r="D197" t="s">
        <v>2634</v>
      </c>
      <c r="E197" s="2">
        <v>39111</v>
      </c>
      <c r="F197">
        <v>10</v>
      </c>
      <c r="G197">
        <v>1</v>
      </c>
      <c r="H197" t="s">
        <v>2903</v>
      </c>
      <c r="I197">
        <v>10</v>
      </c>
    </row>
    <row r="198" spans="2:9" x14ac:dyDescent="0.3">
      <c r="B198" t="s">
        <v>249</v>
      </c>
      <c r="C198" t="s">
        <v>1483</v>
      </c>
      <c r="D198" t="s">
        <v>2634</v>
      </c>
      <c r="E198" s="2">
        <v>38987</v>
      </c>
      <c r="F198">
        <v>10</v>
      </c>
      <c r="G198">
        <v>1</v>
      </c>
      <c r="H198" t="s">
        <v>2904</v>
      </c>
      <c r="I198">
        <v>10</v>
      </c>
    </row>
    <row r="199" spans="2:9" x14ac:dyDescent="0.3">
      <c r="B199" t="s">
        <v>250</v>
      </c>
      <c r="C199" t="s">
        <v>1484</v>
      </c>
      <c r="D199" t="s">
        <v>2634</v>
      </c>
      <c r="E199" s="2">
        <v>35305</v>
      </c>
      <c r="F199">
        <v>10</v>
      </c>
      <c r="G199">
        <v>1</v>
      </c>
      <c r="H199" t="s">
        <v>2905</v>
      </c>
      <c r="I199">
        <v>10</v>
      </c>
    </row>
    <row r="200" spans="2:9" x14ac:dyDescent="0.3">
      <c r="B200" t="s">
        <v>32</v>
      </c>
      <c r="C200" t="s">
        <v>1485</v>
      </c>
      <c r="D200" t="s">
        <v>2634</v>
      </c>
      <c r="E200" s="2">
        <v>38084</v>
      </c>
      <c r="F200">
        <v>5</v>
      </c>
      <c r="G200">
        <v>1</v>
      </c>
      <c r="H200" t="s">
        <v>2906</v>
      </c>
      <c r="I200">
        <v>5</v>
      </c>
    </row>
    <row r="201" spans="2:9" x14ac:dyDescent="0.3">
      <c r="B201" t="s">
        <v>2907</v>
      </c>
      <c r="C201" t="s">
        <v>2908</v>
      </c>
      <c r="D201" t="s">
        <v>2634</v>
      </c>
      <c r="E201" s="2">
        <v>35039</v>
      </c>
      <c r="F201">
        <v>10</v>
      </c>
      <c r="G201">
        <v>1</v>
      </c>
      <c r="H201" t="s">
        <v>2909</v>
      </c>
      <c r="I201">
        <v>10</v>
      </c>
    </row>
    <row r="202" spans="2:9" x14ac:dyDescent="0.3">
      <c r="B202" t="s">
        <v>251</v>
      </c>
      <c r="C202" t="s">
        <v>1486</v>
      </c>
      <c r="D202" t="s">
        <v>2634</v>
      </c>
      <c r="E202" s="2">
        <v>34801</v>
      </c>
      <c r="F202">
        <v>10</v>
      </c>
      <c r="G202">
        <v>1</v>
      </c>
      <c r="H202" t="s">
        <v>2910</v>
      </c>
      <c r="I202">
        <v>10</v>
      </c>
    </row>
    <row r="203" spans="2:9" x14ac:dyDescent="0.3">
      <c r="B203" t="s">
        <v>252</v>
      </c>
      <c r="C203" t="s">
        <v>1487</v>
      </c>
      <c r="D203" t="s">
        <v>2662</v>
      </c>
      <c r="E203" s="2">
        <v>39485</v>
      </c>
      <c r="F203">
        <v>1</v>
      </c>
      <c r="G203">
        <v>1</v>
      </c>
      <c r="H203" t="s">
        <v>2911</v>
      </c>
      <c r="I203">
        <v>1</v>
      </c>
    </row>
    <row r="204" spans="2:9" x14ac:dyDescent="0.3">
      <c r="B204" t="s">
        <v>253</v>
      </c>
      <c r="C204" t="s">
        <v>1488</v>
      </c>
      <c r="D204" t="s">
        <v>2662</v>
      </c>
      <c r="E204" s="2">
        <v>36677</v>
      </c>
      <c r="F204">
        <v>1</v>
      </c>
      <c r="G204">
        <v>1</v>
      </c>
      <c r="H204" t="s">
        <v>2912</v>
      </c>
      <c r="I204">
        <v>1</v>
      </c>
    </row>
    <row r="205" spans="2:9" x14ac:dyDescent="0.3">
      <c r="B205" t="s">
        <v>254</v>
      </c>
      <c r="C205" t="s">
        <v>1489</v>
      </c>
      <c r="D205" t="s">
        <v>2634</v>
      </c>
      <c r="E205" s="2">
        <v>40385</v>
      </c>
      <c r="F205">
        <v>1</v>
      </c>
      <c r="G205">
        <v>1</v>
      </c>
      <c r="H205" t="s">
        <v>2913</v>
      </c>
      <c r="I205">
        <v>1</v>
      </c>
    </row>
    <row r="206" spans="2:9" x14ac:dyDescent="0.3">
      <c r="B206" t="s">
        <v>255</v>
      </c>
      <c r="C206" t="s">
        <v>1490</v>
      </c>
      <c r="D206" t="s">
        <v>2634</v>
      </c>
      <c r="E206" s="2">
        <v>38793</v>
      </c>
      <c r="F206">
        <v>1</v>
      </c>
      <c r="G206">
        <v>1</v>
      </c>
      <c r="H206" t="s">
        <v>2914</v>
      </c>
      <c r="I206">
        <v>1</v>
      </c>
    </row>
    <row r="207" spans="2:9" x14ac:dyDescent="0.3">
      <c r="B207" t="s">
        <v>2915</v>
      </c>
      <c r="C207" t="s">
        <v>2916</v>
      </c>
      <c r="D207" t="s">
        <v>2634</v>
      </c>
      <c r="E207" s="2">
        <v>42535</v>
      </c>
      <c r="F207">
        <v>1</v>
      </c>
      <c r="G207">
        <v>1</v>
      </c>
      <c r="H207" t="s">
        <v>2917</v>
      </c>
      <c r="I207">
        <v>1</v>
      </c>
    </row>
    <row r="208" spans="2:9" x14ac:dyDescent="0.3">
      <c r="B208" t="s">
        <v>1278</v>
      </c>
      <c r="C208" t="s">
        <v>1491</v>
      </c>
      <c r="D208" t="s">
        <v>2634</v>
      </c>
      <c r="E208" s="2">
        <v>34738</v>
      </c>
      <c r="F208">
        <v>10</v>
      </c>
      <c r="G208">
        <v>1</v>
      </c>
      <c r="H208" t="s">
        <v>2918</v>
      </c>
      <c r="I208">
        <v>10</v>
      </c>
    </row>
    <row r="209" spans="2:9" x14ac:dyDescent="0.3">
      <c r="B209" t="s">
        <v>1279</v>
      </c>
      <c r="C209" t="s">
        <v>1492</v>
      </c>
      <c r="D209" t="s">
        <v>2634</v>
      </c>
      <c r="E209" s="2">
        <v>36572</v>
      </c>
      <c r="F209">
        <v>10</v>
      </c>
      <c r="G209">
        <v>1</v>
      </c>
      <c r="H209" t="s">
        <v>2919</v>
      </c>
      <c r="I209">
        <v>10</v>
      </c>
    </row>
    <row r="210" spans="2:9" x14ac:dyDescent="0.3">
      <c r="B210" t="s">
        <v>256</v>
      </c>
      <c r="C210" t="s">
        <v>1493</v>
      </c>
      <c r="D210" t="s">
        <v>2634</v>
      </c>
      <c r="E210" s="2">
        <v>37602</v>
      </c>
      <c r="F210">
        <v>10</v>
      </c>
      <c r="G210">
        <v>1</v>
      </c>
      <c r="H210" t="s">
        <v>2920</v>
      </c>
      <c r="I210">
        <v>10</v>
      </c>
    </row>
    <row r="211" spans="2:9" x14ac:dyDescent="0.3">
      <c r="B211" t="s">
        <v>257</v>
      </c>
      <c r="C211" t="s">
        <v>1494</v>
      </c>
      <c r="D211" t="s">
        <v>2634</v>
      </c>
      <c r="E211" s="2">
        <v>36692</v>
      </c>
      <c r="F211">
        <v>2</v>
      </c>
      <c r="G211">
        <v>1</v>
      </c>
      <c r="H211" t="s">
        <v>2921</v>
      </c>
      <c r="I211">
        <v>2</v>
      </c>
    </row>
    <row r="212" spans="2:9" x14ac:dyDescent="0.3">
      <c r="B212" t="s">
        <v>258</v>
      </c>
      <c r="C212" t="s">
        <v>1495</v>
      </c>
      <c r="D212" t="s">
        <v>2634</v>
      </c>
      <c r="E212" s="2">
        <v>40777</v>
      </c>
      <c r="F212">
        <v>2</v>
      </c>
      <c r="G212">
        <v>1</v>
      </c>
      <c r="H212" t="s">
        <v>2922</v>
      </c>
      <c r="I212">
        <v>2</v>
      </c>
    </row>
    <row r="213" spans="2:9" x14ac:dyDescent="0.3">
      <c r="B213" t="s">
        <v>259</v>
      </c>
      <c r="C213" t="s">
        <v>1496</v>
      </c>
      <c r="D213" t="s">
        <v>2634</v>
      </c>
      <c r="E213" s="2">
        <v>34815</v>
      </c>
      <c r="F213">
        <v>2</v>
      </c>
      <c r="G213">
        <v>1</v>
      </c>
      <c r="H213" t="s">
        <v>2923</v>
      </c>
      <c r="I213">
        <v>2</v>
      </c>
    </row>
    <row r="214" spans="2:9" x14ac:dyDescent="0.3">
      <c r="B214" t="s">
        <v>260</v>
      </c>
      <c r="C214" t="s">
        <v>1497</v>
      </c>
      <c r="D214" t="s">
        <v>2634</v>
      </c>
      <c r="E214" s="2">
        <v>37753</v>
      </c>
      <c r="F214">
        <v>10</v>
      </c>
      <c r="G214">
        <v>1</v>
      </c>
      <c r="H214" t="s">
        <v>2924</v>
      </c>
      <c r="I214">
        <v>10</v>
      </c>
    </row>
    <row r="215" spans="2:9" x14ac:dyDescent="0.3">
      <c r="B215" t="s">
        <v>261</v>
      </c>
      <c r="C215" t="s">
        <v>1498</v>
      </c>
      <c r="D215" t="s">
        <v>2634</v>
      </c>
      <c r="E215" s="2">
        <v>34955</v>
      </c>
      <c r="F215">
        <v>10</v>
      </c>
      <c r="G215">
        <v>1</v>
      </c>
      <c r="H215" t="s">
        <v>2925</v>
      </c>
      <c r="I215">
        <v>10</v>
      </c>
    </row>
    <row r="216" spans="2:9" x14ac:dyDescent="0.3">
      <c r="B216" t="s">
        <v>262</v>
      </c>
      <c r="C216" t="s">
        <v>1499</v>
      </c>
      <c r="D216" t="s">
        <v>2634</v>
      </c>
      <c r="E216" s="2">
        <v>34864</v>
      </c>
      <c r="F216">
        <v>10</v>
      </c>
      <c r="G216">
        <v>1</v>
      </c>
      <c r="H216" t="s">
        <v>2926</v>
      </c>
      <c r="I216">
        <v>10</v>
      </c>
    </row>
    <row r="217" spans="2:9" x14ac:dyDescent="0.3">
      <c r="B217" t="s">
        <v>263</v>
      </c>
      <c r="C217" t="s">
        <v>1500</v>
      </c>
      <c r="D217" t="s">
        <v>2634</v>
      </c>
      <c r="E217" s="2">
        <v>38691</v>
      </c>
      <c r="F217">
        <v>10</v>
      </c>
      <c r="G217">
        <v>1</v>
      </c>
      <c r="H217" t="s">
        <v>2927</v>
      </c>
      <c r="I217">
        <v>10</v>
      </c>
    </row>
    <row r="218" spans="2:9" x14ac:dyDescent="0.3">
      <c r="B218" t="s">
        <v>264</v>
      </c>
      <c r="C218" t="s">
        <v>1501</v>
      </c>
      <c r="D218" t="s">
        <v>2634</v>
      </c>
      <c r="E218" s="2">
        <v>39447</v>
      </c>
      <c r="F218">
        <v>10</v>
      </c>
      <c r="G218">
        <v>1</v>
      </c>
      <c r="H218" t="s">
        <v>2928</v>
      </c>
      <c r="I218">
        <v>10</v>
      </c>
    </row>
    <row r="219" spans="2:9" x14ac:dyDescent="0.3">
      <c r="B219" t="s">
        <v>33</v>
      </c>
      <c r="C219" t="s">
        <v>1502</v>
      </c>
      <c r="D219" t="s">
        <v>2634</v>
      </c>
      <c r="E219" s="2">
        <v>36104</v>
      </c>
      <c r="F219">
        <v>2</v>
      </c>
      <c r="G219">
        <v>1</v>
      </c>
      <c r="H219" t="s">
        <v>2929</v>
      </c>
      <c r="I219">
        <v>2</v>
      </c>
    </row>
    <row r="220" spans="2:9" x14ac:dyDescent="0.3">
      <c r="B220" t="s">
        <v>265</v>
      </c>
      <c r="C220" t="s">
        <v>1503</v>
      </c>
      <c r="D220" t="s">
        <v>2634</v>
      </c>
      <c r="E220" s="2">
        <v>40791</v>
      </c>
      <c r="F220">
        <v>10</v>
      </c>
      <c r="G220">
        <v>1</v>
      </c>
      <c r="H220" t="s">
        <v>2930</v>
      </c>
      <c r="I220">
        <v>10</v>
      </c>
    </row>
    <row r="221" spans="2:9" x14ac:dyDescent="0.3">
      <c r="B221" t="s">
        <v>2931</v>
      </c>
      <c r="C221" t="s">
        <v>2932</v>
      </c>
      <c r="D221" t="s">
        <v>2634</v>
      </c>
      <c r="E221" s="2">
        <v>42769</v>
      </c>
      <c r="F221">
        <v>2</v>
      </c>
      <c r="G221">
        <v>1</v>
      </c>
      <c r="H221" t="s">
        <v>2933</v>
      </c>
      <c r="I221">
        <v>2</v>
      </c>
    </row>
    <row r="222" spans="2:9" x14ac:dyDescent="0.3">
      <c r="B222" t="s">
        <v>266</v>
      </c>
      <c r="C222" t="s">
        <v>1504</v>
      </c>
      <c r="D222" t="s">
        <v>2662</v>
      </c>
      <c r="E222" s="2">
        <v>36929</v>
      </c>
      <c r="F222">
        <v>10</v>
      </c>
      <c r="G222">
        <v>1</v>
      </c>
      <c r="H222" t="s">
        <v>2934</v>
      </c>
      <c r="I222">
        <v>10</v>
      </c>
    </row>
    <row r="223" spans="2:9" x14ac:dyDescent="0.3">
      <c r="B223" t="s">
        <v>267</v>
      </c>
      <c r="C223" t="s">
        <v>1505</v>
      </c>
      <c r="D223" t="s">
        <v>2634</v>
      </c>
      <c r="E223" s="2">
        <v>34907</v>
      </c>
      <c r="F223">
        <v>10</v>
      </c>
      <c r="G223">
        <v>1</v>
      </c>
      <c r="H223" t="s">
        <v>2935</v>
      </c>
      <c r="I223">
        <v>10</v>
      </c>
    </row>
    <row r="224" spans="2:9" x14ac:dyDescent="0.3">
      <c r="B224" t="s">
        <v>268</v>
      </c>
      <c r="C224" t="s">
        <v>2936</v>
      </c>
      <c r="D224" t="s">
        <v>2634</v>
      </c>
      <c r="E224" s="2">
        <v>40478</v>
      </c>
      <c r="F224">
        <v>1</v>
      </c>
      <c r="G224">
        <v>1</v>
      </c>
      <c r="H224" t="s">
        <v>2937</v>
      </c>
      <c r="I224">
        <v>1</v>
      </c>
    </row>
    <row r="225" spans="2:9" x14ac:dyDescent="0.3">
      <c r="B225" t="s">
        <v>269</v>
      </c>
      <c r="C225" t="s">
        <v>1506</v>
      </c>
      <c r="D225" t="s">
        <v>2634</v>
      </c>
      <c r="E225" s="2">
        <v>39450</v>
      </c>
      <c r="F225">
        <v>10</v>
      </c>
      <c r="G225">
        <v>1</v>
      </c>
      <c r="H225" t="s">
        <v>2938</v>
      </c>
      <c r="I225">
        <v>10</v>
      </c>
    </row>
    <row r="226" spans="2:9" x14ac:dyDescent="0.3">
      <c r="B226" t="s">
        <v>270</v>
      </c>
      <c r="C226" t="s">
        <v>1507</v>
      </c>
      <c r="D226" t="s">
        <v>2634</v>
      </c>
      <c r="E226" s="2">
        <v>41757</v>
      </c>
      <c r="F226">
        <v>10</v>
      </c>
      <c r="G226">
        <v>1</v>
      </c>
      <c r="H226" t="s">
        <v>2939</v>
      </c>
      <c r="I226">
        <v>10</v>
      </c>
    </row>
    <row r="227" spans="2:9" x14ac:dyDescent="0.3">
      <c r="B227" t="s">
        <v>271</v>
      </c>
      <c r="C227" t="s">
        <v>1508</v>
      </c>
      <c r="D227" t="s">
        <v>2662</v>
      </c>
      <c r="E227" s="2">
        <v>39409</v>
      </c>
      <c r="F227">
        <v>10</v>
      </c>
      <c r="G227">
        <v>1</v>
      </c>
      <c r="H227" t="s">
        <v>2940</v>
      </c>
      <c r="I227">
        <v>10</v>
      </c>
    </row>
    <row r="228" spans="2:9" x14ac:dyDescent="0.3">
      <c r="B228" t="s">
        <v>2941</v>
      </c>
      <c r="C228" t="s">
        <v>2942</v>
      </c>
      <c r="D228" t="s">
        <v>2634</v>
      </c>
      <c r="E228" s="2">
        <v>42109</v>
      </c>
      <c r="F228">
        <v>10</v>
      </c>
      <c r="G228">
        <v>1</v>
      </c>
      <c r="H228" t="s">
        <v>2943</v>
      </c>
      <c r="I228">
        <v>10</v>
      </c>
    </row>
    <row r="229" spans="2:9" x14ac:dyDescent="0.3">
      <c r="B229" t="s">
        <v>34</v>
      </c>
      <c r="C229" t="s">
        <v>1509</v>
      </c>
      <c r="D229" t="s">
        <v>2634</v>
      </c>
      <c r="E229" s="2">
        <v>36634</v>
      </c>
      <c r="F229">
        <v>1</v>
      </c>
      <c r="G229">
        <v>1</v>
      </c>
      <c r="H229" t="s">
        <v>2944</v>
      </c>
      <c r="I229">
        <v>1</v>
      </c>
    </row>
    <row r="230" spans="2:9" x14ac:dyDescent="0.3">
      <c r="B230" t="s">
        <v>272</v>
      </c>
      <c r="C230" t="s">
        <v>1510</v>
      </c>
      <c r="D230" t="s">
        <v>2657</v>
      </c>
      <c r="E230" s="2">
        <v>36705</v>
      </c>
      <c r="F230">
        <v>10</v>
      </c>
      <c r="G230">
        <v>1</v>
      </c>
      <c r="H230" t="s">
        <v>2945</v>
      </c>
      <c r="I230">
        <v>10</v>
      </c>
    </row>
    <row r="231" spans="2:9" x14ac:dyDescent="0.3">
      <c r="B231" t="s">
        <v>272</v>
      </c>
      <c r="C231" t="s">
        <v>1510</v>
      </c>
      <c r="D231" t="s">
        <v>2634</v>
      </c>
      <c r="E231" s="2">
        <v>36705</v>
      </c>
      <c r="F231">
        <v>10</v>
      </c>
      <c r="G231">
        <v>1</v>
      </c>
      <c r="H231" t="s">
        <v>2945</v>
      </c>
      <c r="I231">
        <v>10</v>
      </c>
    </row>
    <row r="232" spans="2:9" x14ac:dyDescent="0.3">
      <c r="B232" t="s">
        <v>2946</v>
      </c>
      <c r="C232" t="s">
        <v>2947</v>
      </c>
      <c r="D232" t="s">
        <v>2634</v>
      </c>
      <c r="E232" s="2">
        <v>42024</v>
      </c>
      <c r="F232">
        <v>1</v>
      </c>
      <c r="G232">
        <v>1</v>
      </c>
      <c r="H232" t="s">
        <v>2948</v>
      </c>
      <c r="I232">
        <v>1</v>
      </c>
    </row>
    <row r="233" spans="2:9" x14ac:dyDescent="0.3">
      <c r="B233" t="s">
        <v>35</v>
      </c>
      <c r="C233" t="s">
        <v>1511</v>
      </c>
      <c r="D233" t="s">
        <v>2634</v>
      </c>
      <c r="E233" s="2">
        <v>37613</v>
      </c>
      <c r="F233">
        <v>10</v>
      </c>
      <c r="G233">
        <v>1</v>
      </c>
      <c r="H233" t="s">
        <v>2949</v>
      </c>
      <c r="I233">
        <v>10</v>
      </c>
    </row>
    <row r="234" spans="2:9" x14ac:dyDescent="0.3">
      <c r="B234" t="s">
        <v>273</v>
      </c>
      <c r="C234" t="s">
        <v>1512</v>
      </c>
      <c r="D234" t="s">
        <v>2662</v>
      </c>
      <c r="E234" s="2">
        <v>39139</v>
      </c>
      <c r="F234">
        <v>10</v>
      </c>
      <c r="G234">
        <v>1</v>
      </c>
      <c r="H234" t="s">
        <v>2950</v>
      </c>
      <c r="I234">
        <v>10</v>
      </c>
    </row>
    <row r="235" spans="2:9" x14ac:dyDescent="0.3">
      <c r="B235" t="s">
        <v>274</v>
      </c>
      <c r="C235" t="s">
        <v>1513</v>
      </c>
      <c r="D235" t="s">
        <v>2634</v>
      </c>
      <c r="E235" s="2">
        <v>34829</v>
      </c>
      <c r="F235">
        <v>10</v>
      </c>
      <c r="G235">
        <v>1</v>
      </c>
      <c r="H235" t="s">
        <v>2951</v>
      </c>
      <c r="I235">
        <v>10</v>
      </c>
    </row>
    <row r="236" spans="2:9" x14ac:dyDescent="0.3">
      <c r="B236" t="s">
        <v>275</v>
      </c>
      <c r="C236" t="s">
        <v>1514</v>
      </c>
      <c r="D236" t="s">
        <v>2634</v>
      </c>
      <c r="E236" s="2">
        <v>40463</v>
      </c>
      <c r="F236">
        <v>10</v>
      </c>
      <c r="G236">
        <v>1</v>
      </c>
      <c r="H236" t="s">
        <v>2952</v>
      </c>
      <c r="I236">
        <v>10</v>
      </c>
    </row>
    <row r="237" spans="2:9" x14ac:dyDescent="0.3">
      <c r="B237" t="s">
        <v>276</v>
      </c>
      <c r="C237" t="s">
        <v>1515</v>
      </c>
      <c r="D237" t="s">
        <v>2634</v>
      </c>
      <c r="E237" s="2">
        <v>39479</v>
      </c>
      <c r="F237">
        <v>10</v>
      </c>
      <c r="G237">
        <v>1</v>
      </c>
      <c r="H237" t="s">
        <v>2953</v>
      </c>
      <c r="I237">
        <v>10</v>
      </c>
    </row>
    <row r="238" spans="2:9" x14ac:dyDescent="0.3">
      <c r="B238" t="s">
        <v>277</v>
      </c>
      <c r="C238" t="s">
        <v>1516</v>
      </c>
      <c r="D238" t="s">
        <v>2634</v>
      </c>
      <c r="E238" s="2">
        <v>41813</v>
      </c>
      <c r="F238">
        <v>2</v>
      </c>
      <c r="G238">
        <v>1</v>
      </c>
      <c r="H238" t="s">
        <v>2954</v>
      </c>
      <c r="I238">
        <v>2</v>
      </c>
    </row>
    <row r="239" spans="2:9" x14ac:dyDescent="0.3">
      <c r="B239" t="s">
        <v>2955</v>
      </c>
      <c r="C239" t="s">
        <v>2956</v>
      </c>
      <c r="D239" t="s">
        <v>2634</v>
      </c>
      <c r="E239" s="2">
        <v>42751</v>
      </c>
      <c r="F239">
        <v>10</v>
      </c>
      <c r="G239">
        <v>1</v>
      </c>
      <c r="H239" t="s">
        <v>2957</v>
      </c>
      <c r="I239">
        <v>10</v>
      </c>
    </row>
    <row r="240" spans="2:9" x14ac:dyDescent="0.3">
      <c r="B240" t="s">
        <v>278</v>
      </c>
      <c r="C240" t="s">
        <v>1517</v>
      </c>
      <c r="D240" t="s">
        <v>2634</v>
      </c>
      <c r="E240" s="2">
        <v>35158</v>
      </c>
      <c r="F240">
        <v>1</v>
      </c>
      <c r="G240">
        <v>1</v>
      </c>
      <c r="H240" t="s">
        <v>2958</v>
      </c>
      <c r="I240">
        <v>1</v>
      </c>
    </row>
    <row r="241" spans="2:9" x14ac:dyDescent="0.3">
      <c r="B241" t="s">
        <v>279</v>
      </c>
      <c r="C241" t="s">
        <v>1518</v>
      </c>
      <c r="D241" t="s">
        <v>2634</v>
      </c>
      <c r="E241" s="2">
        <v>40457</v>
      </c>
      <c r="F241">
        <v>10</v>
      </c>
      <c r="G241">
        <v>1</v>
      </c>
      <c r="H241" t="s">
        <v>2959</v>
      </c>
      <c r="I241">
        <v>10</v>
      </c>
    </row>
    <row r="242" spans="2:9" x14ac:dyDescent="0.3">
      <c r="B242" t="s">
        <v>280</v>
      </c>
      <c r="C242" t="s">
        <v>1519</v>
      </c>
      <c r="D242" t="s">
        <v>2634</v>
      </c>
      <c r="E242" s="2">
        <v>41269</v>
      </c>
      <c r="F242">
        <v>10</v>
      </c>
      <c r="G242">
        <v>1</v>
      </c>
      <c r="H242" t="s">
        <v>2960</v>
      </c>
      <c r="I242">
        <v>10</v>
      </c>
    </row>
    <row r="243" spans="2:9" x14ac:dyDescent="0.3">
      <c r="B243" t="s">
        <v>2961</v>
      </c>
      <c r="C243" t="s">
        <v>2962</v>
      </c>
      <c r="D243" t="s">
        <v>2634</v>
      </c>
      <c r="E243" s="2">
        <v>38530</v>
      </c>
      <c r="F243">
        <v>2</v>
      </c>
      <c r="G243">
        <v>1</v>
      </c>
      <c r="H243" t="s">
        <v>2963</v>
      </c>
      <c r="I243">
        <v>2</v>
      </c>
    </row>
    <row r="244" spans="2:9" x14ac:dyDescent="0.3">
      <c r="B244" t="s">
        <v>281</v>
      </c>
      <c r="C244" t="s">
        <v>1520</v>
      </c>
      <c r="D244" t="s">
        <v>2634</v>
      </c>
      <c r="E244" s="2">
        <v>41712</v>
      </c>
      <c r="F244">
        <v>5</v>
      </c>
      <c r="G244">
        <v>1</v>
      </c>
      <c r="H244" t="s">
        <v>2964</v>
      </c>
      <c r="I244">
        <v>5</v>
      </c>
    </row>
    <row r="245" spans="2:9" x14ac:dyDescent="0.3">
      <c r="B245" t="s">
        <v>282</v>
      </c>
      <c r="C245" t="s">
        <v>1521</v>
      </c>
      <c r="D245" t="s">
        <v>2662</v>
      </c>
      <c r="E245" s="2">
        <v>39370</v>
      </c>
      <c r="F245">
        <v>2</v>
      </c>
      <c r="G245">
        <v>1</v>
      </c>
      <c r="H245" t="s">
        <v>2965</v>
      </c>
      <c r="I245">
        <v>2</v>
      </c>
    </row>
    <row r="246" spans="2:9" x14ac:dyDescent="0.3">
      <c r="B246" t="s">
        <v>2966</v>
      </c>
      <c r="C246" t="s">
        <v>2967</v>
      </c>
      <c r="D246" t="s">
        <v>2634</v>
      </c>
      <c r="E246" s="2">
        <v>42038</v>
      </c>
      <c r="F246">
        <v>2</v>
      </c>
      <c r="G246">
        <v>1</v>
      </c>
      <c r="H246" t="s">
        <v>2968</v>
      </c>
      <c r="I246">
        <v>2</v>
      </c>
    </row>
    <row r="247" spans="2:9" x14ac:dyDescent="0.3">
      <c r="B247" t="s">
        <v>283</v>
      </c>
      <c r="C247" t="s">
        <v>1522</v>
      </c>
      <c r="D247" t="s">
        <v>2634</v>
      </c>
      <c r="E247" s="2">
        <v>38145</v>
      </c>
      <c r="F247">
        <v>2</v>
      </c>
      <c r="G247">
        <v>1</v>
      </c>
      <c r="H247" t="s">
        <v>2969</v>
      </c>
      <c r="I247">
        <v>2</v>
      </c>
    </row>
    <row r="248" spans="2:9" x14ac:dyDescent="0.3">
      <c r="B248" t="s">
        <v>284</v>
      </c>
      <c r="C248" t="s">
        <v>1523</v>
      </c>
      <c r="D248" t="s">
        <v>2634</v>
      </c>
      <c r="E248" s="2">
        <v>39479</v>
      </c>
      <c r="F248">
        <v>10</v>
      </c>
      <c r="G248">
        <v>1</v>
      </c>
      <c r="H248" t="s">
        <v>2970</v>
      </c>
      <c r="I248">
        <v>10</v>
      </c>
    </row>
    <row r="249" spans="2:9" x14ac:dyDescent="0.3">
      <c r="B249" t="s">
        <v>285</v>
      </c>
      <c r="C249" t="s">
        <v>1524</v>
      </c>
      <c r="D249" t="s">
        <v>2634</v>
      </c>
      <c r="E249" s="2">
        <v>40469</v>
      </c>
      <c r="F249">
        <v>10</v>
      </c>
      <c r="G249">
        <v>1</v>
      </c>
      <c r="H249" t="s">
        <v>2971</v>
      </c>
      <c r="I249">
        <v>10</v>
      </c>
    </row>
    <row r="250" spans="2:9" x14ac:dyDescent="0.3">
      <c r="B250" t="s">
        <v>286</v>
      </c>
      <c r="C250" t="s">
        <v>1525</v>
      </c>
      <c r="D250" t="s">
        <v>2634</v>
      </c>
      <c r="E250" s="2">
        <v>38729</v>
      </c>
      <c r="F250">
        <v>10</v>
      </c>
      <c r="G250">
        <v>1</v>
      </c>
      <c r="H250" t="s">
        <v>2972</v>
      </c>
      <c r="I250">
        <v>10</v>
      </c>
    </row>
    <row r="251" spans="2:9" x14ac:dyDescent="0.3">
      <c r="B251" t="s">
        <v>287</v>
      </c>
      <c r="C251" t="s">
        <v>1526</v>
      </c>
      <c r="D251" t="s">
        <v>2634</v>
      </c>
      <c r="E251" s="2">
        <v>39280</v>
      </c>
      <c r="F251">
        <v>10</v>
      </c>
      <c r="G251">
        <v>1</v>
      </c>
      <c r="H251" t="s">
        <v>2973</v>
      </c>
      <c r="I251">
        <v>10</v>
      </c>
    </row>
    <row r="252" spans="2:9" x14ac:dyDescent="0.3">
      <c r="B252" t="s">
        <v>288</v>
      </c>
      <c r="C252" t="s">
        <v>1527</v>
      </c>
      <c r="D252" t="s">
        <v>2634</v>
      </c>
      <c r="E252" s="2">
        <v>34829</v>
      </c>
      <c r="F252">
        <v>10</v>
      </c>
      <c r="G252">
        <v>1</v>
      </c>
      <c r="H252" t="s">
        <v>2974</v>
      </c>
      <c r="I252">
        <v>10</v>
      </c>
    </row>
    <row r="253" spans="2:9" x14ac:dyDescent="0.3">
      <c r="B253" t="s">
        <v>289</v>
      </c>
      <c r="C253" t="s">
        <v>1528</v>
      </c>
      <c r="D253" t="s">
        <v>2662</v>
      </c>
      <c r="E253" s="2">
        <v>38188</v>
      </c>
      <c r="F253">
        <v>1</v>
      </c>
      <c r="G253">
        <v>1</v>
      </c>
      <c r="H253" t="s">
        <v>2975</v>
      </c>
      <c r="I253">
        <v>1</v>
      </c>
    </row>
    <row r="254" spans="2:9" x14ac:dyDescent="0.3">
      <c r="B254" t="s">
        <v>290</v>
      </c>
      <c r="C254" t="s">
        <v>1529</v>
      </c>
      <c r="D254" t="s">
        <v>2634</v>
      </c>
      <c r="E254" s="2">
        <v>39315</v>
      </c>
      <c r="F254">
        <v>10</v>
      </c>
      <c r="G254">
        <v>1</v>
      </c>
      <c r="H254" t="s">
        <v>2976</v>
      </c>
      <c r="I254">
        <v>10</v>
      </c>
    </row>
    <row r="255" spans="2:9" x14ac:dyDescent="0.3">
      <c r="B255" t="s">
        <v>291</v>
      </c>
      <c r="C255" t="s">
        <v>1530</v>
      </c>
      <c r="D255" t="s">
        <v>2634</v>
      </c>
      <c r="E255" s="2">
        <v>39360</v>
      </c>
      <c r="F255">
        <v>10</v>
      </c>
      <c r="G255">
        <v>1</v>
      </c>
      <c r="H255" t="s">
        <v>2977</v>
      </c>
      <c r="I255">
        <v>10</v>
      </c>
    </row>
    <row r="256" spans="2:9" x14ac:dyDescent="0.3">
      <c r="B256" t="s">
        <v>292</v>
      </c>
      <c r="C256" t="s">
        <v>1531</v>
      </c>
      <c r="D256" t="s">
        <v>2634</v>
      </c>
      <c r="E256" s="2">
        <v>38799</v>
      </c>
      <c r="F256">
        <v>1</v>
      </c>
      <c r="G256">
        <v>1</v>
      </c>
      <c r="H256" t="s">
        <v>2978</v>
      </c>
      <c r="I256">
        <v>1</v>
      </c>
    </row>
    <row r="257" spans="2:9" x14ac:dyDescent="0.3">
      <c r="B257" t="s">
        <v>36</v>
      </c>
      <c r="C257" t="s">
        <v>1532</v>
      </c>
      <c r="D257" t="s">
        <v>2634</v>
      </c>
      <c r="E257" s="2">
        <v>37799</v>
      </c>
      <c r="F257">
        <v>10</v>
      </c>
      <c r="G257">
        <v>1</v>
      </c>
      <c r="H257" t="s">
        <v>2979</v>
      </c>
      <c r="I257">
        <v>10</v>
      </c>
    </row>
    <row r="258" spans="2:9" x14ac:dyDescent="0.3">
      <c r="B258" t="s">
        <v>293</v>
      </c>
      <c r="C258" t="s">
        <v>1533</v>
      </c>
      <c r="D258" t="s">
        <v>2634</v>
      </c>
      <c r="E258" s="2">
        <v>39388</v>
      </c>
      <c r="F258">
        <v>5</v>
      </c>
      <c r="G258">
        <v>1</v>
      </c>
      <c r="H258" t="s">
        <v>2980</v>
      </c>
      <c r="I258">
        <v>5</v>
      </c>
    </row>
    <row r="259" spans="2:9" x14ac:dyDescent="0.3">
      <c r="B259" t="s">
        <v>294</v>
      </c>
      <c r="C259" t="s">
        <v>1534</v>
      </c>
      <c r="D259" t="s">
        <v>2634</v>
      </c>
      <c r="E259" s="2">
        <v>41451</v>
      </c>
      <c r="F259">
        <v>10</v>
      </c>
      <c r="G259">
        <v>1</v>
      </c>
      <c r="H259" t="s">
        <v>2981</v>
      </c>
      <c r="I259">
        <v>10</v>
      </c>
    </row>
    <row r="260" spans="2:9" x14ac:dyDescent="0.3">
      <c r="B260" t="s">
        <v>4</v>
      </c>
      <c r="C260" t="s">
        <v>1535</v>
      </c>
      <c r="D260" t="s">
        <v>2634</v>
      </c>
      <c r="E260" s="2">
        <v>34738</v>
      </c>
      <c r="F260">
        <v>10</v>
      </c>
      <c r="G260">
        <v>1</v>
      </c>
      <c r="H260" t="s">
        <v>2982</v>
      </c>
      <c r="I260">
        <v>10</v>
      </c>
    </row>
    <row r="261" spans="2:9" x14ac:dyDescent="0.3">
      <c r="B261" t="s">
        <v>295</v>
      </c>
      <c r="C261" t="s">
        <v>1536</v>
      </c>
      <c r="D261" t="s">
        <v>2634</v>
      </c>
      <c r="E261" s="2">
        <v>40480</v>
      </c>
      <c r="F261">
        <v>2</v>
      </c>
      <c r="G261">
        <v>1</v>
      </c>
      <c r="H261" t="s">
        <v>2983</v>
      </c>
      <c r="I261">
        <v>2</v>
      </c>
    </row>
    <row r="262" spans="2:9" x14ac:dyDescent="0.3">
      <c r="B262" t="s">
        <v>2984</v>
      </c>
      <c r="C262" t="s">
        <v>2985</v>
      </c>
      <c r="D262" t="s">
        <v>2634</v>
      </c>
      <c r="E262" s="2">
        <v>34759</v>
      </c>
      <c r="F262">
        <v>2</v>
      </c>
      <c r="G262">
        <v>1</v>
      </c>
      <c r="H262" t="s">
        <v>2986</v>
      </c>
      <c r="I262">
        <v>2</v>
      </c>
    </row>
    <row r="263" spans="2:9" x14ac:dyDescent="0.3">
      <c r="B263" t="s">
        <v>296</v>
      </c>
      <c r="C263" t="s">
        <v>1537</v>
      </c>
      <c r="D263" t="s">
        <v>2634</v>
      </c>
      <c r="E263" s="2">
        <v>34864</v>
      </c>
      <c r="F263">
        <v>10</v>
      </c>
      <c r="G263">
        <v>1</v>
      </c>
      <c r="H263" t="s">
        <v>2987</v>
      </c>
      <c r="I263">
        <v>10</v>
      </c>
    </row>
    <row r="264" spans="2:9" x14ac:dyDescent="0.3">
      <c r="B264" t="s">
        <v>297</v>
      </c>
      <c r="C264" t="s">
        <v>1538</v>
      </c>
      <c r="D264" t="s">
        <v>2634</v>
      </c>
      <c r="E264" s="2">
        <v>36684</v>
      </c>
      <c r="F264">
        <v>10</v>
      </c>
      <c r="G264">
        <v>1</v>
      </c>
      <c r="H264" t="s">
        <v>2988</v>
      </c>
      <c r="I264">
        <v>10</v>
      </c>
    </row>
    <row r="265" spans="2:9" x14ac:dyDescent="0.3">
      <c r="B265" t="s">
        <v>99</v>
      </c>
      <c r="C265" t="s">
        <v>1539</v>
      </c>
      <c r="D265" t="s">
        <v>2634</v>
      </c>
      <c r="E265" s="2">
        <v>35200</v>
      </c>
      <c r="F265">
        <v>10</v>
      </c>
      <c r="G265">
        <v>1</v>
      </c>
      <c r="H265" t="s">
        <v>2989</v>
      </c>
      <c r="I265">
        <v>10</v>
      </c>
    </row>
    <row r="266" spans="2:9" x14ac:dyDescent="0.3">
      <c r="B266" t="s">
        <v>298</v>
      </c>
      <c r="C266" t="s">
        <v>1540</v>
      </c>
      <c r="D266" t="s">
        <v>2634</v>
      </c>
      <c r="E266" s="2">
        <v>41058</v>
      </c>
      <c r="F266">
        <v>10</v>
      </c>
      <c r="G266">
        <v>1</v>
      </c>
      <c r="H266" t="s">
        <v>2990</v>
      </c>
      <c r="I266">
        <v>10</v>
      </c>
    </row>
    <row r="267" spans="2:9" x14ac:dyDescent="0.3">
      <c r="B267" t="s">
        <v>299</v>
      </c>
      <c r="C267" t="s">
        <v>1541</v>
      </c>
      <c r="D267" t="s">
        <v>2634</v>
      </c>
      <c r="E267" s="2">
        <v>41925</v>
      </c>
      <c r="F267">
        <v>10</v>
      </c>
      <c r="G267">
        <v>1</v>
      </c>
      <c r="H267" t="s">
        <v>2991</v>
      </c>
      <c r="I267">
        <v>10</v>
      </c>
    </row>
    <row r="268" spans="2:9" x14ac:dyDescent="0.3">
      <c r="B268" t="s">
        <v>300</v>
      </c>
      <c r="C268" t="s">
        <v>1542</v>
      </c>
      <c r="D268" t="s">
        <v>2662</v>
      </c>
      <c r="E268" s="2">
        <v>40794</v>
      </c>
      <c r="F268">
        <v>10</v>
      </c>
      <c r="G268">
        <v>1</v>
      </c>
      <c r="H268" t="s">
        <v>2992</v>
      </c>
      <c r="I268">
        <v>10</v>
      </c>
    </row>
    <row r="269" spans="2:9" x14ac:dyDescent="0.3">
      <c r="B269" t="s">
        <v>301</v>
      </c>
      <c r="C269" t="s">
        <v>1543</v>
      </c>
      <c r="D269" t="s">
        <v>2634</v>
      </c>
      <c r="E269" s="2">
        <v>41073</v>
      </c>
      <c r="F269">
        <v>5</v>
      </c>
      <c r="G269">
        <v>1</v>
      </c>
      <c r="H269" t="s">
        <v>2993</v>
      </c>
      <c r="I269">
        <v>5</v>
      </c>
    </row>
    <row r="270" spans="2:9" x14ac:dyDescent="0.3">
      <c r="B270" t="s">
        <v>302</v>
      </c>
      <c r="C270" t="s">
        <v>1544</v>
      </c>
      <c r="D270" t="s">
        <v>2662</v>
      </c>
      <c r="E270" s="2">
        <v>36649</v>
      </c>
      <c r="F270">
        <v>2</v>
      </c>
      <c r="G270">
        <v>1</v>
      </c>
      <c r="H270" t="s">
        <v>2994</v>
      </c>
      <c r="I270">
        <v>2</v>
      </c>
    </row>
    <row r="271" spans="2:9" x14ac:dyDescent="0.3">
      <c r="B271" t="s">
        <v>303</v>
      </c>
      <c r="C271" t="s">
        <v>1545</v>
      </c>
      <c r="D271" t="s">
        <v>2634</v>
      </c>
      <c r="E271" s="2">
        <v>34738</v>
      </c>
      <c r="F271">
        <v>2</v>
      </c>
      <c r="G271">
        <v>1</v>
      </c>
      <c r="H271" t="s">
        <v>2995</v>
      </c>
      <c r="I271">
        <v>2</v>
      </c>
    </row>
    <row r="272" spans="2:9" x14ac:dyDescent="0.3">
      <c r="B272" t="s">
        <v>2996</v>
      </c>
      <c r="C272" t="s">
        <v>2997</v>
      </c>
      <c r="D272" t="s">
        <v>2634</v>
      </c>
      <c r="E272" s="2">
        <v>42825</v>
      </c>
      <c r="F272">
        <v>10</v>
      </c>
      <c r="G272">
        <v>1</v>
      </c>
      <c r="H272" t="s">
        <v>2998</v>
      </c>
      <c r="I272">
        <v>10</v>
      </c>
    </row>
    <row r="273" spans="2:9" x14ac:dyDescent="0.3">
      <c r="B273" t="s">
        <v>304</v>
      </c>
      <c r="C273" t="s">
        <v>1546</v>
      </c>
      <c r="D273" t="s">
        <v>2634</v>
      </c>
      <c r="E273" s="2">
        <v>34864</v>
      </c>
      <c r="F273">
        <v>10</v>
      </c>
      <c r="G273">
        <v>1</v>
      </c>
      <c r="H273" t="s">
        <v>2999</v>
      </c>
      <c r="I273">
        <v>10</v>
      </c>
    </row>
    <row r="274" spans="2:9" x14ac:dyDescent="0.3">
      <c r="B274" t="s">
        <v>3000</v>
      </c>
      <c r="C274" t="s">
        <v>3001</v>
      </c>
      <c r="D274" t="s">
        <v>2634</v>
      </c>
      <c r="E274" s="2">
        <v>42703</v>
      </c>
      <c r="F274">
        <v>10</v>
      </c>
      <c r="G274">
        <v>1</v>
      </c>
      <c r="H274" t="s">
        <v>3002</v>
      </c>
      <c r="I274">
        <v>10</v>
      </c>
    </row>
    <row r="275" spans="2:9" x14ac:dyDescent="0.3">
      <c r="B275" t="s">
        <v>1280</v>
      </c>
      <c r="C275" t="s">
        <v>1547</v>
      </c>
      <c r="D275" t="s">
        <v>2634</v>
      </c>
      <c r="E275" s="2">
        <v>41640</v>
      </c>
      <c r="F275">
        <v>10</v>
      </c>
      <c r="G275">
        <v>1</v>
      </c>
      <c r="H275" t="s">
        <v>3003</v>
      </c>
      <c r="I275">
        <v>10</v>
      </c>
    </row>
    <row r="276" spans="2:9" x14ac:dyDescent="0.3">
      <c r="B276" t="s">
        <v>305</v>
      </c>
      <c r="C276" t="s">
        <v>1548</v>
      </c>
      <c r="D276" t="s">
        <v>2634</v>
      </c>
      <c r="E276" s="2">
        <v>40486</v>
      </c>
      <c r="F276">
        <v>10</v>
      </c>
      <c r="G276">
        <v>1</v>
      </c>
      <c r="H276" t="s">
        <v>3004</v>
      </c>
      <c r="I276">
        <v>10</v>
      </c>
    </row>
    <row r="277" spans="2:9" x14ac:dyDescent="0.3">
      <c r="B277" t="s">
        <v>3005</v>
      </c>
      <c r="C277" t="s">
        <v>3006</v>
      </c>
      <c r="D277" t="s">
        <v>2634</v>
      </c>
      <c r="E277" s="2">
        <v>42310</v>
      </c>
      <c r="F277">
        <v>10</v>
      </c>
      <c r="G277">
        <v>1</v>
      </c>
      <c r="H277" t="s">
        <v>3007</v>
      </c>
      <c r="I277">
        <v>10</v>
      </c>
    </row>
    <row r="278" spans="2:9" x14ac:dyDescent="0.3">
      <c r="B278" t="s">
        <v>306</v>
      </c>
      <c r="C278" t="s">
        <v>1549</v>
      </c>
      <c r="D278" t="s">
        <v>2634</v>
      </c>
      <c r="E278" s="2">
        <v>39433</v>
      </c>
      <c r="F278">
        <v>1</v>
      </c>
      <c r="G278">
        <v>1</v>
      </c>
      <c r="H278" t="s">
        <v>3008</v>
      </c>
      <c r="I278">
        <v>1</v>
      </c>
    </row>
    <row r="279" spans="2:9" x14ac:dyDescent="0.3">
      <c r="B279" t="s">
        <v>3009</v>
      </c>
      <c r="C279" t="s">
        <v>3010</v>
      </c>
      <c r="D279" t="s">
        <v>2634</v>
      </c>
      <c r="E279" s="2">
        <v>42558</v>
      </c>
      <c r="F279">
        <v>2</v>
      </c>
      <c r="G279">
        <v>1</v>
      </c>
      <c r="H279" t="s">
        <v>3011</v>
      </c>
      <c r="I279">
        <v>2</v>
      </c>
    </row>
    <row r="280" spans="2:9" x14ac:dyDescent="0.3">
      <c r="B280" t="s">
        <v>307</v>
      </c>
      <c r="C280" t="s">
        <v>1550</v>
      </c>
      <c r="D280" t="s">
        <v>2634</v>
      </c>
      <c r="E280" s="2">
        <v>40970</v>
      </c>
      <c r="F280">
        <v>2</v>
      </c>
      <c r="G280">
        <v>1</v>
      </c>
      <c r="H280" t="s">
        <v>3012</v>
      </c>
      <c r="I280">
        <v>2</v>
      </c>
    </row>
    <row r="281" spans="2:9" x14ac:dyDescent="0.3">
      <c r="B281" t="s">
        <v>37</v>
      </c>
      <c r="C281" t="s">
        <v>1551</v>
      </c>
      <c r="D281" t="s">
        <v>2634</v>
      </c>
      <c r="E281" s="2">
        <v>35557</v>
      </c>
      <c r="F281">
        <v>10</v>
      </c>
      <c r="G281">
        <v>1</v>
      </c>
      <c r="H281" t="s">
        <v>3013</v>
      </c>
      <c r="I281">
        <v>10</v>
      </c>
    </row>
    <row r="282" spans="2:9" x14ac:dyDescent="0.3">
      <c r="B282" t="s">
        <v>308</v>
      </c>
      <c r="C282" t="s">
        <v>1552</v>
      </c>
      <c r="D282" t="s">
        <v>2634</v>
      </c>
      <c r="E282" s="2">
        <v>38440</v>
      </c>
      <c r="F282">
        <v>10</v>
      </c>
      <c r="G282">
        <v>1</v>
      </c>
      <c r="H282" t="s">
        <v>3014</v>
      </c>
      <c r="I282">
        <v>10</v>
      </c>
    </row>
    <row r="283" spans="2:9" x14ac:dyDescent="0.3">
      <c r="B283" t="s">
        <v>3015</v>
      </c>
      <c r="C283" t="s">
        <v>3016</v>
      </c>
      <c r="D283" t="s">
        <v>2634</v>
      </c>
      <c r="E283" s="2">
        <v>42545</v>
      </c>
      <c r="F283">
        <v>10</v>
      </c>
      <c r="G283">
        <v>1</v>
      </c>
      <c r="H283" t="s">
        <v>3017</v>
      </c>
      <c r="I283">
        <v>10</v>
      </c>
    </row>
    <row r="284" spans="2:9" x14ac:dyDescent="0.3">
      <c r="B284" t="s">
        <v>1281</v>
      </c>
      <c r="C284" t="s">
        <v>1553</v>
      </c>
      <c r="D284" t="s">
        <v>2662</v>
      </c>
      <c r="E284" s="2">
        <v>37083</v>
      </c>
      <c r="F284">
        <v>10</v>
      </c>
      <c r="G284">
        <v>100</v>
      </c>
      <c r="H284" t="s">
        <v>3018</v>
      </c>
      <c r="I284">
        <v>10</v>
      </c>
    </row>
    <row r="285" spans="2:9" x14ac:dyDescent="0.3">
      <c r="B285" t="s">
        <v>309</v>
      </c>
      <c r="C285" t="s">
        <v>1554</v>
      </c>
      <c r="D285" t="s">
        <v>2634</v>
      </c>
      <c r="E285" s="2">
        <v>39491</v>
      </c>
      <c r="F285">
        <v>10</v>
      </c>
      <c r="G285">
        <v>1</v>
      </c>
      <c r="H285" t="s">
        <v>3019</v>
      </c>
      <c r="I285">
        <v>10</v>
      </c>
    </row>
    <row r="286" spans="2:9" x14ac:dyDescent="0.3">
      <c r="B286" t="s">
        <v>310</v>
      </c>
      <c r="C286" t="s">
        <v>1555</v>
      </c>
      <c r="D286" t="s">
        <v>2634</v>
      </c>
      <c r="E286" s="2">
        <v>34850</v>
      </c>
      <c r="F286">
        <v>1</v>
      </c>
      <c r="G286">
        <v>1</v>
      </c>
      <c r="H286" t="s">
        <v>3020</v>
      </c>
      <c r="I286">
        <v>1</v>
      </c>
    </row>
    <row r="287" spans="2:9" x14ac:dyDescent="0.3">
      <c r="B287" t="s">
        <v>311</v>
      </c>
      <c r="C287" t="s">
        <v>1556</v>
      </c>
      <c r="D287" t="s">
        <v>2634</v>
      </c>
      <c r="E287" s="2">
        <v>35765</v>
      </c>
      <c r="F287">
        <v>2</v>
      </c>
      <c r="G287">
        <v>1</v>
      </c>
      <c r="H287" t="s">
        <v>3021</v>
      </c>
      <c r="I287">
        <v>2</v>
      </c>
    </row>
    <row r="288" spans="2:9" x14ac:dyDescent="0.3">
      <c r="B288" t="s">
        <v>312</v>
      </c>
      <c r="C288" t="s">
        <v>1557</v>
      </c>
      <c r="D288" t="s">
        <v>2634</v>
      </c>
      <c r="E288" s="2">
        <v>34844</v>
      </c>
      <c r="F288">
        <v>10</v>
      </c>
      <c r="G288">
        <v>1</v>
      </c>
      <c r="H288" t="s">
        <v>3022</v>
      </c>
      <c r="I288">
        <v>10</v>
      </c>
    </row>
    <row r="289" spans="2:9" x14ac:dyDescent="0.3">
      <c r="B289" t="s">
        <v>313</v>
      </c>
      <c r="C289" t="s">
        <v>1558</v>
      </c>
      <c r="D289" t="s">
        <v>2634</v>
      </c>
      <c r="E289" s="2">
        <v>39835</v>
      </c>
      <c r="F289">
        <v>1</v>
      </c>
      <c r="G289">
        <v>1</v>
      </c>
      <c r="H289" t="s">
        <v>3023</v>
      </c>
      <c r="I289">
        <v>1</v>
      </c>
    </row>
    <row r="290" spans="2:9" x14ac:dyDescent="0.3">
      <c r="B290" t="s">
        <v>314</v>
      </c>
      <c r="C290" t="s">
        <v>1559</v>
      </c>
      <c r="D290" t="s">
        <v>2634</v>
      </c>
      <c r="E290" s="2">
        <v>40158</v>
      </c>
      <c r="F290">
        <v>5</v>
      </c>
      <c r="G290">
        <v>1</v>
      </c>
      <c r="H290" t="s">
        <v>3024</v>
      </c>
      <c r="I290">
        <v>5</v>
      </c>
    </row>
    <row r="291" spans="2:9" x14ac:dyDescent="0.3">
      <c r="B291" t="s">
        <v>315</v>
      </c>
      <c r="C291" t="s">
        <v>1560</v>
      </c>
      <c r="D291" t="s">
        <v>2634</v>
      </c>
      <c r="E291" s="2">
        <v>36880</v>
      </c>
      <c r="F291">
        <v>5</v>
      </c>
      <c r="G291">
        <v>1</v>
      </c>
      <c r="H291" t="s">
        <v>3025</v>
      </c>
      <c r="I291">
        <v>5</v>
      </c>
    </row>
    <row r="292" spans="2:9" x14ac:dyDescent="0.3">
      <c r="B292" t="s">
        <v>316</v>
      </c>
      <c r="C292" t="s">
        <v>1561</v>
      </c>
      <c r="D292" t="s">
        <v>2662</v>
      </c>
      <c r="E292" s="2">
        <v>39078</v>
      </c>
      <c r="F292">
        <v>10</v>
      </c>
      <c r="G292">
        <v>1</v>
      </c>
      <c r="H292" t="s">
        <v>3026</v>
      </c>
      <c r="I292">
        <v>10</v>
      </c>
    </row>
    <row r="293" spans="2:9" x14ac:dyDescent="0.3">
      <c r="B293" t="s">
        <v>5</v>
      </c>
      <c r="C293" t="s">
        <v>1562</v>
      </c>
      <c r="D293" t="s">
        <v>2634</v>
      </c>
      <c r="E293" s="2">
        <v>34878</v>
      </c>
      <c r="F293">
        <v>1</v>
      </c>
      <c r="G293">
        <v>1</v>
      </c>
      <c r="H293" t="s">
        <v>3027</v>
      </c>
      <c r="I293">
        <v>1</v>
      </c>
    </row>
    <row r="294" spans="2:9" x14ac:dyDescent="0.3">
      <c r="B294" t="s">
        <v>3028</v>
      </c>
      <c r="C294" t="s">
        <v>3029</v>
      </c>
      <c r="D294" t="s">
        <v>2634</v>
      </c>
      <c r="E294" s="2">
        <v>42503</v>
      </c>
      <c r="F294">
        <v>2</v>
      </c>
      <c r="G294">
        <v>1</v>
      </c>
      <c r="H294" t="s">
        <v>3030</v>
      </c>
      <c r="I294">
        <v>2</v>
      </c>
    </row>
    <row r="295" spans="2:9" x14ac:dyDescent="0.3">
      <c r="B295" t="s">
        <v>317</v>
      </c>
      <c r="C295" t="s">
        <v>1563</v>
      </c>
      <c r="D295" t="s">
        <v>2634</v>
      </c>
      <c r="E295" s="2">
        <v>39120</v>
      </c>
      <c r="F295">
        <v>10</v>
      </c>
      <c r="G295">
        <v>1</v>
      </c>
      <c r="H295" t="s">
        <v>3031</v>
      </c>
      <c r="I295">
        <v>10</v>
      </c>
    </row>
    <row r="296" spans="2:9" x14ac:dyDescent="0.3">
      <c r="B296" t="s">
        <v>318</v>
      </c>
      <c r="C296" t="s">
        <v>1564</v>
      </c>
      <c r="D296" t="s">
        <v>2634</v>
      </c>
      <c r="E296" s="2">
        <v>36032</v>
      </c>
      <c r="F296">
        <v>1</v>
      </c>
      <c r="G296">
        <v>1</v>
      </c>
      <c r="H296" t="s">
        <v>3032</v>
      </c>
      <c r="I296">
        <v>1</v>
      </c>
    </row>
    <row r="297" spans="2:9" x14ac:dyDescent="0.3">
      <c r="B297" t="s">
        <v>319</v>
      </c>
      <c r="C297" t="s">
        <v>1565</v>
      </c>
      <c r="D297" t="s">
        <v>2662</v>
      </c>
      <c r="E297" s="2">
        <v>36992</v>
      </c>
      <c r="F297">
        <v>10</v>
      </c>
      <c r="G297">
        <v>1</v>
      </c>
      <c r="H297" t="s">
        <v>3033</v>
      </c>
      <c r="I297">
        <v>10</v>
      </c>
    </row>
    <row r="298" spans="2:9" x14ac:dyDescent="0.3">
      <c r="B298" t="s">
        <v>320</v>
      </c>
      <c r="C298" t="s">
        <v>1566</v>
      </c>
      <c r="D298" t="s">
        <v>2634</v>
      </c>
      <c r="E298" s="2">
        <v>34787</v>
      </c>
      <c r="F298">
        <v>2</v>
      </c>
      <c r="G298">
        <v>1</v>
      </c>
      <c r="H298" t="s">
        <v>3034</v>
      </c>
      <c r="I298">
        <v>2</v>
      </c>
    </row>
    <row r="299" spans="2:9" x14ac:dyDescent="0.3">
      <c r="B299" t="s">
        <v>3035</v>
      </c>
      <c r="C299" t="s">
        <v>3036</v>
      </c>
      <c r="D299" t="s">
        <v>2634</v>
      </c>
      <c r="E299" s="2">
        <v>42629</v>
      </c>
      <c r="F299">
        <v>10</v>
      </c>
      <c r="G299">
        <v>1</v>
      </c>
      <c r="H299" t="s">
        <v>3037</v>
      </c>
      <c r="I299">
        <v>10</v>
      </c>
    </row>
    <row r="300" spans="2:9" x14ac:dyDescent="0.3">
      <c r="B300" t="s">
        <v>321</v>
      </c>
      <c r="C300" t="s">
        <v>1567</v>
      </c>
      <c r="D300" t="s">
        <v>2634</v>
      </c>
      <c r="E300" s="2">
        <v>36676</v>
      </c>
      <c r="F300">
        <v>10</v>
      </c>
      <c r="G300">
        <v>1</v>
      </c>
      <c r="H300" t="s">
        <v>3038</v>
      </c>
      <c r="I300">
        <v>10</v>
      </c>
    </row>
    <row r="301" spans="2:9" x14ac:dyDescent="0.3">
      <c r="B301" t="s">
        <v>1282</v>
      </c>
      <c r="C301" t="s">
        <v>1568</v>
      </c>
      <c r="D301" t="s">
        <v>2662</v>
      </c>
      <c r="E301" s="2">
        <v>38513</v>
      </c>
      <c r="F301">
        <v>10</v>
      </c>
      <c r="G301">
        <v>1</v>
      </c>
      <c r="H301" t="s">
        <v>3039</v>
      </c>
      <c r="I301">
        <v>10</v>
      </c>
    </row>
    <row r="302" spans="2:9" x14ac:dyDescent="0.3">
      <c r="B302" t="s">
        <v>322</v>
      </c>
      <c r="C302" t="s">
        <v>1569</v>
      </c>
      <c r="D302" t="s">
        <v>2634</v>
      </c>
      <c r="E302" s="2">
        <v>36187</v>
      </c>
      <c r="F302">
        <v>10</v>
      </c>
      <c r="G302">
        <v>1</v>
      </c>
      <c r="H302" t="s">
        <v>3040</v>
      </c>
      <c r="I302">
        <v>10</v>
      </c>
    </row>
    <row r="303" spans="2:9" x14ac:dyDescent="0.3">
      <c r="B303" t="s">
        <v>323</v>
      </c>
      <c r="C303" t="s">
        <v>1570</v>
      </c>
      <c r="D303" t="s">
        <v>2634</v>
      </c>
      <c r="E303" s="2">
        <v>36068</v>
      </c>
      <c r="F303">
        <v>5</v>
      </c>
      <c r="G303">
        <v>1</v>
      </c>
      <c r="H303" t="s">
        <v>3041</v>
      </c>
      <c r="I303">
        <v>5</v>
      </c>
    </row>
    <row r="304" spans="2:9" x14ac:dyDescent="0.3">
      <c r="B304" t="s">
        <v>324</v>
      </c>
      <c r="C304" t="s">
        <v>1571</v>
      </c>
      <c r="D304" t="s">
        <v>2634</v>
      </c>
      <c r="E304" s="2">
        <v>39069</v>
      </c>
      <c r="F304">
        <v>1</v>
      </c>
      <c r="G304">
        <v>1</v>
      </c>
      <c r="H304" t="s">
        <v>3042</v>
      </c>
      <c r="I304">
        <v>1</v>
      </c>
    </row>
    <row r="305" spans="2:9" x14ac:dyDescent="0.3">
      <c r="B305" t="s">
        <v>325</v>
      </c>
      <c r="C305" t="s">
        <v>1572</v>
      </c>
      <c r="D305" t="s">
        <v>2634</v>
      </c>
      <c r="E305" s="2">
        <v>36278</v>
      </c>
      <c r="F305">
        <v>1</v>
      </c>
      <c r="G305">
        <v>1</v>
      </c>
      <c r="H305" t="s">
        <v>3043</v>
      </c>
      <c r="I305">
        <v>1</v>
      </c>
    </row>
    <row r="306" spans="2:9" x14ac:dyDescent="0.3">
      <c r="B306" t="s">
        <v>326</v>
      </c>
      <c r="C306" t="s">
        <v>1573</v>
      </c>
      <c r="D306" t="s">
        <v>2634</v>
      </c>
      <c r="E306" s="2">
        <v>40570</v>
      </c>
      <c r="F306">
        <v>2</v>
      </c>
      <c r="G306">
        <v>1</v>
      </c>
      <c r="H306" t="s">
        <v>3044</v>
      </c>
      <c r="I306">
        <v>2</v>
      </c>
    </row>
    <row r="307" spans="2:9" x14ac:dyDescent="0.3">
      <c r="B307" t="s">
        <v>327</v>
      </c>
      <c r="C307" t="s">
        <v>1574</v>
      </c>
      <c r="D307" t="s">
        <v>2634</v>
      </c>
      <c r="E307" s="2">
        <v>35081</v>
      </c>
      <c r="F307">
        <v>2</v>
      </c>
      <c r="G307">
        <v>1</v>
      </c>
      <c r="H307" t="s">
        <v>3045</v>
      </c>
      <c r="I307">
        <v>2</v>
      </c>
    </row>
    <row r="308" spans="2:9" x14ac:dyDescent="0.3">
      <c r="B308" t="s">
        <v>3046</v>
      </c>
      <c r="C308" t="s">
        <v>3047</v>
      </c>
      <c r="D308" t="s">
        <v>2634</v>
      </c>
      <c r="E308" s="2">
        <v>42555</v>
      </c>
      <c r="F308">
        <v>10</v>
      </c>
      <c r="G308">
        <v>1</v>
      </c>
      <c r="H308" t="s">
        <v>3048</v>
      </c>
      <c r="I308">
        <v>10</v>
      </c>
    </row>
    <row r="309" spans="2:9" x14ac:dyDescent="0.3">
      <c r="B309" t="s">
        <v>328</v>
      </c>
      <c r="C309" t="s">
        <v>1575</v>
      </c>
      <c r="D309" t="s">
        <v>2634</v>
      </c>
      <c r="E309" s="2">
        <v>38114</v>
      </c>
      <c r="F309">
        <v>5</v>
      </c>
      <c r="G309">
        <v>1</v>
      </c>
      <c r="H309" t="s">
        <v>3049</v>
      </c>
      <c r="I309">
        <v>5</v>
      </c>
    </row>
    <row r="310" spans="2:9" x14ac:dyDescent="0.3">
      <c r="B310" t="s">
        <v>329</v>
      </c>
      <c r="C310" t="s">
        <v>1576</v>
      </c>
      <c r="D310" t="s">
        <v>2634</v>
      </c>
      <c r="E310" s="2">
        <v>40184</v>
      </c>
      <c r="F310">
        <v>10</v>
      </c>
      <c r="G310">
        <v>1</v>
      </c>
      <c r="H310" t="s">
        <v>3050</v>
      </c>
      <c r="I310">
        <v>10</v>
      </c>
    </row>
    <row r="311" spans="2:9" x14ac:dyDescent="0.3">
      <c r="B311" t="s">
        <v>3051</v>
      </c>
      <c r="C311" t="s">
        <v>3052</v>
      </c>
      <c r="D311" t="s">
        <v>2634</v>
      </c>
      <c r="E311" s="2">
        <v>42593</v>
      </c>
      <c r="F311">
        <v>10</v>
      </c>
      <c r="G311">
        <v>1</v>
      </c>
      <c r="H311" t="s">
        <v>3053</v>
      </c>
      <c r="I311">
        <v>10</v>
      </c>
    </row>
    <row r="312" spans="2:9" x14ac:dyDescent="0.3">
      <c r="B312" t="s">
        <v>330</v>
      </c>
      <c r="C312" t="s">
        <v>1577</v>
      </c>
      <c r="D312" t="s">
        <v>2634</v>
      </c>
      <c r="E312" s="2">
        <v>40233</v>
      </c>
      <c r="F312">
        <v>10</v>
      </c>
      <c r="G312">
        <v>1</v>
      </c>
      <c r="H312" t="s">
        <v>3054</v>
      </c>
      <c r="I312">
        <v>10</v>
      </c>
    </row>
    <row r="313" spans="2:9" x14ac:dyDescent="0.3">
      <c r="B313" t="s">
        <v>331</v>
      </c>
      <c r="C313" t="s">
        <v>1578</v>
      </c>
      <c r="D313" t="s">
        <v>2634</v>
      </c>
      <c r="E313" s="2">
        <v>40968</v>
      </c>
      <c r="F313">
        <v>2</v>
      </c>
      <c r="G313">
        <v>1</v>
      </c>
      <c r="H313" t="s">
        <v>3055</v>
      </c>
      <c r="I313">
        <v>2</v>
      </c>
    </row>
    <row r="314" spans="2:9" x14ac:dyDescent="0.3">
      <c r="B314" t="s">
        <v>332</v>
      </c>
      <c r="C314" t="s">
        <v>3056</v>
      </c>
      <c r="D314" t="s">
        <v>2634</v>
      </c>
      <c r="E314" s="2">
        <v>39017</v>
      </c>
      <c r="F314">
        <v>10</v>
      </c>
      <c r="G314">
        <v>1</v>
      </c>
      <c r="H314" t="s">
        <v>3057</v>
      </c>
      <c r="I314">
        <v>10</v>
      </c>
    </row>
    <row r="315" spans="2:9" x14ac:dyDescent="0.3">
      <c r="B315" t="s">
        <v>333</v>
      </c>
      <c r="C315" t="s">
        <v>1579</v>
      </c>
      <c r="D315" t="s">
        <v>2634</v>
      </c>
      <c r="E315" s="2">
        <v>34787</v>
      </c>
      <c r="F315">
        <v>10</v>
      </c>
      <c r="G315">
        <v>1</v>
      </c>
      <c r="H315" t="s">
        <v>3058</v>
      </c>
      <c r="I315">
        <v>10</v>
      </c>
    </row>
    <row r="316" spans="2:9" x14ac:dyDescent="0.3">
      <c r="B316" t="s">
        <v>334</v>
      </c>
      <c r="C316" t="s">
        <v>1580</v>
      </c>
      <c r="D316" t="s">
        <v>2634</v>
      </c>
      <c r="E316" s="2">
        <v>34801</v>
      </c>
      <c r="F316">
        <v>2</v>
      </c>
      <c r="G316">
        <v>1</v>
      </c>
      <c r="H316" t="s">
        <v>3059</v>
      </c>
      <c r="I316">
        <v>2</v>
      </c>
    </row>
    <row r="317" spans="2:9" x14ac:dyDescent="0.3">
      <c r="B317" t="s">
        <v>335</v>
      </c>
      <c r="C317" t="s">
        <v>1581</v>
      </c>
      <c r="D317" t="s">
        <v>2634</v>
      </c>
      <c r="E317" s="2">
        <v>34844</v>
      </c>
      <c r="F317">
        <v>2</v>
      </c>
      <c r="G317">
        <v>1</v>
      </c>
      <c r="H317" t="s">
        <v>3060</v>
      </c>
      <c r="I317">
        <v>2</v>
      </c>
    </row>
    <row r="318" spans="2:9" x14ac:dyDescent="0.3">
      <c r="B318" t="s">
        <v>336</v>
      </c>
      <c r="C318" t="s">
        <v>1582</v>
      </c>
      <c r="D318" t="s">
        <v>2634</v>
      </c>
      <c r="E318" s="2">
        <v>39296</v>
      </c>
      <c r="F318">
        <v>10</v>
      </c>
      <c r="G318">
        <v>1</v>
      </c>
      <c r="H318" t="s">
        <v>3061</v>
      </c>
      <c r="I318">
        <v>10</v>
      </c>
    </row>
    <row r="319" spans="2:9" x14ac:dyDescent="0.3">
      <c r="B319" t="s">
        <v>337</v>
      </c>
      <c r="C319" t="s">
        <v>1583</v>
      </c>
      <c r="D319" t="s">
        <v>2634</v>
      </c>
      <c r="E319" s="2">
        <v>37638</v>
      </c>
      <c r="F319">
        <v>10</v>
      </c>
      <c r="G319">
        <v>1</v>
      </c>
      <c r="H319" t="s">
        <v>3062</v>
      </c>
      <c r="I319">
        <v>10</v>
      </c>
    </row>
    <row r="320" spans="2:9" x14ac:dyDescent="0.3">
      <c r="B320" t="s">
        <v>338</v>
      </c>
      <c r="C320" t="s">
        <v>1584</v>
      </c>
      <c r="D320" t="s">
        <v>2634</v>
      </c>
      <c r="E320" s="2">
        <v>40450</v>
      </c>
      <c r="F320">
        <v>2</v>
      </c>
      <c r="G320">
        <v>1</v>
      </c>
      <c r="H320" t="s">
        <v>3063</v>
      </c>
      <c r="I320">
        <v>2</v>
      </c>
    </row>
    <row r="321" spans="2:9" x14ac:dyDescent="0.3">
      <c r="B321" t="s">
        <v>339</v>
      </c>
      <c r="C321" t="s">
        <v>1585</v>
      </c>
      <c r="D321" t="s">
        <v>2634</v>
      </c>
      <c r="E321" s="2">
        <v>40246</v>
      </c>
      <c r="F321">
        <v>10</v>
      </c>
      <c r="G321">
        <v>1</v>
      </c>
      <c r="H321" t="s">
        <v>3064</v>
      </c>
      <c r="I321">
        <v>10</v>
      </c>
    </row>
    <row r="322" spans="2:9" x14ac:dyDescent="0.3">
      <c r="B322" t="s">
        <v>340</v>
      </c>
      <c r="C322" t="s">
        <v>1586</v>
      </c>
      <c r="D322" t="s">
        <v>2634</v>
      </c>
      <c r="E322" s="2">
        <v>39388</v>
      </c>
      <c r="F322">
        <v>1</v>
      </c>
      <c r="G322">
        <v>1</v>
      </c>
      <c r="H322" t="s">
        <v>3065</v>
      </c>
      <c r="I322">
        <v>1</v>
      </c>
    </row>
    <row r="323" spans="2:9" x14ac:dyDescent="0.3">
      <c r="B323" t="s">
        <v>1283</v>
      </c>
      <c r="C323" t="s">
        <v>1587</v>
      </c>
      <c r="D323" t="s">
        <v>2634</v>
      </c>
      <c r="E323" s="2">
        <v>34990</v>
      </c>
      <c r="F323">
        <v>10</v>
      </c>
      <c r="G323">
        <v>1</v>
      </c>
      <c r="H323" t="s">
        <v>3066</v>
      </c>
      <c r="I323">
        <v>10</v>
      </c>
    </row>
    <row r="324" spans="2:9" x14ac:dyDescent="0.3">
      <c r="B324" t="s">
        <v>341</v>
      </c>
      <c r="C324" t="s">
        <v>1588</v>
      </c>
      <c r="D324" t="s">
        <v>2634</v>
      </c>
      <c r="E324" s="2">
        <v>40141</v>
      </c>
      <c r="F324">
        <v>10</v>
      </c>
      <c r="G324">
        <v>1</v>
      </c>
      <c r="H324" t="s">
        <v>3067</v>
      </c>
      <c r="I324">
        <v>10</v>
      </c>
    </row>
    <row r="325" spans="2:9" x14ac:dyDescent="0.3">
      <c r="B325" t="s">
        <v>100</v>
      </c>
      <c r="C325" t="s">
        <v>1589</v>
      </c>
      <c r="D325" t="s">
        <v>2634</v>
      </c>
      <c r="E325" s="2">
        <v>35445</v>
      </c>
      <c r="F325">
        <v>10</v>
      </c>
      <c r="G325">
        <v>1</v>
      </c>
      <c r="H325" t="s">
        <v>3068</v>
      </c>
      <c r="I325">
        <v>10</v>
      </c>
    </row>
    <row r="326" spans="2:9" x14ac:dyDescent="0.3">
      <c r="B326" t="s">
        <v>342</v>
      </c>
      <c r="C326" t="s">
        <v>1590</v>
      </c>
      <c r="D326" t="s">
        <v>2634</v>
      </c>
      <c r="E326" s="2">
        <v>35649</v>
      </c>
      <c r="F326">
        <v>10</v>
      </c>
      <c r="G326">
        <v>1</v>
      </c>
      <c r="H326" t="s">
        <v>3069</v>
      </c>
      <c r="I326">
        <v>10</v>
      </c>
    </row>
    <row r="327" spans="2:9" x14ac:dyDescent="0.3">
      <c r="B327" t="s">
        <v>3070</v>
      </c>
      <c r="C327" t="s">
        <v>3071</v>
      </c>
      <c r="D327" t="s">
        <v>2634</v>
      </c>
      <c r="E327" s="2">
        <v>42733</v>
      </c>
      <c r="F327">
        <v>10</v>
      </c>
      <c r="G327">
        <v>1</v>
      </c>
      <c r="H327" t="s">
        <v>3072</v>
      </c>
      <c r="I327">
        <v>10</v>
      </c>
    </row>
    <row r="328" spans="2:9" x14ac:dyDescent="0.3">
      <c r="B328" t="s">
        <v>343</v>
      </c>
      <c r="C328" t="s">
        <v>3073</v>
      </c>
      <c r="D328" t="s">
        <v>2634</v>
      </c>
      <c r="E328" s="2">
        <v>34787</v>
      </c>
      <c r="F328">
        <v>10</v>
      </c>
      <c r="G328">
        <v>1</v>
      </c>
      <c r="H328" t="s">
        <v>3074</v>
      </c>
      <c r="I328">
        <v>10</v>
      </c>
    </row>
    <row r="329" spans="2:9" x14ac:dyDescent="0.3">
      <c r="B329" t="s">
        <v>344</v>
      </c>
      <c r="C329" t="s">
        <v>1591</v>
      </c>
      <c r="D329" t="s">
        <v>2634</v>
      </c>
      <c r="E329" s="2">
        <v>38078</v>
      </c>
      <c r="F329">
        <v>10</v>
      </c>
      <c r="G329">
        <v>1</v>
      </c>
      <c r="H329" t="s">
        <v>3075</v>
      </c>
      <c r="I329">
        <v>10</v>
      </c>
    </row>
    <row r="330" spans="2:9" x14ac:dyDescent="0.3">
      <c r="B330" t="s">
        <v>345</v>
      </c>
      <c r="C330" t="s">
        <v>1592</v>
      </c>
      <c r="D330" t="s">
        <v>2634</v>
      </c>
      <c r="E330" s="2">
        <v>40723</v>
      </c>
      <c r="F330">
        <v>2</v>
      </c>
      <c r="G330">
        <v>1</v>
      </c>
      <c r="H330" t="s">
        <v>3076</v>
      </c>
      <c r="I330">
        <v>2</v>
      </c>
    </row>
    <row r="331" spans="2:9" x14ac:dyDescent="0.3">
      <c r="B331" t="s">
        <v>346</v>
      </c>
      <c r="C331" t="s">
        <v>1593</v>
      </c>
      <c r="D331" t="s">
        <v>2634</v>
      </c>
      <c r="E331" s="2">
        <v>35207</v>
      </c>
      <c r="F331">
        <v>10</v>
      </c>
      <c r="G331">
        <v>1</v>
      </c>
      <c r="H331" t="s">
        <v>3077</v>
      </c>
      <c r="I331">
        <v>10</v>
      </c>
    </row>
    <row r="332" spans="2:9" x14ac:dyDescent="0.3">
      <c r="B332" t="s">
        <v>347</v>
      </c>
      <c r="C332" t="s">
        <v>1594</v>
      </c>
      <c r="D332" t="s">
        <v>2634</v>
      </c>
      <c r="E332" s="2">
        <v>37530</v>
      </c>
      <c r="F332">
        <v>10</v>
      </c>
      <c r="G332">
        <v>1</v>
      </c>
      <c r="H332" t="s">
        <v>3078</v>
      </c>
      <c r="I332">
        <v>10</v>
      </c>
    </row>
    <row r="333" spans="2:9" x14ac:dyDescent="0.3">
      <c r="B333" t="s">
        <v>348</v>
      </c>
      <c r="C333" t="s">
        <v>1595</v>
      </c>
      <c r="D333" t="s">
        <v>2634</v>
      </c>
      <c r="E333" s="2">
        <v>40620</v>
      </c>
      <c r="F333">
        <v>10</v>
      </c>
      <c r="G333">
        <v>1</v>
      </c>
      <c r="H333" t="s">
        <v>3079</v>
      </c>
      <c r="I333">
        <v>10</v>
      </c>
    </row>
    <row r="334" spans="2:9" x14ac:dyDescent="0.3">
      <c r="B334" t="s">
        <v>349</v>
      </c>
      <c r="C334" t="s">
        <v>1596</v>
      </c>
      <c r="D334" t="s">
        <v>2634</v>
      </c>
      <c r="E334" s="2">
        <v>40450</v>
      </c>
      <c r="F334">
        <v>10</v>
      </c>
      <c r="G334">
        <v>1</v>
      </c>
      <c r="H334" t="s">
        <v>3080</v>
      </c>
      <c r="I334">
        <v>10</v>
      </c>
    </row>
    <row r="335" spans="2:9" x14ac:dyDescent="0.3">
      <c r="B335" t="s">
        <v>350</v>
      </c>
      <c r="C335" t="s">
        <v>1597</v>
      </c>
      <c r="D335" t="s">
        <v>2634</v>
      </c>
      <c r="E335" s="2">
        <v>34941</v>
      </c>
      <c r="F335">
        <v>10</v>
      </c>
      <c r="G335">
        <v>1</v>
      </c>
      <c r="H335" t="s">
        <v>3081</v>
      </c>
      <c r="I335">
        <v>10</v>
      </c>
    </row>
    <row r="336" spans="2:9" x14ac:dyDescent="0.3">
      <c r="B336" t="s">
        <v>3082</v>
      </c>
      <c r="C336" t="s">
        <v>1598</v>
      </c>
      <c r="D336" t="s">
        <v>2634</v>
      </c>
      <c r="E336" s="2">
        <v>42564</v>
      </c>
      <c r="F336">
        <v>10</v>
      </c>
      <c r="G336">
        <v>1</v>
      </c>
      <c r="H336" t="s">
        <v>3083</v>
      </c>
      <c r="I336">
        <v>10</v>
      </c>
    </row>
    <row r="337" spans="2:9" x14ac:dyDescent="0.3">
      <c r="B337" t="s">
        <v>351</v>
      </c>
      <c r="C337" t="s">
        <v>1599</v>
      </c>
      <c r="D337" t="s">
        <v>2634</v>
      </c>
      <c r="E337" s="2">
        <v>38099</v>
      </c>
      <c r="F337">
        <v>2</v>
      </c>
      <c r="G337">
        <v>1</v>
      </c>
      <c r="H337" t="s">
        <v>3084</v>
      </c>
      <c r="I337">
        <v>2</v>
      </c>
    </row>
    <row r="338" spans="2:9" x14ac:dyDescent="0.3">
      <c r="B338" t="s">
        <v>352</v>
      </c>
      <c r="C338" t="s">
        <v>1600</v>
      </c>
      <c r="D338" t="s">
        <v>2634</v>
      </c>
      <c r="E338" s="2">
        <v>39190</v>
      </c>
      <c r="F338">
        <v>1</v>
      </c>
      <c r="G338">
        <v>1</v>
      </c>
      <c r="H338" t="s">
        <v>3085</v>
      </c>
      <c r="I338">
        <v>1</v>
      </c>
    </row>
    <row r="339" spans="2:9" x14ac:dyDescent="0.3">
      <c r="B339" t="s">
        <v>38</v>
      </c>
      <c r="C339" t="s">
        <v>1601</v>
      </c>
      <c r="D339" t="s">
        <v>2634</v>
      </c>
      <c r="E339" s="2">
        <v>37692</v>
      </c>
      <c r="F339">
        <v>2</v>
      </c>
      <c r="G339">
        <v>1</v>
      </c>
      <c r="H339" t="s">
        <v>3086</v>
      </c>
      <c r="I339">
        <v>2</v>
      </c>
    </row>
    <row r="340" spans="2:9" x14ac:dyDescent="0.3">
      <c r="B340" t="s">
        <v>353</v>
      </c>
      <c r="C340" t="s">
        <v>1602</v>
      </c>
      <c r="D340" t="s">
        <v>2634</v>
      </c>
      <c r="E340" s="2">
        <v>39268</v>
      </c>
      <c r="F340">
        <v>2</v>
      </c>
      <c r="G340">
        <v>1</v>
      </c>
      <c r="H340" t="s">
        <v>3087</v>
      </c>
      <c r="I340">
        <v>2</v>
      </c>
    </row>
    <row r="341" spans="2:9" x14ac:dyDescent="0.3">
      <c r="B341" t="s">
        <v>354</v>
      </c>
      <c r="C341" t="s">
        <v>1603</v>
      </c>
      <c r="D341" t="s">
        <v>2634</v>
      </c>
      <c r="E341" s="2">
        <v>40165</v>
      </c>
      <c r="F341">
        <v>2</v>
      </c>
      <c r="G341">
        <v>1</v>
      </c>
      <c r="H341" t="s">
        <v>3088</v>
      </c>
      <c r="I341">
        <v>2</v>
      </c>
    </row>
    <row r="342" spans="2:9" x14ac:dyDescent="0.3">
      <c r="B342" t="s">
        <v>3089</v>
      </c>
      <c r="C342" t="s">
        <v>3090</v>
      </c>
      <c r="D342" t="s">
        <v>2634</v>
      </c>
      <c r="E342" s="2">
        <v>42815</v>
      </c>
      <c r="F342">
        <v>10</v>
      </c>
      <c r="G342">
        <v>1</v>
      </c>
      <c r="H342" t="s">
        <v>3091</v>
      </c>
      <c r="I342">
        <v>10</v>
      </c>
    </row>
    <row r="343" spans="2:9" x14ac:dyDescent="0.3">
      <c r="B343" t="s">
        <v>3092</v>
      </c>
      <c r="C343" t="s">
        <v>3093</v>
      </c>
      <c r="D343" t="s">
        <v>2662</v>
      </c>
      <c r="E343" s="2">
        <v>42846</v>
      </c>
      <c r="F343">
        <v>10</v>
      </c>
      <c r="G343">
        <v>1</v>
      </c>
      <c r="H343" t="s">
        <v>3094</v>
      </c>
      <c r="I343">
        <v>10</v>
      </c>
    </row>
    <row r="344" spans="2:9" x14ac:dyDescent="0.3">
      <c r="B344" t="s">
        <v>355</v>
      </c>
      <c r="C344" t="s">
        <v>1604</v>
      </c>
      <c r="D344" t="s">
        <v>2634</v>
      </c>
      <c r="E344" s="2">
        <v>38996</v>
      </c>
      <c r="F344">
        <v>10</v>
      </c>
      <c r="G344">
        <v>1</v>
      </c>
      <c r="H344" t="s">
        <v>3095</v>
      </c>
      <c r="I344">
        <v>10</v>
      </c>
    </row>
    <row r="345" spans="2:9" x14ac:dyDescent="0.3">
      <c r="B345" t="s">
        <v>356</v>
      </c>
      <c r="C345" t="s">
        <v>1605</v>
      </c>
      <c r="D345" t="s">
        <v>2634</v>
      </c>
      <c r="E345" s="2">
        <v>39071</v>
      </c>
      <c r="F345">
        <v>2</v>
      </c>
      <c r="G345">
        <v>1</v>
      </c>
      <c r="H345" t="s">
        <v>3096</v>
      </c>
      <c r="I345">
        <v>2</v>
      </c>
    </row>
    <row r="346" spans="2:9" x14ac:dyDescent="0.3">
      <c r="B346" t="s">
        <v>357</v>
      </c>
      <c r="C346" t="s">
        <v>1607</v>
      </c>
      <c r="D346" t="s">
        <v>2634</v>
      </c>
      <c r="E346" s="2">
        <v>39458</v>
      </c>
      <c r="F346">
        <v>10</v>
      </c>
      <c r="G346">
        <v>1</v>
      </c>
      <c r="H346" t="s">
        <v>3097</v>
      </c>
      <c r="I346">
        <v>10</v>
      </c>
    </row>
    <row r="347" spans="2:9" x14ac:dyDescent="0.3">
      <c r="B347" t="s">
        <v>358</v>
      </c>
      <c r="C347" t="s">
        <v>1606</v>
      </c>
      <c r="D347" t="s">
        <v>2634</v>
      </c>
      <c r="E347" s="2">
        <v>39559</v>
      </c>
      <c r="F347">
        <v>1</v>
      </c>
      <c r="G347">
        <v>1</v>
      </c>
      <c r="H347" t="s">
        <v>3098</v>
      </c>
      <c r="I347">
        <v>1</v>
      </c>
    </row>
    <row r="348" spans="2:9" x14ac:dyDescent="0.3">
      <c r="B348" t="s">
        <v>359</v>
      </c>
      <c r="C348" t="s">
        <v>1608</v>
      </c>
      <c r="D348" t="s">
        <v>2662</v>
      </c>
      <c r="E348" s="2">
        <v>40714</v>
      </c>
      <c r="F348">
        <v>10</v>
      </c>
      <c r="G348">
        <v>1</v>
      </c>
      <c r="H348" t="s">
        <v>3099</v>
      </c>
      <c r="I348">
        <v>10</v>
      </c>
    </row>
    <row r="349" spans="2:9" x14ac:dyDescent="0.3">
      <c r="B349" t="s">
        <v>360</v>
      </c>
      <c r="C349" t="s">
        <v>1609</v>
      </c>
      <c r="D349" t="s">
        <v>2634</v>
      </c>
      <c r="E349" s="2">
        <v>38001</v>
      </c>
      <c r="F349">
        <v>10</v>
      </c>
      <c r="G349">
        <v>1</v>
      </c>
      <c r="H349" t="s">
        <v>3100</v>
      </c>
      <c r="I349">
        <v>10</v>
      </c>
    </row>
    <row r="350" spans="2:9" x14ac:dyDescent="0.3">
      <c r="B350" t="s">
        <v>361</v>
      </c>
      <c r="C350" t="s">
        <v>1610</v>
      </c>
      <c r="D350" t="s">
        <v>2634</v>
      </c>
      <c r="E350" s="2">
        <v>37771</v>
      </c>
      <c r="F350">
        <v>5</v>
      </c>
      <c r="G350">
        <v>1</v>
      </c>
      <c r="H350" t="s">
        <v>3101</v>
      </c>
      <c r="I350">
        <v>5</v>
      </c>
    </row>
    <row r="351" spans="2:9" x14ac:dyDescent="0.3">
      <c r="B351" t="s">
        <v>362</v>
      </c>
      <c r="C351" t="s">
        <v>1611</v>
      </c>
      <c r="D351" t="s">
        <v>2662</v>
      </c>
      <c r="E351" s="2">
        <v>36796</v>
      </c>
      <c r="F351">
        <v>10</v>
      </c>
      <c r="G351">
        <v>1</v>
      </c>
      <c r="H351" t="s">
        <v>3102</v>
      </c>
      <c r="I351">
        <v>10</v>
      </c>
    </row>
    <row r="352" spans="2:9" x14ac:dyDescent="0.3">
      <c r="B352" t="s">
        <v>1284</v>
      </c>
      <c r="C352" t="s">
        <v>1612</v>
      </c>
      <c r="D352" t="s">
        <v>2634</v>
      </c>
      <c r="E352" s="2">
        <v>40878</v>
      </c>
      <c r="F352">
        <v>10</v>
      </c>
      <c r="G352">
        <v>1</v>
      </c>
      <c r="H352" t="s">
        <v>3103</v>
      </c>
      <c r="I352">
        <v>10</v>
      </c>
    </row>
    <row r="353" spans="2:9" x14ac:dyDescent="0.3">
      <c r="B353" t="s">
        <v>3104</v>
      </c>
      <c r="C353" t="s">
        <v>3105</v>
      </c>
      <c r="D353" t="s">
        <v>2634</v>
      </c>
      <c r="E353" s="2">
        <v>42024</v>
      </c>
      <c r="F353">
        <v>10</v>
      </c>
      <c r="G353">
        <v>1</v>
      </c>
      <c r="H353" t="s">
        <v>3106</v>
      </c>
      <c r="I353">
        <v>10</v>
      </c>
    </row>
    <row r="354" spans="2:9" x14ac:dyDescent="0.3">
      <c r="B354" t="s">
        <v>3107</v>
      </c>
      <c r="C354" t="s">
        <v>3108</v>
      </c>
      <c r="D354" t="s">
        <v>2634</v>
      </c>
      <c r="E354" s="2">
        <v>41191</v>
      </c>
      <c r="F354">
        <v>1</v>
      </c>
      <c r="G354">
        <v>1</v>
      </c>
      <c r="H354" t="s">
        <v>3109</v>
      </c>
      <c r="I354">
        <v>1</v>
      </c>
    </row>
    <row r="355" spans="2:9" x14ac:dyDescent="0.3">
      <c r="B355" t="s">
        <v>363</v>
      </c>
      <c r="C355" t="s">
        <v>1613</v>
      </c>
      <c r="D355" t="s">
        <v>2634</v>
      </c>
      <c r="E355" s="2">
        <v>38352</v>
      </c>
      <c r="F355">
        <v>10</v>
      </c>
      <c r="G355">
        <v>1</v>
      </c>
      <c r="H355" t="s">
        <v>3110</v>
      </c>
      <c r="I355">
        <v>10</v>
      </c>
    </row>
    <row r="356" spans="2:9" x14ac:dyDescent="0.3">
      <c r="B356" t="s">
        <v>364</v>
      </c>
      <c r="C356" t="s">
        <v>1614</v>
      </c>
      <c r="D356" t="s">
        <v>2634</v>
      </c>
      <c r="E356" s="2">
        <v>38974</v>
      </c>
      <c r="F356">
        <v>10</v>
      </c>
      <c r="G356">
        <v>1</v>
      </c>
      <c r="H356" t="s">
        <v>3111</v>
      </c>
      <c r="I356">
        <v>10</v>
      </c>
    </row>
    <row r="357" spans="2:9" x14ac:dyDescent="0.3">
      <c r="B357" t="s">
        <v>365</v>
      </c>
      <c r="C357" t="s">
        <v>1615</v>
      </c>
      <c r="D357" t="s">
        <v>2634</v>
      </c>
      <c r="E357" s="2">
        <v>35249</v>
      </c>
      <c r="F357">
        <v>2</v>
      </c>
      <c r="G357">
        <v>1</v>
      </c>
      <c r="H357" t="s">
        <v>3112</v>
      </c>
      <c r="I357">
        <v>2</v>
      </c>
    </row>
    <row r="358" spans="2:9" x14ac:dyDescent="0.3">
      <c r="B358" t="s">
        <v>366</v>
      </c>
      <c r="C358" t="s">
        <v>1616</v>
      </c>
      <c r="D358" t="s">
        <v>2662</v>
      </c>
      <c r="E358" s="2">
        <v>36838</v>
      </c>
      <c r="F358">
        <v>2</v>
      </c>
      <c r="G358">
        <v>1</v>
      </c>
      <c r="H358" t="s">
        <v>3113</v>
      </c>
      <c r="I358">
        <v>2</v>
      </c>
    </row>
    <row r="359" spans="2:9" x14ac:dyDescent="0.3">
      <c r="B359" t="s">
        <v>367</v>
      </c>
      <c r="C359" t="s">
        <v>1617</v>
      </c>
      <c r="D359" t="s">
        <v>2634</v>
      </c>
      <c r="E359" s="2">
        <v>39349</v>
      </c>
      <c r="F359">
        <v>10</v>
      </c>
      <c r="G359">
        <v>1</v>
      </c>
      <c r="H359" t="s">
        <v>3114</v>
      </c>
      <c r="I359">
        <v>10</v>
      </c>
    </row>
    <row r="360" spans="2:9" x14ac:dyDescent="0.3">
      <c r="B360" t="s">
        <v>368</v>
      </c>
      <c r="C360" t="s">
        <v>1618</v>
      </c>
      <c r="D360" t="s">
        <v>2634</v>
      </c>
      <c r="E360" s="2">
        <v>39447</v>
      </c>
      <c r="F360">
        <v>10</v>
      </c>
      <c r="G360">
        <v>1</v>
      </c>
      <c r="H360" t="s">
        <v>3115</v>
      </c>
      <c r="I360">
        <v>10</v>
      </c>
    </row>
    <row r="361" spans="2:9" x14ac:dyDescent="0.3">
      <c r="B361" t="s">
        <v>369</v>
      </c>
      <c r="C361" t="s">
        <v>1619</v>
      </c>
      <c r="D361" t="s">
        <v>2634</v>
      </c>
      <c r="E361" s="2">
        <v>39428</v>
      </c>
      <c r="F361">
        <v>1</v>
      </c>
      <c r="G361">
        <v>1</v>
      </c>
      <c r="H361" t="s">
        <v>3116</v>
      </c>
      <c r="I361">
        <v>1</v>
      </c>
    </row>
    <row r="362" spans="2:9" x14ac:dyDescent="0.3">
      <c r="B362" t="s">
        <v>370</v>
      </c>
      <c r="C362" t="s">
        <v>1620</v>
      </c>
      <c r="D362" t="s">
        <v>2634</v>
      </c>
      <c r="E362" s="2">
        <v>39412</v>
      </c>
      <c r="F362">
        <v>10</v>
      </c>
      <c r="G362">
        <v>1</v>
      </c>
      <c r="H362" t="s">
        <v>3117</v>
      </c>
      <c r="I362">
        <v>10</v>
      </c>
    </row>
    <row r="363" spans="2:9" x14ac:dyDescent="0.3">
      <c r="B363" t="s">
        <v>371</v>
      </c>
      <c r="C363" t="s">
        <v>1621</v>
      </c>
      <c r="D363" t="s">
        <v>2634</v>
      </c>
      <c r="E363" s="2">
        <v>38730</v>
      </c>
      <c r="F363">
        <v>2</v>
      </c>
      <c r="G363">
        <v>1</v>
      </c>
      <c r="H363" t="s">
        <v>3118</v>
      </c>
      <c r="I363">
        <v>2</v>
      </c>
    </row>
    <row r="364" spans="2:9" x14ac:dyDescent="0.3">
      <c r="B364" t="s">
        <v>39</v>
      </c>
      <c r="C364" t="s">
        <v>1622</v>
      </c>
      <c r="D364" t="s">
        <v>2634</v>
      </c>
      <c r="E364" s="2">
        <v>38237</v>
      </c>
      <c r="F364">
        <v>10</v>
      </c>
      <c r="G364">
        <v>1</v>
      </c>
      <c r="H364" t="s">
        <v>3119</v>
      </c>
      <c r="I364">
        <v>10</v>
      </c>
    </row>
    <row r="365" spans="2:9" x14ac:dyDescent="0.3">
      <c r="B365" t="s">
        <v>372</v>
      </c>
      <c r="C365" t="s">
        <v>1623</v>
      </c>
      <c r="D365" t="s">
        <v>2634</v>
      </c>
      <c r="E365" s="2">
        <v>34829</v>
      </c>
      <c r="F365">
        <v>1</v>
      </c>
      <c r="G365">
        <v>1</v>
      </c>
      <c r="H365" t="s">
        <v>3120</v>
      </c>
      <c r="I365">
        <v>1</v>
      </c>
    </row>
    <row r="366" spans="2:9" x14ac:dyDescent="0.3">
      <c r="B366" t="s">
        <v>373</v>
      </c>
      <c r="C366" t="s">
        <v>1624</v>
      </c>
      <c r="D366" t="s">
        <v>2634</v>
      </c>
      <c r="E366" s="2">
        <v>39546</v>
      </c>
      <c r="F366">
        <v>10</v>
      </c>
      <c r="G366">
        <v>1</v>
      </c>
      <c r="H366" t="s">
        <v>3121</v>
      </c>
      <c r="I366">
        <v>10</v>
      </c>
    </row>
    <row r="367" spans="2:9" x14ac:dyDescent="0.3">
      <c r="B367" t="s">
        <v>374</v>
      </c>
      <c r="C367" t="s">
        <v>1625</v>
      </c>
      <c r="D367" t="s">
        <v>2634</v>
      </c>
      <c r="E367" s="2">
        <v>34738</v>
      </c>
      <c r="F367">
        <v>2</v>
      </c>
      <c r="G367">
        <v>1</v>
      </c>
      <c r="H367" t="s">
        <v>3122</v>
      </c>
      <c r="I367">
        <v>2</v>
      </c>
    </row>
    <row r="368" spans="2:9" x14ac:dyDescent="0.3">
      <c r="B368" t="s">
        <v>375</v>
      </c>
      <c r="C368" t="s">
        <v>1626</v>
      </c>
      <c r="D368" t="s">
        <v>2634</v>
      </c>
      <c r="E368" s="2">
        <v>35172</v>
      </c>
      <c r="F368">
        <v>10</v>
      </c>
      <c r="G368">
        <v>1</v>
      </c>
      <c r="H368" t="s">
        <v>3123</v>
      </c>
      <c r="I368">
        <v>10</v>
      </c>
    </row>
    <row r="369" spans="2:9" x14ac:dyDescent="0.3">
      <c r="B369" t="s">
        <v>376</v>
      </c>
      <c r="C369" t="s">
        <v>1627</v>
      </c>
      <c r="D369" t="s">
        <v>2634</v>
      </c>
      <c r="E369" s="2">
        <v>38701</v>
      </c>
      <c r="F369">
        <v>2</v>
      </c>
      <c r="G369">
        <v>1</v>
      </c>
      <c r="H369" t="s">
        <v>3124</v>
      </c>
      <c r="I369">
        <v>2</v>
      </c>
    </row>
    <row r="370" spans="2:9" x14ac:dyDescent="0.3">
      <c r="B370" t="s">
        <v>3125</v>
      </c>
      <c r="C370" t="s">
        <v>3126</v>
      </c>
      <c r="D370" t="s">
        <v>2634</v>
      </c>
      <c r="E370" s="2">
        <v>39150</v>
      </c>
      <c r="F370">
        <v>10</v>
      </c>
      <c r="G370">
        <v>1</v>
      </c>
      <c r="H370" t="s">
        <v>3127</v>
      </c>
      <c r="I370">
        <v>10</v>
      </c>
    </row>
    <row r="371" spans="2:9" x14ac:dyDescent="0.3">
      <c r="B371" t="s">
        <v>377</v>
      </c>
      <c r="C371" t="s">
        <v>1628</v>
      </c>
      <c r="D371" t="s">
        <v>2634</v>
      </c>
      <c r="E371" s="2">
        <v>38989</v>
      </c>
      <c r="F371">
        <v>2</v>
      </c>
      <c r="G371">
        <v>1</v>
      </c>
      <c r="H371" t="s">
        <v>3128</v>
      </c>
      <c r="I371">
        <v>2</v>
      </c>
    </row>
    <row r="372" spans="2:9" x14ac:dyDescent="0.3">
      <c r="B372" t="s">
        <v>378</v>
      </c>
      <c r="C372" t="s">
        <v>1629</v>
      </c>
      <c r="D372" t="s">
        <v>2634</v>
      </c>
      <c r="E372" s="2">
        <v>37792</v>
      </c>
      <c r="F372">
        <v>1</v>
      </c>
      <c r="G372">
        <v>1</v>
      </c>
      <c r="H372" t="s">
        <v>3129</v>
      </c>
      <c r="I372">
        <v>1</v>
      </c>
    </row>
    <row r="373" spans="2:9" x14ac:dyDescent="0.3">
      <c r="B373" t="s">
        <v>379</v>
      </c>
      <c r="C373" t="s">
        <v>1630</v>
      </c>
      <c r="D373" t="s">
        <v>2634</v>
      </c>
      <c r="E373" s="2">
        <v>39314</v>
      </c>
      <c r="F373">
        <v>10</v>
      </c>
      <c r="G373">
        <v>1</v>
      </c>
      <c r="H373" t="s">
        <v>3130</v>
      </c>
      <c r="I373">
        <v>10</v>
      </c>
    </row>
    <row r="374" spans="2:9" x14ac:dyDescent="0.3">
      <c r="B374" t="s">
        <v>380</v>
      </c>
      <c r="C374" t="s">
        <v>1631</v>
      </c>
      <c r="D374" t="s">
        <v>2634</v>
      </c>
      <c r="E374" s="2">
        <v>35025</v>
      </c>
      <c r="F374">
        <v>1</v>
      </c>
      <c r="G374">
        <v>1</v>
      </c>
      <c r="H374" t="s">
        <v>3131</v>
      </c>
      <c r="I374">
        <v>1</v>
      </c>
    </row>
    <row r="375" spans="2:9" x14ac:dyDescent="0.3">
      <c r="B375" t="s">
        <v>381</v>
      </c>
      <c r="C375" t="s">
        <v>1632</v>
      </c>
      <c r="D375" t="s">
        <v>2634</v>
      </c>
      <c r="E375" s="2">
        <v>40765</v>
      </c>
      <c r="F375">
        <v>1</v>
      </c>
      <c r="G375">
        <v>1</v>
      </c>
      <c r="H375" t="s">
        <v>3132</v>
      </c>
      <c r="I375">
        <v>1</v>
      </c>
    </row>
    <row r="376" spans="2:9" x14ac:dyDescent="0.3">
      <c r="B376" t="s">
        <v>382</v>
      </c>
      <c r="C376" t="s">
        <v>1633</v>
      </c>
      <c r="D376" t="s">
        <v>2662</v>
      </c>
      <c r="E376" s="2">
        <v>40387</v>
      </c>
      <c r="F376">
        <v>2</v>
      </c>
      <c r="G376">
        <v>1</v>
      </c>
      <c r="H376" t="s">
        <v>3133</v>
      </c>
      <c r="I376">
        <v>2</v>
      </c>
    </row>
    <row r="377" spans="2:9" x14ac:dyDescent="0.3">
      <c r="B377" t="s">
        <v>40</v>
      </c>
      <c r="C377" t="s">
        <v>1634</v>
      </c>
      <c r="D377" t="s">
        <v>2634</v>
      </c>
      <c r="E377" s="2">
        <v>38932</v>
      </c>
      <c r="F377">
        <v>1</v>
      </c>
      <c r="G377">
        <v>1</v>
      </c>
      <c r="H377" t="s">
        <v>3134</v>
      </c>
      <c r="I377">
        <v>1</v>
      </c>
    </row>
    <row r="378" spans="2:9" x14ac:dyDescent="0.3">
      <c r="B378" t="s">
        <v>383</v>
      </c>
      <c r="C378" t="s">
        <v>1635</v>
      </c>
      <c r="D378" t="s">
        <v>2634</v>
      </c>
      <c r="E378" s="2">
        <v>38701</v>
      </c>
      <c r="F378">
        <v>2</v>
      </c>
      <c r="G378">
        <v>1</v>
      </c>
      <c r="H378" t="s">
        <v>3135</v>
      </c>
      <c r="I378">
        <v>2</v>
      </c>
    </row>
    <row r="379" spans="2:9" x14ac:dyDescent="0.3">
      <c r="B379" t="s">
        <v>384</v>
      </c>
      <c r="C379" t="s">
        <v>1636</v>
      </c>
      <c r="D379" t="s">
        <v>2634</v>
      </c>
      <c r="E379" s="2">
        <v>38835</v>
      </c>
      <c r="F379">
        <v>10</v>
      </c>
      <c r="G379">
        <v>1</v>
      </c>
      <c r="H379" t="s">
        <v>3136</v>
      </c>
      <c r="I379">
        <v>10</v>
      </c>
    </row>
    <row r="380" spans="2:9" x14ac:dyDescent="0.3">
      <c r="B380" t="s">
        <v>385</v>
      </c>
      <c r="C380" t="s">
        <v>3137</v>
      </c>
      <c r="D380" t="s">
        <v>2634</v>
      </c>
      <c r="E380" s="2">
        <v>40233</v>
      </c>
      <c r="F380">
        <v>10</v>
      </c>
      <c r="G380">
        <v>1</v>
      </c>
      <c r="H380" t="s">
        <v>3138</v>
      </c>
      <c r="I380">
        <v>10</v>
      </c>
    </row>
    <row r="381" spans="2:9" x14ac:dyDescent="0.3">
      <c r="B381" t="s">
        <v>3139</v>
      </c>
      <c r="C381" t="s">
        <v>3140</v>
      </c>
      <c r="D381" t="s">
        <v>2634</v>
      </c>
      <c r="E381" s="2">
        <v>42662</v>
      </c>
      <c r="F381">
        <v>10</v>
      </c>
      <c r="G381">
        <v>1</v>
      </c>
      <c r="H381" t="s">
        <v>3141</v>
      </c>
      <c r="I381">
        <v>10</v>
      </c>
    </row>
    <row r="382" spans="2:9" x14ac:dyDescent="0.3">
      <c r="B382" t="s">
        <v>386</v>
      </c>
      <c r="C382" t="s">
        <v>1637</v>
      </c>
      <c r="D382" t="s">
        <v>2634</v>
      </c>
      <c r="E382" s="2">
        <v>39388</v>
      </c>
      <c r="F382">
        <v>10</v>
      </c>
      <c r="G382">
        <v>1</v>
      </c>
      <c r="H382" t="s">
        <v>3142</v>
      </c>
      <c r="I382">
        <v>10</v>
      </c>
    </row>
    <row r="383" spans="2:9" x14ac:dyDescent="0.3">
      <c r="B383" t="s">
        <v>387</v>
      </c>
      <c r="C383" t="s">
        <v>1638</v>
      </c>
      <c r="D383" t="s">
        <v>2634</v>
      </c>
      <c r="E383" s="2">
        <v>35662</v>
      </c>
      <c r="F383">
        <v>5</v>
      </c>
      <c r="G383">
        <v>1</v>
      </c>
      <c r="H383" t="s">
        <v>3143</v>
      </c>
      <c r="I383">
        <v>5</v>
      </c>
    </row>
    <row r="384" spans="2:9" x14ac:dyDescent="0.3">
      <c r="B384" t="s">
        <v>388</v>
      </c>
      <c r="C384" t="s">
        <v>1639</v>
      </c>
      <c r="D384" t="s">
        <v>2634</v>
      </c>
      <c r="E384" s="2">
        <v>38763</v>
      </c>
      <c r="F384">
        <v>10</v>
      </c>
      <c r="G384">
        <v>1</v>
      </c>
      <c r="H384" t="s">
        <v>3144</v>
      </c>
      <c r="I384">
        <v>10</v>
      </c>
    </row>
    <row r="385" spans="2:9" x14ac:dyDescent="0.3">
      <c r="B385" t="s">
        <v>389</v>
      </c>
      <c r="C385" t="s">
        <v>1640</v>
      </c>
      <c r="D385" t="s">
        <v>2634</v>
      </c>
      <c r="E385" s="2">
        <v>41067</v>
      </c>
      <c r="F385">
        <v>5</v>
      </c>
      <c r="G385">
        <v>1</v>
      </c>
      <c r="H385" t="s">
        <v>3145</v>
      </c>
      <c r="I385">
        <v>5</v>
      </c>
    </row>
    <row r="386" spans="2:9" x14ac:dyDescent="0.3">
      <c r="B386" t="s">
        <v>3146</v>
      </c>
      <c r="C386" t="s">
        <v>3147</v>
      </c>
      <c r="D386" t="s">
        <v>2634</v>
      </c>
      <c r="E386" s="2">
        <v>42481</v>
      </c>
      <c r="F386">
        <v>10</v>
      </c>
      <c r="G386">
        <v>1</v>
      </c>
      <c r="H386" t="s">
        <v>3148</v>
      </c>
      <c r="I386">
        <v>10</v>
      </c>
    </row>
    <row r="387" spans="2:9" x14ac:dyDescent="0.3">
      <c r="B387" t="s">
        <v>3146</v>
      </c>
      <c r="C387" t="s">
        <v>3147</v>
      </c>
      <c r="D387" t="s">
        <v>3149</v>
      </c>
      <c r="E387" s="2">
        <v>42481</v>
      </c>
      <c r="F387">
        <v>10</v>
      </c>
      <c r="G387">
        <v>1</v>
      </c>
      <c r="H387" t="s">
        <v>3148</v>
      </c>
      <c r="I387">
        <v>10</v>
      </c>
    </row>
    <row r="388" spans="2:9" x14ac:dyDescent="0.3">
      <c r="B388" t="s">
        <v>390</v>
      </c>
      <c r="C388" t="s">
        <v>1641</v>
      </c>
      <c r="D388" t="s">
        <v>2634</v>
      </c>
      <c r="E388" s="2">
        <v>40457</v>
      </c>
      <c r="F388">
        <v>10</v>
      </c>
      <c r="G388">
        <v>1</v>
      </c>
      <c r="H388" t="s">
        <v>3150</v>
      </c>
      <c r="I388">
        <v>10</v>
      </c>
    </row>
    <row r="389" spans="2:9" x14ac:dyDescent="0.3">
      <c r="B389" t="s">
        <v>391</v>
      </c>
      <c r="C389" t="s">
        <v>1642</v>
      </c>
      <c r="D389" t="s">
        <v>2634</v>
      </c>
      <c r="E389" s="2">
        <v>35004</v>
      </c>
      <c r="F389">
        <v>10</v>
      </c>
      <c r="G389">
        <v>1</v>
      </c>
      <c r="H389" t="s">
        <v>3151</v>
      </c>
      <c r="I389">
        <v>10</v>
      </c>
    </row>
    <row r="390" spans="2:9" x14ac:dyDescent="0.3">
      <c r="B390" t="s">
        <v>392</v>
      </c>
      <c r="C390" t="s">
        <v>1643</v>
      </c>
      <c r="D390" t="s">
        <v>2634</v>
      </c>
      <c r="E390" s="2">
        <v>34759</v>
      </c>
      <c r="F390">
        <v>10</v>
      </c>
      <c r="G390">
        <v>1</v>
      </c>
      <c r="H390" t="s">
        <v>3152</v>
      </c>
      <c r="I390">
        <v>10</v>
      </c>
    </row>
    <row r="391" spans="2:9" x14ac:dyDescent="0.3">
      <c r="B391" t="s">
        <v>393</v>
      </c>
      <c r="C391" t="s">
        <v>1644</v>
      </c>
      <c r="D391" t="s">
        <v>2634</v>
      </c>
      <c r="E391" s="2">
        <v>40459</v>
      </c>
      <c r="F391">
        <v>10</v>
      </c>
      <c r="G391">
        <v>1</v>
      </c>
      <c r="H391" t="s">
        <v>3153</v>
      </c>
      <c r="I391">
        <v>10</v>
      </c>
    </row>
    <row r="392" spans="2:9" x14ac:dyDescent="0.3">
      <c r="B392" t="s">
        <v>394</v>
      </c>
      <c r="C392" t="s">
        <v>1645</v>
      </c>
      <c r="D392" t="s">
        <v>2634</v>
      </c>
      <c r="E392" s="2">
        <v>40862</v>
      </c>
      <c r="F392">
        <v>10</v>
      </c>
      <c r="G392">
        <v>1</v>
      </c>
      <c r="H392" t="s">
        <v>3154</v>
      </c>
      <c r="I392">
        <v>10</v>
      </c>
    </row>
    <row r="393" spans="2:9" x14ac:dyDescent="0.3">
      <c r="B393" t="s">
        <v>395</v>
      </c>
      <c r="C393" t="s">
        <v>1646</v>
      </c>
      <c r="D393" t="s">
        <v>2662</v>
      </c>
      <c r="E393" s="2">
        <v>39079</v>
      </c>
      <c r="F393">
        <v>10</v>
      </c>
      <c r="G393">
        <v>1</v>
      </c>
      <c r="H393" t="s">
        <v>3155</v>
      </c>
      <c r="I393">
        <v>10</v>
      </c>
    </row>
    <row r="394" spans="2:9" x14ac:dyDescent="0.3">
      <c r="B394" t="s">
        <v>396</v>
      </c>
      <c r="C394" t="s">
        <v>1647</v>
      </c>
      <c r="D394" t="s">
        <v>2634</v>
      </c>
      <c r="E394" s="2">
        <v>37298</v>
      </c>
      <c r="F394">
        <v>2</v>
      </c>
      <c r="G394">
        <v>1</v>
      </c>
      <c r="H394" t="s">
        <v>3156</v>
      </c>
      <c r="I394">
        <v>2</v>
      </c>
    </row>
    <row r="395" spans="2:9" x14ac:dyDescent="0.3">
      <c r="B395" t="s">
        <v>397</v>
      </c>
      <c r="C395" t="s">
        <v>1648</v>
      </c>
      <c r="D395" t="s">
        <v>2634</v>
      </c>
      <c r="E395" s="2">
        <v>40714</v>
      </c>
      <c r="F395">
        <v>5</v>
      </c>
      <c r="G395">
        <v>1</v>
      </c>
      <c r="H395" t="s">
        <v>3157</v>
      </c>
      <c r="I395">
        <v>5</v>
      </c>
    </row>
    <row r="396" spans="2:9" x14ac:dyDescent="0.3">
      <c r="B396" t="s">
        <v>398</v>
      </c>
      <c r="C396" t="s">
        <v>1649</v>
      </c>
      <c r="D396" t="s">
        <v>2662</v>
      </c>
      <c r="E396" s="2">
        <v>39150</v>
      </c>
      <c r="F396">
        <v>10</v>
      </c>
      <c r="G396">
        <v>1</v>
      </c>
      <c r="H396" t="s">
        <v>3158</v>
      </c>
      <c r="I396">
        <v>10</v>
      </c>
    </row>
    <row r="397" spans="2:9" x14ac:dyDescent="0.3">
      <c r="B397" t="s">
        <v>1285</v>
      </c>
      <c r="C397" t="s">
        <v>1650</v>
      </c>
      <c r="D397" t="s">
        <v>2662</v>
      </c>
      <c r="E397" s="2">
        <v>40101</v>
      </c>
      <c r="F397">
        <v>10</v>
      </c>
      <c r="G397">
        <v>1</v>
      </c>
      <c r="H397" t="s">
        <v>3159</v>
      </c>
      <c r="I397">
        <v>10</v>
      </c>
    </row>
    <row r="398" spans="2:9" x14ac:dyDescent="0.3">
      <c r="B398" t="s">
        <v>399</v>
      </c>
      <c r="C398" t="s">
        <v>1651</v>
      </c>
      <c r="D398" t="s">
        <v>2634</v>
      </c>
      <c r="E398" s="2">
        <v>35095</v>
      </c>
      <c r="F398">
        <v>10</v>
      </c>
      <c r="G398">
        <v>1</v>
      </c>
      <c r="H398" t="s">
        <v>3160</v>
      </c>
      <c r="I398">
        <v>10</v>
      </c>
    </row>
    <row r="399" spans="2:9" x14ac:dyDescent="0.3">
      <c r="B399" t="s">
        <v>400</v>
      </c>
      <c r="C399" t="s">
        <v>1652</v>
      </c>
      <c r="D399" t="s">
        <v>2634</v>
      </c>
      <c r="E399" s="2">
        <v>38469</v>
      </c>
      <c r="F399">
        <v>5</v>
      </c>
      <c r="G399">
        <v>1</v>
      </c>
      <c r="H399" t="s">
        <v>3161</v>
      </c>
      <c r="I399">
        <v>5</v>
      </c>
    </row>
    <row r="400" spans="2:9" x14ac:dyDescent="0.3">
      <c r="B400" t="s">
        <v>401</v>
      </c>
      <c r="C400" t="s">
        <v>1653</v>
      </c>
      <c r="D400" t="s">
        <v>2634</v>
      </c>
      <c r="E400" s="2">
        <v>34787</v>
      </c>
      <c r="F400">
        <v>10</v>
      </c>
      <c r="G400">
        <v>1</v>
      </c>
      <c r="H400" t="s">
        <v>3162</v>
      </c>
      <c r="I400">
        <v>10</v>
      </c>
    </row>
    <row r="401" spans="2:9" x14ac:dyDescent="0.3">
      <c r="B401" t="s">
        <v>3163</v>
      </c>
      <c r="C401" t="s">
        <v>3164</v>
      </c>
      <c r="D401" t="s">
        <v>2634</v>
      </c>
      <c r="E401" s="2">
        <v>40028</v>
      </c>
      <c r="F401">
        <v>10</v>
      </c>
      <c r="G401">
        <v>1</v>
      </c>
      <c r="H401" t="s">
        <v>3165</v>
      </c>
      <c r="I401">
        <v>10</v>
      </c>
    </row>
    <row r="402" spans="2:9" x14ac:dyDescent="0.3">
      <c r="B402" t="s">
        <v>402</v>
      </c>
      <c r="C402" t="s">
        <v>1654</v>
      </c>
      <c r="D402" t="s">
        <v>2634</v>
      </c>
      <c r="E402" s="2">
        <v>38154</v>
      </c>
      <c r="F402">
        <v>5</v>
      </c>
      <c r="G402">
        <v>1</v>
      </c>
      <c r="H402" t="s">
        <v>3166</v>
      </c>
      <c r="I402">
        <v>5</v>
      </c>
    </row>
    <row r="403" spans="2:9" x14ac:dyDescent="0.3">
      <c r="B403" t="s">
        <v>403</v>
      </c>
      <c r="C403" t="s">
        <v>1655</v>
      </c>
      <c r="D403" t="s">
        <v>2634</v>
      </c>
      <c r="E403" s="2">
        <v>38154</v>
      </c>
      <c r="F403">
        <v>5</v>
      </c>
      <c r="G403">
        <v>1</v>
      </c>
      <c r="H403" t="s">
        <v>3167</v>
      </c>
      <c r="I403">
        <v>5</v>
      </c>
    </row>
    <row r="404" spans="2:9" x14ac:dyDescent="0.3">
      <c r="B404" t="s">
        <v>41</v>
      </c>
      <c r="C404" t="s">
        <v>1656</v>
      </c>
      <c r="D404" t="s">
        <v>2634</v>
      </c>
      <c r="E404" s="2">
        <v>37789</v>
      </c>
      <c r="F404">
        <v>1</v>
      </c>
      <c r="G404">
        <v>1</v>
      </c>
      <c r="H404" t="s">
        <v>3168</v>
      </c>
      <c r="I404">
        <v>1</v>
      </c>
    </row>
    <row r="405" spans="2:9" x14ac:dyDescent="0.3">
      <c r="B405" t="s">
        <v>404</v>
      </c>
      <c r="C405" t="s">
        <v>1657</v>
      </c>
      <c r="D405" t="s">
        <v>2634</v>
      </c>
      <c r="E405" s="2">
        <v>34801</v>
      </c>
      <c r="F405">
        <v>10</v>
      </c>
      <c r="G405">
        <v>1</v>
      </c>
      <c r="H405" t="s">
        <v>3169</v>
      </c>
      <c r="I405">
        <v>10</v>
      </c>
    </row>
    <row r="406" spans="2:9" x14ac:dyDescent="0.3">
      <c r="B406" t="s">
        <v>405</v>
      </c>
      <c r="C406" t="s">
        <v>1658</v>
      </c>
      <c r="D406" t="s">
        <v>2634</v>
      </c>
      <c r="E406" s="2">
        <v>36859</v>
      </c>
      <c r="F406">
        <v>10</v>
      </c>
      <c r="G406">
        <v>1</v>
      </c>
      <c r="H406" t="s">
        <v>3170</v>
      </c>
      <c r="I406">
        <v>10</v>
      </c>
    </row>
    <row r="407" spans="2:9" x14ac:dyDescent="0.3">
      <c r="B407" t="s">
        <v>3171</v>
      </c>
      <c r="C407" t="s">
        <v>3172</v>
      </c>
      <c r="D407" t="s">
        <v>2634</v>
      </c>
      <c r="E407" s="2">
        <v>42132</v>
      </c>
      <c r="F407">
        <v>10</v>
      </c>
      <c r="G407">
        <v>1</v>
      </c>
      <c r="H407" t="s">
        <v>3173</v>
      </c>
      <c r="I407">
        <v>10</v>
      </c>
    </row>
    <row r="408" spans="2:9" x14ac:dyDescent="0.3">
      <c r="B408" t="s">
        <v>3174</v>
      </c>
      <c r="C408" t="s">
        <v>3175</v>
      </c>
      <c r="D408" t="s">
        <v>2634</v>
      </c>
      <c r="E408" s="2">
        <v>42019</v>
      </c>
      <c r="F408">
        <v>2</v>
      </c>
      <c r="G408">
        <v>1</v>
      </c>
      <c r="H408" t="s">
        <v>3176</v>
      </c>
      <c r="I408">
        <v>2</v>
      </c>
    </row>
    <row r="409" spans="2:9" x14ac:dyDescent="0.3">
      <c r="B409" t="s">
        <v>3177</v>
      </c>
      <c r="C409" t="s">
        <v>3178</v>
      </c>
      <c r="D409" t="s">
        <v>2634</v>
      </c>
      <c r="E409" s="2">
        <v>41459</v>
      </c>
      <c r="F409">
        <v>6</v>
      </c>
      <c r="G409">
        <v>1</v>
      </c>
      <c r="H409" t="s">
        <v>3179</v>
      </c>
      <c r="I409">
        <v>6</v>
      </c>
    </row>
    <row r="410" spans="2:9" x14ac:dyDescent="0.3">
      <c r="B410" t="s">
        <v>406</v>
      </c>
      <c r="C410" t="s">
        <v>1659</v>
      </c>
      <c r="D410" t="s">
        <v>2662</v>
      </c>
      <c r="E410" s="2">
        <v>38616</v>
      </c>
      <c r="F410">
        <v>1</v>
      </c>
      <c r="G410">
        <v>1</v>
      </c>
      <c r="H410" t="s">
        <v>3180</v>
      </c>
      <c r="I410">
        <v>1</v>
      </c>
    </row>
    <row r="411" spans="2:9" x14ac:dyDescent="0.3">
      <c r="B411" t="s">
        <v>407</v>
      </c>
      <c r="C411" t="s">
        <v>1660</v>
      </c>
      <c r="D411" t="s">
        <v>2634</v>
      </c>
      <c r="E411" s="2">
        <v>35649</v>
      </c>
      <c r="F411">
        <v>1</v>
      </c>
      <c r="G411">
        <v>1</v>
      </c>
      <c r="H411" t="s">
        <v>3181</v>
      </c>
      <c r="I411">
        <v>1</v>
      </c>
    </row>
    <row r="412" spans="2:9" x14ac:dyDescent="0.3">
      <c r="B412" t="s">
        <v>408</v>
      </c>
      <c r="C412" t="s">
        <v>1661</v>
      </c>
      <c r="D412" t="s">
        <v>2634</v>
      </c>
      <c r="E412" s="2">
        <v>38610</v>
      </c>
      <c r="F412">
        <v>10</v>
      </c>
      <c r="G412">
        <v>1</v>
      </c>
      <c r="H412" t="s">
        <v>3182</v>
      </c>
      <c r="I412">
        <v>10</v>
      </c>
    </row>
    <row r="413" spans="2:9" x14ac:dyDescent="0.3">
      <c r="B413" t="s">
        <v>409</v>
      </c>
      <c r="C413" t="s">
        <v>1662</v>
      </c>
      <c r="D413" t="s">
        <v>2634</v>
      </c>
      <c r="E413" s="2">
        <v>34738</v>
      </c>
      <c r="F413">
        <v>2</v>
      </c>
      <c r="G413">
        <v>1</v>
      </c>
      <c r="H413" t="s">
        <v>3183</v>
      </c>
      <c r="I413">
        <v>2</v>
      </c>
    </row>
    <row r="414" spans="2:9" x14ac:dyDescent="0.3">
      <c r="B414" t="s">
        <v>3184</v>
      </c>
      <c r="C414" t="s">
        <v>3185</v>
      </c>
      <c r="D414" t="s">
        <v>2634</v>
      </c>
      <c r="E414" s="2">
        <v>37200</v>
      </c>
      <c r="F414">
        <v>2</v>
      </c>
      <c r="G414">
        <v>1</v>
      </c>
      <c r="H414" t="s">
        <v>3186</v>
      </c>
      <c r="I414">
        <v>2</v>
      </c>
    </row>
    <row r="415" spans="2:9" x14ac:dyDescent="0.3">
      <c r="B415" t="s">
        <v>3187</v>
      </c>
      <c r="C415" t="s">
        <v>3185</v>
      </c>
      <c r="D415" t="s">
        <v>2634</v>
      </c>
      <c r="E415" s="2">
        <v>39857</v>
      </c>
      <c r="F415">
        <v>2</v>
      </c>
      <c r="G415">
        <v>1</v>
      </c>
      <c r="H415" t="s">
        <v>3188</v>
      </c>
      <c r="I415">
        <v>2</v>
      </c>
    </row>
    <row r="416" spans="2:9" x14ac:dyDescent="0.3">
      <c r="B416" t="s">
        <v>410</v>
      </c>
      <c r="C416" t="s">
        <v>1663</v>
      </c>
      <c r="D416" t="s">
        <v>2634</v>
      </c>
      <c r="E416" s="2">
        <v>39009</v>
      </c>
      <c r="F416">
        <v>10</v>
      </c>
      <c r="G416">
        <v>1</v>
      </c>
      <c r="H416" t="s">
        <v>3189</v>
      </c>
      <c r="I416">
        <v>10</v>
      </c>
    </row>
    <row r="417" spans="2:9" x14ac:dyDescent="0.3">
      <c r="B417" t="s">
        <v>411</v>
      </c>
      <c r="C417" t="s">
        <v>1664</v>
      </c>
      <c r="D417" t="s">
        <v>2634</v>
      </c>
      <c r="E417" s="2">
        <v>40784</v>
      </c>
      <c r="F417">
        <v>10</v>
      </c>
      <c r="G417">
        <v>1</v>
      </c>
      <c r="H417" t="s">
        <v>3190</v>
      </c>
      <c r="I417">
        <v>10</v>
      </c>
    </row>
    <row r="418" spans="2:9" x14ac:dyDescent="0.3">
      <c r="B418" t="s">
        <v>412</v>
      </c>
      <c r="C418" t="s">
        <v>1665</v>
      </c>
      <c r="D418" t="s">
        <v>2634</v>
      </c>
      <c r="E418" s="2">
        <v>34745</v>
      </c>
      <c r="F418">
        <v>2</v>
      </c>
      <c r="G418">
        <v>1</v>
      </c>
      <c r="H418" t="s">
        <v>3191</v>
      </c>
      <c r="I418">
        <v>2</v>
      </c>
    </row>
    <row r="419" spans="2:9" x14ac:dyDescent="0.3">
      <c r="B419" t="s">
        <v>413</v>
      </c>
      <c r="C419" t="s">
        <v>1666</v>
      </c>
      <c r="D419" t="s">
        <v>2634</v>
      </c>
      <c r="E419" s="2">
        <v>34738</v>
      </c>
      <c r="F419">
        <v>10</v>
      </c>
      <c r="G419">
        <v>1</v>
      </c>
      <c r="H419" t="s">
        <v>3192</v>
      </c>
      <c r="I419">
        <v>10</v>
      </c>
    </row>
    <row r="420" spans="2:9" x14ac:dyDescent="0.3">
      <c r="B420" t="s">
        <v>1286</v>
      </c>
      <c r="C420" t="s">
        <v>1667</v>
      </c>
      <c r="D420" t="s">
        <v>2662</v>
      </c>
      <c r="E420" s="2">
        <v>39637</v>
      </c>
      <c r="F420">
        <v>10</v>
      </c>
      <c r="G420">
        <v>1</v>
      </c>
      <c r="H420" t="s">
        <v>3193</v>
      </c>
      <c r="I420">
        <v>10</v>
      </c>
    </row>
    <row r="421" spans="2:9" x14ac:dyDescent="0.3">
      <c r="B421" t="s">
        <v>414</v>
      </c>
      <c r="C421" t="s">
        <v>1668</v>
      </c>
      <c r="D421" t="s">
        <v>2634</v>
      </c>
      <c r="E421" s="2">
        <v>40835</v>
      </c>
      <c r="F421">
        <v>10</v>
      </c>
      <c r="G421">
        <v>1</v>
      </c>
      <c r="H421" t="s">
        <v>3194</v>
      </c>
      <c r="I421">
        <v>10</v>
      </c>
    </row>
    <row r="422" spans="2:9" x14ac:dyDescent="0.3">
      <c r="B422" t="s">
        <v>415</v>
      </c>
      <c r="C422" t="s">
        <v>1669</v>
      </c>
      <c r="D422" t="s">
        <v>2634</v>
      </c>
      <c r="E422" s="2">
        <v>41548</v>
      </c>
      <c r="F422">
        <v>2</v>
      </c>
      <c r="G422">
        <v>1</v>
      </c>
      <c r="H422" t="s">
        <v>3195</v>
      </c>
      <c r="I422">
        <v>2</v>
      </c>
    </row>
    <row r="423" spans="2:9" x14ac:dyDescent="0.3">
      <c r="B423" t="s">
        <v>416</v>
      </c>
      <c r="C423" t="s">
        <v>1670</v>
      </c>
      <c r="D423" t="s">
        <v>2634</v>
      </c>
      <c r="E423" s="2">
        <v>34738</v>
      </c>
      <c r="F423">
        <v>10</v>
      </c>
      <c r="G423">
        <v>1</v>
      </c>
      <c r="H423" t="s">
        <v>3196</v>
      </c>
      <c r="I423">
        <v>10</v>
      </c>
    </row>
    <row r="424" spans="2:9" x14ac:dyDescent="0.3">
      <c r="B424" t="s">
        <v>417</v>
      </c>
      <c r="C424" t="s">
        <v>1671</v>
      </c>
      <c r="D424" t="s">
        <v>2634</v>
      </c>
      <c r="E424" s="2">
        <v>40543</v>
      </c>
      <c r="F424">
        <v>10</v>
      </c>
      <c r="G424">
        <v>1</v>
      </c>
      <c r="H424" t="s">
        <v>3197</v>
      </c>
      <c r="I424">
        <v>10</v>
      </c>
    </row>
    <row r="425" spans="2:9" x14ac:dyDescent="0.3">
      <c r="B425" t="s">
        <v>418</v>
      </c>
      <c r="C425" t="s">
        <v>1672</v>
      </c>
      <c r="D425" t="s">
        <v>2634</v>
      </c>
      <c r="E425" s="2">
        <v>39211</v>
      </c>
      <c r="F425">
        <v>10</v>
      </c>
      <c r="G425">
        <v>1</v>
      </c>
      <c r="H425" t="s">
        <v>3198</v>
      </c>
      <c r="I425">
        <v>10</v>
      </c>
    </row>
    <row r="426" spans="2:9" x14ac:dyDescent="0.3">
      <c r="B426" t="s">
        <v>418</v>
      </c>
      <c r="C426" t="s">
        <v>1672</v>
      </c>
      <c r="D426" t="s">
        <v>3149</v>
      </c>
      <c r="E426" s="2">
        <v>39211</v>
      </c>
      <c r="F426">
        <v>10</v>
      </c>
      <c r="G426">
        <v>1</v>
      </c>
      <c r="H426" t="s">
        <v>3198</v>
      </c>
      <c r="I426">
        <v>10</v>
      </c>
    </row>
    <row r="427" spans="2:9" x14ac:dyDescent="0.3">
      <c r="B427" t="s">
        <v>419</v>
      </c>
      <c r="C427" t="s">
        <v>1673</v>
      </c>
      <c r="D427" t="s">
        <v>2634</v>
      </c>
      <c r="E427" s="2">
        <v>37746</v>
      </c>
      <c r="F427">
        <v>10</v>
      </c>
      <c r="G427">
        <v>1</v>
      </c>
      <c r="H427" t="s">
        <v>3199</v>
      </c>
      <c r="I427">
        <v>10</v>
      </c>
    </row>
    <row r="428" spans="2:9" x14ac:dyDescent="0.3">
      <c r="B428" t="s">
        <v>3200</v>
      </c>
      <c r="C428" t="s">
        <v>1674</v>
      </c>
      <c r="D428" t="s">
        <v>2634</v>
      </c>
      <c r="E428" s="2">
        <v>42611</v>
      </c>
      <c r="F428">
        <v>2</v>
      </c>
      <c r="G428">
        <v>1</v>
      </c>
      <c r="H428" t="s">
        <v>3201</v>
      </c>
      <c r="I428">
        <v>2</v>
      </c>
    </row>
    <row r="429" spans="2:9" x14ac:dyDescent="0.3">
      <c r="B429" t="s">
        <v>420</v>
      </c>
      <c r="C429" t="s">
        <v>1675</v>
      </c>
      <c r="D429" t="s">
        <v>2634</v>
      </c>
      <c r="E429" s="2">
        <v>39135</v>
      </c>
      <c r="F429">
        <v>10</v>
      </c>
      <c r="G429">
        <v>1</v>
      </c>
      <c r="H429" t="s">
        <v>3202</v>
      </c>
      <c r="I429">
        <v>10</v>
      </c>
    </row>
    <row r="430" spans="2:9" x14ac:dyDescent="0.3">
      <c r="B430" t="s">
        <v>421</v>
      </c>
      <c r="C430" t="s">
        <v>1676</v>
      </c>
      <c r="D430" t="s">
        <v>2634</v>
      </c>
      <c r="E430" s="2">
        <v>38462</v>
      </c>
      <c r="F430">
        <v>1</v>
      </c>
      <c r="G430">
        <v>1</v>
      </c>
      <c r="H430" t="s">
        <v>3203</v>
      </c>
      <c r="I430">
        <v>1</v>
      </c>
    </row>
    <row r="431" spans="2:9" x14ac:dyDescent="0.3">
      <c r="B431" t="s">
        <v>422</v>
      </c>
      <c r="C431" t="s">
        <v>1677</v>
      </c>
      <c r="D431" t="s">
        <v>2634</v>
      </c>
      <c r="E431" s="2">
        <v>36810</v>
      </c>
      <c r="F431">
        <v>2</v>
      </c>
      <c r="G431">
        <v>1</v>
      </c>
      <c r="H431" t="s">
        <v>3204</v>
      </c>
      <c r="I431">
        <v>2</v>
      </c>
    </row>
    <row r="432" spans="2:9" x14ac:dyDescent="0.3">
      <c r="B432" t="s">
        <v>423</v>
      </c>
      <c r="C432" t="s">
        <v>1678</v>
      </c>
      <c r="D432" t="s">
        <v>2634</v>
      </c>
      <c r="E432" s="2">
        <v>35522</v>
      </c>
      <c r="F432">
        <v>10</v>
      </c>
      <c r="G432">
        <v>1</v>
      </c>
      <c r="H432" t="s">
        <v>3205</v>
      </c>
      <c r="I432">
        <v>10</v>
      </c>
    </row>
    <row r="433" spans="2:9" x14ac:dyDescent="0.3">
      <c r="B433" t="s">
        <v>424</v>
      </c>
      <c r="C433" t="s">
        <v>1679</v>
      </c>
      <c r="D433" t="s">
        <v>2634</v>
      </c>
      <c r="E433" s="2">
        <v>40478</v>
      </c>
      <c r="F433">
        <v>1</v>
      </c>
      <c r="G433">
        <v>1</v>
      </c>
      <c r="H433" t="s">
        <v>3206</v>
      </c>
      <c r="I433">
        <v>1</v>
      </c>
    </row>
    <row r="434" spans="2:9" x14ac:dyDescent="0.3">
      <c r="B434" t="s">
        <v>425</v>
      </c>
      <c r="C434" t="s">
        <v>1680</v>
      </c>
      <c r="D434" t="s">
        <v>2634</v>
      </c>
      <c r="E434" s="2">
        <v>38811</v>
      </c>
      <c r="F434">
        <v>10</v>
      </c>
      <c r="G434">
        <v>1</v>
      </c>
      <c r="H434" t="s">
        <v>3207</v>
      </c>
      <c r="I434">
        <v>10</v>
      </c>
    </row>
    <row r="435" spans="2:9" x14ac:dyDescent="0.3">
      <c r="B435" t="s">
        <v>426</v>
      </c>
      <c r="C435" t="s">
        <v>1681</v>
      </c>
      <c r="D435" t="s">
        <v>2634</v>
      </c>
      <c r="E435" s="2">
        <v>40462</v>
      </c>
      <c r="F435">
        <v>10</v>
      </c>
      <c r="G435">
        <v>1</v>
      </c>
      <c r="H435" t="s">
        <v>3208</v>
      </c>
      <c r="I435">
        <v>10</v>
      </c>
    </row>
    <row r="436" spans="2:9" x14ac:dyDescent="0.3">
      <c r="B436" t="s">
        <v>427</v>
      </c>
      <c r="C436" t="s">
        <v>1682</v>
      </c>
      <c r="D436" t="s">
        <v>2634</v>
      </c>
      <c r="E436" s="2">
        <v>39541</v>
      </c>
      <c r="F436">
        <v>2</v>
      </c>
      <c r="G436">
        <v>1</v>
      </c>
      <c r="H436" t="s">
        <v>3209</v>
      </c>
      <c r="I436">
        <v>2</v>
      </c>
    </row>
    <row r="437" spans="2:9" x14ac:dyDescent="0.3">
      <c r="B437" t="s">
        <v>428</v>
      </c>
      <c r="C437" t="s">
        <v>1683</v>
      </c>
      <c r="D437" t="s">
        <v>2634</v>
      </c>
      <c r="E437" s="2">
        <v>35354</v>
      </c>
      <c r="F437">
        <v>2</v>
      </c>
      <c r="G437">
        <v>1</v>
      </c>
      <c r="H437" t="s">
        <v>3210</v>
      </c>
      <c r="I437">
        <v>2</v>
      </c>
    </row>
    <row r="438" spans="2:9" x14ac:dyDescent="0.3">
      <c r="B438" t="s">
        <v>429</v>
      </c>
      <c r="C438" t="s">
        <v>1684</v>
      </c>
      <c r="D438" t="s">
        <v>2634</v>
      </c>
      <c r="E438" s="2">
        <v>39113</v>
      </c>
      <c r="F438">
        <v>5</v>
      </c>
      <c r="G438">
        <v>1</v>
      </c>
      <c r="H438" t="s">
        <v>3211</v>
      </c>
      <c r="I438">
        <v>5</v>
      </c>
    </row>
    <row r="439" spans="2:9" x14ac:dyDescent="0.3">
      <c r="B439" t="s">
        <v>3212</v>
      </c>
      <c r="C439" t="s">
        <v>3213</v>
      </c>
      <c r="D439" t="s">
        <v>2634</v>
      </c>
      <c r="E439" s="2">
        <v>42072</v>
      </c>
      <c r="F439">
        <v>10</v>
      </c>
      <c r="G439">
        <v>1</v>
      </c>
      <c r="H439" t="s">
        <v>3214</v>
      </c>
      <c r="I439">
        <v>10</v>
      </c>
    </row>
    <row r="440" spans="2:9" x14ac:dyDescent="0.3">
      <c r="B440" t="s">
        <v>430</v>
      </c>
      <c r="C440" t="s">
        <v>1685</v>
      </c>
      <c r="D440" t="s">
        <v>2634</v>
      </c>
      <c r="E440" s="2">
        <v>39143</v>
      </c>
      <c r="F440">
        <v>10</v>
      </c>
      <c r="G440">
        <v>1</v>
      </c>
      <c r="H440" t="s">
        <v>3215</v>
      </c>
      <c r="I440">
        <v>10</v>
      </c>
    </row>
    <row r="441" spans="2:9" x14ac:dyDescent="0.3">
      <c r="B441" t="s">
        <v>431</v>
      </c>
      <c r="C441" t="s">
        <v>1686</v>
      </c>
      <c r="D441" t="s">
        <v>2657</v>
      </c>
      <c r="E441" s="2">
        <v>38814</v>
      </c>
      <c r="F441">
        <v>5</v>
      </c>
      <c r="G441">
        <v>1</v>
      </c>
      <c r="H441" t="s">
        <v>3216</v>
      </c>
      <c r="I441">
        <v>5</v>
      </c>
    </row>
    <row r="442" spans="2:9" x14ac:dyDescent="0.3">
      <c r="B442" t="s">
        <v>431</v>
      </c>
      <c r="C442" t="s">
        <v>1686</v>
      </c>
      <c r="D442" t="s">
        <v>2634</v>
      </c>
      <c r="E442" s="2">
        <v>38814</v>
      </c>
      <c r="F442">
        <v>5</v>
      </c>
      <c r="G442">
        <v>1</v>
      </c>
      <c r="H442" t="s">
        <v>3216</v>
      </c>
      <c r="I442">
        <v>5</v>
      </c>
    </row>
    <row r="443" spans="2:9" x14ac:dyDescent="0.3">
      <c r="B443" t="s">
        <v>432</v>
      </c>
      <c r="C443" t="s">
        <v>1687</v>
      </c>
      <c r="D443" t="s">
        <v>2634</v>
      </c>
      <c r="E443" s="2">
        <v>37712</v>
      </c>
      <c r="F443">
        <v>10</v>
      </c>
      <c r="G443">
        <v>1</v>
      </c>
      <c r="H443" t="s">
        <v>3217</v>
      </c>
      <c r="I443">
        <v>10</v>
      </c>
    </row>
    <row r="444" spans="2:9" x14ac:dyDescent="0.3">
      <c r="B444" t="s">
        <v>433</v>
      </c>
      <c r="C444" t="s">
        <v>1688</v>
      </c>
      <c r="D444" t="s">
        <v>2634</v>
      </c>
      <c r="E444" s="2">
        <v>39175</v>
      </c>
      <c r="F444">
        <v>10</v>
      </c>
      <c r="G444">
        <v>1</v>
      </c>
      <c r="H444" t="s">
        <v>3218</v>
      </c>
      <c r="I444">
        <v>10</v>
      </c>
    </row>
    <row r="445" spans="2:9" x14ac:dyDescent="0.3">
      <c r="B445" t="s">
        <v>434</v>
      </c>
      <c r="C445" t="s">
        <v>1689</v>
      </c>
      <c r="D445" t="s">
        <v>2634</v>
      </c>
      <c r="E445" s="2">
        <v>39000</v>
      </c>
      <c r="F445">
        <v>2</v>
      </c>
      <c r="G445">
        <v>1</v>
      </c>
      <c r="H445" t="s">
        <v>3219</v>
      </c>
      <c r="I445">
        <v>2</v>
      </c>
    </row>
    <row r="446" spans="2:9" x14ac:dyDescent="0.3">
      <c r="B446" t="s">
        <v>435</v>
      </c>
      <c r="C446" t="s">
        <v>1690</v>
      </c>
      <c r="D446" t="s">
        <v>2634</v>
      </c>
      <c r="E446" s="2">
        <v>40777</v>
      </c>
      <c r="F446">
        <v>2</v>
      </c>
      <c r="G446">
        <v>1</v>
      </c>
      <c r="H446" t="s">
        <v>3220</v>
      </c>
      <c r="I446">
        <v>2</v>
      </c>
    </row>
    <row r="447" spans="2:9" x14ac:dyDescent="0.3">
      <c r="B447" t="s">
        <v>436</v>
      </c>
      <c r="C447" t="s">
        <v>1691</v>
      </c>
      <c r="D447" t="s">
        <v>2634</v>
      </c>
      <c r="E447" s="2">
        <v>38442</v>
      </c>
      <c r="F447">
        <v>10</v>
      </c>
      <c r="G447">
        <v>1</v>
      </c>
      <c r="H447" t="s">
        <v>3221</v>
      </c>
      <c r="I447">
        <v>10</v>
      </c>
    </row>
    <row r="448" spans="2:9" x14ac:dyDescent="0.3">
      <c r="B448" t="s">
        <v>437</v>
      </c>
      <c r="C448" t="s">
        <v>1692</v>
      </c>
      <c r="D448" t="s">
        <v>2634</v>
      </c>
      <c r="E448" s="2">
        <v>38994</v>
      </c>
      <c r="F448">
        <v>10</v>
      </c>
      <c r="G448">
        <v>1</v>
      </c>
      <c r="H448" t="s">
        <v>3222</v>
      </c>
      <c r="I448">
        <v>10</v>
      </c>
    </row>
    <row r="449" spans="2:9" x14ac:dyDescent="0.3">
      <c r="B449" t="s">
        <v>438</v>
      </c>
      <c r="C449" t="s">
        <v>1693</v>
      </c>
      <c r="D449" t="s">
        <v>2662</v>
      </c>
      <c r="E449" s="2">
        <v>39100</v>
      </c>
      <c r="F449">
        <v>1</v>
      </c>
      <c r="G449">
        <v>1</v>
      </c>
      <c r="H449" t="s">
        <v>3223</v>
      </c>
      <c r="I449">
        <v>1</v>
      </c>
    </row>
    <row r="450" spans="2:9" x14ac:dyDescent="0.3">
      <c r="B450" t="s">
        <v>439</v>
      </c>
      <c r="C450" t="s">
        <v>1694</v>
      </c>
      <c r="D450" t="s">
        <v>2634</v>
      </c>
      <c r="E450" s="2">
        <v>37644</v>
      </c>
      <c r="F450">
        <v>5</v>
      </c>
      <c r="G450">
        <v>1</v>
      </c>
      <c r="H450" t="s">
        <v>3224</v>
      </c>
      <c r="I450">
        <v>5</v>
      </c>
    </row>
    <row r="451" spans="2:9" x14ac:dyDescent="0.3">
      <c r="B451" t="s">
        <v>3225</v>
      </c>
      <c r="C451" t="s">
        <v>3226</v>
      </c>
      <c r="D451" t="s">
        <v>2634</v>
      </c>
      <c r="E451" s="2">
        <v>42051</v>
      </c>
      <c r="F451">
        <v>1</v>
      </c>
      <c r="G451">
        <v>1</v>
      </c>
      <c r="H451" t="s">
        <v>3227</v>
      </c>
      <c r="I451">
        <v>1</v>
      </c>
    </row>
    <row r="452" spans="2:9" x14ac:dyDescent="0.3">
      <c r="B452" t="s">
        <v>440</v>
      </c>
      <c r="C452" t="s">
        <v>1695</v>
      </c>
      <c r="D452" t="s">
        <v>2634</v>
      </c>
      <c r="E452" s="2">
        <v>38541</v>
      </c>
      <c r="F452">
        <v>1</v>
      </c>
      <c r="G452">
        <v>1</v>
      </c>
      <c r="H452" t="s">
        <v>3228</v>
      </c>
      <c r="I452">
        <v>1</v>
      </c>
    </row>
    <row r="453" spans="2:9" x14ac:dyDescent="0.3">
      <c r="B453" t="s">
        <v>3229</v>
      </c>
      <c r="C453" t="s">
        <v>3230</v>
      </c>
      <c r="D453" t="s">
        <v>2634</v>
      </c>
      <c r="E453" s="2">
        <v>38534</v>
      </c>
      <c r="F453">
        <v>1</v>
      </c>
      <c r="G453">
        <v>1</v>
      </c>
      <c r="H453" t="s">
        <v>3231</v>
      </c>
      <c r="I453">
        <v>1</v>
      </c>
    </row>
    <row r="454" spans="2:9" x14ac:dyDescent="0.3">
      <c r="B454" t="s">
        <v>3232</v>
      </c>
      <c r="C454" t="s">
        <v>3233</v>
      </c>
      <c r="D454" t="s">
        <v>2634</v>
      </c>
      <c r="E454" s="2">
        <v>36635</v>
      </c>
      <c r="F454">
        <v>10</v>
      </c>
      <c r="G454">
        <v>1</v>
      </c>
      <c r="H454" t="s">
        <v>3234</v>
      </c>
      <c r="I454">
        <v>10</v>
      </c>
    </row>
    <row r="455" spans="2:9" x14ac:dyDescent="0.3">
      <c r="B455" t="s">
        <v>46</v>
      </c>
      <c r="C455" t="s">
        <v>1696</v>
      </c>
      <c r="D455" t="s">
        <v>2634</v>
      </c>
      <c r="E455" s="2">
        <v>39048</v>
      </c>
      <c r="F455">
        <v>10</v>
      </c>
      <c r="G455">
        <v>1</v>
      </c>
      <c r="H455" t="s">
        <v>3235</v>
      </c>
      <c r="I455">
        <v>10</v>
      </c>
    </row>
    <row r="456" spans="2:9" x14ac:dyDescent="0.3">
      <c r="B456" t="s">
        <v>3236</v>
      </c>
      <c r="C456" t="s">
        <v>3237</v>
      </c>
      <c r="D456" t="s">
        <v>2634</v>
      </c>
      <c r="E456" s="2">
        <v>39629</v>
      </c>
      <c r="F456">
        <v>2</v>
      </c>
      <c r="G456">
        <v>1</v>
      </c>
      <c r="H456" t="s">
        <v>3238</v>
      </c>
      <c r="I456">
        <v>2</v>
      </c>
    </row>
    <row r="457" spans="2:9" x14ac:dyDescent="0.3">
      <c r="B457" t="s">
        <v>441</v>
      </c>
      <c r="C457" t="s">
        <v>1697</v>
      </c>
      <c r="D457" t="s">
        <v>2634</v>
      </c>
      <c r="E457" s="2">
        <v>37833</v>
      </c>
      <c r="F457">
        <v>10</v>
      </c>
      <c r="G457">
        <v>1</v>
      </c>
      <c r="H457" t="s">
        <v>3239</v>
      </c>
      <c r="I457">
        <v>10</v>
      </c>
    </row>
    <row r="458" spans="2:9" x14ac:dyDescent="0.3">
      <c r="B458" t="s">
        <v>442</v>
      </c>
      <c r="C458" t="s">
        <v>1698</v>
      </c>
      <c r="D458" t="s">
        <v>2634</v>
      </c>
      <c r="E458" s="2">
        <v>35193</v>
      </c>
      <c r="F458">
        <v>10</v>
      </c>
      <c r="G458">
        <v>1</v>
      </c>
      <c r="H458" t="s">
        <v>3240</v>
      </c>
      <c r="I458">
        <v>10</v>
      </c>
    </row>
    <row r="459" spans="2:9" x14ac:dyDescent="0.3">
      <c r="B459" t="s">
        <v>443</v>
      </c>
      <c r="C459" t="s">
        <v>1699</v>
      </c>
      <c r="D459" t="s">
        <v>2634</v>
      </c>
      <c r="E459" s="2">
        <v>40161</v>
      </c>
      <c r="F459">
        <v>10</v>
      </c>
      <c r="G459">
        <v>1</v>
      </c>
      <c r="H459" t="s">
        <v>3241</v>
      </c>
      <c r="I459">
        <v>10</v>
      </c>
    </row>
    <row r="460" spans="2:9" x14ac:dyDescent="0.3">
      <c r="B460" t="s">
        <v>444</v>
      </c>
      <c r="C460" t="s">
        <v>1700</v>
      </c>
      <c r="D460" t="s">
        <v>2634</v>
      </c>
      <c r="E460" s="2">
        <v>37832</v>
      </c>
      <c r="F460">
        <v>10</v>
      </c>
      <c r="G460">
        <v>1</v>
      </c>
      <c r="H460" t="s">
        <v>3242</v>
      </c>
      <c r="I460">
        <v>10</v>
      </c>
    </row>
    <row r="461" spans="2:9" x14ac:dyDescent="0.3">
      <c r="B461" t="s">
        <v>445</v>
      </c>
      <c r="C461" t="s">
        <v>1701</v>
      </c>
      <c r="D461" t="s">
        <v>2634</v>
      </c>
      <c r="E461" s="2">
        <v>34829</v>
      </c>
      <c r="F461">
        <v>10</v>
      </c>
      <c r="G461">
        <v>1</v>
      </c>
      <c r="H461" t="s">
        <v>3243</v>
      </c>
      <c r="I461">
        <v>10</v>
      </c>
    </row>
    <row r="462" spans="2:9" x14ac:dyDescent="0.3">
      <c r="B462" t="s">
        <v>446</v>
      </c>
      <c r="C462" t="s">
        <v>1702</v>
      </c>
      <c r="D462" t="s">
        <v>2634</v>
      </c>
      <c r="E462" s="2">
        <v>34738</v>
      </c>
      <c r="F462">
        <v>10</v>
      </c>
      <c r="G462">
        <v>1</v>
      </c>
      <c r="H462" t="s">
        <v>3244</v>
      </c>
      <c r="I462">
        <v>10</v>
      </c>
    </row>
    <row r="463" spans="2:9" x14ac:dyDescent="0.3">
      <c r="B463" t="s">
        <v>1287</v>
      </c>
      <c r="C463" t="s">
        <v>1703</v>
      </c>
      <c r="D463" t="s">
        <v>2662</v>
      </c>
      <c r="E463" s="2">
        <v>39843</v>
      </c>
      <c r="F463">
        <v>10</v>
      </c>
      <c r="G463">
        <v>1</v>
      </c>
      <c r="H463" t="s">
        <v>3245</v>
      </c>
      <c r="I463">
        <v>10</v>
      </c>
    </row>
    <row r="464" spans="2:9" x14ac:dyDescent="0.3">
      <c r="B464" t="s">
        <v>447</v>
      </c>
      <c r="C464" t="s">
        <v>1704</v>
      </c>
      <c r="D464" t="s">
        <v>2634</v>
      </c>
      <c r="E464" s="2">
        <v>38786</v>
      </c>
      <c r="F464">
        <v>10</v>
      </c>
      <c r="G464">
        <v>1</v>
      </c>
      <c r="H464" t="s">
        <v>3246</v>
      </c>
      <c r="I464">
        <v>10</v>
      </c>
    </row>
    <row r="465" spans="2:9" x14ac:dyDescent="0.3">
      <c r="B465" t="s">
        <v>448</v>
      </c>
      <c r="C465" t="s">
        <v>1705</v>
      </c>
      <c r="D465" t="s">
        <v>2634</v>
      </c>
      <c r="E465" s="2">
        <v>40014</v>
      </c>
      <c r="F465">
        <v>10</v>
      </c>
      <c r="G465">
        <v>1</v>
      </c>
      <c r="H465" t="s">
        <v>3247</v>
      </c>
      <c r="I465">
        <v>10</v>
      </c>
    </row>
    <row r="466" spans="2:9" x14ac:dyDescent="0.3">
      <c r="B466" t="s">
        <v>449</v>
      </c>
      <c r="C466" t="s">
        <v>1706</v>
      </c>
      <c r="D466" t="s">
        <v>2634</v>
      </c>
      <c r="E466" s="2">
        <v>36875</v>
      </c>
      <c r="F466">
        <v>10</v>
      </c>
      <c r="G466">
        <v>1</v>
      </c>
      <c r="H466" t="s">
        <v>3248</v>
      </c>
      <c r="I466">
        <v>10</v>
      </c>
    </row>
    <row r="467" spans="2:9" x14ac:dyDescent="0.3">
      <c r="B467" t="s">
        <v>44</v>
      </c>
      <c r="C467" t="s">
        <v>1707</v>
      </c>
      <c r="D467" t="s">
        <v>2634</v>
      </c>
      <c r="E467" s="2">
        <v>36563</v>
      </c>
      <c r="F467">
        <v>1</v>
      </c>
      <c r="G467">
        <v>1</v>
      </c>
      <c r="H467" t="s">
        <v>3249</v>
      </c>
      <c r="I467">
        <v>1</v>
      </c>
    </row>
    <row r="468" spans="2:9" x14ac:dyDescent="0.3">
      <c r="B468" t="s">
        <v>1288</v>
      </c>
      <c r="C468" t="s">
        <v>1708</v>
      </c>
      <c r="D468" t="s">
        <v>2662</v>
      </c>
      <c r="E468" s="2">
        <v>36719</v>
      </c>
      <c r="F468">
        <v>10</v>
      </c>
      <c r="G468">
        <v>1</v>
      </c>
      <c r="H468" t="s">
        <v>3250</v>
      </c>
      <c r="I468">
        <v>10</v>
      </c>
    </row>
    <row r="469" spans="2:9" x14ac:dyDescent="0.3">
      <c r="B469" t="s">
        <v>450</v>
      </c>
      <c r="C469" t="s">
        <v>1709</v>
      </c>
      <c r="D469" t="s">
        <v>2634</v>
      </c>
      <c r="E469" s="2">
        <v>39017</v>
      </c>
      <c r="F469">
        <v>10</v>
      </c>
      <c r="G469">
        <v>1</v>
      </c>
      <c r="H469" t="s">
        <v>3251</v>
      </c>
      <c r="I469">
        <v>10</v>
      </c>
    </row>
    <row r="470" spans="2:9" x14ac:dyDescent="0.3">
      <c r="B470" t="s">
        <v>451</v>
      </c>
      <c r="C470" t="s">
        <v>1710</v>
      </c>
      <c r="D470" t="s">
        <v>2634</v>
      </c>
      <c r="E470" s="2">
        <v>39205</v>
      </c>
      <c r="F470">
        <v>10</v>
      </c>
      <c r="G470">
        <v>1</v>
      </c>
      <c r="H470" t="s">
        <v>3252</v>
      </c>
      <c r="I470">
        <v>10</v>
      </c>
    </row>
    <row r="471" spans="2:9" x14ac:dyDescent="0.3">
      <c r="B471" t="s">
        <v>452</v>
      </c>
      <c r="C471" t="s">
        <v>1711</v>
      </c>
      <c r="D471" t="s">
        <v>2634</v>
      </c>
      <c r="E471" s="2">
        <v>40079</v>
      </c>
      <c r="F471">
        <v>10</v>
      </c>
      <c r="G471">
        <v>1</v>
      </c>
      <c r="H471" t="s">
        <v>3253</v>
      </c>
      <c r="I471">
        <v>10</v>
      </c>
    </row>
    <row r="472" spans="2:9" x14ac:dyDescent="0.3">
      <c r="B472" t="s">
        <v>453</v>
      </c>
      <c r="C472" t="s">
        <v>1712</v>
      </c>
      <c r="D472" t="s">
        <v>2634</v>
      </c>
      <c r="E472" s="2">
        <v>34934</v>
      </c>
      <c r="F472">
        <v>10</v>
      </c>
      <c r="G472">
        <v>1</v>
      </c>
      <c r="H472" t="s">
        <v>3254</v>
      </c>
      <c r="I472">
        <v>10</v>
      </c>
    </row>
    <row r="473" spans="2:9" x14ac:dyDescent="0.3">
      <c r="B473" t="s">
        <v>454</v>
      </c>
      <c r="C473" t="s">
        <v>1713</v>
      </c>
      <c r="D473" t="s">
        <v>2634</v>
      </c>
      <c r="E473" s="2">
        <v>35781</v>
      </c>
      <c r="F473">
        <v>2</v>
      </c>
      <c r="G473">
        <v>1</v>
      </c>
      <c r="H473" t="s">
        <v>3255</v>
      </c>
      <c r="I473">
        <v>2</v>
      </c>
    </row>
    <row r="474" spans="2:9" x14ac:dyDescent="0.3">
      <c r="B474" t="s">
        <v>42</v>
      </c>
      <c r="C474" t="s">
        <v>1714</v>
      </c>
      <c r="D474" t="s">
        <v>2634</v>
      </c>
      <c r="E474" s="2">
        <v>38950</v>
      </c>
      <c r="F474">
        <v>1</v>
      </c>
      <c r="G474">
        <v>1</v>
      </c>
      <c r="H474" t="s">
        <v>3256</v>
      </c>
      <c r="I474">
        <v>1</v>
      </c>
    </row>
    <row r="475" spans="2:9" x14ac:dyDescent="0.3">
      <c r="B475" t="s">
        <v>3257</v>
      </c>
      <c r="C475" t="s">
        <v>3258</v>
      </c>
      <c r="D475" t="s">
        <v>2634</v>
      </c>
      <c r="E475" s="2">
        <v>42639</v>
      </c>
      <c r="F475">
        <v>10</v>
      </c>
      <c r="G475">
        <v>1</v>
      </c>
      <c r="H475" t="s">
        <v>3259</v>
      </c>
      <c r="I475">
        <v>10</v>
      </c>
    </row>
    <row r="476" spans="2:9" x14ac:dyDescent="0.3">
      <c r="B476" t="s">
        <v>455</v>
      </c>
      <c r="C476" t="s">
        <v>1715</v>
      </c>
      <c r="D476" t="s">
        <v>2634</v>
      </c>
      <c r="E476" s="2">
        <v>34836</v>
      </c>
      <c r="F476">
        <v>10</v>
      </c>
      <c r="G476">
        <v>1</v>
      </c>
      <c r="H476" t="s">
        <v>3260</v>
      </c>
      <c r="I476">
        <v>10</v>
      </c>
    </row>
    <row r="477" spans="2:9" x14ac:dyDescent="0.3">
      <c r="B477" t="s">
        <v>456</v>
      </c>
      <c r="C477" t="s">
        <v>1716</v>
      </c>
      <c r="D477" t="s">
        <v>2634</v>
      </c>
      <c r="E477" s="2">
        <v>39238</v>
      </c>
      <c r="F477">
        <v>10</v>
      </c>
      <c r="G477">
        <v>1</v>
      </c>
      <c r="H477" t="s">
        <v>3261</v>
      </c>
      <c r="I477">
        <v>10</v>
      </c>
    </row>
    <row r="478" spans="2:9" x14ac:dyDescent="0.3">
      <c r="B478" t="s">
        <v>3262</v>
      </c>
      <c r="C478" t="s">
        <v>3263</v>
      </c>
      <c r="D478" t="s">
        <v>2634</v>
      </c>
      <c r="E478" s="2">
        <v>41816</v>
      </c>
      <c r="F478">
        <v>2</v>
      </c>
      <c r="G478">
        <v>1</v>
      </c>
      <c r="H478" t="s">
        <v>3264</v>
      </c>
      <c r="I478">
        <v>2</v>
      </c>
    </row>
    <row r="479" spans="2:9" x14ac:dyDescent="0.3">
      <c r="B479" t="s">
        <v>457</v>
      </c>
      <c r="C479" t="s">
        <v>1717</v>
      </c>
      <c r="D479" t="s">
        <v>2634</v>
      </c>
      <c r="E479" s="2">
        <v>35270</v>
      </c>
      <c r="F479">
        <v>2</v>
      </c>
      <c r="G479">
        <v>1</v>
      </c>
      <c r="H479" t="s">
        <v>3265</v>
      </c>
      <c r="I479">
        <v>2</v>
      </c>
    </row>
    <row r="480" spans="2:9" x14ac:dyDescent="0.3">
      <c r="B480" t="s">
        <v>458</v>
      </c>
      <c r="C480" t="s">
        <v>1718</v>
      </c>
      <c r="D480" t="s">
        <v>2634</v>
      </c>
      <c r="E480" s="2">
        <v>37062</v>
      </c>
      <c r="F480">
        <v>1</v>
      </c>
      <c r="G480">
        <v>1</v>
      </c>
      <c r="H480" t="s">
        <v>3266</v>
      </c>
      <c r="I480">
        <v>1</v>
      </c>
    </row>
    <row r="481" spans="2:9" x14ac:dyDescent="0.3">
      <c r="B481" t="s">
        <v>45</v>
      </c>
      <c r="C481" t="s">
        <v>1719</v>
      </c>
      <c r="D481" t="s">
        <v>2634</v>
      </c>
      <c r="E481" s="2">
        <v>37677</v>
      </c>
      <c r="F481">
        <v>1</v>
      </c>
      <c r="G481">
        <v>1</v>
      </c>
      <c r="H481" t="s">
        <v>3267</v>
      </c>
      <c r="I481">
        <v>1</v>
      </c>
    </row>
    <row r="482" spans="2:9" x14ac:dyDescent="0.3">
      <c r="B482" t="s">
        <v>459</v>
      </c>
      <c r="C482" t="s">
        <v>1720</v>
      </c>
      <c r="D482" t="s">
        <v>2634</v>
      </c>
      <c r="E482" s="2">
        <v>40183</v>
      </c>
      <c r="F482">
        <v>5</v>
      </c>
      <c r="G482">
        <v>1</v>
      </c>
      <c r="H482" t="s">
        <v>3268</v>
      </c>
      <c r="I482">
        <v>5</v>
      </c>
    </row>
    <row r="483" spans="2:9" x14ac:dyDescent="0.3">
      <c r="B483" t="s">
        <v>460</v>
      </c>
      <c r="C483" t="s">
        <v>1721</v>
      </c>
      <c r="D483" t="s">
        <v>2657</v>
      </c>
      <c r="E483" s="2">
        <v>40284</v>
      </c>
      <c r="F483">
        <v>1</v>
      </c>
      <c r="G483">
        <v>1</v>
      </c>
      <c r="H483" t="s">
        <v>3269</v>
      </c>
      <c r="I483">
        <v>1</v>
      </c>
    </row>
    <row r="484" spans="2:9" x14ac:dyDescent="0.3">
      <c r="B484" t="s">
        <v>461</v>
      </c>
      <c r="C484" t="s">
        <v>1722</v>
      </c>
      <c r="D484" t="s">
        <v>2662</v>
      </c>
      <c r="E484" s="2">
        <v>38469</v>
      </c>
      <c r="F484">
        <v>5</v>
      </c>
      <c r="G484">
        <v>1</v>
      </c>
      <c r="H484" t="s">
        <v>3270</v>
      </c>
      <c r="I484">
        <v>5</v>
      </c>
    </row>
    <row r="485" spans="2:9" x14ac:dyDescent="0.3">
      <c r="B485" t="s">
        <v>462</v>
      </c>
      <c r="C485" t="s">
        <v>1723</v>
      </c>
      <c r="D485" t="s">
        <v>2634</v>
      </c>
      <c r="E485" s="2">
        <v>39603</v>
      </c>
      <c r="F485">
        <v>2</v>
      </c>
      <c r="G485">
        <v>1</v>
      </c>
      <c r="H485" t="s">
        <v>3271</v>
      </c>
      <c r="I485">
        <v>2</v>
      </c>
    </row>
    <row r="486" spans="2:9" x14ac:dyDescent="0.3">
      <c r="B486" t="s">
        <v>3272</v>
      </c>
      <c r="C486" t="s">
        <v>3273</v>
      </c>
      <c r="D486" t="s">
        <v>2634</v>
      </c>
      <c r="E486" s="2">
        <v>42440</v>
      </c>
      <c r="F486">
        <v>2</v>
      </c>
      <c r="G486">
        <v>1</v>
      </c>
      <c r="H486" t="s">
        <v>3274</v>
      </c>
      <c r="I486">
        <v>2</v>
      </c>
    </row>
    <row r="487" spans="2:9" x14ac:dyDescent="0.3">
      <c r="B487" t="s">
        <v>463</v>
      </c>
      <c r="C487" t="s">
        <v>1724</v>
      </c>
      <c r="D487" t="s">
        <v>2662</v>
      </c>
      <c r="E487" s="2">
        <v>36789</v>
      </c>
      <c r="F487">
        <v>10</v>
      </c>
      <c r="G487">
        <v>1</v>
      </c>
      <c r="H487" t="s">
        <v>3275</v>
      </c>
      <c r="I487">
        <v>10</v>
      </c>
    </row>
    <row r="488" spans="2:9" x14ac:dyDescent="0.3">
      <c r="B488" t="s">
        <v>464</v>
      </c>
      <c r="C488" t="s">
        <v>1725</v>
      </c>
      <c r="D488" t="s">
        <v>2634</v>
      </c>
      <c r="E488" s="2">
        <v>38593</v>
      </c>
      <c r="F488">
        <v>10</v>
      </c>
      <c r="G488">
        <v>1</v>
      </c>
      <c r="H488" t="s">
        <v>3276</v>
      </c>
      <c r="I488">
        <v>10</v>
      </c>
    </row>
    <row r="489" spans="2:9" x14ac:dyDescent="0.3">
      <c r="B489" t="s">
        <v>465</v>
      </c>
      <c r="C489" t="s">
        <v>1726</v>
      </c>
      <c r="D489" t="s">
        <v>2662</v>
      </c>
      <c r="E489" s="2">
        <v>37335</v>
      </c>
      <c r="F489">
        <v>4</v>
      </c>
      <c r="G489">
        <v>1</v>
      </c>
      <c r="H489" t="s">
        <v>3277</v>
      </c>
      <c r="I489">
        <v>4</v>
      </c>
    </row>
    <row r="490" spans="2:9" x14ac:dyDescent="0.3">
      <c r="B490" t="s">
        <v>466</v>
      </c>
      <c r="C490" t="s">
        <v>1727</v>
      </c>
      <c r="D490" t="s">
        <v>2662</v>
      </c>
      <c r="E490" s="2">
        <v>36992</v>
      </c>
      <c r="F490">
        <v>10</v>
      </c>
      <c r="G490">
        <v>1</v>
      </c>
      <c r="H490" t="s">
        <v>3278</v>
      </c>
      <c r="I490">
        <v>10</v>
      </c>
    </row>
    <row r="491" spans="2:9" x14ac:dyDescent="0.3">
      <c r="B491" t="s">
        <v>3279</v>
      </c>
      <c r="C491" t="s">
        <v>3280</v>
      </c>
      <c r="D491" t="s">
        <v>2634</v>
      </c>
      <c r="E491" s="2">
        <v>42012</v>
      </c>
      <c r="F491">
        <v>2</v>
      </c>
      <c r="G491">
        <v>1</v>
      </c>
      <c r="H491" t="s">
        <v>3281</v>
      </c>
      <c r="I491">
        <v>2</v>
      </c>
    </row>
    <row r="492" spans="2:9" x14ac:dyDescent="0.3">
      <c r="B492" t="s">
        <v>467</v>
      </c>
      <c r="C492" t="s">
        <v>1728</v>
      </c>
      <c r="D492" t="s">
        <v>2634</v>
      </c>
      <c r="E492" s="2">
        <v>38832</v>
      </c>
      <c r="F492">
        <v>10</v>
      </c>
      <c r="G492">
        <v>1</v>
      </c>
      <c r="H492" t="s">
        <v>3282</v>
      </c>
      <c r="I492">
        <v>10</v>
      </c>
    </row>
    <row r="493" spans="2:9" x14ac:dyDescent="0.3">
      <c r="B493" t="s">
        <v>468</v>
      </c>
      <c r="C493" t="s">
        <v>1729</v>
      </c>
      <c r="D493" t="s">
        <v>2634</v>
      </c>
      <c r="E493" s="2">
        <v>40430</v>
      </c>
      <c r="F493">
        <v>10</v>
      </c>
      <c r="G493">
        <v>1</v>
      </c>
      <c r="H493" t="s">
        <v>3283</v>
      </c>
      <c r="I493">
        <v>10</v>
      </c>
    </row>
    <row r="494" spans="2:9" x14ac:dyDescent="0.3">
      <c r="B494" t="s">
        <v>3284</v>
      </c>
      <c r="C494" t="s">
        <v>3285</v>
      </c>
      <c r="D494" t="s">
        <v>2634</v>
      </c>
      <c r="E494" s="2">
        <v>42562</v>
      </c>
      <c r="F494">
        <v>10</v>
      </c>
      <c r="G494">
        <v>1</v>
      </c>
      <c r="H494" t="s">
        <v>3286</v>
      </c>
      <c r="I494">
        <v>10</v>
      </c>
    </row>
    <row r="495" spans="2:9" x14ac:dyDescent="0.3">
      <c r="B495" t="s">
        <v>469</v>
      </c>
      <c r="C495" t="s">
        <v>1730</v>
      </c>
      <c r="D495" t="s">
        <v>2634</v>
      </c>
      <c r="E495" s="2">
        <v>38523</v>
      </c>
      <c r="F495">
        <v>1</v>
      </c>
      <c r="G495">
        <v>1</v>
      </c>
      <c r="H495" t="s">
        <v>3287</v>
      </c>
      <c r="I495">
        <v>1</v>
      </c>
    </row>
    <row r="496" spans="2:9" x14ac:dyDescent="0.3">
      <c r="B496" t="s">
        <v>470</v>
      </c>
      <c r="C496" t="s">
        <v>1731</v>
      </c>
      <c r="D496" t="s">
        <v>2634</v>
      </c>
      <c r="E496" s="2">
        <v>37659</v>
      </c>
      <c r="F496">
        <v>2</v>
      </c>
      <c r="G496">
        <v>1</v>
      </c>
      <c r="H496" t="s">
        <v>3288</v>
      </c>
      <c r="I496">
        <v>2</v>
      </c>
    </row>
    <row r="497" spans="2:9" x14ac:dyDescent="0.3">
      <c r="B497" t="s">
        <v>471</v>
      </c>
      <c r="C497" t="s">
        <v>1732</v>
      </c>
      <c r="D497" t="s">
        <v>2634</v>
      </c>
      <c r="E497" s="2">
        <v>34829</v>
      </c>
      <c r="F497">
        <v>2</v>
      </c>
      <c r="G497">
        <v>1</v>
      </c>
      <c r="H497" t="s">
        <v>3289</v>
      </c>
      <c r="I497">
        <v>2</v>
      </c>
    </row>
    <row r="498" spans="2:9" x14ac:dyDescent="0.3">
      <c r="B498" t="s">
        <v>472</v>
      </c>
      <c r="C498" t="s">
        <v>1733</v>
      </c>
      <c r="D498" t="s">
        <v>2634</v>
      </c>
      <c r="E498" s="2">
        <v>40498</v>
      </c>
      <c r="F498">
        <v>2</v>
      </c>
      <c r="G498">
        <v>1</v>
      </c>
      <c r="H498" t="s">
        <v>3290</v>
      </c>
      <c r="I498">
        <v>2</v>
      </c>
    </row>
    <row r="499" spans="2:9" x14ac:dyDescent="0.3">
      <c r="B499" t="s">
        <v>473</v>
      </c>
      <c r="C499" t="s">
        <v>1734</v>
      </c>
      <c r="D499" t="s">
        <v>2634</v>
      </c>
      <c r="E499" s="2">
        <v>38239</v>
      </c>
      <c r="F499">
        <v>2</v>
      </c>
      <c r="G499">
        <v>1</v>
      </c>
      <c r="H499" t="s">
        <v>3291</v>
      </c>
      <c r="I499">
        <v>2</v>
      </c>
    </row>
    <row r="500" spans="2:9" x14ac:dyDescent="0.3">
      <c r="B500" t="s">
        <v>1289</v>
      </c>
      <c r="C500" t="s">
        <v>1735</v>
      </c>
      <c r="D500" t="s">
        <v>2662</v>
      </c>
      <c r="E500" s="2">
        <v>41198</v>
      </c>
      <c r="F500">
        <v>1</v>
      </c>
      <c r="G500">
        <v>1</v>
      </c>
      <c r="H500" t="s">
        <v>3292</v>
      </c>
      <c r="I500">
        <v>1</v>
      </c>
    </row>
    <row r="501" spans="2:9" x14ac:dyDescent="0.3">
      <c r="B501" t="s">
        <v>3293</v>
      </c>
      <c r="C501" t="s">
        <v>3294</v>
      </c>
      <c r="D501" t="s">
        <v>2634</v>
      </c>
      <c r="E501" s="2">
        <v>42065</v>
      </c>
      <c r="F501">
        <v>5</v>
      </c>
      <c r="G501">
        <v>1</v>
      </c>
      <c r="H501" t="s">
        <v>3295</v>
      </c>
      <c r="I501">
        <v>5</v>
      </c>
    </row>
    <row r="502" spans="2:9" x14ac:dyDescent="0.3">
      <c r="B502" t="s">
        <v>474</v>
      </c>
      <c r="C502" t="s">
        <v>1736</v>
      </c>
      <c r="D502" t="s">
        <v>2634</v>
      </c>
      <c r="E502" s="2">
        <v>35130</v>
      </c>
      <c r="F502">
        <v>1</v>
      </c>
      <c r="G502">
        <v>1</v>
      </c>
      <c r="H502" t="s">
        <v>3296</v>
      </c>
      <c r="I502">
        <v>1</v>
      </c>
    </row>
    <row r="503" spans="2:9" x14ac:dyDescent="0.3">
      <c r="B503" t="s">
        <v>475</v>
      </c>
      <c r="C503" t="s">
        <v>1737</v>
      </c>
      <c r="D503" t="s">
        <v>2634</v>
      </c>
      <c r="E503" s="2">
        <v>40459</v>
      </c>
      <c r="F503">
        <v>10</v>
      </c>
      <c r="G503">
        <v>1</v>
      </c>
      <c r="H503" t="s">
        <v>3297</v>
      </c>
      <c r="I503">
        <v>10</v>
      </c>
    </row>
    <row r="504" spans="2:9" x14ac:dyDescent="0.3">
      <c r="B504" t="s">
        <v>476</v>
      </c>
      <c r="C504" t="s">
        <v>1738</v>
      </c>
      <c r="D504" t="s">
        <v>2634</v>
      </c>
      <c r="E504" s="2">
        <v>38971</v>
      </c>
      <c r="F504">
        <v>5</v>
      </c>
      <c r="G504">
        <v>1</v>
      </c>
      <c r="H504" t="s">
        <v>3298</v>
      </c>
      <c r="I504">
        <v>5</v>
      </c>
    </row>
    <row r="505" spans="2:9" x14ac:dyDescent="0.3">
      <c r="B505" t="s">
        <v>3299</v>
      </c>
      <c r="C505" t="s">
        <v>3300</v>
      </c>
      <c r="D505" t="s">
        <v>2634</v>
      </c>
      <c r="E505" s="2">
        <v>42565</v>
      </c>
      <c r="F505">
        <v>10</v>
      </c>
      <c r="G505">
        <v>1</v>
      </c>
      <c r="H505" t="s">
        <v>3301</v>
      </c>
      <c r="I505">
        <v>10</v>
      </c>
    </row>
    <row r="506" spans="2:9" x14ac:dyDescent="0.3">
      <c r="B506" t="s">
        <v>3302</v>
      </c>
      <c r="C506" t="s">
        <v>3303</v>
      </c>
      <c r="D506" t="s">
        <v>2634</v>
      </c>
      <c r="E506" s="2">
        <v>42047</v>
      </c>
      <c r="F506">
        <v>10</v>
      </c>
      <c r="G506">
        <v>1</v>
      </c>
      <c r="H506" t="s">
        <v>3304</v>
      </c>
      <c r="I506">
        <v>10</v>
      </c>
    </row>
    <row r="507" spans="2:9" x14ac:dyDescent="0.3">
      <c r="B507" t="s">
        <v>477</v>
      </c>
      <c r="C507" t="s">
        <v>1739</v>
      </c>
      <c r="D507" t="s">
        <v>2634</v>
      </c>
      <c r="E507" s="2">
        <v>38240</v>
      </c>
      <c r="F507">
        <v>2</v>
      </c>
      <c r="G507">
        <v>1</v>
      </c>
      <c r="H507" t="s">
        <v>3305</v>
      </c>
      <c r="I507">
        <v>2</v>
      </c>
    </row>
    <row r="508" spans="2:9" x14ac:dyDescent="0.3">
      <c r="B508" t="s">
        <v>478</v>
      </c>
      <c r="C508" t="s">
        <v>3306</v>
      </c>
      <c r="D508" t="s">
        <v>2634</v>
      </c>
      <c r="E508" s="2">
        <v>41409</v>
      </c>
      <c r="F508">
        <v>10</v>
      </c>
      <c r="G508">
        <v>1</v>
      </c>
      <c r="H508" t="s">
        <v>3307</v>
      </c>
      <c r="I508">
        <v>10</v>
      </c>
    </row>
    <row r="509" spans="2:9" x14ac:dyDescent="0.3">
      <c r="B509" t="s">
        <v>479</v>
      </c>
      <c r="C509" t="s">
        <v>1740</v>
      </c>
      <c r="D509" t="s">
        <v>2634</v>
      </c>
      <c r="E509" s="2">
        <v>34948</v>
      </c>
      <c r="F509">
        <v>2</v>
      </c>
      <c r="G509">
        <v>1</v>
      </c>
      <c r="H509" t="s">
        <v>3308</v>
      </c>
      <c r="I509">
        <v>2</v>
      </c>
    </row>
    <row r="510" spans="2:9" x14ac:dyDescent="0.3">
      <c r="B510" t="s">
        <v>479</v>
      </c>
      <c r="C510" t="s">
        <v>1740</v>
      </c>
      <c r="D510" t="s">
        <v>3149</v>
      </c>
      <c r="E510" s="2">
        <v>34948</v>
      </c>
      <c r="F510">
        <v>2</v>
      </c>
      <c r="G510">
        <v>1</v>
      </c>
      <c r="H510" t="s">
        <v>3308</v>
      </c>
      <c r="I510">
        <v>2</v>
      </c>
    </row>
    <row r="511" spans="2:9" x14ac:dyDescent="0.3">
      <c r="B511" t="s">
        <v>43</v>
      </c>
      <c r="C511" t="s">
        <v>1741</v>
      </c>
      <c r="D511" t="s">
        <v>2634</v>
      </c>
      <c r="E511" s="2">
        <v>37788</v>
      </c>
      <c r="F511">
        <v>10</v>
      </c>
      <c r="G511">
        <v>1</v>
      </c>
      <c r="H511" t="s">
        <v>3309</v>
      </c>
      <c r="I511">
        <v>10</v>
      </c>
    </row>
    <row r="512" spans="2:9" x14ac:dyDescent="0.3">
      <c r="B512" t="s">
        <v>47</v>
      </c>
      <c r="C512" t="s">
        <v>1742</v>
      </c>
      <c r="D512" t="s">
        <v>2634</v>
      </c>
      <c r="E512" s="2">
        <v>38764</v>
      </c>
      <c r="F512">
        <v>10</v>
      </c>
      <c r="G512">
        <v>1</v>
      </c>
      <c r="H512" t="s">
        <v>3310</v>
      </c>
      <c r="I512">
        <v>10</v>
      </c>
    </row>
    <row r="513" spans="2:9" x14ac:dyDescent="0.3">
      <c r="B513" t="s">
        <v>480</v>
      </c>
      <c r="C513" t="s">
        <v>1743</v>
      </c>
      <c r="D513" t="s">
        <v>2634</v>
      </c>
      <c r="E513" s="2">
        <v>39514</v>
      </c>
      <c r="F513">
        <v>10</v>
      </c>
      <c r="G513">
        <v>1</v>
      </c>
      <c r="H513" t="s">
        <v>3311</v>
      </c>
      <c r="I513">
        <v>10</v>
      </c>
    </row>
    <row r="514" spans="2:9" x14ac:dyDescent="0.3">
      <c r="B514" t="s">
        <v>481</v>
      </c>
      <c r="C514" t="s">
        <v>1744</v>
      </c>
      <c r="D514" t="s">
        <v>2634</v>
      </c>
      <c r="E514" s="2">
        <v>34787</v>
      </c>
      <c r="F514">
        <v>10</v>
      </c>
      <c r="G514">
        <v>1</v>
      </c>
      <c r="H514" t="s">
        <v>3312</v>
      </c>
      <c r="I514">
        <v>10</v>
      </c>
    </row>
    <row r="515" spans="2:9" x14ac:dyDescent="0.3">
      <c r="B515" t="s">
        <v>482</v>
      </c>
      <c r="C515" t="s">
        <v>1745</v>
      </c>
      <c r="D515" t="s">
        <v>2634</v>
      </c>
      <c r="E515" s="2">
        <v>39030</v>
      </c>
      <c r="F515">
        <v>10</v>
      </c>
      <c r="G515">
        <v>1</v>
      </c>
      <c r="H515" t="s">
        <v>3313</v>
      </c>
      <c r="I515">
        <v>10</v>
      </c>
    </row>
    <row r="516" spans="2:9" x14ac:dyDescent="0.3">
      <c r="B516" t="s">
        <v>483</v>
      </c>
      <c r="C516" t="s">
        <v>1746</v>
      </c>
      <c r="D516" t="s">
        <v>2634</v>
      </c>
      <c r="E516" s="2">
        <v>34913</v>
      </c>
      <c r="F516">
        <v>10</v>
      </c>
      <c r="G516">
        <v>1</v>
      </c>
      <c r="H516" t="s">
        <v>3314</v>
      </c>
      <c r="I516">
        <v>10</v>
      </c>
    </row>
    <row r="517" spans="2:9" x14ac:dyDescent="0.3">
      <c r="B517" t="s">
        <v>484</v>
      </c>
      <c r="C517" t="s">
        <v>1747</v>
      </c>
      <c r="D517" t="s">
        <v>2662</v>
      </c>
      <c r="E517" s="2">
        <v>38855</v>
      </c>
      <c r="F517">
        <v>10</v>
      </c>
      <c r="G517">
        <v>1</v>
      </c>
      <c r="H517" t="s">
        <v>3315</v>
      </c>
      <c r="I517">
        <v>10</v>
      </c>
    </row>
    <row r="518" spans="2:9" x14ac:dyDescent="0.3">
      <c r="B518" t="s">
        <v>485</v>
      </c>
      <c r="C518" t="s">
        <v>1748</v>
      </c>
      <c r="D518" t="s">
        <v>2634</v>
      </c>
      <c r="E518" s="2">
        <v>39072</v>
      </c>
      <c r="F518">
        <v>10</v>
      </c>
      <c r="G518">
        <v>1</v>
      </c>
      <c r="H518" t="s">
        <v>3316</v>
      </c>
      <c r="I518">
        <v>10</v>
      </c>
    </row>
    <row r="519" spans="2:9" x14ac:dyDescent="0.3">
      <c r="B519" t="s">
        <v>486</v>
      </c>
      <c r="C519" t="s">
        <v>1749</v>
      </c>
      <c r="D519" t="s">
        <v>2634</v>
      </c>
      <c r="E519" s="2">
        <v>38279</v>
      </c>
      <c r="F519">
        <v>1</v>
      </c>
      <c r="G519">
        <v>1</v>
      </c>
      <c r="H519" t="s">
        <v>3317</v>
      </c>
      <c r="I519">
        <v>1</v>
      </c>
    </row>
    <row r="520" spans="2:9" x14ac:dyDescent="0.3">
      <c r="B520" t="s">
        <v>487</v>
      </c>
      <c r="C520" t="s">
        <v>1750</v>
      </c>
      <c r="D520" t="s">
        <v>2634</v>
      </c>
      <c r="E520" s="2">
        <v>35649</v>
      </c>
      <c r="F520">
        <v>10</v>
      </c>
      <c r="G520">
        <v>1</v>
      </c>
      <c r="H520" t="s">
        <v>3318</v>
      </c>
      <c r="I520">
        <v>10</v>
      </c>
    </row>
    <row r="521" spans="2:9" x14ac:dyDescent="0.3">
      <c r="B521" t="s">
        <v>488</v>
      </c>
      <c r="C521" t="s">
        <v>1751</v>
      </c>
      <c r="D521" t="s">
        <v>2634</v>
      </c>
      <c r="E521" s="2">
        <v>39237</v>
      </c>
      <c r="F521">
        <v>10</v>
      </c>
      <c r="G521">
        <v>1</v>
      </c>
      <c r="H521" t="s">
        <v>3319</v>
      </c>
      <c r="I521">
        <v>10</v>
      </c>
    </row>
    <row r="522" spans="2:9" x14ac:dyDescent="0.3">
      <c r="B522" t="s">
        <v>489</v>
      </c>
      <c r="C522" t="s">
        <v>1752</v>
      </c>
      <c r="D522" t="s">
        <v>2634</v>
      </c>
      <c r="E522" s="2">
        <v>34844</v>
      </c>
      <c r="F522">
        <v>1</v>
      </c>
      <c r="G522">
        <v>1</v>
      </c>
      <c r="H522" t="s">
        <v>3320</v>
      </c>
      <c r="I522">
        <v>1</v>
      </c>
    </row>
    <row r="523" spans="2:9" x14ac:dyDescent="0.3">
      <c r="B523" t="s">
        <v>3321</v>
      </c>
      <c r="C523" t="s">
        <v>3322</v>
      </c>
      <c r="D523" t="s">
        <v>2634</v>
      </c>
      <c r="E523" s="2">
        <v>42262</v>
      </c>
      <c r="F523">
        <v>10</v>
      </c>
      <c r="G523">
        <v>1</v>
      </c>
      <c r="H523" t="s">
        <v>3323</v>
      </c>
      <c r="I523">
        <v>10</v>
      </c>
    </row>
    <row r="524" spans="2:9" x14ac:dyDescent="0.3">
      <c r="B524" t="s">
        <v>490</v>
      </c>
      <c r="C524" t="s">
        <v>1753</v>
      </c>
      <c r="D524" t="s">
        <v>2634</v>
      </c>
      <c r="E524" s="2">
        <v>38201</v>
      </c>
      <c r="F524">
        <v>10</v>
      </c>
      <c r="G524">
        <v>1</v>
      </c>
      <c r="H524" t="s">
        <v>3324</v>
      </c>
      <c r="I524">
        <v>10</v>
      </c>
    </row>
    <row r="525" spans="2:9" x14ac:dyDescent="0.3">
      <c r="B525" t="s">
        <v>3325</v>
      </c>
      <c r="C525" t="s">
        <v>1753</v>
      </c>
      <c r="D525" t="s">
        <v>2634</v>
      </c>
      <c r="E525" s="2">
        <v>40324</v>
      </c>
      <c r="F525">
        <v>10</v>
      </c>
      <c r="G525">
        <v>1</v>
      </c>
      <c r="H525" t="s">
        <v>3326</v>
      </c>
      <c r="I525">
        <v>10</v>
      </c>
    </row>
    <row r="526" spans="2:9" x14ac:dyDescent="0.3">
      <c r="B526" t="s">
        <v>491</v>
      </c>
      <c r="C526" t="s">
        <v>1754</v>
      </c>
      <c r="D526" t="s">
        <v>2634</v>
      </c>
      <c r="E526" s="2">
        <v>41851</v>
      </c>
      <c r="F526">
        <v>2</v>
      </c>
      <c r="G526">
        <v>1</v>
      </c>
      <c r="H526" t="s">
        <v>3327</v>
      </c>
      <c r="I526">
        <v>2</v>
      </c>
    </row>
    <row r="527" spans="2:9" x14ac:dyDescent="0.3">
      <c r="B527" t="s">
        <v>3328</v>
      </c>
      <c r="C527" t="s">
        <v>3329</v>
      </c>
      <c r="D527" t="s">
        <v>2634</v>
      </c>
      <c r="E527" s="2">
        <v>38254</v>
      </c>
      <c r="F527">
        <v>5</v>
      </c>
      <c r="G527">
        <v>1</v>
      </c>
      <c r="H527" t="s">
        <v>3330</v>
      </c>
      <c r="I527">
        <v>5</v>
      </c>
    </row>
    <row r="528" spans="2:9" x14ac:dyDescent="0.3">
      <c r="B528" t="s">
        <v>3331</v>
      </c>
      <c r="C528" t="s">
        <v>3332</v>
      </c>
      <c r="D528" t="s">
        <v>2634</v>
      </c>
      <c r="E528" s="2">
        <v>42032</v>
      </c>
      <c r="F528">
        <v>1</v>
      </c>
      <c r="G528">
        <v>1</v>
      </c>
      <c r="H528" t="s">
        <v>3333</v>
      </c>
      <c r="I528">
        <v>1</v>
      </c>
    </row>
    <row r="529" spans="2:9" x14ac:dyDescent="0.3">
      <c r="B529" t="s">
        <v>492</v>
      </c>
      <c r="C529" t="s">
        <v>1755</v>
      </c>
      <c r="D529" t="s">
        <v>2634</v>
      </c>
      <c r="E529" s="2">
        <v>38775</v>
      </c>
      <c r="F529">
        <v>1</v>
      </c>
      <c r="G529">
        <v>1</v>
      </c>
      <c r="H529" t="s">
        <v>3334</v>
      </c>
      <c r="I529">
        <v>1</v>
      </c>
    </row>
    <row r="530" spans="2:9" x14ac:dyDescent="0.3">
      <c r="B530" t="s">
        <v>493</v>
      </c>
      <c r="C530" t="s">
        <v>1756</v>
      </c>
      <c r="D530" t="s">
        <v>2634</v>
      </c>
      <c r="E530" s="2">
        <v>39010</v>
      </c>
      <c r="F530">
        <v>10</v>
      </c>
      <c r="G530">
        <v>1</v>
      </c>
      <c r="H530" t="s">
        <v>3335</v>
      </c>
      <c r="I530">
        <v>10</v>
      </c>
    </row>
    <row r="531" spans="2:9" x14ac:dyDescent="0.3">
      <c r="B531" t="s">
        <v>494</v>
      </c>
      <c r="C531" t="s">
        <v>1757</v>
      </c>
      <c r="D531" t="s">
        <v>2634</v>
      </c>
      <c r="E531" s="2">
        <v>39909</v>
      </c>
      <c r="F531">
        <v>10</v>
      </c>
      <c r="G531">
        <v>1</v>
      </c>
      <c r="H531" t="s">
        <v>3336</v>
      </c>
      <c r="I531">
        <v>10</v>
      </c>
    </row>
    <row r="532" spans="2:9" x14ac:dyDescent="0.3">
      <c r="B532" t="s">
        <v>495</v>
      </c>
      <c r="C532" t="s">
        <v>1758</v>
      </c>
      <c r="D532" t="s">
        <v>2634</v>
      </c>
      <c r="E532" s="2">
        <v>34738</v>
      </c>
      <c r="F532">
        <v>10</v>
      </c>
      <c r="G532">
        <v>1</v>
      </c>
      <c r="H532" t="s">
        <v>3337</v>
      </c>
      <c r="I532">
        <v>10</v>
      </c>
    </row>
    <row r="533" spans="2:9" x14ac:dyDescent="0.3">
      <c r="B533" t="s">
        <v>496</v>
      </c>
      <c r="C533" t="s">
        <v>1759</v>
      </c>
      <c r="D533" t="s">
        <v>2634</v>
      </c>
      <c r="E533" s="2">
        <v>40234</v>
      </c>
      <c r="F533">
        <v>2</v>
      </c>
      <c r="G533">
        <v>1</v>
      </c>
      <c r="H533" t="s">
        <v>3338</v>
      </c>
      <c r="I533">
        <v>2</v>
      </c>
    </row>
    <row r="534" spans="2:9" x14ac:dyDescent="0.3">
      <c r="B534" t="s">
        <v>497</v>
      </c>
      <c r="C534" t="s">
        <v>1760</v>
      </c>
      <c r="D534" t="s">
        <v>2634</v>
      </c>
      <c r="E534" s="2">
        <v>41810</v>
      </c>
      <c r="F534">
        <v>1</v>
      </c>
      <c r="G534">
        <v>1</v>
      </c>
      <c r="H534" t="s">
        <v>3339</v>
      </c>
      <c r="I534">
        <v>1</v>
      </c>
    </row>
    <row r="535" spans="2:9" x14ac:dyDescent="0.3">
      <c r="B535" t="s">
        <v>48</v>
      </c>
      <c r="C535" t="s">
        <v>1761</v>
      </c>
      <c r="D535" t="s">
        <v>2634</v>
      </c>
      <c r="E535" s="2">
        <v>36971</v>
      </c>
      <c r="F535">
        <v>1</v>
      </c>
      <c r="G535">
        <v>1</v>
      </c>
      <c r="H535" t="s">
        <v>3340</v>
      </c>
      <c r="I535">
        <v>1</v>
      </c>
    </row>
    <row r="536" spans="2:9" x14ac:dyDescent="0.3">
      <c r="B536" t="s">
        <v>498</v>
      </c>
      <c r="C536" t="s">
        <v>1762</v>
      </c>
      <c r="D536" t="s">
        <v>2634</v>
      </c>
      <c r="E536" s="2">
        <v>39086</v>
      </c>
      <c r="F536">
        <v>1</v>
      </c>
      <c r="G536">
        <v>1</v>
      </c>
      <c r="H536" t="s">
        <v>3341</v>
      </c>
      <c r="I536">
        <v>1</v>
      </c>
    </row>
    <row r="537" spans="2:9" x14ac:dyDescent="0.3">
      <c r="B537" t="s">
        <v>499</v>
      </c>
      <c r="C537" t="s">
        <v>1763</v>
      </c>
      <c r="D537" t="s">
        <v>2634</v>
      </c>
      <c r="E537" s="2">
        <v>35718</v>
      </c>
      <c r="F537">
        <v>10</v>
      </c>
      <c r="G537">
        <v>1</v>
      </c>
      <c r="H537" t="s">
        <v>3342</v>
      </c>
      <c r="I537">
        <v>10</v>
      </c>
    </row>
    <row r="538" spans="2:9" x14ac:dyDescent="0.3">
      <c r="B538" t="s">
        <v>500</v>
      </c>
      <c r="C538" t="s">
        <v>1764</v>
      </c>
      <c r="D538" t="s">
        <v>2634</v>
      </c>
      <c r="E538" s="2">
        <v>37712</v>
      </c>
      <c r="F538">
        <v>1</v>
      </c>
      <c r="G538">
        <v>1</v>
      </c>
      <c r="H538" t="s">
        <v>3343</v>
      </c>
      <c r="I538">
        <v>1</v>
      </c>
    </row>
    <row r="539" spans="2:9" x14ac:dyDescent="0.3">
      <c r="B539" t="s">
        <v>3344</v>
      </c>
      <c r="C539" t="s">
        <v>3345</v>
      </c>
      <c r="D539" t="s">
        <v>2634</v>
      </c>
      <c r="E539" s="2">
        <v>42459</v>
      </c>
      <c r="F539">
        <v>10</v>
      </c>
      <c r="G539">
        <v>1</v>
      </c>
      <c r="H539" t="s">
        <v>3346</v>
      </c>
      <c r="I539">
        <v>10</v>
      </c>
    </row>
    <row r="540" spans="2:9" x14ac:dyDescent="0.3">
      <c r="B540" t="s">
        <v>501</v>
      </c>
      <c r="C540" t="s">
        <v>1765</v>
      </c>
      <c r="D540" t="s">
        <v>2634</v>
      </c>
      <c r="E540" s="2">
        <v>35431</v>
      </c>
      <c r="F540">
        <v>2</v>
      </c>
      <c r="G540">
        <v>1</v>
      </c>
      <c r="H540" t="s">
        <v>3347</v>
      </c>
      <c r="I540">
        <v>2</v>
      </c>
    </row>
    <row r="541" spans="2:9" x14ac:dyDescent="0.3">
      <c r="B541" t="s">
        <v>502</v>
      </c>
      <c r="C541" t="s">
        <v>1766</v>
      </c>
      <c r="D541" t="s">
        <v>2634</v>
      </c>
      <c r="E541" s="2">
        <v>36531</v>
      </c>
      <c r="F541">
        <v>2</v>
      </c>
      <c r="G541">
        <v>1</v>
      </c>
      <c r="H541" t="s">
        <v>3348</v>
      </c>
      <c r="I541">
        <v>2</v>
      </c>
    </row>
    <row r="542" spans="2:9" x14ac:dyDescent="0.3">
      <c r="B542" t="s">
        <v>503</v>
      </c>
      <c r="C542" t="s">
        <v>1767</v>
      </c>
      <c r="D542" t="s">
        <v>2634</v>
      </c>
      <c r="E542" s="2">
        <v>35361</v>
      </c>
      <c r="F542">
        <v>2</v>
      </c>
      <c r="G542">
        <v>1</v>
      </c>
      <c r="H542" t="s">
        <v>3349</v>
      </c>
      <c r="I542">
        <v>2</v>
      </c>
    </row>
    <row r="543" spans="2:9" x14ac:dyDescent="0.3">
      <c r="B543" t="s">
        <v>504</v>
      </c>
      <c r="C543" t="s">
        <v>1768</v>
      </c>
      <c r="D543" t="s">
        <v>2634</v>
      </c>
      <c r="E543" s="2">
        <v>35011</v>
      </c>
      <c r="F543">
        <v>2</v>
      </c>
      <c r="G543">
        <v>1</v>
      </c>
      <c r="H543" t="s">
        <v>3350</v>
      </c>
      <c r="I543">
        <v>2</v>
      </c>
    </row>
    <row r="544" spans="2:9" x14ac:dyDescent="0.3">
      <c r="B544" t="s">
        <v>504</v>
      </c>
      <c r="C544" t="s">
        <v>1768</v>
      </c>
      <c r="D544" t="s">
        <v>3149</v>
      </c>
      <c r="E544" s="2">
        <v>35011</v>
      </c>
      <c r="F544">
        <v>2</v>
      </c>
      <c r="G544">
        <v>1</v>
      </c>
      <c r="H544" t="s">
        <v>3350</v>
      </c>
      <c r="I544">
        <v>2</v>
      </c>
    </row>
    <row r="545" spans="2:9" x14ac:dyDescent="0.3">
      <c r="B545" t="s">
        <v>6</v>
      </c>
      <c r="C545" t="s">
        <v>1769</v>
      </c>
      <c r="D545" t="s">
        <v>2634</v>
      </c>
      <c r="E545" s="2">
        <v>39287</v>
      </c>
      <c r="F545">
        <v>10</v>
      </c>
      <c r="G545">
        <v>1</v>
      </c>
      <c r="H545" t="s">
        <v>3351</v>
      </c>
      <c r="I545">
        <v>10</v>
      </c>
    </row>
    <row r="546" spans="2:9" x14ac:dyDescent="0.3">
      <c r="B546" t="s">
        <v>505</v>
      </c>
      <c r="C546" t="s">
        <v>1770</v>
      </c>
      <c r="D546" t="s">
        <v>2634</v>
      </c>
      <c r="E546" s="2">
        <v>34829</v>
      </c>
      <c r="F546">
        <v>10</v>
      </c>
      <c r="G546">
        <v>1</v>
      </c>
      <c r="H546" t="s">
        <v>3352</v>
      </c>
      <c r="I546">
        <v>10</v>
      </c>
    </row>
    <row r="547" spans="2:9" x14ac:dyDescent="0.3">
      <c r="B547" t="s">
        <v>506</v>
      </c>
      <c r="C547" t="s">
        <v>1771</v>
      </c>
      <c r="D547" t="s">
        <v>2634</v>
      </c>
      <c r="E547" s="2">
        <v>34773</v>
      </c>
      <c r="F547">
        <v>10</v>
      </c>
      <c r="G547">
        <v>1</v>
      </c>
      <c r="H547" t="s">
        <v>3353</v>
      </c>
      <c r="I547">
        <v>10</v>
      </c>
    </row>
    <row r="548" spans="2:9" x14ac:dyDescent="0.3">
      <c r="B548" t="s">
        <v>507</v>
      </c>
      <c r="C548" t="s">
        <v>1772</v>
      </c>
      <c r="D548" t="s">
        <v>2634</v>
      </c>
      <c r="E548" s="2">
        <v>39497</v>
      </c>
      <c r="F548">
        <v>1</v>
      </c>
      <c r="G548">
        <v>1</v>
      </c>
      <c r="H548" t="s">
        <v>3354</v>
      </c>
      <c r="I548">
        <v>1</v>
      </c>
    </row>
    <row r="549" spans="2:9" x14ac:dyDescent="0.3">
      <c r="B549" t="s">
        <v>508</v>
      </c>
      <c r="C549" t="s">
        <v>3355</v>
      </c>
      <c r="D549" t="s">
        <v>2634</v>
      </c>
      <c r="E549" s="2">
        <v>35396</v>
      </c>
      <c r="F549">
        <v>10</v>
      </c>
      <c r="G549">
        <v>1</v>
      </c>
      <c r="H549" t="s">
        <v>3356</v>
      </c>
      <c r="I549">
        <v>10</v>
      </c>
    </row>
    <row r="550" spans="2:9" x14ac:dyDescent="0.3">
      <c r="B550" t="s">
        <v>509</v>
      </c>
      <c r="C550" t="s">
        <v>1773</v>
      </c>
      <c r="D550" t="s">
        <v>2634</v>
      </c>
      <c r="E550" s="2">
        <v>37722</v>
      </c>
      <c r="F550">
        <v>2</v>
      </c>
      <c r="G550">
        <v>1</v>
      </c>
      <c r="H550" t="s">
        <v>3357</v>
      </c>
      <c r="I550">
        <v>2</v>
      </c>
    </row>
    <row r="551" spans="2:9" x14ac:dyDescent="0.3">
      <c r="B551" t="s">
        <v>3358</v>
      </c>
      <c r="C551" t="s">
        <v>3359</v>
      </c>
      <c r="D551" t="s">
        <v>2634</v>
      </c>
      <c r="E551" s="2">
        <v>42076</v>
      </c>
      <c r="F551">
        <v>10</v>
      </c>
      <c r="G551">
        <v>1</v>
      </c>
      <c r="H551" t="s">
        <v>3360</v>
      </c>
      <c r="I551">
        <v>10</v>
      </c>
    </row>
    <row r="552" spans="2:9" x14ac:dyDescent="0.3">
      <c r="B552" t="s">
        <v>510</v>
      </c>
      <c r="C552" t="s">
        <v>1774</v>
      </c>
      <c r="D552" t="s">
        <v>2634</v>
      </c>
      <c r="E552" s="2">
        <v>41019</v>
      </c>
      <c r="F552">
        <v>2</v>
      </c>
      <c r="G552">
        <v>1</v>
      </c>
      <c r="H552" t="s">
        <v>3361</v>
      </c>
      <c r="I552">
        <v>2</v>
      </c>
    </row>
    <row r="553" spans="2:9" x14ac:dyDescent="0.3">
      <c r="B553" t="s">
        <v>511</v>
      </c>
      <c r="C553" t="s">
        <v>1775</v>
      </c>
      <c r="D553" t="s">
        <v>2634</v>
      </c>
      <c r="E553" s="2">
        <v>37421</v>
      </c>
      <c r="F553">
        <v>2</v>
      </c>
      <c r="G553">
        <v>1</v>
      </c>
      <c r="H553" t="s">
        <v>3362</v>
      </c>
      <c r="I553">
        <v>2</v>
      </c>
    </row>
    <row r="554" spans="2:9" x14ac:dyDescent="0.3">
      <c r="B554" t="s">
        <v>512</v>
      </c>
      <c r="C554" t="s">
        <v>1776</v>
      </c>
      <c r="D554" t="s">
        <v>2634</v>
      </c>
      <c r="E554" s="2">
        <v>40611</v>
      </c>
      <c r="F554">
        <v>1</v>
      </c>
      <c r="G554">
        <v>1</v>
      </c>
      <c r="H554" t="s">
        <v>3363</v>
      </c>
      <c r="I554">
        <v>1</v>
      </c>
    </row>
    <row r="555" spans="2:9" x14ac:dyDescent="0.3">
      <c r="B555" t="s">
        <v>513</v>
      </c>
      <c r="C555" t="s">
        <v>1777</v>
      </c>
      <c r="D555" t="s">
        <v>2634</v>
      </c>
      <c r="E555" s="2">
        <v>39252</v>
      </c>
      <c r="F555">
        <v>10</v>
      </c>
      <c r="G555">
        <v>1</v>
      </c>
      <c r="H555" t="s">
        <v>3364</v>
      </c>
      <c r="I555">
        <v>10</v>
      </c>
    </row>
    <row r="556" spans="2:9" x14ac:dyDescent="0.3">
      <c r="B556" t="s">
        <v>3365</v>
      </c>
      <c r="C556" t="s">
        <v>3366</v>
      </c>
      <c r="D556" t="s">
        <v>2634</v>
      </c>
      <c r="E556" s="2">
        <v>42698</v>
      </c>
      <c r="F556">
        <v>1</v>
      </c>
      <c r="G556">
        <v>1</v>
      </c>
      <c r="H556" t="s">
        <v>3367</v>
      </c>
      <c r="I556">
        <v>1</v>
      </c>
    </row>
    <row r="557" spans="2:9" x14ac:dyDescent="0.3">
      <c r="B557" t="s">
        <v>514</v>
      </c>
      <c r="C557" t="s">
        <v>1778</v>
      </c>
      <c r="D557" t="s">
        <v>2634</v>
      </c>
      <c r="E557" s="2">
        <v>36936</v>
      </c>
      <c r="F557">
        <v>2</v>
      </c>
      <c r="G557">
        <v>1</v>
      </c>
      <c r="H557" t="s">
        <v>3368</v>
      </c>
      <c r="I557">
        <v>2</v>
      </c>
    </row>
    <row r="558" spans="2:9" x14ac:dyDescent="0.3">
      <c r="B558" t="s">
        <v>515</v>
      </c>
      <c r="C558" t="s">
        <v>1779</v>
      </c>
      <c r="D558" t="s">
        <v>2634</v>
      </c>
      <c r="E558" s="2">
        <v>34815</v>
      </c>
      <c r="F558">
        <v>10</v>
      </c>
      <c r="G558">
        <v>1</v>
      </c>
      <c r="H558" t="s">
        <v>3369</v>
      </c>
      <c r="I558">
        <v>10</v>
      </c>
    </row>
    <row r="559" spans="2:9" x14ac:dyDescent="0.3">
      <c r="B559" t="s">
        <v>516</v>
      </c>
      <c r="C559" t="s">
        <v>1780</v>
      </c>
      <c r="D559" t="s">
        <v>2634</v>
      </c>
      <c r="E559" s="2">
        <v>39226</v>
      </c>
      <c r="F559">
        <v>10</v>
      </c>
      <c r="G559">
        <v>1</v>
      </c>
      <c r="H559" t="s">
        <v>3370</v>
      </c>
      <c r="I559">
        <v>10</v>
      </c>
    </row>
    <row r="560" spans="2:9" x14ac:dyDescent="0.3">
      <c r="B560" t="s">
        <v>517</v>
      </c>
      <c r="C560" t="s">
        <v>1781</v>
      </c>
      <c r="D560" t="s">
        <v>2634</v>
      </c>
      <c r="E560" s="2">
        <v>34738</v>
      </c>
      <c r="F560">
        <v>5</v>
      </c>
      <c r="G560">
        <v>1</v>
      </c>
      <c r="H560" t="s">
        <v>3371</v>
      </c>
      <c r="I560">
        <v>5</v>
      </c>
    </row>
    <row r="561" spans="2:9" x14ac:dyDescent="0.3">
      <c r="B561" t="s">
        <v>518</v>
      </c>
      <c r="C561" t="s">
        <v>1782</v>
      </c>
      <c r="D561" t="s">
        <v>2634</v>
      </c>
      <c r="E561" s="2">
        <v>35438</v>
      </c>
      <c r="F561">
        <v>1</v>
      </c>
      <c r="G561">
        <v>1</v>
      </c>
      <c r="H561" t="s">
        <v>3372</v>
      </c>
      <c r="I561">
        <v>1</v>
      </c>
    </row>
    <row r="562" spans="2:9" x14ac:dyDescent="0.3">
      <c r="B562" t="s">
        <v>519</v>
      </c>
      <c r="C562" t="s">
        <v>1783</v>
      </c>
      <c r="D562" t="s">
        <v>2634</v>
      </c>
      <c r="E562" s="2">
        <v>35193</v>
      </c>
      <c r="F562">
        <v>5</v>
      </c>
      <c r="G562">
        <v>1</v>
      </c>
      <c r="H562" t="s">
        <v>3373</v>
      </c>
      <c r="I562">
        <v>5</v>
      </c>
    </row>
    <row r="563" spans="2:9" x14ac:dyDescent="0.3">
      <c r="B563" t="s">
        <v>520</v>
      </c>
      <c r="C563" t="s">
        <v>1784</v>
      </c>
      <c r="D563" t="s">
        <v>2634</v>
      </c>
      <c r="E563" s="2">
        <v>40436</v>
      </c>
      <c r="F563">
        <v>5</v>
      </c>
      <c r="G563">
        <v>1</v>
      </c>
      <c r="H563" t="s">
        <v>3374</v>
      </c>
      <c r="I563">
        <v>5</v>
      </c>
    </row>
    <row r="564" spans="2:9" x14ac:dyDescent="0.3">
      <c r="B564" t="s">
        <v>521</v>
      </c>
      <c r="C564" t="s">
        <v>1785</v>
      </c>
      <c r="D564" t="s">
        <v>2662</v>
      </c>
      <c r="E564" s="2">
        <v>36859</v>
      </c>
      <c r="F564">
        <v>2</v>
      </c>
      <c r="G564">
        <v>1</v>
      </c>
      <c r="H564" t="s">
        <v>3375</v>
      </c>
      <c r="I564">
        <v>2</v>
      </c>
    </row>
    <row r="565" spans="2:9" x14ac:dyDescent="0.3">
      <c r="B565" t="s">
        <v>522</v>
      </c>
      <c r="C565" t="s">
        <v>1786</v>
      </c>
      <c r="D565" t="s">
        <v>2634</v>
      </c>
      <c r="E565" s="2">
        <v>40595</v>
      </c>
      <c r="F565">
        <v>5</v>
      </c>
      <c r="G565">
        <v>1</v>
      </c>
      <c r="H565" t="s">
        <v>3376</v>
      </c>
      <c r="I565">
        <v>5</v>
      </c>
    </row>
    <row r="566" spans="2:9" x14ac:dyDescent="0.3">
      <c r="B566" t="s">
        <v>523</v>
      </c>
      <c r="C566" t="s">
        <v>1787</v>
      </c>
      <c r="D566" t="s">
        <v>2634</v>
      </c>
      <c r="E566" s="2">
        <v>39918</v>
      </c>
      <c r="F566">
        <v>2</v>
      </c>
      <c r="G566">
        <v>1</v>
      </c>
      <c r="H566" t="s">
        <v>3377</v>
      </c>
      <c r="I566">
        <v>2</v>
      </c>
    </row>
    <row r="567" spans="2:9" x14ac:dyDescent="0.3">
      <c r="B567" t="s">
        <v>524</v>
      </c>
      <c r="C567" t="s">
        <v>1788</v>
      </c>
      <c r="D567" t="s">
        <v>2634</v>
      </c>
      <c r="E567" s="2">
        <v>37887</v>
      </c>
      <c r="F567">
        <v>10</v>
      </c>
      <c r="G567">
        <v>1</v>
      </c>
      <c r="H567" t="s">
        <v>3378</v>
      </c>
      <c r="I567">
        <v>10</v>
      </c>
    </row>
    <row r="568" spans="2:9" x14ac:dyDescent="0.3">
      <c r="B568" t="s">
        <v>49</v>
      </c>
      <c r="C568" t="s">
        <v>1789</v>
      </c>
      <c r="D568" t="s">
        <v>2634</v>
      </c>
      <c r="E568" s="2">
        <v>35963</v>
      </c>
      <c r="F568">
        <v>10</v>
      </c>
      <c r="G568">
        <v>1</v>
      </c>
      <c r="H568" t="s">
        <v>3379</v>
      </c>
      <c r="I568">
        <v>10</v>
      </c>
    </row>
    <row r="569" spans="2:9" x14ac:dyDescent="0.3">
      <c r="B569" t="s">
        <v>525</v>
      </c>
      <c r="C569" t="s">
        <v>1790</v>
      </c>
      <c r="D569" t="s">
        <v>2662</v>
      </c>
      <c r="E569" s="2">
        <v>36628</v>
      </c>
      <c r="F569">
        <v>10</v>
      </c>
      <c r="G569">
        <v>1</v>
      </c>
      <c r="H569" t="s">
        <v>3380</v>
      </c>
      <c r="I569">
        <v>10</v>
      </c>
    </row>
    <row r="570" spans="2:9" x14ac:dyDescent="0.3">
      <c r="B570" t="s">
        <v>526</v>
      </c>
      <c r="C570" t="s">
        <v>1791</v>
      </c>
      <c r="D570" t="s">
        <v>2634</v>
      </c>
      <c r="E570" s="2">
        <v>38986</v>
      </c>
      <c r="F570">
        <v>10</v>
      </c>
      <c r="G570">
        <v>1</v>
      </c>
      <c r="H570" t="s">
        <v>3381</v>
      </c>
      <c r="I570">
        <v>10</v>
      </c>
    </row>
    <row r="571" spans="2:9" x14ac:dyDescent="0.3">
      <c r="B571" t="s">
        <v>527</v>
      </c>
      <c r="C571" t="s">
        <v>1792</v>
      </c>
      <c r="D571" t="s">
        <v>2634</v>
      </c>
      <c r="E571" s="2">
        <v>39196</v>
      </c>
      <c r="F571">
        <v>10</v>
      </c>
      <c r="G571">
        <v>1</v>
      </c>
      <c r="H571" t="s">
        <v>3382</v>
      </c>
      <c r="I571">
        <v>10</v>
      </c>
    </row>
    <row r="572" spans="2:9" x14ac:dyDescent="0.3">
      <c r="B572" t="s">
        <v>528</v>
      </c>
      <c r="C572" t="s">
        <v>1793</v>
      </c>
      <c r="D572" t="s">
        <v>2634</v>
      </c>
      <c r="E572" s="2">
        <v>34886</v>
      </c>
      <c r="F572">
        <v>1</v>
      </c>
      <c r="G572">
        <v>1</v>
      </c>
      <c r="H572" t="s">
        <v>3383</v>
      </c>
      <c r="I572">
        <v>1</v>
      </c>
    </row>
    <row r="573" spans="2:9" x14ac:dyDescent="0.3">
      <c r="B573" t="s">
        <v>50</v>
      </c>
      <c r="C573" t="s">
        <v>1794</v>
      </c>
      <c r="D573" t="s">
        <v>2634</v>
      </c>
      <c r="E573" s="2">
        <v>39042</v>
      </c>
      <c r="F573">
        <v>2</v>
      </c>
      <c r="G573">
        <v>1</v>
      </c>
      <c r="H573" t="s">
        <v>3384</v>
      </c>
      <c r="I573">
        <v>2</v>
      </c>
    </row>
    <row r="574" spans="2:9" x14ac:dyDescent="0.3">
      <c r="B574" t="s">
        <v>529</v>
      </c>
      <c r="C574" t="s">
        <v>1795</v>
      </c>
      <c r="D574" t="s">
        <v>2634</v>
      </c>
      <c r="E574" s="2">
        <v>39077</v>
      </c>
      <c r="F574">
        <v>2</v>
      </c>
      <c r="G574">
        <v>1</v>
      </c>
      <c r="H574" t="s">
        <v>3385</v>
      </c>
      <c r="I574">
        <v>2</v>
      </c>
    </row>
    <row r="575" spans="2:9" x14ac:dyDescent="0.3">
      <c r="B575" t="s">
        <v>3386</v>
      </c>
      <c r="C575" t="s">
        <v>3387</v>
      </c>
      <c r="D575" t="s">
        <v>2634</v>
      </c>
      <c r="E575" s="2">
        <v>42740</v>
      </c>
      <c r="F575">
        <v>10</v>
      </c>
      <c r="G575">
        <v>1</v>
      </c>
      <c r="H575" t="s">
        <v>3388</v>
      </c>
      <c r="I575">
        <v>10</v>
      </c>
    </row>
    <row r="576" spans="2:9" x14ac:dyDescent="0.3">
      <c r="B576" t="s">
        <v>3389</v>
      </c>
      <c r="C576" t="s">
        <v>3390</v>
      </c>
      <c r="D576" t="s">
        <v>2634</v>
      </c>
      <c r="E576" s="2">
        <v>39436</v>
      </c>
      <c r="F576">
        <v>10</v>
      </c>
      <c r="G576">
        <v>1</v>
      </c>
      <c r="H576" t="s">
        <v>3391</v>
      </c>
      <c r="I576">
        <v>10</v>
      </c>
    </row>
    <row r="577" spans="2:9" x14ac:dyDescent="0.3">
      <c r="B577" t="s">
        <v>530</v>
      </c>
      <c r="C577" t="s">
        <v>3392</v>
      </c>
      <c r="D577" t="s">
        <v>2634</v>
      </c>
      <c r="E577" s="2">
        <v>37277</v>
      </c>
      <c r="F577">
        <v>10</v>
      </c>
      <c r="G577">
        <v>1</v>
      </c>
      <c r="H577" t="s">
        <v>3393</v>
      </c>
      <c r="I577">
        <v>10</v>
      </c>
    </row>
    <row r="578" spans="2:9" x14ac:dyDescent="0.3">
      <c r="B578" t="s">
        <v>531</v>
      </c>
      <c r="C578" t="s">
        <v>1796</v>
      </c>
      <c r="D578" t="s">
        <v>2657</v>
      </c>
      <c r="E578" s="2">
        <v>37862</v>
      </c>
      <c r="F578">
        <v>10</v>
      </c>
      <c r="G578">
        <v>1</v>
      </c>
      <c r="H578" t="s">
        <v>3394</v>
      </c>
      <c r="I578">
        <v>10</v>
      </c>
    </row>
    <row r="579" spans="2:9" x14ac:dyDescent="0.3">
      <c r="B579" t="s">
        <v>532</v>
      </c>
      <c r="C579" t="s">
        <v>1797</v>
      </c>
      <c r="D579" t="s">
        <v>2634</v>
      </c>
      <c r="E579" s="2">
        <v>40380</v>
      </c>
      <c r="F579">
        <v>10</v>
      </c>
      <c r="G579">
        <v>1</v>
      </c>
      <c r="H579" t="s">
        <v>3395</v>
      </c>
      <c r="I579">
        <v>10</v>
      </c>
    </row>
    <row r="580" spans="2:9" x14ac:dyDescent="0.3">
      <c r="B580" t="s">
        <v>533</v>
      </c>
      <c r="C580" t="s">
        <v>1798</v>
      </c>
      <c r="D580" t="s">
        <v>2662</v>
      </c>
      <c r="F580">
        <v>10</v>
      </c>
      <c r="G580">
        <v>1</v>
      </c>
      <c r="H580" t="s">
        <v>3396</v>
      </c>
      <c r="I580">
        <v>10</v>
      </c>
    </row>
    <row r="581" spans="2:9" x14ac:dyDescent="0.3">
      <c r="B581" t="s">
        <v>534</v>
      </c>
      <c r="C581" t="s">
        <v>1799</v>
      </c>
      <c r="D581" t="s">
        <v>2634</v>
      </c>
      <c r="E581" s="2">
        <v>37820</v>
      </c>
      <c r="F581">
        <v>10</v>
      </c>
      <c r="G581">
        <v>1</v>
      </c>
      <c r="H581" t="s">
        <v>3397</v>
      </c>
      <c r="I581">
        <v>10</v>
      </c>
    </row>
    <row r="582" spans="2:9" x14ac:dyDescent="0.3">
      <c r="B582" t="s">
        <v>535</v>
      </c>
      <c r="C582" t="s">
        <v>1800</v>
      </c>
      <c r="D582" t="s">
        <v>2634</v>
      </c>
      <c r="E582" s="2">
        <v>37712</v>
      </c>
      <c r="F582">
        <v>10</v>
      </c>
      <c r="G582">
        <v>1</v>
      </c>
      <c r="H582" t="s">
        <v>3398</v>
      </c>
      <c r="I582">
        <v>10</v>
      </c>
    </row>
    <row r="583" spans="2:9" x14ac:dyDescent="0.3">
      <c r="B583" t="s">
        <v>536</v>
      </c>
      <c r="C583" t="s">
        <v>1801</v>
      </c>
      <c r="D583" t="s">
        <v>2634</v>
      </c>
      <c r="E583" s="2">
        <v>34899</v>
      </c>
      <c r="F583">
        <v>2</v>
      </c>
      <c r="G583">
        <v>1</v>
      </c>
      <c r="H583" t="s">
        <v>3399</v>
      </c>
      <c r="I583">
        <v>2</v>
      </c>
    </row>
    <row r="584" spans="2:9" x14ac:dyDescent="0.3">
      <c r="B584" t="s">
        <v>1290</v>
      </c>
      <c r="C584" t="s">
        <v>1802</v>
      </c>
      <c r="D584" t="s">
        <v>2662</v>
      </c>
      <c r="E584" s="2">
        <v>35158</v>
      </c>
      <c r="F584">
        <v>10</v>
      </c>
      <c r="G584">
        <v>1</v>
      </c>
      <c r="H584" t="s">
        <v>3400</v>
      </c>
      <c r="I584">
        <v>10</v>
      </c>
    </row>
    <row r="585" spans="2:9" x14ac:dyDescent="0.3">
      <c r="B585" t="s">
        <v>537</v>
      </c>
      <c r="C585" t="s">
        <v>1803</v>
      </c>
      <c r="D585" t="s">
        <v>2634</v>
      </c>
      <c r="E585" s="2">
        <v>38987</v>
      </c>
      <c r="F585">
        <v>10</v>
      </c>
      <c r="G585">
        <v>1</v>
      </c>
      <c r="H585" t="s">
        <v>3401</v>
      </c>
      <c r="I585">
        <v>10</v>
      </c>
    </row>
    <row r="586" spans="2:9" x14ac:dyDescent="0.3">
      <c r="B586" t="s">
        <v>3402</v>
      </c>
      <c r="C586" t="s">
        <v>3403</v>
      </c>
      <c r="D586" t="s">
        <v>2634</v>
      </c>
      <c r="E586" s="2">
        <v>42647</v>
      </c>
      <c r="F586">
        <v>10</v>
      </c>
      <c r="G586">
        <v>1</v>
      </c>
      <c r="H586" t="s">
        <v>3404</v>
      </c>
      <c r="I586">
        <v>10</v>
      </c>
    </row>
    <row r="587" spans="2:9" x14ac:dyDescent="0.3">
      <c r="B587" t="s">
        <v>3405</v>
      </c>
      <c r="C587" t="s">
        <v>3406</v>
      </c>
      <c r="D587" t="s">
        <v>2634</v>
      </c>
      <c r="E587" s="2">
        <v>39143</v>
      </c>
      <c r="F587">
        <v>1</v>
      </c>
      <c r="G587">
        <v>1</v>
      </c>
      <c r="H587" t="s">
        <v>3407</v>
      </c>
      <c r="I587">
        <v>1</v>
      </c>
    </row>
    <row r="588" spans="2:9" x14ac:dyDescent="0.3">
      <c r="B588" t="s">
        <v>538</v>
      </c>
      <c r="C588" t="s">
        <v>1804</v>
      </c>
      <c r="D588" t="s">
        <v>2634</v>
      </c>
      <c r="E588" s="2">
        <v>36677</v>
      </c>
      <c r="F588">
        <v>2</v>
      </c>
      <c r="G588">
        <v>1</v>
      </c>
      <c r="H588" t="s">
        <v>3408</v>
      </c>
      <c r="I588">
        <v>2</v>
      </c>
    </row>
    <row r="589" spans="2:9" x14ac:dyDescent="0.3">
      <c r="B589" t="s">
        <v>539</v>
      </c>
      <c r="C589" t="s">
        <v>1805</v>
      </c>
      <c r="D589" t="s">
        <v>2634</v>
      </c>
      <c r="E589" s="2">
        <v>38596</v>
      </c>
      <c r="F589">
        <v>2</v>
      </c>
      <c r="G589">
        <v>1</v>
      </c>
      <c r="H589" t="s">
        <v>3409</v>
      </c>
      <c r="I589">
        <v>2</v>
      </c>
    </row>
    <row r="590" spans="2:9" x14ac:dyDescent="0.3">
      <c r="B590" t="s">
        <v>540</v>
      </c>
      <c r="C590" t="s">
        <v>1806</v>
      </c>
      <c r="D590" t="s">
        <v>2634</v>
      </c>
      <c r="E590" s="2">
        <v>39120</v>
      </c>
      <c r="F590">
        <v>10</v>
      </c>
      <c r="G590">
        <v>1</v>
      </c>
      <c r="H590" t="s">
        <v>3410</v>
      </c>
      <c r="I590">
        <v>10</v>
      </c>
    </row>
    <row r="591" spans="2:9" x14ac:dyDescent="0.3">
      <c r="B591" t="s">
        <v>1291</v>
      </c>
      <c r="C591" t="s">
        <v>1807</v>
      </c>
      <c r="D591" t="s">
        <v>2634</v>
      </c>
      <c r="E591" s="2">
        <v>42874</v>
      </c>
      <c r="F591">
        <v>10</v>
      </c>
      <c r="G591">
        <v>1</v>
      </c>
      <c r="H591" t="s">
        <v>3411</v>
      </c>
      <c r="I591">
        <v>10</v>
      </c>
    </row>
    <row r="592" spans="2:9" x14ac:dyDescent="0.3">
      <c r="B592" t="s">
        <v>541</v>
      </c>
      <c r="C592" t="s">
        <v>1810</v>
      </c>
      <c r="D592" t="s">
        <v>2634</v>
      </c>
      <c r="E592" s="2">
        <v>39164</v>
      </c>
      <c r="F592">
        <v>2</v>
      </c>
      <c r="G592">
        <v>1</v>
      </c>
      <c r="H592" t="s">
        <v>3412</v>
      </c>
      <c r="I592">
        <v>2</v>
      </c>
    </row>
    <row r="593" spans="2:9" x14ac:dyDescent="0.3">
      <c r="B593" t="s">
        <v>51</v>
      </c>
      <c r="C593" t="s">
        <v>1811</v>
      </c>
      <c r="D593" t="s">
        <v>2634</v>
      </c>
      <c r="E593" s="2">
        <v>41478</v>
      </c>
      <c r="F593">
        <v>2</v>
      </c>
      <c r="G593">
        <v>1</v>
      </c>
      <c r="H593" t="s">
        <v>3413</v>
      </c>
      <c r="I593">
        <v>2</v>
      </c>
    </row>
    <row r="594" spans="2:9" x14ac:dyDescent="0.3">
      <c r="B594" t="s">
        <v>3414</v>
      </c>
      <c r="C594" t="s">
        <v>3415</v>
      </c>
      <c r="D594" t="s">
        <v>2634</v>
      </c>
      <c r="E594" s="2">
        <v>39540</v>
      </c>
      <c r="F594">
        <v>2</v>
      </c>
      <c r="G594">
        <v>1</v>
      </c>
      <c r="H594" t="s">
        <v>3416</v>
      </c>
      <c r="I594">
        <v>2</v>
      </c>
    </row>
    <row r="595" spans="2:9" x14ac:dyDescent="0.3">
      <c r="B595" t="s">
        <v>101</v>
      </c>
      <c r="C595" t="s">
        <v>1812</v>
      </c>
      <c r="D595" t="s">
        <v>2634</v>
      </c>
      <c r="E595" s="2">
        <v>35690</v>
      </c>
      <c r="F595">
        <v>2</v>
      </c>
      <c r="G595">
        <v>1</v>
      </c>
      <c r="H595" t="s">
        <v>3417</v>
      </c>
      <c r="I595">
        <v>2</v>
      </c>
    </row>
    <row r="596" spans="2:9" x14ac:dyDescent="0.3">
      <c r="B596" t="s">
        <v>3418</v>
      </c>
      <c r="C596" t="s">
        <v>3419</v>
      </c>
      <c r="D596" t="s">
        <v>2634</v>
      </c>
      <c r="E596" s="2">
        <v>42642</v>
      </c>
      <c r="F596">
        <v>10</v>
      </c>
      <c r="G596">
        <v>1</v>
      </c>
      <c r="H596" t="s">
        <v>3420</v>
      </c>
      <c r="I596">
        <v>10</v>
      </c>
    </row>
    <row r="597" spans="2:9" x14ac:dyDescent="0.3">
      <c r="B597" t="s">
        <v>542</v>
      </c>
      <c r="C597" t="s">
        <v>1813</v>
      </c>
      <c r="D597" t="s">
        <v>2634</v>
      </c>
      <c r="E597" s="2">
        <v>38607</v>
      </c>
      <c r="F597">
        <v>2</v>
      </c>
      <c r="G597">
        <v>1</v>
      </c>
      <c r="H597" t="s">
        <v>3421</v>
      </c>
      <c r="I597">
        <v>2</v>
      </c>
    </row>
    <row r="598" spans="2:9" x14ac:dyDescent="0.3">
      <c r="B598" t="s">
        <v>543</v>
      </c>
      <c r="C598" t="s">
        <v>1814</v>
      </c>
      <c r="D598" t="s">
        <v>2634</v>
      </c>
      <c r="E598" s="2">
        <v>39185</v>
      </c>
      <c r="F598">
        <v>10</v>
      </c>
      <c r="G598">
        <v>1</v>
      </c>
      <c r="H598" t="s">
        <v>3422</v>
      </c>
      <c r="I598">
        <v>10</v>
      </c>
    </row>
    <row r="599" spans="2:9" x14ac:dyDescent="0.3">
      <c r="B599" t="s">
        <v>544</v>
      </c>
      <c r="C599" t="s">
        <v>1815</v>
      </c>
      <c r="D599" t="s">
        <v>2634</v>
      </c>
      <c r="E599" s="2">
        <v>38988</v>
      </c>
      <c r="F599">
        <v>2</v>
      </c>
      <c r="G599">
        <v>1</v>
      </c>
      <c r="H599" t="s">
        <v>3423</v>
      </c>
      <c r="I599">
        <v>2</v>
      </c>
    </row>
    <row r="600" spans="2:9" x14ac:dyDescent="0.3">
      <c r="B600" t="s">
        <v>7</v>
      </c>
      <c r="C600" t="s">
        <v>1816</v>
      </c>
      <c r="D600" t="s">
        <v>2634</v>
      </c>
      <c r="E600" s="2">
        <v>34962</v>
      </c>
      <c r="F600">
        <v>10</v>
      </c>
      <c r="G600">
        <v>1</v>
      </c>
      <c r="H600" t="s">
        <v>3424</v>
      </c>
      <c r="I600">
        <v>10</v>
      </c>
    </row>
    <row r="601" spans="2:9" x14ac:dyDescent="0.3">
      <c r="B601" t="s">
        <v>545</v>
      </c>
      <c r="C601" t="s">
        <v>1817</v>
      </c>
      <c r="D601" t="s">
        <v>2634</v>
      </c>
      <c r="E601" s="2">
        <v>39150</v>
      </c>
      <c r="F601">
        <v>10</v>
      </c>
      <c r="G601">
        <v>1</v>
      </c>
      <c r="H601" t="s">
        <v>3425</v>
      </c>
      <c r="I601">
        <v>10</v>
      </c>
    </row>
    <row r="602" spans="2:9" x14ac:dyDescent="0.3">
      <c r="B602" t="s">
        <v>546</v>
      </c>
      <c r="C602" t="s">
        <v>1818</v>
      </c>
      <c r="D602" t="s">
        <v>2634</v>
      </c>
      <c r="E602" s="2">
        <v>38576</v>
      </c>
      <c r="F602">
        <v>10</v>
      </c>
      <c r="G602">
        <v>1</v>
      </c>
      <c r="H602" t="s">
        <v>3426</v>
      </c>
      <c r="I602">
        <v>10</v>
      </c>
    </row>
    <row r="603" spans="2:9" x14ac:dyDescent="0.3">
      <c r="B603" t="s">
        <v>546</v>
      </c>
      <c r="C603" t="s">
        <v>1818</v>
      </c>
      <c r="D603" t="s">
        <v>3149</v>
      </c>
      <c r="E603" s="2">
        <v>38576</v>
      </c>
      <c r="F603">
        <v>10</v>
      </c>
      <c r="G603">
        <v>1</v>
      </c>
      <c r="H603" t="s">
        <v>3426</v>
      </c>
      <c r="I603">
        <v>10</v>
      </c>
    </row>
    <row r="604" spans="2:9" x14ac:dyDescent="0.3">
      <c r="B604" t="s">
        <v>3427</v>
      </c>
      <c r="C604" t="s">
        <v>3428</v>
      </c>
      <c r="D604" t="s">
        <v>2634</v>
      </c>
      <c r="E604" s="2">
        <v>42314</v>
      </c>
      <c r="F604">
        <v>10</v>
      </c>
      <c r="G604">
        <v>1</v>
      </c>
      <c r="H604" t="s">
        <v>3429</v>
      </c>
      <c r="I604">
        <v>10</v>
      </c>
    </row>
    <row r="605" spans="2:9" x14ac:dyDescent="0.3">
      <c r="B605" t="s">
        <v>547</v>
      </c>
      <c r="C605" t="s">
        <v>1819</v>
      </c>
      <c r="D605" t="s">
        <v>2634</v>
      </c>
      <c r="E605" s="2">
        <v>35158</v>
      </c>
      <c r="F605">
        <v>10</v>
      </c>
      <c r="G605">
        <v>1</v>
      </c>
      <c r="H605" t="s">
        <v>3430</v>
      </c>
      <c r="I605">
        <v>10</v>
      </c>
    </row>
    <row r="606" spans="2:9" x14ac:dyDescent="0.3">
      <c r="B606" t="s">
        <v>548</v>
      </c>
      <c r="C606" t="s">
        <v>1820</v>
      </c>
      <c r="D606" t="s">
        <v>2634</v>
      </c>
      <c r="E606" s="2">
        <v>34787</v>
      </c>
      <c r="F606">
        <v>10</v>
      </c>
      <c r="G606">
        <v>1</v>
      </c>
      <c r="H606" t="s">
        <v>3431</v>
      </c>
      <c r="I606">
        <v>10</v>
      </c>
    </row>
    <row r="607" spans="2:9" x14ac:dyDescent="0.3">
      <c r="B607" t="s">
        <v>8</v>
      </c>
      <c r="C607" t="s">
        <v>1821</v>
      </c>
      <c r="D607" t="s">
        <v>2634</v>
      </c>
      <c r="E607" s="2">
        <v>34815</v>
      </c>
      <c r="F607">
        <v>10</v>
      </c>
      <c r="G607">
        <v>1</v>
      </c>
      <c r="H607" t="s">
        <v>3432</v>
      </c>
      <c r="I607">
        <v>10</v>
      </c>
    </row>
    <row r="608" spans="2:9" x14ac:dyDescent="0.3">
      <c r="B608" t="s">
        <v>549</v>
      </c>
      <c r="C608" t="s">
        <v>1822</v>
      </c>
      <c r="D608" t="s">
        <v>2634</v>
      </c>
      <c r="E608" s="2">
        <v>37994</v>
      </c>
      <c r="F608">
        <v>10</v>
      </c>
      <c r="G608">
        <v>1</v>
      </c>
      <c r="H608" t="s">
        <v>3433</v>
      </c>
      <c r="I608">
        <v>10</v>
      </c>
    </row>
    <row r="609" spans="2:9" x14ac:dyDescent="0.3">
      <c r="B609" t="s">
        <v>550</v>
      </c>
      <c r="C609" t="s">
        <v>1823</v>
      </c>
      <c r="D609" t="s">
        <v>2634</v>
      </c>
      <c r="E609" s="2">
        <v>37903</v>
      </c>
      <c r="F609">
        <v>10</v>
      </c>
      <c r="G609">
        <v>1</v>
      </c>
      <c r="H609" t="s">
        <v>3434</v>
      </c>
      <c r="I609">
        <v>10</v>
      </c>
    </row>
    <row r="610" spans="2:9" x14ac:dyDescent="0.3">
      <c r="B610" t="s">
        <v>9</v>
      </c>
      <c r="C610" t="s">
        <v>1824</v>
      </c>
      <c r="D610" t="s">
        <v>2634</v>
      </c>
      <c r="E610" s="2">
        <v>37981</v>
      </c>
      <c r="F610">
        <v>10</v>
      </c>
      <c r="G610">
        <v>1</v>
      </c>
      <c r="H610" t="s">
        <v>3435</v>
      </c>
      <c r="I610">
        <v>10</v>
      </c>
    </row>
    <row r="611" spans="2:9" x14ac:dyDescent="0.3">
      <c r="B611" t="s">
        <v>9</v>
      </c>
      <c r="C611" t="s">
        <v>1824</v>
      </c>
      <c r="D611" t="s">
        <v>3149</v>
      </c>
      <c r="E611" s="2">
        <v>37981</v>
      </c>
      <c r="F611">
        <v>10</v>
      </c>
      <c r="G611">
        <v>1</v>
      </c>
      <c r="H611" t="s">
        <v>3435</v>
      </c>
      <c r="I611">
        <v>10</v>
      </c>
    </row>
    <row r="612" spans="2:9" x14ac:dyDescent="0.3">
      <c r="B612" t="s">
        <v>551</v>
      </c>
      <c r="C612" t="s">
        <v>1825</v>
      </c>
      <c r="D612" t="s">
        <v>2634</v>
      </c>
      <c r="E612" s="2">
        <v>39111</v>
      </c>
      <c r="F612">
        <v>10</v>
      </c>
      <c r="G612">
        <v>1</v>
      </c>
      <c r="H612" t="s">
        <v>3436</v>
      </c>
      <c r="I612">
        <v>10</v>
      </c>
    </row>
    <row r="613" spans="2:9" x14ac:dyDescent="0.3">
      <c r="B613" t="s">
        <v>552</v>
      </c>
      <c r="C613" t="s">
        <v>1826</v>
      </c>
      <c r="D613" t="s">
        <v>2634</v>
      </c>
      <c r="E613" s="2">
        <v>38489</v>
      </c>
      <c r="F613">
        <v>2</v>
      </c>
      <c r="G613">
        <v>1</v>
      </c>
      <c r="H613" t="s">
        <v>3437</v>
      </c>
      <c r="I613">
        <v>2</v>
      </c>
    </row>
    <row r="614" spans="2:9" x14ac:dyDescent="0.3">
      <c r="B614" t="s">
        <v>553</v>
      </c>
      <c r="C614" t="s">
        <v>1827</v>
      </c>
      <c r="D614" t="s">
        <v>2634</v>
      </c>
      <c r="E614" s="2">
        <v>40407</v>
      </c>
      <c r="F614">
        <v>10</v>
      </c>
      <c r="G614">
        <v>1</v>
      </c>
      <c r="H614" t="s">
        <v>3438</v>
      </c>
      <c r="I614">
        <v>10</v>
      </c>
    </row>
    <row r="615" spans="2:9" x14ac:dyDescent="0.3">
      <c r="B615" t="s">
        <v>554</v>
      </c>
      <c r="C615" t="s">
        <v>1828</v>
      </c>
      <c r="D615" t="s">
        <v>2634</v>
      </c>
      <c r="E615" s="2">
        <v>39380</v>
      </c>
      <c r="F615">
        <v>10</v>
      </c>
      <c r="G615">
        <v>1</v>
      </c>
      <c r="H615" t="s">
        <v>3439</v>
      </c>
      <c r="I615">
        <v>10</v>
      </c>
    </row>
    <row r="616" spans="2:9" x14ac:dyDescent="0.3">
      <c r="B616" t="s">
        <v>555</v>
      </c>
      <c r="C616" t="s">
        <v>1829</v>
      </c>
      <c r="D616" t="s">
        <v>2634</v>
      </c>
      <c r="E616" s="2">
        <v>40267</v>
      </c>
      <c r="F616">
        <v>10</v>
      </c>
      <c r="G616">
        <v>1</v>
      </c>
      <c r="H616" t="s">
        <v>3440</v>
      </c>
      <c r="I616">
        <v>10</v>
      </c>
    </row>
    <row r="617" spans="2:9" x14ac:dyDescent="0.3">
      <c r="B617" t="s">
        <v>556</v>
      </c>
      <c r="C617" t="s">
        <v>1830</v>
      </c>
      <c r="D617" t="s">
        <v>2634</v>
      </c>
      <c r="E617" s="2">
        <v>40382</v>
      </c>
      <c r="F617">
        <v>10</v>
      </c>
      <c r="G617">
        <v>1</v>
      </c>
      <c r="H617" t="s">
        <v>3441</v>
      </c>
      <c r="I617">
        <v>10</v>
      </c>
    </row>
    <row r="618" spans="2:9" x14ac:dyDescent="0.3">
      <c r="B618" t="s">
        <v>557</v>
      </c>
      <c r="C618" t="s">
        <v>1831</v>
      </c>
      <c r="D618" t="s">
        <v>2634</v>
      </c>
      <c r="E618" s="2">
        <v>38632</v>
      </c>
      <c r="F618">
        <v>10</v>
      </c>
      <c r="G618">
        <v>1</v>
      </c>
      <c r="H618" t="s">
        <v>3442</v>
      </c>
      <c r="I618">
        <v>10</v>
      </c>
    </row>
    <row r="619" spans="2:9" x14ac:dyDescent="0.3">
      <c r="B619" t="s">
        <v>558</v>
      </c>
      <c r="C619" t="s">
        <v>1832</v>
      </c>
      <c r="D619" t="s">
        <v>2634</v>
      </c>
      <c r="E619" s="2">
        <v>38386</v>
      </c>
      <c r="F619">
        <v>10</v>
      </c>
      <c r="G619">
        <v>1</v>
      </c>
      <c r="H619" t="s">
        <v>3443</v>
      </c>
      <c r="I619">
        <v>10</v>
      </c>
    </row>
    <row r="620" spans="2:9" x14ac:dyDescent="0.3">
      <c r="B620" t="s">
        <v>559</v>
      </c>
      <c r="C620" t="s">
        <v>1833</v>
      </c>
      <c r="D620" t="s">
        <v>2634</v>
      </c>
      <c r="E620" s="2">
        <v>39729</v>
      </c>
      <c r="F620">
        <v>10</v>
      </c>
      <c r="G620">
        <v>1</v>
      </c>
      <c r="H620" t="s">
        <v>3444</v>
      </c>
      <c r="I620">
        <v>10</v>
      </c>
    </row>
    <row r="621" spans="2:9" x14ac:dyDescent="0.3">
      <c r="B621" t="s">
        <v>52</v>
      </c>
      <c r="C621" t="s">
        <v>1834</v>
      </c>
      <c r="D621" t="s">
        <v>2634</v>
      </c>
      <c r="E621" s="2">
        <v>35249</v>
      </c>
      <c r="F621">
        <v>1</v>
      </c>
      <c r="G621">
        <v>1</v>
      </c>
      <c r="H621" t="s">
        <v>3445</v>
      </c>
      <c r="I621">
        <v>1</v>
      </c>
    </row>
    <row r="622" spans="2:9" x14ac:dyDescent="0.3">
      <c r="B622" t="s">
        <v>560</v>
      </c>
      <c r="C622" t="s">
        <v>1835</v>
      </c>
      <c r="D622" t="s">
        <v>2634</v>
      </c>
      <c r="E622" s="2">
        <v>36677</v>
      </c>
      <c r="F622">
        <v>10</v>
      </c>
      <c r="G622">
        <v>1</v>
      </c>
      <c r="H622" t="s">
        <v>3446</v>
      </c>
      <c r="I622">
        <v>10</v>
      </c>
    </row>
    <row r="623" spans="2:9" x14ac:dyDescent="0.3">
      <c r="B623" t="s">
        <v>561</v>
      </c>
      <c r="C623" t="s">
        <v>1836</v>
      </c>
      <c r="D623" t="s">
        <v>2634</v>
      </c>
      <c r="E623" s="2">
        <v>38534</v>
      </c>
      <c r="F623">
        <v>10</v>
      </c>
      <c r="G623">
        <v>1</v>
      </c>
      <c r="H623" t="s">
        <v>3447</v>
      </c>
      <c r="I623">
        <v>10</v>
      </c>
    </row>
    <row r="624" spans="2:9" x14ac:dyDescent="0.3">
      <c r="B624" t="s">
        <v>562</v>
      </c>
      <c r="C624" t="s">
        <v>1837</v>
      </c>
      <c r="D624" t="s">
        <v>2634</v>
      </c>
      <c r="E624" s="2">
        <v>39142</v>
      </c>
      <c r="F624">
        <v>10</v>
      </c>
      <c r="G624">
        <v>1</v>
      </c>
      <c r="H624" t="s">
        <v>3448</v>
      </c>
      <c r="I624">
        <v>10</v>
      </c>
    </row>
    <row r="625" spans="2:9" x14ac:dyDescent="0.3">
      <c r="B625" t="s">
        <v>563</v>
      </c>
      <c r="C625" t="s">
        <v>1838</v>
      </c>
      <c r="D625" t="s">
        <v>2634</v>
      </c>
      <c r="E625" s="2">
        <v>35438</v>
      </c>
      <c r="F625">
        <v>10</v>
      </c>
      <c r="G625">
        <v>1</v>
      </c>
      <c r="H625" t="s">
        <v>3449</v>
      </c>
      <c r="I625">
        <v>10</v>
      </c>
    </row>
    <row r="626" spans="2:9" x14ac:dyDescent="0.3">
      <c r="B626" t="s">
        <v>564</v>
      </c>
      <c r="C626" t="s">
        <v>1839</v>
      </c>
      <c r="D626" t="s">
        <v>2634</v>
      </c>
      <c r="E626" s="2">
        <v>34941</v>
      </c>
      <c r="F626">
        <v>2</v>
      </c>
      <c r="G626">
        <v>1</v>
      </c>
      <c r="H626" t="s">
        <v>3450</v>
      </c>
      <c r="I626">
        <v>2</v>
      </c>
    </row>
    <row r="627" spans="2:9" x14ac:dyDescent="0.3">
      <c r="B627" t="s">
        <v>3451</v>
      </c>
      <c r="C627" t="s">
        <v>3452</v>
      </c>
      <c r="D627" t="s">
        <v>2634</v>
      </c>
      <c r="E627" s="2">
        <v>42318</v>
      </c>
      <c r="F627">
        <v>10</v>
      </c>
      <c r="G627">
        <v>1</v>
      </c>
      <c r="H627" t="s">
        <v>3453</v>
      </c>
      <c r="I627">
        <v>10</v>
      </c>
    </row>
    <row r="628" spans="2:9" x14ac:dyDescent="0.3">
      <c r="B628" t="s">
        <v>565</v>
      </c>
      <c r="C628" t="s">
        <v>1840</v>
      </c>
      <c r="D628" t="s">
        <v>2634</v>
      </c>
      <c r="E628" s="2">
        <v>35074</v>
      </c>
      <c r="F628">
        <v>10</v>
      </c>
      <c r="G628">
        <v>1</v>
      </c>
      <c r="H628" t="s">
        <v>3454</v>
      </c>
      <c r="I628">
        <v>10</v>
      </c>
    </row>
    <row r="629" spans="2:9" x14ac:dyDescent="0.3">
      <c r="B629" t="s">
        <v>566</v>
      </c>
      <c r="C629" t="s">
        <v>1841</v>
      </c>
      <c r="D629" t="s">
        <v>2634</v>
      </c>
      <c r="E629" s="2">
        <v>35557</v>
      </c>
      <c r="F629">
        <v>10</v>
      </c>
      <c r="G629">
        <v>1</v>
      </c>
      <c r="H629" t="s">
        <v>3455</v>
      </c>
      <c r="I629">
        <v>10</v>
      </c>
    </row>
    <row r="630" spans="2:9" x14ac:dyDescent="0.3">
      <c r="B630" t="s">
        <v>567</v>
      </c>
      <c r="C630" t="s">
        <v>1842</v>
      </c>
      <c r="D630" t="s">
        <v>2634</v>
      </c>
      <c r="E630" s="2">
        <v>38366</v>
      </c>
      <c r="F630">
        <v>2</v>
      </c>
      <c r="G630">
        <v>1</v>
      </c>
      <c r="H630" t="s">
        <v>3456</v>
      </c>
      <c r="I630">
        <v>2</v>
      </c>
    </row>
    <row r="631" spans="2:9" x14ac:dyDescent="0.3">
      <c r="B631" t="s">
        <v>568</v>
      </c>
      <c r="C631" t="s">
        <v>1843</v>
      </c>
      <c r="D631" t="s">
        <v>2634</v>
      </c>
      <c r="E631" s="2">
        <v>37792</v>
      </c>
      <c r="F631">
        <v>10</v>
      </c>
      <c r="G631">
        <v>1</v>
      </c>
      <c r="H631" t="s">
        <v>3457</v>
      </c>
      <c r="I631">
        <v>10</v>
      </c>
    </row>
    <row r="632" spans="2:9" x14ac:dyDescent="0.3">
      <c r="B632" t="s">
        <v>569</v>
      </c>
      <c r="C632" t="s">
        <v>1844</v>
      </c>
      <c r="D632" t="s">
        <v>2634</v>
      </c>
      <c r="E632" s="2">
        <v>40450</v>
      </c>
      <c r="F632">
        <v>10</v>
      </c>
      <c r="G632">
        <v>1</v>
      </c>
      <c r="H632" t="s">
        <v>3458</v>
      </c>
      <c r="I632">
        <v>10</v>
      </c>
    </row>
    <row r="633" spans="2:9" x14ac:dyDescent="0.3">
      <c r="B633" t="s">
        <v>570</v>
      </c>
      <c r="C633" t="s">
        <v>1845</v>
      </c>
      <c r="D633" t="s">
        <v>2634</v>
      </c>
      <c r="E633" s="2">
        <v>38792</v>
      </c>
      <c r="F633">
        <v>10</v>
      </c>
      <c r="G633">
        <v>1</v>
      </c>
      <c r="H633" t="s">
        <v>3459</v>
      </c>
      <c r="I633">
        <v>10</v>
      </c>
    </row>
    <row r="634" spans="2:9" x14ac:dyDescent="0.3">
      <c r="B634" t="s">
        <v>571</v>
      </c>
      <c r="C634" t="s">
        <v>1846</v>
      </c>
      <c r="D634" t="s">
        <v>2634</v>
      </c>
      <c r="E634" s="2">
        <v>40849</v>
      </c>
      <c r="F634">
        <v>10</v>
      </c>
      <c r="G634">
        <v>1</v>
      </c>
      <c r="H634" t="s">
        <v>3460</v>
      </c>
      <c r="I634">
        <v>10</v>
      </c>
    </row>
    <row r="635" spans="2:9" x14ac:dyDescent="0.3">
      <c r="B635" t="s">
        <v>572</v>
      </c>
      <c r="C635" t="s">
        <v>1847</v>
      </c>
      <c r="D635" t="s">
        <v>2634</v>
      </c>
      <c r="E635" s="2">
        <v>39339</v>
      </c>
      <c r="F635">
        <v>10</v>
      </c>
      <c r="G635">
        <v>1</v>
      </c>
      <c r="H635" t="s">
        <v>3461</v>
      </c>
      <c r="I635">
        <v>10</v>
      </c>
    </row>
    <row r="636" spans="2:9" x14ac:dyDescent="0.3">
      <c r="B636" t="s">
        <v>573</v>
      </c>
      <c r="C636" t="s">
        <v>1848</v>
      </c>
      <c r="D636" t="s">
        <v>2634</v>
      </c>
      <c r="E636" s="2">
        <v>35537</v>
      </c>
      <c r="F636">
        <v>10</v>
      </c>
      <c r="G636">
        <v>1</v>
      </c>
      <c r="H636" t="s">
        <v>3462</v>
      </c>
      <c r="I636">
        <v>10</v>
      </c>
    </row>
    <row r="637" spans="2:9" x14ac:dyDescent="0.3">
      <c r="B637" t="s">
        <v>574</v>
      </c>
      <c r="C637" t="s">
        <v>1849</v>
      </c>
      <c r="D637" t="s">
        <v>2634</v>
      </c>
      <c r="E637" s="2">
        <v>35613</v>
      </c>
      <c r="F637">
        <v>10</v>
      </c>
      <c r="G637">
        <v>1</v>
      </c>
      <c r="H637" t="s">
        <v>3463</v>
      </c>
      <c r="I637">
        <v>10</v>
      </c>
    </row>
    <row r="638" spans="2:9" x14ac:dyDescent="0.3">
      <c r="B638" t="s">
        <v>575</v>
      </c>
      <c r="C638" t="s">
        <v>1850</v>
      </c>
      <c r="D638" t="s">
        <v>2662</v>
      </c>
      <c r="E638" s="2">
        <v>38278</v>
      </c>
      <c r="F638">
        <v>2</v>
      </c>
      <c r="G638">
        <v>1</v>
      </c>
      <c r="H638" t="s">
        <v>3464</v>
      </c>
      <c r="I638">
        <v>2</v>
      </c>
    </row>
    <row r="639" spans="2:9" x14ac:dyDescent="0.3">
      <c r="B639" t="s">
        <v>576</v>
      </c>
      <c r="C639" t="s">
        <v>1851</v>
      </c>
      <c r="D639" t="s">
        <v>2634</v>
      </c>
      <c r="E639" s="2">
        <v>40613</v>
      </c>
      <c r="F639">
        <v>2</v>
      </c>
      <c r="G639">
        <v>1</v>
      </c>
      <c r="H639" t="s">
        <v>3465</v>
      </c>
      <c r="I639">
        <v>2</v>
      </c>
    </row>
    <row r="640" spans="2:9" x14ac:dyDescent="0.3">
      <c r="B640" t="s">
        <v>577</v>
      </c>
      <c r="C640" t="s">
        <v>1852</v>
      </c>
      <c r="D640" t="s">
        <v>2634</v>
      </c>
      <c r="E640" s="2">
        <v>35823</v>
      </c>
      <c r="F640">
        <v>10</v>
      </c>
      <c r="G640">
        <v>1</v>
      </c>
      <c r="H640" t="s">
        <v>3466</v>
      </c>
      <c r="I640">
        <v>10</v>
      </c>
    </row>
    <row r="641" spans="2:9" x14ac:dyDescent="0.3">
      <c r="B641" t="s">
        <v>3467</v>
      </c>
      <c r="C641" t="s">
        <v>3468</v>
      </c>
      <c r="D641" t="s">
        <v>2634</v>
      </c>
      <c r="E641" s="2">
        <v>34787</v>
      </c>
      <c r="F641">
        <v>10</v>
      </c>
      <c r="G641">
        <v>1</v>
      </c>
      <c r="H641" t="s">
        <v>3469</v>
      </c>
      <c r="I641">
        <v>10</v>
      </c>
    </row>
    <row r="642" spans="2:9" x14ac:dyDescent="0.3">
      <c r="B642" t="s">
        <v>3470</v>
      </c>
      <c r="C642" t="s">
        <v>3471</v>
      </c>
      <c r="D642" t="s">
        <v>2634</v>
      </c>
      <c r="E642" s="2">
        <v>42464</v>
      </c>
      <c r="F642">
        <v>10</v>
      </c>
      <c r="G642">
        <v>1</v>
      </c>
      <c r="H642" t="s">
        <v>3472</v>
      </c>
      <c r="I642">
        <v>10</v>
      </c>
    </row>
    <row r="643" spans="2:9" x14ac:dyDescent="0.3">
      <c r="B643" t="s">
        <v>578</v>
      </c>
      <c r="C643" t="s">
        <v>1853</v>
      </c>
      <c r="D643" t="s">
        <v>2634</v>
      </c>
      <c r="E643" s="2">
        <v>40212</v>
      </c>
      <c r="F643">
        <v>10</v>
      </c>
      <c r="G643">
        <v>1</v>
      </c>
      <c r="H643" t="s">
        <v>3473</v>
      </c>
      <c r="I643">
        <v>10</v>
      </c>
    </row>
    <row r="644" spans="2:9" x14ac:dyDescent="0.3">
      <c r="B644" t="s">
        <v>579</v>
      </c>
      <c r="C644" t="s">
        <v>3474</v>
      </c>
      <c r="D644" t="s">
        <v>2662</v>
      </c>
      <c r="E644" s="2">
        <v>39002</v>
      </c>
      <c r="F644">
        <v>10</v>
      </c>
      <c r="G644">
        <v>1</v>
      </c>
      <c r="H644" t="s">
        <v>3475</v>
      </c>
      <c r="I644">
        <v>10</v>
      </c>
    </row>
    <row r="645" spans="2:9" x14ac:dyDescent="0.3">
      <c r="B645" t="s">
        <v>30</v>
      </c>
      <c r="C645" t="s">
        <v>1854</v>
      </c>
      <c r="D645" t="s">
        <v>2634</v>
      </c>
      <c r="E645" s="2">
        <v>41271</v>
      </c>
      <c r="F645">
        <v>10</v>
      </c>
      <c r="G645">
        <v>1</v>
      </c>
      <c r="H645" t="s">
        <v>3476</v>
      </c>
      <c r="I645">
        <v>10</v>
      </c>
    </row>
    <row r="646" spans="2:9" x14ac:dyDescent="0.3">
      <c r="B646" t="s">
        <v>0</v>
      </c>
      <c r="C646" t="s">
        <v>1855</v>
      </c>
      <c r="D646" t="s">
        <v>2634</v>
      </c>
      <c r="E646" s="2">
        <v>34738</v>
      </c>
      <c r="F646">
        <v>5</v>
      </c>
      <c r="G646">
        <v>1</v>
      </c>
      <c r="H646" t="s">
        <v>3477</v>
      </c>
      <c r="I646">
        <v>5</v>
      </c>
    </row>
    <row r="647" spans="2:9" x14ac:dyDescent="0.3">
      <c r="B647" t="s">
        <v>580</v>
      </c>
      <c r="C647" t="s">
        <v>1856</v>
      </c>
      <c r="D647" t="s">
        <v>2634</v>
      </c>
      <c r="E647" s="2">
        <v>36265</v>
      </c>
      <c r="F647">
        <v>10</v>
      </c>
      <c r="G647">
        <v>1</v>
      </c>
      <c r="H647" t="s">
        <v>3478</v>
      </c>
      <c r="I647">
        <v>10</v>
      </c>
    </row>
    <row r="648" spans="2:9" x14ac:dyDescent="0.3">
      <c r="B648" t="s">
        <v>581</v>
      </c>
      <c r="C648" t="s">
        <v>1857</v>
      </c>
      <c r="D648" t="s">
        <v>2634</v>
      </c>
      <c r="E648" s="2">
        <v>38771</v>
      </c>
      <c r="F648">
        <v>10</v>
      </c>
      <c r="G648">
        <v>1</v>
      </c>
      <c r="H648" t="s">
        <v>3479</v>
      </c>
      <c r="I648">
        <v>10</v>
      </c>
    </row>
    <row r="649" spans="2:9" x14ac:dyDescent="0.3">
      <c r="B649" t="s">
        <v>3480</v>
      </c>
      <c r="C649" t="s">
        <v>3481</v>
      </c>
      <c r="D649" t="s">
        <v>2634</v>
      </c>
      <c r="E649" s="2">
        <v>42103</v>
      </c>
      <c r="F649">
        <v>10</v>
      </c>
      <c r="G649">
        <v>1</v>
      </c>
      <c r="H649" t="s">
        <v>3482</v>
      </c>
      <c r="I649">
        <v>10</v>
      </c>
    </row>
    <row r="650" spans="2:9" x14ac:dyDescent="0.3">
      <c r="B650" t="s">
        <v>582</v>
      </c>
      <c r="C650" t="s">
        <v>1858</v>
      </c>
      <c r="D650" t="s">
        <v>2634</v>
      </c>
      <c r="E650" s="2">
        <v>39232</v>
      </c>
      <c r="F650">
        <v>10</v>
      </c>
      <c r="G650">
        <v>1</v>
      </c>
      <c r="H650" t="s">
        <v>3483</v>
      </c>
      <c r="I650">
        <v>10</v>
      </c>
    </row>
    <row r="651" spans="2:9" x14ac:dyDescent="0.3">
      <c r="B651" t="s">
        <v>1292</v>
      </c>
      <c r="C651" t="s">
        <v>1859</v>
      </c>
      <c r="D651" t="s">
        <v>2662</v>
      </c>
      <c r="E651" s="2">
        <v>41506</v>
      </c>
      <c r="F651">
        <v>3</v>
      </c>
      <c r="G651">
        <v>1</v>
      </c>
      <c r="H651" t="s">
        <v>3484</v>
      </c>
      <c r="I651">
        <v>3</v>
      </c>
    </row>
    <row r="652" spans="2:9" x14ac:dyDescent="0.3">
      <c r="B652" t="s">
        <v>3485</v>
      </c>
      <c r="C652" t="s">
        <v>3486</v>
      </c>
      <c r="D652" t="s">
        <v>2634</v>
      </c>
      <c r="E652" s="2">
        <v>41991</v>
      </c>
      <c r="F652">
        <v>5</v>
      </c>
      <c r="G652">
        <v>1</v>
      </c>
      <c r="H652" t="s">
        <v>3487</v>
      </c>
      <c r="I652">
        <v>5</v>
      </c>
    </row>
    <row r="653" spans="2:9" x14ac:dyDescent="0.3">
      <c r="B653" t="s">
        <v>3488</v>
      </c>
      <c r="C653" t="s">
        <v>3489</v>
      </c>
      <c r="D653" t="s">
        <v>2634</v>
      </c>
      <c r="E653" s="2">
        <v>42817</v>
      </c>
      <c r="F653">
        <v>2</v>
      </c>
      <c r="G653">
        <v>1</v>
      </c>
      <c r="H653" t="s">
        <v>3490</v>
      </c>
      <c r="I653">
        <v>2</v>
      </c>
    </row>
    <row r="654" spans="2:9" x14ac:dyDescent="0.3">
      <c r="B654" t="s">
        <v>583</v>
      </c>
      <c r="C654" t="s">
        <v>1860</v>
      </c>
      <c r="D654" t="s">
        <v>2634</v>
      </c>
      <c r="E654" s="2">
        <v>40759</v>
      </c>
      <c r="F654">
        <v>10</v>
      </c>
      <c r="G654">
        <v>1</v>
      </c>
      <c r="H654" t="s">
        <v>3491</v>
      </c>
      <c r="I654">
        <v>10</v>
      </c>
    </row>
    <row r="655" spans="2:9" x14ac:dyDescent="0.3">
      <c r="B655" t="s">
        <v>584</v>
      </c>
      <c r="C655" t="s">
        <v>1861</v>
      </c>
      <c r="D655" t="s">
        <v>2634</v>
      </c>
      <c r="E655" s="2">
        <v>36867</v>
      </c>
      <c r="F655">
        <v>10</v>
      </c>
      <c r="G655">
        <v>1</v>
      </c>
      <c r="H655" t="s">
        <v>3492</v>
      </c>
      <c r="I655">
        <v>10</v>
      </c>
    </row>
    <row r="656" spans="2:9" x14ac:dyDescent="0.3">
      <c r="B656" t="s">
        <v>53</v>
      </c>
      <c r="C656" t="s">
        <v>1862</v>
      </c>
      <c r="D656" t="s">
        <v>2634</v>
      </c>
      <c r="E656" s="2">
        <v>35270</v>
      </c>
      <c r="F656">
        <v>10</v>
      </c>
      <c r="G656">
        <v>1</v>
      </c>
      <c r="H656" t="s">
        <v>3493</v>
      </c>
      <c r="I656">
        <v>10</v>
      </c>
    </row>
    <row r="657" spans="2:9" x14ac:dyDescent="0.3">
      <c r="B657" t="s">
        <v>585</v>
      </c>
      <c r="C657" t="s">
        <v>1863</v>
      </c>
      <c r="D657" t="s">
        <v>2634</v>
      </c>
      <c r="E657" s="2">
        <v>40490</v>
      </c>
      <c r="F657">
        <v>10</v>
      </c>
      <c r="G657">
        <v>1</v>
      </c>
      <c r="H657" t="s">
        <v>3494</v>
      </c>
      <c r="I657">
        <v>10</v>
      </c>
    </row>
    <row r="658" spans="2:9" x14ac:dyDescent="0.3">
      <c r="B658" t="s">
        <v>586</v>
      </c>
      <c r="C658" t="s">
        <v>1864</v>
      </c>
      <c r="D658" t="s">
        <v>2634</v>
      </c>
      <c r="E658" s="2">
        <v>38120</v>
      </c>
      <c r="F658">
        <v>10</v>
      </c>
      <c r="G658">
        <v>1</v>
      </c>
      <c r="H658" t="s">
        <v>3495</v>
      </c>
      <c r="I658">
        <v>10</v>
      </c>
    </row>
    <row r="659" spans="2:9" x14ac:dyDescent="0.3">
      <c r="B659" t="s">
        <v>54</v>
      </c>
      <c r="C659" t="s">
        <v>1865</v>
      </c>
      <c r="D659" t="s">
        <v>2634</v>
      </c>
      <c r="E659" s="2">
        <v>34738</v>
      </c>
      <c r="F659">
        <v>2</v>
      </c>
      <c r="G659">
        <v>1</v>
      </c>
      <c r="H659" t="s">
        <v>3496</v>
      </c>
      <c r="I659">
        <v>2</v>
      </c>
    </row>
    <row r="660" spans="2:9" x14ac:dyDescent="0.3">
      <c r="B660" t="s">
        <v>10</v>
      </c>
      <c r="C660" t="s">
        <v>1866</v>
      </c>
      <c r="D660" t="s">
        <v>2634</v>
      </c>
      <c r="E660" s="2">
        <v>39503</v>
      </c>
      <c r="F660">
        <v>10</v>
      </c>
      <c r="G660">
        <v>1</v>
      </c>
      <c r="H660" t="s">
        <v>3497</v>
      </c>
      <c r="I660">
        <v>10</v>
      </c>
    </row>
    <row r="661" spans="2:9" x14ac:dyDescent="0.3">
      <c r="B661" t="s">
        <v>587</v>
      </c>
      <c r="C661" t="s">
        <v>1867</v>
      </c>
      <c r="D661" t="s">
        <v>2634</v>
      </c>
      <c r="E661" s="2">
        <v>40280</v>
      </c>
      <c r="F661">
        <v>10</v>
      </c>
      <c r="G661">
        <v>1</v>
      </c>
      <c r="H661" t="s">
        <v>3498</v>
      </c>
      <c r="I661">
        <v>10</v>
      </c>
    </row>
    <row r="662" spans="2:9" x14ac:dyDescent="0.3">
      <c r="B662" t="s">
        <v>588</v>
      </c>
      <c r="C662" t="s">
        <v>1868</v>
      </c>
      <c r="D662" t="s">
        <v>2634</v>
      </c>
      <c r="E662" s="2">
        <v>39322</v>
      </c>
      <c r="F662">
        <v>5</v>
      </c>
      <c r="G662">
        <v>1</v>
      </c>
      <c r="H662" t="s">
        <v>3499</v>
      </c>
      <c r="I662">
        <v>5</v>
      </c>
    </row>
    <row r="663" spans="2:9" x14ac:dyDescent="0.3">
      <c r="B663" t="s">
        <v>589</v>
      </c>
      <c r="C663" t="s">
        <v>1869</v>
      </c>
      <c r="D663" t="s">
        <v>2634</v>
      </c>
      <c r="E663" s="2">
        <v>34934</v>
      </c>
      <c r="F663">
        <v>1</v>
      </c>
      <c r="G663">
        <v>1</v>
      </c>
      <c r="H663" t="s">
        <v>3500</v>
      </c>
      <c r="I663">
        <v>1</v>
      </c>
    </row>
    <row r="664" spans="2:9" x14ac:dyDescent="0.3">
      <c r="B664" t="s">
        <v>3501</v>
      </c>
      <c r="C664" t="s">
        <v>3502</v>
      </c>
      <c r="D664" t="s">
        <v>2634</v>
      </c>
      <c r="E664" s="2">
        <v>42734</v>
      </c>
      <c r="F664">
        <v>10</v>
      </c>
      <c r="G664">
        <v>1</v>
      </c>
      <c r="H664" t="s">
        <v>3503</v>
      </c>
      <c r="I664">
        <v>10</v>
      </c>
    </row>
    <row r="665" spans="2:9" x14ac:dyDescent="0.3">
      <c r="B665" t="s">
        <v>590</v>
      </c>
      <c r="C665" t="s">
        <v>1870</v>
      </c>
      <c r="D665" t="s">
        <v>2634</v>
      </c>
      <c r="E665" s="2">
        <v>36201</v>
      </c>
      <c r="F665">
        <v>1</v>
      </c>
      <c r="G665">
        <v>1</v>
      </c>
      <c r="H665" t="s">
        <v>3504</v>
      </c>
      <c r="I665">
        <v>1</v>
      </c>
    </row>
    <row r="666" spans="2:9" x14ac:dyDescent="0.3">
      <c r="B666" t="s">
        <v>591</v>
      </c>
      <c r="C666" t="s">
        <v>1871</v>
      </c>
      <c r="D666" t="s">
        <v>2634</v>
      </c>
      <c r="E666" s="2">
        <v>37879</v>
      </c>
      <c r="F666">
        <v>10</v>
      </c>
      <c r="G666">
        <v>1</v>
      </c>
      <c r="H666" t="s">
        <v>3505</v>
      </c>
      <c r="I666">
        <v>10</v>
      </c>
    </row>
    <row r="667" spans="2:9" x14ac:dyDescent="0.3">
      <c r="B667" t="s">
        <v>592</v>
      </c>
      <c r="C667" t="s">
        <v>1872</v>
      </c>
      <c r="D667" t="s">
        <v>2634</v>
      </c>
      <c r="E667" s="2">
        <v>36418</v>
      </c>
      <c r="F667">
        <v>2</v>
      </c>
      <c r="G667">
        <v>1</v>
      </c>
      <c r="H667" t="s">
        <v>3506</v>
      </c>
      <c r="I667">
        <v>2</v>
      </c>
    </row>
    <row r="668" spans="2:9" x14ac:dyDescent="0.3">
      <c r="B668" t="s">
        <v>593</v>
      </c>
      <c r="C668" t="s">
        <v>1873</v>
      </c>
      <c r="D668" t="s">
        <v>2634</v>
      </c>
      <c r="E668" s="2">
        <v>34955</v>
      </c>
      <c r="F668">
        <v>10</v>
      </c>
      <c r="G668">
        <v>1</v>
      </c>
      <c r="H668" t="s">
        <v>3507</v>
      </c>
      <c r="I668">
        <v>10</v>
      </c>
    </row>
    <row r="669" spans="2:9" x14ac:dyDescent="0.3">
      <c r="B669" t="s">
        <v>594</v>
      </c>
      <c r="C669" t="s">
        <v>1874</v>
      </c>
      <c r="D669" t="s">
        <v>2634</v>
      </c>
      <c r="E669" s="2">
        <v>36593</v>
      </c>
      <c r="F669">
        <v>2</v>
      </c>
      <c r="G669">
        <v>1</v>
      </c>
      <c r="H669" t="s">
        <v>3508</v>
      </c>
      <c r="I669">
        <v>2</v>
      </c>
    </row>
    <row r="670" spans="2:9" x14ac:dyDescent="0.3">
      <c r="B670" t="s">
        <v>3509</v>
      </c>
      <c r="C670" t="s">
        <v>3510</v>
      </c>
      <c r="D670" t="s">
        <v>2634</v>
      </c>
      <c r="E670" s="2">
        <v>39118</v>
      </c>
      <c r="F670">
        <v>10</v>
      </c>
      <c r="G670">
        <v>1</v>
      </c>
      <c r="H670" t="s">
        <v>3511</v>
      </c>
      <c r="I670">
        <v>10</v>
      </c>
    </row>
    <row r="671" spans="2:9" x14ac:dyDescent="0.3">
      <c r="B671" t="s">
        <v>58</v>
      </c>
      <c r="C671" t="s">
        <v>1875</v>
      </c>
      <c r="D671" t="s">
        <v>2634</v>
      </c>
      <c r="E671" s="2">
        <v>35998</v>
      </c>
      <c r="F671">
        <v>1</v>
      </c>
      <c r="G671">
        <v>1</v>
      </c>
      <c r="H671" t="s">
        <v>3512</v>
      </c>
      <c r="I671">
        <v>1</v>
      </c>
    </row>
    <row r="672" spans="2:9" x14ac:dyDescent="0.3">
      <c r="B672" t="s">
        <v>595</v>
      </c>
      <c r="C672" t="s">
        <v>1876</v>
      </c>
      <c r="D672" t="s">
        <v>2634</v>
      </c>
      <c r="E672" s="2">
        <v>38770</v>
      </c>
      <c r="F672">
        <v>2</v>
      </c>
      <c r="G672">
        <v>1</v>
      </c>
      <c r="H672" t="s">
        <v>3513</v>
      </c>
      <c r="I672">
        <v>2</v>
      </c>
    </row>
    <row r="673" spans="2:9" x14ac:dyDescent="0.3">
      <c r="B673" t="s">
        <v>596</v>
      </c>
      <c r="C673" t="s">
        <v>1877</v>
      </c>
      <c r="D673" t="s">
        <v>2634</v>
      </c>
      <c r="E673" s="2">
        <v>36586</v>
      </c>
      <c r="F673">
        <v>5</v>
      </c>
      <c r="G673">
        <v>1</v>
      </c>
      <c r="H673" t="s">
        <v>3514</v>
      </c>
      <c r="I673">
        <v>5</v>
      </c>
    </row>
    <row r="674" spans="2:9" x14ac:dyDescent="0.3">
      <c r="B674" t="s">
        <v>597</v>
      </c>
      <c r="C674" t="s">
        <v>1878</v>
      </c>
      <c r="D674" t="s">
        <v>2634</v>
      </c>
      <c r="E674" s="2">
        <v>37964</v>
      </c>
      <c r="F674">
        <v>10</v>
      </c>
      <c r="G674">
        <v>1</v>
      </c>
      <c r="H674" t="s">
        <v>3515</v>
      </c>
      <c r="I674">
        <v>10</v>
      </c>
    </row>
    <row r="675" spans="2:9" x14ac:dyDescent="0.3">
      <c r="B675" t="s">
        <v>598</v>
      </c>
      <c r="C675" t="s">
        <v>1879</v>
      </c>
      <c r="D675" t="s">
        <v>2634</v>
      </c>
      <c r="E675" s="2">
        <v>35760</v>
      </c>
      <c r="F675">
        <v>1</v>
      </c>
      <c r="G675">
        <v>1</v>
      </c>
      <c r="H675" t="s">
        <v>3516</v>
      </c>
      <c r="I675">
        <v>1</v>
      </c>
    </row>
    <row r="676" spans="2:9" x14ac:dyDescent="0.3">
      <c r="B676" t="s">
        <v>599</v>
      </c>
      <c r="C676" t="s">
        <v>1880</v>
      </c>
      <c r="D676" t="s">
        <v>2634</v>
      </c>
      <c r="E676" s="2">
        <v>40968</v>
      </c>
      <c r="F676">
        <v>10</v>
      </c>
      <c r="G676">
        <v>1</v>
      </c>
      <c r="H676" t="s">
        <v>3517</v>
      </c>
      <c r="I676">
        <v>10</v>
      </c>
    </row>
    <row r="677" spans="2:9" x14ac:dyDescent="0.3">
      <c r="B677" t="s">
        <v>1293</v>
      </c>
      <c r="C677" t="s">
        <v>1881</v>
      </c>
      <c r="D677" t="s">
        <v>2662</v>
      </c>
      <c r="E677" s="2">
        <v>36691</v>
      </c>
      <c r="F677">
        <v>10</v>
      </c>
      <c r="G677">
        <v>1</v>
      </c>
      <c r="H677" t="s">
        <v>3518</v>
      </c>
      <c r="I677">
        <v>10</v>
      </c>
    </row>
    <row r="678" spans="2:9" x14ac:dyDescent="0.3">
      <c r="B678" t="s">
        <v>600</v>
      </c>
      <c r="C678" t="s">
        <v>1882</v>
      </c>
      <c r="D678" t="s">
        <v>2634</v>
      </c>
      <c r="E678" s="2">
        <v>40522</v>
      </c>
      <c r="F678">
        <v>5</v>
      </c>
      <c r="G678">
        <v>1</v>
      </c>
      <c r="H678" t="s">
        <v>3519</v>
      </c>
      <c r="I678">
        <v>5</v>
      </c>
    </row>
    <row r="679" spans="2:9" x14ac:dyDescent="0.3">
      <c r="B679" t="s">
        <v>601</v>
      </c>
      <c r="C679" t="s">
        <v>1883</v>
      </c>
      <c r="D679" t="s">
        <v>2634</v>
      </c>
      <c r="E679" s="2">
        <v>35172</v>
      </c>
      <c r="F679">
        <v>5</v>
      </c>
      <c r="G679">
        <v>1</v>
      </c>
      <c r="H679" t="s">
        <v>3520</v>
      </c>
      <c r="I679">
        <v>5</v>
      </c>
    </row>
    <row r="680" spans="2:9" x14ac:dyDescent="0.3">
      <c r="B680" t="s">
        <v>602</v>
      </c>
      <c r="C680" t="s">
        <v>1884</v>
      </c>
      <c r="D680" t="s">
        <v>2634</v>
      </c>
      <c r="E680" s="2">
        <v>35067</v>
      </c>
      <c r="F680">
        <v>5</v>
      </c>
      <c r="G680">
        <v>1</v>
      </c>
      <c r="H680" t="s">
        <v>3521</v>
      </c>
      <c r="I680">
        <v>5</v>
      </c>
    </row>
    <row r="681" spans="2:9" x14ac:dyDescent="0.3">
      <c r="B681" t="s">
        <v>603</v>
      </c>
      <c r="C681" t="s">
        <v>1885</v>
      </c>
      <c r="D681" t="s">
        <v>2634</v>
      </c>
      <c r="E681" s="2">
        <v>34829</v>
      </c>
      <c r="F681">
        <v>10</v>
      </c>
      <c r="G681">
        <v>1</v>
      </c>
      <c r="H681" t="s">
        <v>3522</v>
      </c>
      <c r="I681">
        <v>10</v>
      </c>
    </row>
    <row r="682" spans="2:9" x14ac:dyDescent="0.3">
      <c r="B682" t="s">
        <v>604</v>
      </c>
      <c r="C682" t="s">
        <v>1886</v>
      </c>
      <c r="D682" t="s">
        <v>2634</v>
      </c>
      <c r="E682" s="2">
        <v>34745</v>
      </c>
      <c r="F682">
        <v>5</v>
      </c>
      <c r="G682">
        <v>1</v>
      </c>
      <c r="H682" t="s">
        <v>3523</v>
      </c>
      <c r="I682">
        <v>5</v>
      </c>
    </row>
    <row r="683" spans="2:9" x14ac:dyDescent="0.3">
      <c r="B683" t="s">
        <v>605</v>
      </c>
      <c r="C683" t="s">
        <v>1887</v>
      </c>
      <c r="D683" t="s">
        <v>2634</v>
      </c>
      <c r="E683" s="2">
        <v>37740</v>
      </c>
      <c r="F683">
        <v>2</v>
      </c>
      <c r="G683">
        <v>1</v>
      </c>
      <c r="H683" t="s">
        <v>3524</v>
      </c>
      <c r="I683">
        <v>2</v>
      </c>
    </row>
    <row r="684" spans="2:9" x14ac:dyDescent="0.3">
      <c r="B684" t="s">
        <v>606</v>
      </c>
      <c r="C684" t="s">
        <v>1888</v>
      </c>
      <c r="D684" t="s">
        <v>2634</v>
      </c>
      <c r="E684" s="2">
        <v>38042</v>
      </c>
      <c r="F684">
        <v>10</v>
      </c>
      <c r="G684">
        <v>1</v>
      </c>
      <c r="H684" t="s">
        <v>3525</v>
      </c>
      <c r="I684">
        <v>10</v>
      </c>
    </row>
    <row r="685" spans="2:9" x14ac:dyDescent="0.3">
      <c r="B685" t="s">
        <v>607</v>
      </c>
      <c r="C685" t="s">
        <v>1889</v>
      </c>
      <c r="D685" t="s">
        <v>2634</v>
      </c>
      <c r="E685" s="2">
        <v>38338</v>
      </c>
      <c r="F685">
        <v>5</v>
      </c>
      <c r="G685">
        <v>1</v>
      </c>
      <c r="H685" t="s">
        <v>3526</v>
      </c>
      <c r="I685">
        <v>5</v>
      </c>
    </row>
    <row r="686" spans="2:9" x14ac:dyDescent="0.3">
      <c r="B686" t="s">
        <v>3527</v>
      </c>
      <c r="C686" t="s">
        <v>3528</v>
      </c>
      <c r="D686" t="s">
        <v>2634</v>
      </c>
      <c r="E686" s="2">
        <v>36528</v>
      </c>
      <c r="F686">
        <v>10</v>
      </c>
      <c r="G686">
        <v>1</v>
      </c>
      <c r="H686" t="s">
        <v>3529</v>
      </c>
      <c r="I686">
        <v>10</v>
      </c>
    </row>
    <row r="687" spans="2:9" x14ac:dyDescent="0.3">
      <c r="B687" t="s">
        <v>608</v>
      </c>
      <c r="C687" t="s">
        <v>1890</v>
      </c>
      <c r="D687" t="s">
        <v>2662</v>
      </c>
      <c r="E687" s="2">
        <v>36775</v>
      </c>
      <c r="F687">
        <v>2</v>
      </c>
      <c r="G687">
        <v>1</v>
      </c>
      <c r="H687" t="s">
        <v>3530</v>
      </c>
      <c r="I687">
        <v>2</v>
      </c>
    </row>
    <row r="688" spans="2:9" x14ac:dyDescent="0.3">
      <c r="B688" t="s">
        <v>609</v>
      </c>
      <c r="C688" t="s">
        <v>1891</v>
      </c>
      <c r="D688" t="s">
        <v>2634</v>
      </c>
      <c r="E688" s="2">
        <v>38425</v>
      </c>
      <c r="F688">
        <v>10</v>
      </c>
      <c r="G688">
        <v>1</v>
      </c>
      <c r="H688" t="s">
        <v>3531</v>
      </c>
      <c r="I688">
        <v>10</v>
      </c>
    </row>
    <row r="689" spans="2:9" x14ac:dyDescent="0.3">
      <c r="B689" t="s">
        <v>610</v>
      </c>
      <c r="C689" t="s">
        <v>1892</v>
      </c>
      <c r="D689" t="s">
        <v>2662</v>
      </c>
      <c r="E689" s="2">
        <v>39011</v>
      </c>
      <c r="F689">
        <v>10</v>
      </c>
      <c r="G689">
        <v>1</v>
      </c>
      <c r="H689" t="s">
        <v>3532</v>
      </c>
      <c r="I689">
        <v>10</v>
      </c>
    </row>
    <row r="690" spans="2:9" x14ac:dyDescent="0.3">
      <c r="B690" t="s">
        <v>1294</v>
      </c>
      <c r="C690" t="s">
        <v>1893</v>
      </c>
      <c r="D690" t="s">
        <v>2662</v>
      </c>
      <c r="E690" s="2">
        <v>39778</v>
      </c>
      <c r="F690">
        <v>10</v>
      </c>
      <c r="G690">
        <v>1</v>
      </c>
      <c r="H690" t="s">
        <v>3533</v>
      </c>
      <c r="I690">
        <v>10</v>
      </c>
    </row>
    <row r="691" spans="2:9" x14ac:dyDescent="0.3">
      <c r="B691" t="s">
        <v>611</v>
      </c>
      <c r="C691" t="s">
        <v>1894</v>
      </c>
      <c r="D691" t="s">
        <v>2662</v>
      </c>
      <c r="E691" s="2">
        <v>38449</v>
      </c>
      <c r="F691">
        <v>10</v>
      </c>
      <c r="G691">
        <v>1</v>
      </c>
      <c r="H691" t="s">
        <v>3534</v>
      </c>
      <c r="I691">
        <v>10</v>
      </c>
    </row>
    <row r="692" spans="2:9" x14ac:dyDescent="0.3">
      <c r="B692" t="s">
        <v>612</v>
      </c>
      <c r="C692" t="s">
        <v>1895</v>
      </c>
      <c r="D692" t="s">
        <v>2634</v>
      </c>
      <c r="E692" s="2">
        <v>37277</v>
      </c>
      <c r="F692">
        <v>10</v>
      </c>
      <c r="G692">
        <v>1</v>
      </c>
      <c r="H692" t="s">
        <v>3535</v>
      </c>
      <c r="I692">
        <v>10</v>
      </c>
    </row>
    <row r="693" spans="2:9" x14ac:dyDescent="0.3">
      <c r="B693" t="s">
        <v>613</v>
      </c>
      <c r="C693" t="s">
        <v>1896</v>
      </c>
      <c r="D693" t="s">
        <v>2634</v>
      </c>
      <c r="E693" s="2">
        <v>37740</v>
      </c>
      <c r="F693">
        <v>2</v>
      </c>
      <c r="G693">
        <v>1</v>
      </c>
      <c r="H693" t="s">
        <v>3536</v>
      </c>
      <c r="I693">
        <v>2</v>
      </c>
    </row>
    <row r="694" spans="2:9" x14ac:dyDescent="0.3">
      <c r="B694" t="s">
        <v>614</v>
      </c>
      <c r="C694" t="s">
        <v>1897</v>
      </c>
      <c r="D694" t="s">
        <v>2634</v>
      </c>
      <c r="E694" s="2">
        <v>36523</v>
      </c>
      <c r="F694">
        <v>1</v>
      </c>
      <c r="G694">
        <v>1</v>
      </c>
      <c r="H694" t="s">
        <v>3537</v>
      </c>
      <c r="I694">
        <v>1</v>
      </c>
    </row>
    <row r="695" spans="2:9" x14ac:dyDescent="0.3">
      <c r="B695" t="s">
        <v>615</v>
      </c>
      <c r="C695" t="s">
        <v>1898</v>
      </c>
      <c r="D695" t="s">
        <v>2634</v>
      </c>
      <c r="E695" s="2">
        <v>40078</v>
      </c>
      <c r="F695">
        <v>10</v>
      </c>
      <c r="G695">
        <v>1</v>
      </c>
      <c r="H695" t="s">
        <v>3538</v>
      </c>
      <c r="I695">
        <v>10</v>
      </c>
    </row>
    <row r="696" spans="2:9" x14ac:dyDescent="0.3">
      <c r="B696" t="s">
        <v>616</v>
      </c>
      <c r="C696" t="s">
        <v>1899</v>
      </c>
      <c r="D696" t="s">
        <v>2634</v>
      </c>
      <c r="E696" s="2">
        <v>39073</v>
      </c>
      <c r="F696">
        <v>5</v>
      </c>
      <c r="G696">
        <v>1</v>
      </c>
      <c r="H696" t="s">
        <v>3539</v>
      </c>
      <c r="I696">
        <v>5</v>
      </c>
    </row>
    <row r="697" spans="2:9" x14ac:dyDescent="0.3">
      <c r="B697" t="s">
        <v>617</v>
      </c>
      <c r="C697" t="s">
        <v>1900</v>
      </c>
      <c r="D697" t="s">
        <v>2634</v>
      </c>
      <c r="E697" s="2">
        <v>40507</v>
      </c>
      <c r="F697">
        <v>10</v>
      </c>
      <c r="G697">
        <v>1</v>
      </c>
      <c r="H697" t="s">
        <v>3540</v>
      </c>
      <c r="I697">
        <v>10</v>
      </c>
    </row>
    <row r="698" spans="2:9" x14ac:dyDescent="0.3">
      <c r="B698" t="s">
        <v>3541</v>
      </c>
      <c r="C698" t="s">
        <v>1901</v>
      </c>
      <c r="D698" t="s">
        <v>2634</v>
      </c>
      <c r="E698" s="2">
        <v>40877</v>
      </c>
      <c r="F698">
        <v>2</v>
      </c>
      <c r="G698">
        <v>1</v>
      </c>
      <c r="H698" t="s">
        <v>3542</v>
      </c>
      <c r="I698">
        <v>2</v>
      </c>
    </row>
    <row r="699" spans="2:9" x14ac:dyDescent="0.3">
      <c r="B699" t="s">
        <v>56</v>
      </c>
      <c r="C699" t="s">
        <v>1901</v>
      </c>
      <c r="D699" t="s">
        <v>2634</v>
      </c>
      <c r="E699" s="2">
        <v>37116</v>
      </c>
      <c r="F699">
        <v>2</v>
      </c>
      <c r="G699">
        <v>1</v>
      </c>
      <c r="H699" t="s">
        <v>3543</v>
      </c>
      <c r="I699">
        <v>2</v>
      </c>
    </row>
    <row r="700" spans="2:9" x14ac:dyDescent="0.3">
      <c r="B700" t="s">
        <v>3544</v>
      </c>
      <c r="C700" t="s">
        <v>3545</v>
      </c>
      <c r="D700" t="s">
        <v>2662</v>
      </c>
      <c r="E700" s="2">
        <v>42793</v>
      </c>
      <c r="F700">
        <v>2</v>
      </c>
      <c r="G700">
        <v>1</v>
      </c>
      <c r="H700" t="s">
        <v>3546</v>
      </c>
      <c r="I700">
        <v>2</v>
      </c>
    </row>
    <row r="701" spans="2:9" x14ac:dyDescent="0.3">
      <c r="B701" t="s">
        <v>618</v>
      </c>
      <c r="C701" t="s">
        <v>1902</v>
      </c>
      <c r="D701" t="s">
        <v>2634</v>
      </c>
      <c r="E701" s="2">
        <v>38790</v>
      </c>
      <c r="F701">
        <v>10</v>
      </c>
      <c r="G701">
        <v>1</v>
      </c>
      <c r="H701" t="s">
        <v>3547</v>
      </c>
      <c r="I701">
        <v>10</v>
      </c>
    </row>
    <row r="702" spans="2:9" x14ac:dyDescent="0.3">
      <c r="B702" t="s">
        <v>619</v>
      </c>
      <c r="C702" t="s">
        <v>1903</v>
      </c>
      <c r="D702" t="s">
        <v>2634</v>
      </c>
      <c r="E702" s="2">
        <v>39490</v>
      </c>
      <c r="F702">
        <v>5</v>
      </c>
      <c r="G702">
        <v>1</v>
      </c>
      <c r="H702" t="s">
        <v>3548</v>
      </c>
      <c r="I702">
        <v>5</v>
      </c>
    </row>
    <row r="703" spans="2:9" x14ac:dyDescent="0.3">
      <c r="B703" t="s">
        <v>620</v>
      </c>
      <c r="C703" t="s">
        <v>1904</v>
      </c>
      <c r="D703" t="s">
        <v>2634</v>
      </c>
      <c r="E703" s="2">
        <v>38887</v>
      </c>
      <c r="F703">
        <v>5</v>
      </c>
      <c r="G703">
        <v>1</v>
      </c>
      <c r="H703" t="s">
        <v>3549</v>
      </c>
      <c r="I703">
        <v>5</v>
      </c>
    </row>
    <row r="704" spans="2:9" x14ac:dyDescent="0.3">
      <c r="B704" t="s">
        <v>621</v>
      </c>
      <c r="C704" t="s">
        <v>1905</v>
      </c>
      <c r="D704" t="s">
        <v>2634</v>
      </c>
      <c r="E704" s="2">
        <v>38519</v>
      </c>
      <c r="F704">
        <v>10</v>
      </c>
      <c r="G704">
        <v>1</v>
      </c>
      <c r="H704" t="s">
        <v>3550</v>
      </c>
      <c r="I704">
        <v>10</v>
      </c>
    </row>
    <row r="705" spans="2:9" x14ac:dyDescent="0.3">
      <c r="B705" t="s">
        <v>622</v>
      </c>
      <c r="C705" t="s">
        <v>1906</v>
      </c>
      <c r="D705" t="s">
        <v>2634</v>
      </c>
      <c r="E705" s="2">
        <v>39160</v>
      </c>
      <c r="F705">
        <v>2</v>
      </c>
      <c r="G705">
        <v>1</v>
      </c>
      <c r="H705" t="s">
        <v>3551</v>
      </c>
      <c r="I705">
        <v>2</v>
      </c>
    </row>
    <row r="706" spans="2:9" x14ac:dyDescent="0.3">
      <c r="B706" t="s">
        <v>3552</v>
      </c>
      <c r="C706" t="s">
        <v>3553</v>
      </c>
      <c r="D706" t="s">
        <v>2634</v>
      </c>
      <c r="E706" s="2">
        <v>42079</v>
      </c>
      <c r="F706">
        <v>10</v>
      </c>
      <c r="G706">
        <v>1</v>
      </c>
      <c r="H706" t="s">
        <v>3554</v>
      </c>
      <c r="I706">
        <v>10</v>
      </c>
    </row>
    <row r="707" spans="2:9" x14ac:dyDescent="0.3">
      <c r="B707" t="s">
        <v>623</v>
      </c>
      <c r="C707" t="s">
        <v>1907</v>
      </c>
      <c r="D707" t="s">
        <v>2634</v>
      </c>
      <c r="E707" s="2">
        <v>39412</v>
      </c>
      <c r="F707">
        <v>10</v>
      </c>
      <c r="G707">
        <v>1</v>
      </c>
      <c r="H707" t="s">
        <v>3555</v>
      </c>
      <c r="I707">
        <v>10</v>
      </c>
    </row>
    <row r="708" spans="2:9" x14ac:dyDescent="0.3">
      <c r="B708" t="s">
        <v>624</v>
      </c>
      <c r="C708" t="s">
        <v>1908</v>
      </c>
      <c r="D708" t="s">
        <v>2634</v>
      </c>
      <c r="E708" s="2">
        <v>39000</v>
      </c>
      <c r="F708">
        <v>1</v>
      </c>
      <c r="G708">
        <v>1</v>
      </c>
      <c r="H708" t="s">
        <v>3556</v>
      </c>
      <c r="I708">
        <v>1</v>
      </c>
    </row>
    <row r="709" spans="2:9" x14ac:dyDescent="0.3">
      <c r="B709" t="s">
        <v>625</v>
      </c>
      <c r="C709" t="s">
        <v>1909</v>
      </c>
      <c r="D709" t="s">
        <v>2634</v>
      </c>
      <c r="E709" s="2">
        <v>39174</v>
      </c>
      <c r="F709">
        <v>1</v>
      </c>
      <c r="G709">
        <v>1</v>
      </c>
      <c r="H709" t="s">
        <v>3557</v>
      </c>
      <c r="I709">
        <v>1</v>
      </c>
    </row>
    <row r="710" spans="2:9" x14ac:dyDescent="0.3">
      <c r="B710" t="s">
        <v>626</v>
      </c>
      <c r="C710" t="s">
        <v>1910</v>
      </c>
      <c r="D710" t="s">
        <v>2634</v>
      </c>
      <c r="E710" s="2">
        <v>39729</v>
      </c>
      <c r="F710">
        <v>10</v>
      </c>
      <c r="G710">
        <v>1</v>
      </c>
      <c r="H710" t="s">
        <v>3558</v>
      </c>
      <c r="I710">
        <v>10</v>
      </c>
    </row>
    <row r="711" spans="2:9" x14ac:dyDescent="0.3">
      <c r="B711" t="s">
        <v>57</v>
      </c>
      <c r="C711" t="s">
        <v>1911</v>
      </c>
      <c r="D711" t="s">
        <v>2634</v>
      </c>
      <c r="E711" s="2">
        <v>38152</v>
      </c>
      <c r="F711">
        <v>2</v>
      </c>
      <c r="G711">
        <v>1</v>
      </c>
      <c r="H711" t="s">
        <v>3559</v>
      </c>
      <c r="I711">
        <v>2</v>
      </c>
    </row>
    <row r="712" spans="2:9" x14ac:dyDescent="0.3">
      <c r="B712" t="s">
        <v>627</v>
      </c>
      <c r="C712" t="s">
        <v>1912</v>
      </c>
      <c r="D712" t="s">
        <v>2634</v>
      </c>
      <c r="E712" s="2">
        <v>40319</v>
      </c>
      <c r="F712">
        <v>10</v>
      </c>
      <c r="G712">
        <v>1</v>
      </c>
      <c r="H712" t="s">
        <v>3560</v>
      </c>
      <c r="I712">
        <v>10</v>
      </c>
    </row>
    <row r="713" spans="2:9" x14ac:dyDescent="0.3">
      <c r="B713" t="s">
        <v>628</v>
      </c>
      <c r="C713" t="s">
        <v>1913</v>
      </c>
      <c r="D713" t="s">
        <v>2634</v>
      </c>
      <c r="E713" s="2">
        <v>41589</v>
      </c>
      <c r="F713">
        <v>10</v>
      </c>
      <c r="G713">
        <v>1</v>
      </c>
      <c r="H713" t="s">
        <v>3561</v>
      </c>
      <c r="I713">
        <v>10</v>
      </c>
    </row>
    <row r="714" spans="2:9" x14ac:dyDescent="0.3">
      <c r="B714" t="s">
        <v>629</v>
      </c>
      <c r="C714" t="s">
        <v>1914</v>
      </c>
      <c r="D714" t="s">
        <v>2634</v>
      </c>
      <c r="E714" s="2">
        <v>38460</v>
      </c>
      <c r="F714">
        <v>10</v>
      </c>
      <c r="G714">
        <v>1</v>
      </c>
      <c r="H714" t="s">
        <v>3562</v>
      </c>
      <c r="I714">
        <v>10</v>
      </c>
    </row>
    <row r="715" spans="2:9" x14ac:dyDescent="0.3">
      <c r="B715" t="s">
        <v>630</v>
      </c>
      <c r="C715" t="s">
        <v>1915</v>
      </c>
      <c r="D715" t="s">
        <v>2634</v>
      </c>
      <c r="E715" s="2">
        <v>37942</v>
      </c>
      <c r="F715">
        <v>2</v>
      </c>
      <c r="G715">
        <v>1</v>
      </c>
      <c r="H715" t="s">
        <v>3563</v>
      </c>
      <c r="I715">
        <v>2</v>
      </c>
    </row>
    <row r="716" spans="2:9" x14ac:dyDescent="0.3">
      <c r="B716" t="s">
        <v>3564</v>
      </c>
      <c r="C716" t="s">
        <v>3565</v>
      </c>
      <c r="D716" t="s">
        <v>2634</v>
      </c>
      <c r="E716" s="2">
        <v>42397</v>
      </c>
      <c r="F716">
        <v>2</v>
      </c>
      <c r="G716">
        <v>1</v>
      </c>
      <c r="H716" t="s">
        <v>3566</v>
      </c>
      <c r="I716">
        <v>2</v>
      </c>
    </row>
    <row r="717" spans="2:9" x14ac:dyDescent="0.3">
      <c r="B717" t="s">
        <v>55</v>
      </c>
      <c r="C717" t="s">
        <v>1916</v>
      </c>
      <c r="D717" t="s">
        <v>2634</v>
      </c>
      <c r="E717" s="2">
        <v>40182</v>
      </c>
      <c r="F717">
        <v>10</v>
      </c>
      <c r="G717">
        <v>1</v>
      </c>
      <c r="H717" t="s">
        <v>3567</v>
      </c>
      <c r="I717">
        <v>10</v>
      </c>
    </row>
    <row r="718" spans="2:9" x14ac:dyDescent="0.3">
      <c r="B718" t="s">
        <v>631</v>
      </c>
      <c r="C718" t="s">
        <v>1917</v>
      </c>
      <c r="D718" t="s">
        <v>2634</v>
      </c>
      <c r="E718" s="2">
        <v>38524</v>
      </c>
      <c r="F718">
        <v>10</v>
      </c>
      <c r="G718">
        <v>1</v>
      </c>
      <c r="H718" t="s">
        <v>3568</v>
      </c>
      <c r="I718">
        <v>10</v>
      </c>
    </row>
    <row r="719" spans="2:9" x14ac:dyDescent="0.3">
      <c r="B719" t="s">
        <v>632</v>
      </c>
      <c r="C719" t="s">
        <v>1918</v>
      </c>
      <c r="D719" t="s">
        <v>2634</v>
      </c>
      <c r="E719" s="2">
        <v>38434</v>
      </c>
      <c r="F719">
        <v>1</v>
      </c>
      <c r="G719">
        <v>1</v>
      </c>
      <c r="H719" t="s">
        <v>3569</v>
      </c>
      <c r="I719">
        <v>1</v>
      </c>
    </row>
    <row r="720" spans="2:9" x14ac:dyDescent="0.3">
      <c r="B720" t="s">
        <v>633</v>
      </c>
      <c r="C720" t="s">
        <v>1919</v>
      </c>
      <c r="D720" t="s">
        <v>2634</v>
      </c>
      <c r="E720" s="2">
        <v>37788</v>
      </c>
      <c r="F720">
        <v>1</v>
      </c>
      <c r="G720">
        <v>1</v>
      </c>
      <c r="H720" t="s">
        <v>3570</v>
      </c>
      <c r="I720">
        <v>1</v>
      </c>
    </row>
    <row r="721" spans="2:9" x14ac:dyDescent="0.3">
      <c r="B721" t="s">
        <v>59</v>
      </c>
      <c r="C721" t="s">
        <v>1920</v>
      </c>
      <c r="D721" t="s">
        <v>2634</v>
      </c>
      <c r="E721" s="2">
        <v>40217</v>
      </c>
      <c r="F721">
        <v>10</v>
      </c>
      <c r="G721">
        <v>1</v>
      </c>
      <c r="H721" t="s">
        <v>3571</v>
      </c>
      <c r="I721">
        <v>10</v>
      </c>
    </row>
    <row r="722" spans="2:9" x14ac:dyDescent="0.3">
      <c r="B722" t="s">
        <v>634</v>
      </c>
      <c r="C722" t="s">
        <v>1921</v>
      </c>
      <c r="D722" t="s">
        <v>2634</v>
      </c>
      <c r="E722" s="2">
        <v>40588</v>
      </c>
      <c r="F722">
        <v>10</v>
      </c>
      <c r="G722">
        <v>1</v>
      </c>
      <c r="H722" t="s">
        <v>3572</v>
      </c>
      <c r="I722">
        <v>10</v>
      </c>
    </row>
    <row r="723" spans="2:9" x14ac:dyDescent="0.3">
      <c r="B723" t="s">
        <v>60</v>
      </c>
      <c r="C723" t="s">
        <v>1922</v>
      </c>
      <c r="D723" t="s">
        <v>2634</v>
      </c>
      <c r="E723" s="2">
        <v>41430</v>
      </c>
      <c r="F723">
        <v>10</v>
      </c>
      <c r="G723">
        <v>1</v>
      </c>
      <c r="H723" t="s">
        <v>3573</v>
      </c>
      <c r="I723">
        <v>10</v>
      </c>
    </row>
    <row r="724" spans="2:9" x14ac:dyDescent="0.3">
      <c r="B724" t="s">
        <v>635</v>
      </c>
      <c r="C724" t="s">
        <v>1923</v>
      </c>
      <c r="D724" t="s">
        <v>2634</v>
      </c>
      <c r="E724" s="2">
        <v>40711</v>
      </c>
      <c r="F724">
        <v>1</v>
      </c>
      <c r="G724">
        <v>1</v>
      </c>
      <c r="H724" t="s">
        <v>3574</v>
      </c>
      <c r="I724">
        <v>1</v>
      </c>
    </row>
    <row r="725" spans="2:9" x14ac:dyDescent="0.3">
      <c r="B725" t="s">
        <v>636</v>
      </c>
      <c r="C725" t="s">
        <v>1924</v>
      </c>
      <c r="D725" t="s">
        <v>2634</v>
      </c>
      <c r="E725" s="2">
        <v>39435</v>
      </c>
      <c r="F725">
        <v>1</v>
      </c>
      <c r="G725">
        <v>1</v>
      </c>
      <c r="H725" t="s">
        <v>3575</v>
      </c>
      <c r="I725">
        <v>1</v>
      </c>
    </row>
    <row r="726" spans="2:9" x14ac:dyDescent="0.3">
      <c r="B726" t="s">
        <v>637</v>
      </c>
      <c r="C726" t="s">
        <v>1925</v>
      </c>
      <c r="D726" t="s">
        <v>2634</v>
      </c>
      <c r="E726" s="2">
        <v>34899</v>
      </c>
      <c r="F726">
        <v>2</v>
      </c>
      <c r="G726">
        <v>1</v>
      </c>
      <c r="H726" t="s">
        <v>3576</v>
      </c>
      <c r="I726">
        <v>2</v>
      </c>
    </row>
    <row r="727" spans="2:9" x14ac:dyDescent="0.3">
      <c r="B727" t="s">
        <v>638</v>
      </c>
      <c r="C727" t="s">
        <v>1926</v>
      </c>
      <c r="D727" t="s">
        <v>2634</v>
      </c>
      <c r="E727" s="2">
        <v>34948</v>
      </c>
      <c r="F727">
        <v>5</v>
      </c>
      <c r="G727">
        <v>1</v>
      </c>
      <c r="H727" t="s">
        <v>3577</v>
      </c>
      <c r="I727">
        <v>5</v>
      </c>
    </row>
    <row r="728" spans="2:9" x14ac:dyDescent="0.3">
      <c r="B728" t="s">
        <v>639</v>
      </c>
      <c r="C728" t="s">
        <v>1927</v>
      </c>
      <c r="D728" t="s">
        <v>2634</v>
      </c>
      <c r="E728" s="2">
        <v>38139</v>
      </c>
      <c r="F728">
        <v>1</v>
      </c>
      <c r="G728">
        <v>1</v>
      </c>
      <c r="H728" t="s">
        <v>3578</v>
      </c>
      <c r="I728">
        <v>1</v>
      </c>
    </row>
    <row r="729" spans="2:9" x14ac:dyDescent="0.3">
      <c r="B729" t="s">
        <v>640</v>
      </c>
      <c r="C729" t="s">
        <v>1928</v>
      </c>
      <c r="D729" t="s">
        <v>2634</v>
      </c>
      <c r="E729" s="2">
        <v>35046</v>
      </c>
      <c r="F729">
        <v>10</v>
      </c>
      <c r="G729">
        <v>1</v>
      </c>
      <c r="H729" t="s">
        <v>3579</v>
      </c>
      <c r="I729">
        <v>10</v>
      </c>
    </row>
    <row r="730" spans="2:9" x14ac:dyDescent="0.3">
      <c r="B730" t="s">
        <v>641</v>
      </c>
      <c r="C730" t="s">
        <v>1929</v>
      </c>
      <c r="D730" t="s">
        <v>2634</v>
      </c>
      <c r="E730" s="2">
        <v>36875</v>
      </c>
      <c r="F730">
        <v>2</v>
      </c>
      <c r="G730">
        <v>1</v>
      </c>
      <c r="H730" t="s">
        <v>3580</v>
      </c>
      <c r="I730">
        <v>2</v>
      </c>
    </row>
    <row r="731" spans="2:9" x14ac:dyDescent="0.3">
      <c r="B731" t="s">
        <v>3581</v>
      </c>
      <c r="C731" t="s">
        <v>3582</v>
      </c>
      <c r="D731" t="s">
        <v>2662</v>
      </c>
      <c r="E731" s="2">
        <v>42779</v>
      </c>
      <c r="F731">
        <v>10</v>
      </c>
      <c r="G731">
        <v>1</v>
      </c>
      <c r="H731" t="s">
        <v>3583</v>
      </c>
      <c r="I731">
        <v>10</v>
      </c>
    </row>
    <row r="732" spans="2:9" x14ac:dyDescent="0.3">
      <c r="B732" t="s">
        <v>642</v>
      </c>
      <c r="C732" t="s">
        <v>1930</v>
      </c>
      <c r="D732" t="s">
        <v>2662</v>
      </c>
      <c r="E732" s="2">
        <v>39436</v>
      </c>
      <c r="F732">
        <v>10</v>
      </c>
      <c r="G732">
        <v>1</v>
      </c>
      <c r="H732" t="s">
        <v>3584</v>
      </c>
      <c r="I732">
        <v>10</v>
      </c>
    </row>
    <row r="733" spans="2:9" x14ac:dyDescent="0.3">
      <c r="B733" t="s">
        <v>643</v>
      </c>
      <c r="C733" t="s">
        <v>1931</v>
      </c>
      <c r="D733" t="s">
        <v>2634</v>
      </c>
      <c r="E733" s="2">
        <v>35214</v>
      </c>
      <c r="F733">
        <v>10</v>
      </c>
      <c r="G733">
        <v>1</v>
      </c>
      <c r="H733" t="s">
        <v>3585</v>
      </c>
      <c r="I733">
        <v>10</v>
      </c>
    </row>
    <row r="734" spans="2:9" x14ac:dyDescent="0.3">
      <c r="B734" t="s">
        <v>3586</v>
      </c>
      <c r="C734" t="s">
        <v>3587</v>
      </c>
      <c r="D734" t="s">
        <v>2634</v>
      </c>
      <c r="E734" s="2">
        <v>38846</v>
      </c>
      <c r="F734">
        <v>10</v>
      </c>
      <c r="G734">
        <v>1</v>
      </c>
      <c r="H734" t="s">
        <v>3588</v>
      </c>
      <c r="I734">
        <v>10</v>
      </c>
    </row>
    <row r="735" spans="2:9" x14ac:dyDescent="0.3">
      <c r="B735" t="s">
        <v>1295</v>
      </c>
      <c r="C735" t="s">
        <v>1932</v>
      </c>
      <c r="D735" t="s">
        <v>2634</v>
      </c>
      <c r="E735" s="2">
        <v>40891</v>
      </c>
      <c r="F735">
        <v>1</v>
      </c>
      <c r="G735">
        <v>1</v>
      </c>
      <c r="H735" t="s">
        <v>3589</v>
      </c>
      <c r="I735">
        <v>1</v>
      </c>
    </row>
    <row r="736" spans="2:9" x14ac:dyDescent="0.3">
      <c r="B736" t="s">
        <v>644</v>
      </c>
      <c r="C736" t="s">
        <v>1933</v>
      </c>
      <c r="D736" t="s">
        <v>2634</v>
      </c>
      <c r="E736" s="2">
        <v>34738</v>
      </c>
      <c r="F736">
        <v>5</v>
      </c>
      <c r="G736">
        <v>1</v>
      </c>
      <c r="H736" t="s">
        <v>3590</v>
      </c>
      <c r="I736">
        <v>5</v>
      </c>
    </row>
    <row r="737" spans="2:9" x14ac:dyDescent="0.3">
      <c r="B737" t="s">
        <v>61</v>
      </c>
      <c r="C737" t="s">
        <v>1934</v>
      </c>
      <c r="D737" t="s">
        <v>2634</v>
      </c>
      <c r="E737" s="2">
        <v>37879</v>
      </c>
      <c r="F737">
        <v>1</v>
      </c>
      <c r="G737">
        <v>1</v>
      </c>
      <c r="H737" t="s">
        <v>3591</v>
      </c>
      <c r="I737">
        <v>1</v>
      </c>
    </row>
    <row r="738" spans="2:9" x14ac:dyDescent="0.3">
      <c r="B738" t="s">
        <v>645</v>
      </c>
      <c r="C738" t="s">
        <v>1935</v>
      </c>
      <c r="D738" t="s">
        <v>2634</v>
      </c>
      <c r="E738" s="2">
        <v>40722</v>
      </c>
      <c r="F738">
        <v>10</v>
      </c>
      <c r="G738">
        <v>1</v>
      </c>
      <c r="H738" t="s">
        <v>3592</v>
      </c>
      <c r="I738">
        <v>10</v>
      </c>
    </row>
    <row r="739" spans="2:9" x14ac:dyDescent="0.3">
      <c r="B739" t="s">
        <v>63</v>
      </c>
      <c r="C739" t="s">
        <v>1936</v>
      </c>
      <c r="D739" t="s">
        <v>2634</v>
      </c>
      <c r="E739" s="2">
        <v>36733</v>
      </c>
      <c r="F739">
        <v>2</v>
      </c>
      <c r="G739">
        <v>1</v>
      </c>
      <c r="H739" t="s">
        <v>3593</v>
      </c>
      <c r="I739">
        <v>2</v>
      </c>
    </row>
    <row r="740" spans="2:9" x14ac:dyDescent="0.3">
      <c r="B740" t="s">
        <v>646</v>
      </c>
      <c r="C740" t="s">
        <v>1937</v>
      </c>
      <c r="D740" t="s">
        <v>2634</v>
      </c>
      <c r="E740" s="2">
        <v>39430</v>
      </c>
      <c r="F740">
        <v>10</v>
      </c>
      <c r="G740">
        <v>1</v>
      </c>
      <c r="H740" t="s">
        <v>3594</v>
      </c>
      <c r="I740">
        <v>10</v>
      </c>
    </row>
    <row r="741" spans="2:9" x14ac:dyDescent="0.3">
      <c r="B741" t="s">
        <v>647</v>
      </c>
      <c r="C741" t="s">
        <v>1938</v>
      </c>
      <c r="D741" t="s">
        <v>2634</v>
      </c>
      <c r="E741" s="2">
        <v>39476</v>
      </c>
      <c r="F741">
        <v>10</v>
      </c>
      <c r="G741">
        <v>1</v>
      </c>
      <c r="H741" t="s">
        <v>3595</v>
      </c>
      <c r="I741">
        <v>10</v>
      </c>
    </row>
    <row r="742" spans="2:9" x14ac:dyDescent="0.3">
      <c r="B742" t="s">
        <v>3596</v>
      </c>
      <c r="C742" t="s">
        <v>3597</v>
      </c>
      <c r="D742" t="s">
        <v>2634</v>
      </c>
      <c r="E742" s="2">
        <v>42230</v>
      </c>
      <c r="F742">
        <v>10</v>
      </c>
      <c r="G742">
        <v>1</v>
      </c>
      <c r="H742" t="s">
        <v>3598</v>
      </c>
      <c r="I742">
        <v>10</v>
      </c>
    </row>
    <row r="743" spans="2:9" x14ac:dyDescent="0.3">
      <c r="B743" t="s">
        <v>648</v>
      </c>
      <c r="C743" t="s">
        <v>1939</v>
      </c>
      <c r="D743" t="s">
        <v>2634</v>
      </c>
      <c r="E743" s="2">
        <v>35529</v>
      </c>
      <c r="F743">
        <v>1</v>
      </c>
      <c r="G743">
        <v>1</v>
      </c>
      <c r="H743" t="s">
        <v>3599</v>
      </c>
      <c r="I743">
        <v>1</v>
      </c>
    </row>
    <row r="744" spans="2:9" x14ac:dyDescent="0.3">
      <c r="B744" t="s">
        <v>649</v>
      </c>
      <c r="C744" t="s">
        <v>1940</v>
      </c>
      <c r="D744" t="s">
        <v>2634</v>
      </c>
      <c r="E744" s="2">
        <v>35592</v>
      </c>
      <c r="F744">
        <v>1</v>
      </c>
      <c r="G744">
        <v>1</v>
      </c>
      <c r="H744" t="s">
        <v>3600</v>
      </c>
      <c r="I744">
        <v>1</v>
      </c>
    </row>
    <row r="745" spans="2:9" x14ac:dyDescent="0.3">
      <c r="B745" t="s">
        <v>3601</v>
      </c>
      <c r="C745" t="s">
        <v>3602</v>
      </c>
      <c r="D745" t="s">
        <v>2634</v>
      </c>
      <c r="E745" s="2">
        <v>42452</v>
      </c>
      <c r="F745">
        <v>10</v>
      </c>
      <c r="G745">
        <v>1</v>
      </c>
      <c r="H745" t="s">
        <v>3603</v>
      </c>
      <c r="I745">
        <v>10</v>
      </c>
    </row>
    <row r="746" spans="2:9" x14ac:dyDescent="0.3">
      <c r="B746" t="s">
        <v>650</v>
      </c>
      <c r="C746" t="s">
        <v>1941</v>
      </c>
      <c r="D746" t="s">
        <v>2634</v>
      </c>
      <c r="E746" s="2">
        <v>38786</v>
      </c>
      <c r="F746">
        <v>2</v>
      </c>
      <c r="G746">
        <v>1</v>
      </c>
      <c r="H746" t="s">
        <v>3604</v>
      </c>
      <c r="I746">
        <v>2</v>
      </c>
    </row>
    <row r="747" spans="2:9" x14ac:dyDescent="0.3">
      <c r="B747" t="s">
        <v>651</v>
      </c>
      <c r="C747" t="s">
        <v>1942</v>
      </c>
      <c r="D747" t="s">
        <v>2634</v>
      </c>
      <c r="E747" s="2">
        <v>40246</v>
      </c>
      <c r="F747">
        <v>10</v>
      </c>
      <c r="G747">
        <v>1</v>
      </c>
      <c r="H747" t="s">
        <v>3605</v>
      </c>
      <c r="I747">
        <v>10</v>
      </c>
    </row>
    <row r="748" spans="2:9" x14ac:dyDescent="0.3">
      <c r="B748" t="s">
        <v>652</v>
      </c>
      <c r="C748" t="s">
        <v>1943</v>
      </c>
      <c r="D748" t="s">
        <v>2634</v>
      </c>
      <c r="E748" s="2">
        <v>38799</v>
      </c>
      <c r="F748">
        <v>2</v>
      </c>
      <c r="G748">
        <v>1</v>
      </c>
      <c r="H748" t="s">
        <v>3606</v>
      </c>
      <c r="I748">
        <v>2</v>
      </c>
    </row>
    <row r="749" spans="2:9" x14ac:dyDescent="0.3">
      <c r="B749" t="s">
        <v>3607</v>
      </c>
      <c r="C749" t="s">
        <v>3608</v>
      </c>
      <c r="D749" t="s">
        <v>2634</v>
      </c>
      <c r="E749" s="2">
        <v>42431</v>
      </c>
      <c r="F749">
        <v>5</v>
      </c>
      <c r="G749">
        <v>1</v>
      </c>
      <c r="H749" t="s">
        <v>3609</v>
      </c>
      <c r="I749">
        <v>5</v>
      </c>
    </row>
    <row r="750" spans="2:9" x14ac:dyDescent="0.3">
      <c r="B750" t="s">
        <v>653</v>
      </c>
      <c r="C750" t="s">
        <v>1944</v>
      </c>
      <c r="D750" t="s">
        <v>2662</v>
      </c>
      <c r="E750" s="2">
        <v>38706</v>
      </c>
      <c r="F750">
        <v>10</v>
      </c>
      <c r="G750">
        <v>1</v>
      </c>
      <c r="H750" t="s">
        <v>3610</v>
      </c>
      <c r="I750">
        <v>10</v>
      </c>
    </row>
    <row r="751" spans="2:9" x14ac:dyDescent="0.3">
      <c r="B751" t="s">
        <v>653</v>
      </c>
      <c r="C751" t="s">
        <v>1944</v>
      </c>
      <c r="D751" t="s">
        <v>2657</v>
      </c>
      <c r="E751" s="2">
        <v>38706</v>
      </c>
      <c r="F751">
        <v>10</v>
      </c>
      <c r="G751">
        <v>1</v>
      </c>
      <c r="H751" t="s">
        <v>3610</v>
      </c>
      <c r="I751">
        <v>10</v>
      </c>
    </row>
    <row r="752" spans="2:9" x14ac:dyDescent="0.3">
      <c r="B752" t="s">
        <v>654</v>
      </c>
      <c r="C752" t="s">
        <v>1945</v>
      </c>
      <c r="D752" t="s">
        <v>2634</v>
      </c>
      <c r="E752" s="2">
        <v>39084</v>
      </c>
      <c r="F752">
        <v>10</v>
      </c>
      <c r="G752">
        <v>1</v>
      </c>
      <c r="H752" t="s">
        <v>3611</v>
      </c>
      <c r="I752">
        <v>10</v>
      </c>
    </row>
    <row r="753" spans="2:9" x14ac:dyDescent="0.3">
      <c r="B753" t="s">
        <v>655</v>
      </c>
      <c r="C753" t="s">
        <v>1946</v>
      </c>
      <c r="D753" t="s">
        <v>2634</v>
      </c>
      <c r="E753" s="2">
        <v>34948</v>
      </c>
      <c r="F753">
        <v>10</v>
      </c>
      <c r="G753">
        <v>1</v>
      </c>
      <c r="H753" t="s">
        <v>3612</v>
      </c>
      <c r="I753">
        <v>10</v>
      </c>
    </row>
    <row r="754" spans="2:9" x14ac:dyDescent="0.3">
      <c r="B754" t="s">
        <v>1296</v>
      </c>
      <c r="C754" t="s">
        <v>1947</v>
      </c>
      <c r="D754" t="s">
        <v>2634</v>
      </c>
      <c r="E754" s="2">
        <v>35242</v>
      </c>
      <c r="F754">
        <v>10</v>
      </c>
      <c r="G754">
        <v>1</v>
      </c>
      <c r="H754" t="s">
        <v>3613</v>
      </c>
      <c r="I754">
        <v>10</v>
      </c>
    </row>
    <row r="755" spans="2:9" x14ac:dyDescent="0.3">
      <c r="B755" t="s">
        <v>656</v>
      </c>
      <c r="C755" t="s">
        <v>1948</v>
      </c>
      <c r="D755" t="s">
        <v>2634</v>
      </c>
      <c r="E755" s="2">
        <v>39205</v>
      </c>
      <c r="F755">
        <v>1</v>
      </c>
      <c r="G755">
        <v>1</v>
      </c>
      <c r="H755" t="s">
        <v>3614</v>
      </c>
      <c r="I755">
        <v>1</v>
      </c>
    </row>
    <row r="756" spans="2:9" x14ac:dyDescent="0.3">
      <c r="B756" t="s">
        <v>657</v>
      </c>
      <c r="C756" t="s">
        <v>1949</v>
      </c>
      <c r="D756" t="s">
        <v>2662</v>
      </c>
      <c r="E756" s="2">
        <v>36705</v>
      </c>
      <c r="F756">
        <v>10</v>
      </c>
      <c r="G756">
        <v>1</v>
      </c>
      <c r="H756" t="s">
        <v>3615</v>
      </c>
      <c r="I756">
        <v>10</v>
      </c>
    </row>
    <row r="757" spans="2:9" x14ac:dyDescent="0.3">
      <c r="B757" t="s">
        <v>1297</v>
      </c>
      <c r="C757" t="s">
        <v>1950</v>
      </c>
      <c r="D757" t="s">
        <v>2662</v>
      </c>
      <c r="E757" s="2">
        <v>36915</v>
      </c>
      <c r="F757">
        <v>10</v>
      </c>
      <c r="G757">
        <v>1</v>
      </c>
      <c r="H757" t="s">
        <v>3616</v>
      </c>
      <c r="I757">
        <v>10</v>
      </c>
    </row>
    <row r="758" spans="2:9" x14ac:dyDescent="0.3">
      <c r="B758" t="s">
        <v>658</v>
      </c>
      <c r="C758" t="s">
        <v>1951</v>
      </c>
      <c r="D758" t="s">
        <v>2634</v>
      </c>
      <c r="E758" s="2">
        <v>36929</v>
      </c>
      <c r="F758">
        <v>10</v>
      </c>
      <c r="G758">
        <v>1</v>
      </c>
      <c r="H758" t="s">
        <v>3617</v>
      </c>
      <c r="I758">
        <v>10</v>
      </c>
    </row>
    <row r="759" spans="2:9" x14ac:dyDescent="0.3">
      <c r="B759" t="s">
        <v>659</v>
      </c>
      <c r="C759" t="s">
        <v>1952</v>
      </c>
      <c r="D759" t="s">
        <v>2634</v>
      </c>
      <c r="E759" s="2">
        <v>40557</v>
      </c>
      <c r="F759">
        <v>10</v>
      </c>
      <c r="G759">
        <v>1</v>
      </c>
      <c r="H759" t="s">
        <v>3618</v>
      </c>
      <c r="I759">
        <v>10</v>
      </c>
    </row>
    <row r="760" spans="2:9" x14ac:dyDescent="0.3">
      <c r="B760" t="s">
        <v>660</v>
      </c>
      <c r="C760" t="s">
        <v>1953</v>
      </c>
      <c r="D760" t="s">
        <v>2662</v>
      </c>
      <c r="E760" s="2">
        <v>40450</v>
      </c>
      <c r="F760">
        <v>10</v>
      </c>
      <c r="G760">
        <v>1</v>
      </c>
      <c r="H760" t="s">
        <v>3619</v>
      </c>
      <c r="I760">
        <v>10</v>
      </c>
    </row>
    <row r="761" spans="2:9" x14ac:dyDescent="0.3">
      <c r="B761" t="s">
        <v>3620</v>
      </c>
      <c r="C761" t="s">
        <v>3621</v>
      </c>
      <c r="D761" t="s">
        <v>2634</v>
      </c>
      <c r="E761" s="2">
        <v>42689</v>
      </c>
      <c r="F761">
        <v>10</v>
      </c>
      <c r="G761">
        <v>1</v>
      </c>
      <c r="H761" t="s">
        <v>3622</v>
      </c>
      <c r="I761">
        <v>10</v>
      </c>
    </row>
    <row r="762" spans="2:9" x14ac:dyDescent="0.3">
      <c r="B762" t="s">
        <v>3623</v>
      </c>
      <c r="C762" t="s">
        <v>3624</v>
      </c>
      <c r="D762" t="s">
        <v>2634</v>
      </c>
      <c r="E762" s="2">
        <v>42703</v>
      </c>
      <c r="F762">
        <v>10</v>
      </c>
      <c r="G762">
        <v>1</v>
      </c>
      <c r="H762" t="s">
        <v>3625</v>
      </c>
      <c r="I762">
        <v>10</v>
      </c>
    </row>
    <row r="763" spans="2:9" x14ac:dyDescent="0.3">
      <c r="B763" t="s">
        <v>661</v>
      </c>
      <c r="C763" t="s">
        <v>1954</v>
      </c>
      <c r="D763" t="s">
        <v>2634</v>
      </c>
      <c r="E763" s="2">
        <v>39560</v>
      </c>
      <c r="F763">
        <v>10</v>
      </c>
      <c r="G763">
        <v>1</v>
      </c>
      <c r="H763" t="s">
        <v>3626</v>
      </c>
      <c r="I763">
        <v>10</v>
      </c>
    </row>
    <row r="764" spans="2:9" x14ac:dyDescent="0.3">
      <c r="B764" t="s">
        <v>662</v>
      </c>
      <c r="C764" t="s">
        <v>1955</v>
      </c>
      <c r="D764" t="s">
        <v>2634</v>
      </c>
      <c r="E764" s="2">
        <v>40288</v>
      </c>
      <c r="F764">
        <v>2</v>
      </c>
      <c r="G764">
        <v>1</v>
      </c>
      <c r="H764" t="s">
        <v>3627</v>
      </c>
      <c r="I764">
        <v>2</v>
      </c>
    </row>
    <row r="765" spans="2:9" x14ac:dyDescent="0.3">
      <c r="B765" t="s">
        <v>663</v>
      </c>
      <c r="C765" t="s">
        <v>1956</v>
      </c>
      <c r="D765" t="s">
        <v>2634</v>
      </c>
      <c r="E765" s="2">
        <v>40536</v>
      </c>
      <c r="F765">
        <v>2</v>
      </c>
      <c r="G765">
        <v>1</v>
      </c>
      <c r="H765" t="s">
        <v>3628</v>
      </c>
      <c r="I765">
        <v>2</v>
      </c>
    </row>
    <row r="766" spans="2:9" x14ac:dyDescent="0.3">
      <c r="B766" t="s">
        <v>664</v>
      </c>
      <c r="C766" t="s">
        <v>1957</v>
      </c>
      <c r="D766" t="s">
        <v>2634</v>
      </c>
      <c r="E766" s="2">
        <v>40353</v>
      </c>
      <c r="F766">
        <v>10</v>
      </c>
      <c r="G766">
        <v>1</v>
      </c>
      <c r="H766" t="s">
        <v>3629</v>
      </c>
      <c r="I766">
        <v>10</v>
      </c>
    </row>
    <row r="767" spans="2:9" x14ac:dyDescent="0.3">
      <c r="B767" t="s">
        <v>665</v>
      </c>
      <c r="C767" t="s">
        <v>1958</v>
      </c>
      <c r="D767" t="s">
        <v>2634</v>
      </c>
      <c r="E767" s="2">
        <v>41177</v>
      </c>
      <c r="F767">
        <v>1</v>
      </c>
      <c r="G767">
        <v>1</v>
      </c>
      <c r="H767" t="s">
        <v>3630</v>
      </c>
      <c r="I767">
        <v>1</v>
      </c>
    </row>
    <row r="768" spans="2:9" x14ac:dyDescent="0.3">
      <c r="B768" t="s">
        <v>666</v>
      </c>
      <c r="C768" t="s">
        <v>1959</v>
      </c>
      <c r="D768" t="s">
        <v>2634</v>
      </c>
      <c r="E768" s="2">
        <v>38820</v>
      </c>
      <c r="F768">
        <v>10</v>
      </c>
      <c r="G768">
        <v>1</v>
      </c>
      <c r="H768" t="s">
        <v>3631</v>
      </c>
      <c r="I768">
        <v>10</v>
      </c>
    </row>
    <row r="769" spans="2:9" x14ac:dyDescent="0.3">
      <c r="B769" t="s">
        <v>667</v>
      </c>
      <c r="C769" t="s">
        <v>1960</v>
      </c>
      <c r="D769" t="s">
        <v>2634</v>
      </c>
      <c r="E769" s="2">
        <v>39233</v>
      </c>
      <c r="F769">
        <v>2</v>
      </c>
      <c r="G769">
        <v>1</v>
      </c>
      <c r="H769" t="s">
        <v>3632</v>
      </c>
      <c r="I769">
        <v>2</v>
      </c>
    </row>
    <row r="770" spans="2:9" x14ac:dyDescent="0.3">
      <c r="B770" t="s">
        <v>668</v>
      </c>
      <c r="C770" t="s">
        <v>1961</v>
      </c>
      <c r="D770" t="s">
        <v>2634</v>
      </c>
      <c r="E770" s="2">
        <v>39496</v>
      </c>
      <c r="F770">
        <v>2</v>
      </c>
      <c r="G770">
        <v>1</v>
      </c>
      <c r="H770" t="s">
        <v>3633</v>
      </c>
      <c r="I770">
        <v>2</v>
      </c>
    </row>
    <row r="771" spans="2:9" x14ac:dyDescent="0.3">
      <c r="B771" t="s">
        <v>669</v>
      </c>
      <c r="C771" t="s">
        <v>1962</v>
      </c>
      <c r="D771" t="s">
        <v>2634</v>
      </c>
      <c r="E771" s="2">
        <v>36453</v>
      </c>
      <c r="F771">
        <v>10</v>
      </c>
      <c r="G771">
        <v>1</v>
      </c>
      <c r="H771" t="s">
        <v>3634</v>
      </c>
      <c r="I771">
        <v>10</v>
      </c>
    </row>
    <row r="772" spans="2:9" x14ac:dyDescent="0.3">
      <c r="B772" t="s">
        <v>670</v>
      </c>
      <c r="C772" t="s">
        <v>1963</v>
      </c>
      <c r="D772" t="s">
        <v>2634</v>
      </c>
      <c r="E772" s="2">
        <v>39657</v>
      </c>
      <c r="F772">
        <v>1</v>
      </c>
      <c r="G772">
        <v>1</v>
      </c>
      <c r="H772" t="s">
        <v>3635</v>
      </c>
      <c r="I772">
        <v>1</v>
      </c>
    </row>
    <row r="773" spans="2:9" x14ac:dyDescent="0.3">
      <c r="B773" t="s">
        <v>671</v>
      </c>
      <c r="C773" t="s">
        <v>1964</v>
      </c>
      <c r="D773" t="s">
        <v>2634</v>
      </c>
      <c r="E773" s="2">
        <v>39429</v>
      </c>
      <c r="F773">
        <v>10</v>
      </c>
      <c r="G773">
        <v>1</v>
      </c>
      <c r="H773" t="s">
        <v>3636</v>
      </c>
      <c r="I773">
        <v>10</v>
      </c>
    </row>
    <row r="774" spans="2:9" x14ac:dyDescent="0.3">
      <c r="B774" t="s">
        <v>672</v>
      </c>
      <c r="C774" t="s">
        <v>1965</v>
      </c>
      <c r="D774" t="s">
        <v>2634</v>
      </c>
      <c r="E774" s="2">
        <v>36320</v>
      </c>
      <c r="F774">
        <v>10</v>
      </c>
      <c r="G774">
        <v>1</v>
      </c>
      <c r="H774" t="s">
        <v>3637</v>
      </c>
      <c r="I774">
        <v>10</v>
      </c>
    </row>
    <row r="775" spans="2:9" x14ac:dyDescent="0.3">
      <c r="B775" t="s">
        <v>673</v>
      </c>
      <c r="C775" t="s">
        <v>1966</v>
      </c>
      <c r="D775" t="s">
        <v>2634</v>
      </c>
      <c r="E775" s="2">
        <v>35053</v>
      </c>
      <c r="F775">
        <v>5</v>
      </c>
      <c r="G775">
        <v>1</v>
      </c>
      <c r="H775" t="s">
        <v>3638</v>
      </c>
      <c r="I775">
        <v>5</v>
      </c>
    </row>
    <row r="776" spans="2:9" x14ac:dyDescent="0.3">
      <c r="B776" t="s">
        <v>674</v>
      </c>
      <c r="C776" t="s">
        <v>1967</v>
      </c>
      <c r="D776" t="s">
        <v>2634</v>
      </c>
      <c r="E776" s="2">
        <v>38334</v>
      </c>
      <c r="F776">
        <v>10</v>
      </c>
      <c r="G776">
        <v>1</v>
      </c>
      <c r="H776" t="s">
        <v>3639</v>
      </c>
      <c r="I776">
        <v>10</v>
      </c>
    </row>
    <row r="777" spans="2:9" x14ac:dyDescent="0.3">
      <c r="B777" t="s">
        <v>675</v>
      </c>
      <c r="C777" t="s">
        <v>1968</v>
      </c>
      <c r="D777" t="s">
        <v>2634</v>
      </c>
      <c r="E777" s="2">
        <v>35371</v>
      </c>
      <c r="F777">
        <v>10</v>
      </c>
      <c r="G777">
        <v>1</v>
      </c>
      <c r="H777" t="s">
        <v>3640</v>
      </c>
      <c r="I777">
        <v>10</v>
      </c>
    </row>
    <row r="778" spans="2:9" x14ac:dyDescent="0.3">
      <c r="B778" t="s">
        <v>676</v>
      </c>
      <c r="C778" t="s">
        <v>1969</v>
      </c>
      <c r="D778" t="s">
        <v>2634</v>
      </c>
      <c r="E778" s="2">
        <v>35949</v>
      </c>
      <c r="F778">
        <v>10</v>
      </c>
      <c r="G778">
        <v>1</v>
      </c>
      <c r="H778" t="s">
        <v>3641</v>
      </c>
      <c r="I778">
        <v>10</v>
      </c>
    </row>
    <row r="779" spans="2:9" x14ac:dyDescent="0.3">
      <c r="B779" t="s">
        <v>11</v>
      </c>
      <c r="C779" t="s">
        <v>3642</v>
      </c>
      <c r="D779" t="s">
        <v>2634</v>
      </c>
      <c r="E779" s="2">
        <v>36488</v>
      </c>
      <c r="F779">
        <v>2</v>
      </c>
      <c r="G779">
        <v>1</v>
      </c>
      <c r="H779" t="s">
        <v>3643</v>
      </c>
      <c r="I779">
        <v>2</v>
      </c>
    </row>
    <row r="780" spans="2:9" x14ac:dyDescent="0.3">
      <c r="B780" t="s">
        <v>677</v>
      </c>
      <c r="C780" t="s">
        <v>1970</v>
      </c>
      <c r="D780" t="s">
        <v>2634</v>
      </c>
      <c r="E780" s="2">
        <v>39322</v>
      </c>
      <c r="F780">
        <v>5</v>
      </c>
      <c r="G780">
        <v>1</v>
      </c>
      <c r="H780" t="s">
        <v>3644</v>
      </c>
      <c r="I780">
        <v>5</v>
      </c>
    </row>
    <row r="781" spans="2:9" x14ac:dyDescent="0.3">
      <c r="B781" t="s">
        <v>102</v>
      </c>
      <c r="C781" t="s">
        <v>1971</v>
      </c>
      <c r="D781" t="s">
        <v>2634</v>
      </c>
      <c r="E781" s="2">
        <v>37277</v>
      </c>
      <c r="F781">
        <v>1</v>
      </c>
      <c r="G781">
        <v>1</v>
      </c>
      <c r="H781" t="s">
        <v>3645</v>
      </c>
      <c r="I781">
        <v>1</v>
      </c>
    </row>
    <row r="782" spans="2:9" x14ac:dyDescent="0.3">
      <c r="B782" t="s">
        <v>1298</v>
      </c>
      <c r="C782" t="s">
        <v>3646</v>
      </c>
      <c r="D782" t="s">
        <v>2662</v>
      </c>
      <c r="E782" s="2">
        <v>36635</v>
      </c>
      <c r="F782">
        <v>10</v>
      </c>
      <c r="G782">
        <v>1</v>
      </c>
      <c r="H782" t="s">
        <v>3647</v>
      </c>
      <c r="I782">
        <v>10</v>
      </c>
    </row>
    <row r="783" spans="2:9" x14ac:dyDescent="0.3">
      <c r="B783" t="s">
        <v>3648</v>
      </c>
      <c r="C783" t="s">
        <v>3649</v>
      </c>
      <c r="D783" t="s">
        <v>2662</v>
      </c>
      <c r="E783" s="2">
        <v>42349</v>
      </c>
      <c r="F783">
        <v>2</v>
      </c>
      <c r="G783">
        <v>1</v>
      </c>
      <c r="H783" t="s">
        <v>3650</v>
      </c>
      <c r="I783">
        <v>2</v>
      </c>
    </row>
    <row r="784" spans="2:9" x14ac:dyDescent="0.3">
      <c r="B784" t="s">
        <v>678</v>
      </c>
      <c r="C784" t="s">
        <v>1972</v>
      </c>
      <c r="D784" t="s">
        <v>2634</v>
      </c>
      <c r="E784" s="2">
        <v>34738</v>
      </c>
      <c r="F784">
        <v>10</v>
      </c>
      <c r="G784">
        <v>1</v>
      </c>
      <c r="H784" t="s">
        <v>3651</v>
      </c>
      <c r="I784">
        <v>10</v>
      </c>
    </row>
    <row r="785" spans="2:9" x14ac:dyDescent="0.3">
      <c r="B785" t="s">
        <v>679</v>
      </c>
      <c r="C785" t="s">
        <v>1973</v>
      </c>
      <c r="D785" t="s">
        <v>2634</v>
      </c>
      <c r="E785" s="2">
        <v>39359</v>
      </c>
      <c r="F785">
        <v>2</v>
      </c>
      <c r="G785">
        <v>1</v>
      </c>
      <c r="H785" t="s">
        <v>3652</v>
      </c>
      <c r="I785">
        <v>2</v>
      </c>
    </row>
    <row r="786" spans="2:9" x14ac:dyDescent="0.3">
      <c r="B786" t="s">
        <v>680</v>
      </c>
      <c r="C786" t="s">
        <v>1974</v>
      </c>
      <c r="D786" t="s">
        <v>2662</v>
      </c>
      <c r="E786" s="2">
        <v>38995</v>
      </c>
      <c r="F786">
        <v>1</v>
      </c>
      <c r="G786">
        <v>1</v>
      </c>
      <c r="H786" t="s">
        <v>3653</v>
      </c>
      <c r="I786">
        <v>1</v>
      </c>
    </row>
    <row r="787" spans="2:9" x14ac:dyDescent="0.3">
      <c r="B787" t="s">
        <v>681</v>
      </c>
      <c r="C787" t="s">
        <v>1975</v>
      </c>
      <c r="D787" t="s">
        <v>2662</v>
      </c>
      <c r="E787" s="2">
        <v>39643</v>
      </c>
      <c r="F787">
        <v>10</v>
      </c>
      <c r="G787">
        <v>1</v>
      </c>
      <c r="H787" t="s">
        <v>3654</v>
      </c>
      <c r="I787">
        <v>10</v>
      </c>
    </row>
    <row r="788" spans="2:9" x14ac:dyDescent="0.3">
      <c r="B788" t="s">
        <v>682</v>
      </c>
      <c r="C788" t="s">
        <v>1976</v>
      </c>
      <c r="D788" t="s">
        <v>2634</v>
      </c>
      <c r="E788" s="2">
        <v>40317</v>
      </c>
      <c r="F788">
        <v>5</v>
      </c>
      <c r="G788">
        <v>1</v>
      </c>
      <c r="H788" t="s">
        <v>3655</v>
      </c>
      <c r="I788">
        <v>5</v>
      </c>
    </row>
    <row r="789" spans="2:9" x14ac:dyDescent="0.3">
      <c r="B789" t="s">
        <v>683</v>
      </c>
      <c r="C789" t="s">
        <v>1977</v>
      </c>
      <c r="D789" t="s">
        <v>2634</v>
      </c>
      <c r="E789" s="2">
        <v>40534</v>
      </c>
      <c r="F789">
        <v>5</v>
      </c>
      <c r="G789">
        <v>1</v>
      </c>
      <c r="H789" t="s">
        <v>3656</v>
      </c>
      <c r="I789">
        <v>5</v>
      </c>
    </row>
    <row r="790" spans="2:9" x14ac:dyDescent="0.3">
      <c r="B790" t="s">
        <v>62</v>
      </c>
      <c r="C790" t="s">
        <v>1978</v>
      </c>
      <c r="D790" t="s">
        <v>2634</v>
      </c>
      <c r="E790" s="2">
        <v>36656</v>
      </c>
      <c r="F790">
        <v>10</v>
      </c>
      <c r="G790">
        <v>1</v>
      </c>
      <c r="H790" t="s">
        <v>3657</v>
      </c>
      <c r="I790">
        <v>10</v>
      </c>
    </row>
    <row r="791" spans="2:9" x14ac:dyDescent="0.3">
      <c r="B791" t="s">
        <v>684</v>
      </c>
      <c r="C791" t="s">
        <v>1979</v>
      </c>
      <c r="D791" t="s">
        <v>2634</v>
      </c>
      <c r="E791" s="2">
        <v>40729</v>
      </c>
      <c r="F791">
        <v>1</v>
      </c>
      <c r="G791">
        <v>1</v>
      </c>
      <c r="H791" t="s">
        <v>3658</v>
      </c>
      <c r="I791">
        <v>1</v>
      </c>
    </row>
    <row r="792" spans="2:9" x14ac:dyDescent="0.3">
      <c r="B792" t="s">
        <v>64</v>
      </c>
      <c r="C792" t="s">
        <v>1980</v>
      </c>
      <c r="D792" t="s">
        <v>2634</v>
      </c>
      <c r="E792" s="2">
        <v>40767</v>
      </c>
      <c r="F792">
        <v>10</v>
      </c>
      <c r="G792">
        <v>1</v>
      </c>
      <c r="H792" t="s">
        <v>3659</v>
      </c>
      <c r="I792">
        <v>10</v>
      </c>
    </row>
    <row r="793" spans="2:9" x14ac:dyDescent="0.3">
      <c r="B793" t="s">
        <v>685</v>
      </c>
      <c r="C793" t="s">
        <v>1981</v>
      </c>
      <c r="D793" t="s">
        <v>2634</v>
      </c>
      <c r="E793" s="2">
        <v>38986</v>
      </c>
      <c r="F793">
        <v>10</v>
      </c>
      <c r="G793">
        <v>1</v>
      </c>
      <c r="H793" t="s">
        <v>3660</v>
      </c>
      <c r="I793">
        <v>10</v>
      </c>
    </row>
    <row r="794" spans="2:9" x14ac:dyDescent="0.3">
      <c r="B794" t="s">
        <v>686</v>
      </c>
      <c r="C794" t="s">
        <v>1982</v>
      </c>
      <c r="D794" t="s">
        <v>2634</v>
      </c>
      <c r="E794" s="2">
        <v>39119</v>
      </c>
      <c r="F794">
        <v>2</v>
      </c>
      <c r="G794">
        <v>1</v>
      </c>
      <c r="H794" t="s">
        <v>3661</v>
      </c>
      <c r="I794">
        <v>2</v>
      </c>
    </row>
    <row r="795" spans="2:9" x14ac:dyDescent="0.3">
      <c r="B795" t="s">
        <v>687</v>
      </c>
      <c r="C795" t="s">
        <v>1983</v>
      </c>
      <c r="D795" t="s">
        <v>2634</v>
      </c>
      <c r="E795" s="2">
        <v>36698</v>
      </c>
      <c r="F795">
        <v>10</v>
      </c>
      <c r="G795">
        <v>1</v>
      </c>
      <c r="H795" t="s">
        <v>3662</v>
      </c>
      <c r="I795">
        <v>10</v>
      </c>
    </row>
    <row r="796" spans="2:9" x14ac:dyDescent="0.3">
      <c r="B796" t="s">
        <v>3663</v>
      </c>
      <c r="C796" t="s">
        <v>3664</v>
      </c>
      <c r="D796" t="s">
        <v>2634</v>
      </c>
      <c r="E796" s="2">
        <v>42361</v>
      </c>
      <c r="F796">
        <v>10</v>
      </c>
      <c r="G796">
        <v>1</v>
      </c>
      <c r="H796" t="s">
        <v>3665</v>
      </c>
      <c r="I796">
        <v>10</v>
      </c>
    </row>
    <row r="797" spans="2:9" x14ac:dyDescent="0.3">
      <c r="B797" t="s">
        <v>3666</v>
      </c>
      <c r="C797" t="s">
        <v>3667</v>
      </c>
      <c r="D797" t="s">
        <v>2634</v>
      </c>
      <c r="E797" s="2">
        <v>42039</v>
      </c>
      <c r="F797">
        <v>5</v>
      </c>
      <c r="G797">
        <v>1</v>
      </c>
      <c r="H797" t="s">
        <v>3668</v>
      </c>
      <c r="I797">
        <v>5</v>
      </c>
    </row>
    <row r="798" spans="2:9" x14ac:dyDescent="0.3">
      <c r="B798" t="s">
        <v>688</v>
      </c>
      <c r="C798" t="s">
        <v>1984</v>
      </c>
      <c r="D798" t="s">
        <v>2634</v>
      </c>
      <c r="E798" s="2">
        <v>39157</v>
      </c>
      <c r="F798">
        <v>2</v>
      </c>
      <c r="G798">
        <v>1</v>
      </c>
      <c r="H798" t="s">
        <v>3669</v>
      </c>
      <c r="I798">
        <v>2</v>
      </c>
    </row>
    <row r="799" spans="2:9" x14ac:dyDescent="0.3">
      <c r="B799" t="s">
        <v>3670</v>
      </c>
      <c r="C799" t="s">
        <v>3671</v>
      </c>
      <c r="D799" t="s">
        <v>2634</v>
      </c>
      <c r="E799" s="2">
        <v>42723</v>
      </c>
      <c r="F799">
        <v>10</v>
      </c>
      <c r="G799">
        <v>1</v>
      </c>
      <c r="H799" t="s">
        <v>3672</v>
      </c>
      <c r="I799">
        <v>10</v>
      </c>
    </row>
    <row r="800" spans="2:9" x14ac:dyDescent="0.3">
      <c r="B800" t="s">
        <v>689</v>
      </c>
      <c r="C800" t="s">
        <v>1985</v>
      </c>
      <c r="D800" t="s">
        <v>2634</v>
      </c>
      <c r="E800" s="2">
        <v>34787</v>
      </c>
      <c r="F800">
        <v>10</v>
      </c>
      <c r="G800">
        <v>1</v>
      </c>
      <c r="H800" t="s">
        <v>3673</v>
      </c>
      <c r="I800">
        <v>10</v>
      </c>
    </row>
    <row r="801" spans="2:9" x14ac:dyDescent="0.3">
      <c r="B801" t="s">
        <v>1299</v>
      </c>
      <c r="C801" t="s">
        <v>1986</v>
      </c>
      <c r="D801" t="s">
        <v>2662</v>
      </c>
      <c r="E801" s="2">
        <v>36587</v>
      </c>
      <c r="F801">
        <v>2</v>
      </c>
      <c r="G801">
        <v>1</v>
      </c>
      <c r="H801" t="s">
        <v>3674</v>
      </c>
      <c r="I801">
        <v>2</v>
      </c>
    </row>
    <row r="802" spans="2:9" x14ac:dyDescent="0.3">
      <c r="B802" t="s">
        <v>3675</v>
      </c>
      <c r="C802" t="s">
        <v>3676</v>
      </c>
      <c r="D802" t="s">
        <v>2662</v>
      </c>
      <c r="E802" s="2">
        <v>42109</v>
      </c>
      <c r="F802">
        <v>10</v>
      </c>
      <c r="G802">
        <v>1</v>
      </c>
      <c r="H802" t="s">
        <v>3677</v>
      </c>
      <c r="I802">
        <v>10</v>
      </c>
    </row>
    <row r="803" spans="2:9" x14ac:dyDescent="0.3">
      <c r="B803" t="s">
        <v>690</v>
      </c>
      <c r="C803" t="s">
        <v>1987</v>
      </c>
      <c r="D803" t="s">
        <v>2634</v>
      </c>
      <c r="E803" s="2">
        <v>40267</v>
      </c>
      <c r="F803">
        <v>10</v>
      </c>
      <c r="G803">
        <v>1</v>
      </c>
      <c r="H803" t="s">
        <v>3678</v>
      </c>
      <c r="I803">
        <v>10</v>
      </c>
    </row>
    <row r="804" spans="2:9" x14ac:dyDescent="0.3">
      <c r="B804" t="s">
        <v>691</v>
      </c>
      <c r="C804" t="s">
        <v>1988</v>
      </c>
      <c r="D804" t="s">
        <v>2662</v>
      </c>
      <c r="E804" s="2">
        <v>39661</v>
      </c>
      <c r="F804">
        <v>1</v>
      </c>
      <c r="G804">
        <v>1</v>
      </c>
      <c r="H804" t="s">
        <v>3679</v>
      </c>
      <c r="I804">
        <v>1</v>
      </c>
    </row>
    <row r="805" spans="2:9" x14ac:dyDescent="0.3">
      <c r="B805" t="s">
        <v>692</v>
      </c>
      <c r="C805" t="s">
        <v>1989</v>
      </c>
      <c r="D805" t="s">
        <v>2634</v>
      </c>
      <c r="E805" s="2">
        <v>34969</v>
      </c>
      <c r="F805">
        <v>10</v>
      </c>
      <c r="G805">
        <v>1</v>
      </c>
      <c r="H805" t="s">
        <v>3680</v>
      </c>
      <c r="I805">
        <v>10</v>
      </c>
    </row>
    <row r="806" spans="2:9" x14ac:dyDescent="0.3">
      <c r="B806" t="s">
        <v>693</v>
      </c>
      <c r="C806" t="s">
        <v>1990</v>
      </c>
      <c r="D806" t="s">
        <v>2634</v>
      </c>
      <c r="E806" s="2">
        <v>36005</v>
      </c>
      <c r="F806">
        <v>2</v>
      </c>
      <c r="G806">
        <v>1</v>
      </c>
      <c r="H806" t="s">
        <v>3681</v>
      </c>
      <c r="I806">
        <v>2</v>
      </c>
    </row>
    <row r="807" spans="2:9" x14ac:dyDescent="0.3">
      <c r="B807" t="s">
        <v>3682</v>
      </c>
      <c r="C807" t="s">
        <v>3683</v>
      </c>
      <c r="D807" t="s">
        <v>2634</v>
      </c>
      <c r="E807" s="2">
        <v>42355</v>
      </c>
      <c r="F807">
        <v>10</v>
      </c>
      <c r="G807">
        <v>1</v>
      </c>
      <c r="H807" t="s">
        <v>3684</v>
      </c>
      <c r="I807">
        <v>10</v>
      </c>
    </row>
    <row r="808" spans="2:9" x14ac:dyDescent="0.3">
      <c r="B808" t="s">
        <v>3685</v>
      </c>
      <c r="C808" t="s">
        <v>3686</v>
      </c>
      <c r="D808" t="s">
        <v>2634</v>
      </c>
      <c r="E808" s="2">
        <v>42072</v>
      </c>
      <c r="F808">
        <v>10</v>
      </c>
      <c r="G808">
        <v>1</v>
      </c>
      <c r="H808" t="s">
        <v>3687</v>
      </c>
      <c r="I808">
        <v>10</v>
      </c>
    </row>
    <row r="809" spans="2:9" x14ac:dyDescent="0.3">
      <c r="B809" t="s">
        <v>694</v>
      </c>
      <c r="C809" t="s">
        <v>1991</v>
      </c>
      <c r="D809" t="s">
        <v>2634</v>
      </c>
      <c r="E809" s="2">
        <v>36327</v>
      </c>
      <c r="F809">
        <v>10</v>
      </c>
      <c r="G809">
        <v>1</v>
      </c>
      <c r="H809" t="s">
        <v>3688</v>
      </c>
      <c r="I809">
        <v>10</v>
      </c>
    </row>
    <row r="810" spans="2:9" x14ac:dyDescent="0.3">
      <c r="B810" t="s">
        <v>695</v>
      </c>
      <c r="C810" t="s">
        <v>1992</v>
      </c>
      <c r="D810" t="s">
        <v>2634</v>
      </c>
      <c r="E810" s="2">
        <v>39048</v>
      </c>
      <c r="F810">
        <v>1</v>
      </c>
      <c r="G810">
        <v>1</v>
      </c>
      <c r="H810" t="s">
        <v>3689</v>
      </c>
      <c r="I810">
        <v>1</v>
      </c>
    </row>
    <row r="811" spans="2:9" x14ac:dyDescent="0.3">
      <c r="B811" t="s">
        <v>696</v>
      </c>
      <c r="C811" t="s">
        <v>1993</v>
      </c>
      <c r="D811" t="s">
        <v>2634</v>
      </c>
      <c r="E811" s="2">
        <v>35550</v>
      </c>
      <c r="F811">
        <v>10</v>
      </c>
      <c r="G811">
        <v>1</v>
      </c>
      <c r="H811" t="s">
        <v>3690</v>
      </c>
      <c r="I811">
        <v>10</v>
      </c>
    </row>
    <row r="812" spans="2:9" x14ac:dyDescent="0.3">
      <c r="B812" t="s">
        <v>697</v>
      </c>
      <c r="C812" t="s">
        <v>1994</v>
      </c>
      <c r="D812" t="s">
        <v>2634</v>
      </c>
      <c r="E812" s="2">
        <v>34773</v>
      </c>
      <c r="F812">
        <v>10</v>
      </c>
      <c r="G812">
        <v>1</v>
      </c>
      <c r="H812" t="s">
        <v>3691</v>
      </c>
      <c r="I812">
        <v>10</v>
      </c>
    </row>
    <row r="813" spans="2:9" x14ac:dyDescent="0.3">
      <c r="B813" t="s">
        <v>698</v>
      </c>
      <c r="C813" t="s">
        <v>1995</v>
      </c>
      <c r="D813" t="s">
        <v>2634</v>
      </c>
      <c r="E813" s="2">
        <v>38842</v>
      </c>
      <c r="F813">
        <v>10</v>
      </c>
      <c r="G813">
        <v>1</v>
      </c>
      <c r="H813" t="s">
        <v>3692</v>
      </c>
      <c r="I813">
        <v>10</v>
      </c>
    </row>
    <row r="814" spans="2:9" x14ac:dyDescent="0.3">
      <c r="B814" t="s">
        <v>699</v>
      </c>
      <c r="C814" t="s">
        <v>1996</v>
      </c>
      <c r="D814" t="s">
        <v>2634</v>
      </c>
      <c r="E814" s="2">
        <v>39640</v>
      </c>
      <c r="F814">
        <v>10</v>
      </c>
      <c r="G814">
        <v>1</v>
      </c>
      <c r="H814" t="s">
        <v>3693</v>
      </c>
      <c r="I814">
        <v>10</v>
      </c>
    </row>
    <row r="815" spans="2:9" x14ac:dyDescent="0.3">
      <c r="B815" t="s">
        <v>700</v>
      </c>
      <c r="C815" t="s">
        <v>1997</v>
      </c>
      <c r="D815" t="s">
        <v>2634</v>
      </c>
      <c r="E815" s="2">
        <v>40626</v>
      </c>
      <c r="F815">
        <v>10</v>
      </c>
      <c r="G815">
        <v>1</v>
      </c>
      <c r="H815" t="s">
        <v>3694</v>
      </c>
      <c r="I815">
        <v>10</v>
      </c>
    </row>
    <row r="816" spans="2:9" x14ac:dyDescent="0.3">
      <c r="B816" t="s">
        <v>701</v>
      </c>
      <c r="C816" t="s">
        <v>1998</v>
      </c>
      <c r="D816" t="s">
        <v>2634</v>
      </c>
      <c r="E816" s="2">
        <v>39672</v>
      </c>
      <c r="F816">
        <v>1</v>
      </c>
      <c r="G816">
        <v>1</v>
      </c>
      <c r="H816" t="s">
        <v>3695</v>
      </c>
      <c r="I816">
        <v>1</v>
      </c>
    </row>
    <row r="817" spans="2:9" x14ac:dyDescent="0.3">
      <c r="B817" t="s">
        <v>3696</v>
      </c>
      <c r="C817" t="s">
        <v>3697</v>
      </c>
      <c r="D817" t="s">
        <v>2634</v>
      </c>
      <c r="E817" s="2">
        <v>42569</v>
      </c>
      <c r="F817">
        <v>1</v>
      </c>
      <c r="G817">
        <v>1</v>
      </c>
      <c r="H817" t="s">
        <v>3698</v>
      </c>
      <c r="I817">
        <v>1</v>
      </c>
    </row>
    <row r="818" spans="2:9" x14ac:dyDescent="0.3">
      <c r="B818" t="s">
        <v>109</v>
      </c>
      <c r="C818" t="s">
        <v>1999</v>
      </c>
      <c r="D818" t="s">
        <v>2634</v>
      </c>
      <c r="E818" s="2">
        <v>38161</v>
      </c>
      <c r="F818">
        <v>2</v>
      </c>
      <c r="G818">
        <v>1</v>
      </c>
      <c r="H818" t="s">
        <v>3699</v>
      </c>
      <c r="I818">
        <v>2</v>
      </c>
    </row>
    <row r="819" spans="2:9" x14ac:dyDescent="0.3">
      <c r="B819" t="s">
        <v>3700</v>
      </c>
      <c r="C819" t="s">
        <v>3701</v>
      </c>
      <c r="D819" t="s">
        <v>2634</v>
      </c>
      <c r="E819" s="2">
        <v>42572</v>
      </c>
      <c r="F819">
        <v>1</v>
      </c>
      <c r="G819">
        <v>1</v>
      </c>
      <c r="H819" t="s">
        <v>3702</v>
      </c>
      <c r="I819">
        <v>1</v>
      </c>
    </row>
    <row r="820" spans="2:9" x14ac:dyDescent="0.3">
      <c r="B820" t="s">
        <v>3703</v>
      </c>
      <c r="C820" t="s">
        <v>3704</v>
      </c>
      <c r="D820" t="s">
        <v>2634</v>
      </c>
      <c r="E820" s="2">
        <v>42636</v>
      </c>
      <c r="F820">
        <v>2</v>
      </c>
      <c r="G820">
        <v>1</v>
      </c>
      <c r="H820" t="s">
        <v>3705</v>
      </c>
      <c r="I820">
        <v>2</v>
      </c>
    </row>
    <row r="821" spans="2:9" x14ac:dyDescent="0.3">
      <c r="B821" t="s">
        <v>702</v>
      </c>
      <c r="C821" t="s">
        <v>2000</v>
      </c>
      <c r="D821" t="s">
        <v>2634</v>
      </c>
      <c r="E821" s="2">
        <v>34948</v>
      </c>
      <c r="F821">
        <v>10</v>
      </c>
      <c r="G821">
        <v>1</v>
      </c>
      <c r="H821" t="s">
        <v>3706</v>
      </c>
      <c r="I821">
        <v>10</v>
      </c>
    </row>
    <row r="822" spans="2:9" x14ac:dyDescent="0.3">
      <c r="B822" t="s">
        <v>703</v>
      </c>
      <c r="C822" t="s">
        <v>2001</v>
      </c>
      <c r="D822" t="s">
        <v>2634</v>
      </c>
      <c r="E822" s="2">
        <v>39098</v>
      </c>
      <c r="F822">
        <v>10</v>
      </c>
      <c r="G822">
        <v>1</v>
      </c>
      <c r="H822" t="s">
        <v>3707</v>
      </c>
      <c r="I822">
        <v>10</v>
      </c>
    </row>
    <row r="823" spans="2:9" x14ac:dyDescent="0.3">
      <c r="B823" t="s">
        <v>704</v>
      </c>
      <c r="C823" t="s">
        <v>2002</v>
      </c>
      <c r="D823" t="s">
        <v>2634</v>
      </c>
      <c r="E823" s="2">
        <v>37144</v>
      </c>
      <c r="F823">
        <v>2</v>
      </c>
      <c r="G823">
        <v>1</v>
      </c>
      <c r="H823" t="s">
        <v>3708</v>
      </c>
      <c r="I823">
        <v>2</v>
      </c>
    </row>
    <row r="824" spans="2:9" x14ac:dyDescent="0.3">
      <c r="B824" t="s">
        <v>3709</v>
      </c>
      <c r="C824" t="s">
        <v>3710</v>
      </c>
      <c r="D824" t="s">
        <v>2634</v>
      </c>
      <c r="E824" s="2">
        <v>42338</v>
      </c>
      <c r="F824">
        <v>2</v>
      </c>
      <c r="G824">
        <v>1</v>
      </c>
      <c r="H824" t="s">
        <v>3711</v>
      </c>
      <c r="I824">
        <v>2</v>
      </c>
    </row>
    <row r="825" spans="2:9" x14ac:dyDescent="0.3">
      <c r="B825" t="s">
        <v>3712</v>
      </c>
      <c r="C825" t="s">
        <v>3713</v>
      </c>
      <c r="D825" t="s">
        <v>2662</v>
      </c>
      <c r="E825" s="2">
        <v>42132</v>
      </c>
      <c r="F825">
        <v>2</v>
      </c>
      <c r="G825">
        <v>1</v>
      </c>
      <c r="H825" t="s">
        <v>3714</v>
      </c>
      <c r="I825">
        <v>2</v>
      </c>
    </row>
    <row r="826" spans="2:9" x14ac:dyDescent="0.3">
      <c r="B826" t="s">
        <v>705</v>
      </c>
      <c r="C826" t="s">
        <v>2003</v>
      </c>
      <c r="D826" t="s">
        <v>2634</v>
      </c>
      <c r="E826" s="2">
        <v>34738</v>
      </c>
      <c r="F826">
        <v>10</v>
      </c>
      <c r="G826">
        <v>1</v>
      </c>
      <c r="H826" t="s">
        <v>3715</v>
      </c>
      <c r="I826">
        <v>10</v>
      </c>
    </row>
    <row r="827" spans="2:9" x14ac:dyDescent="0.3">
      <c r="B827" t="s">
        <v>706</v>
      </c>
      <c r="C827" t="s">
        <v>2004</v>
      </c>
      <c r="D827" t="s">
        <v>2634</v>
      </c>
      <c r="E827" s="2">
        <v>41583</v>
      </c>
      <c r="F827">
        <v>10</v>
      </c>
      <c r="G827">
        <v>1</v>
      </c>
      <c r="H827" t="s">
        <v>3716</v>
      </c>
      <c r="I827">
        <v>10</v>
      </c>
    </row>
    <row r="828" spans="2:9" x14ac:dyDescent="0.3">
      <c r="B828" t="s">
        <v>707</v>
      </c>
      <c r="C828" t="s">
        <v>2005</v>
      </c>
      <c r="D828" t="s">
        <v>2634</v>
      </c>
      <c r="E828" s="2">
        <v>35067</v>
      </c>
      <c r="F828">
        <v>5</v>
      </c>
      <c r="G828">
        <v>1</v>
      </c>
      <c r="H828" t="s">
        <v>3717</v>
      </c>
      <c r="I828">
        <v>5</v>
      </c>
    </row>
    <row r="829" spans="2:9" x14ac:dyDescent="0.3">
      <c r="B829" t="s">
        <v>65</v>
      </c>
      <c r="C829" t="s">
        <v>2006</v>
      </c>
      <c r="D829" t="s">
        <v>2634</v>
      </c>
      <c r="E829" s="2">
        <v>38793</v>
      </c>
      <c r="F829">
        <v>2</v>
      </c>
      <c r="G829">
        <v>1</v>
      </c>
      <c r="H829" t="s">
        <v>3718</v>
      </c>
      <c r="I829">
        <v>2</v>
      </c>
    </row>
    <row r="830" spans="2:9" x14ac:dyDescent="0.3">
      <c r="B830" t="s">
        <v>708</v>
      </c>
      <c r="C830" t="s">
        <v>2007</v>
      </c>
      <c r="D830" t="s">
        <v>2634</v>
      </c>
      <c r="E830" s="2">
        <v>39377</v>
      </c>
      <c r="F830">
        <v>10</v>
      </c>
      <c r="G830">
        <v>1</v>
      </c>
      <c r="H830" t="s">
        <v>3719</v>
      </c>
      <c r="I830">
        <v>10</v>
      </c>
    </row>
    <row r="831" spans="2:9" x14ac:dyDescent="0.3">
      <c r="B831" t="s">
        <v>709</v>
      </c>
      <c r="C831" t="s">
        <v>2008</v>
      </c>
      <c r="D831" t="s">
        <v>2634</v>
      </c>
      <c r="E831" s="2">
        <v>39436</v>
      </c>
      <c r="F831">
        <v>10</v>
      </c>
      <c r="G831">
        <v>1</v>
      </c>
      <c r="H831" t="s">
        <v>3720</v>
      </c>
      <c r="I831">
        <v>10</v>
      </c>
    </row>
    <row r="832" spans="2:9" x14ac:dyDescent="0.3">
      <c r="B832" t="s">
        <v>710</v>
      </c>
      <c r="C832" t="s">
        <v>2009</v>
      </c>
      <c r="D832" t="s">
        <v>2634</v>
      </c>
      <c r="E832" s="2">
        <v>38995</v>
      </c>
      <c r="F832">
        <v>1</v>
      </c>
      <c r="G832">
        <v>1</v>
      </c>
      <c r="H832" t="s">
        <v>3721</v>
      </c>
      <c r="I832">
        <v>1</v>
      </c>
    </row>
    <row r="833" spans="2:9" x14ac:dyDescent="0.3">
      <c r="B833" t="s">
        <v>711</v>
      </c>
      <c r="C833" t="s">
        <v>2010</v>
      </c>
      <c r="D833" t="s">
        <v>2662</v>
      </c>
      <c r="E833" s="2">
        <v>36327</v>
      </c>
      <c r="F833">
        <v>10</v>
      </c>
      <c r="G833">
        <v>1</v>
      </c>
      <c r="H833" t="s">
        <v>3722</v>
      </c>
      <c r="I833">
        <v>10</v>
      </c>
    </row>
    <row r="834" spans="2:9" x14ac:dyDescent="0.3">
      <c r="B834" t="s">
        <v>712</v>
      </c>
      <c r="C834" t="s">
        <v>2011</v>
      </c>
      <c r="D834" t="s">
        <v>2634</v>
      </c>
      <c r="E834" s="2">
        <v>38104</v>
      </c>
      <c r="F834">
        <v>2</v>
      </c>
      <c r="G834">
        <v>1</v>
      </c>
      <c r="H834" t="s">
        <v>3723</v>
      </c>
      <c r="I834">
        <v>2</v>
      </c>
    </row>
    <row r="835" spans="2:9" x14ac:dyDescent="0.3">
      <c r="B835" t="s">
        <v>713</v>
      </c>
      <c r="C835" t="s">
        <v>2012</v>
      </c>
      <c r="D835" t="s">
        <v>2634</v>
      </c>
      <c r="E835" s="2">
        <v>39345</v>
      </c>
      <c r="F835">
        <v>10</v>
      </c>
      <c r="G835">
        <v>1</v>
      </c>
      <c r="H835" t="s">
        <v>3724</v>
      </c>
      <c r="I835">
        <v>10</v>
      </c>
    </row>
    <row r="836" spans="2:9" x14ac:dyDescent="0.3">
      <c r="B836" t="s">
        <v>714</v>
      </c>
      <c r="C836" t="s">
        <v>2013</v>
      </c>
      <c r="D836" t="s">
        <v>2634</v>
      </c>
      <c r="E836" s="2">
        <v>38089</v>
      </c>
      <c r="F836">
        <v>10</v>
      </c>
      <c r="G836">
        <v>1</v>
      </c>
      <c r="H836" t="s">
        <v>3725</v>
      </c>
      <c r="I836">
        <v>10</v>
      </c>
    </row>
    <row r="837" spans="2:9" x14ac:dyDescent="0.3">
      <c r="B837" t="s">
        <v>3726</v>
      </c>
      <c r="C837" t="s">
        <v>3727</v>
      </c>
      <c r="D837" t="s">
        <v>2634</v>
      </c>
      <c r="E837" s="2">
        <v>42552</v>
      </c>
      <c r="F837">
        <v>10</v>
      </c>
      <c r="G837">
        <v>1</v>
      </c>
      <c r="H837" t="s">
        <v>3728</v>
      </c>
      <c r="I837">
        <v>10</v>
      </c>
    </row>
    <row r="838" spans="2:9" x14ac:dyDescent="0.3">
      <c r="B838" t="s">
        <v>715</v>
      </c>
      <c r="C838" t="s">
        <v>2014</v>
      </c>
      <c r="D838" t="s">
        <v>2634</v>
      </c>
      <c r="E838" s="2">
        <v>39324</v>
      </c>
      <c r="F838">
        <v>10</v>
      </c>
      <c r="G838">
        <v>1</v>
      </c>
      <c r="H838" t="s">
        <v>3729</v>
      </c>
      <c r="I838">
        <v>10</v>
      </c>
    </row>
    <row r="839" spans="2:9" x14ac:dyDescent="0.3">
      <c r="B839" t="s">
        <v>716</v>
      </c>
      <c r="C839" t="s">
        <v>2015</v>
      </c>
      <c r="D839" t="s">
        <v>2634</v>
      </c>
      <c r="E839" s="2">
        <v>36656</v>
      </c>
      <c r="F839">
        <v>10</v>
      </c>
      <c r="G839">
        <v>1</v>
      </c>
      <c r="H839" t="s">
        <v>3730</v>
      </c>
      <c r="I839">
        <v>10</v>
      </c>
    </row>
    <row r="840" spans="2:9" x14ac:dyDescent="0.3">
      <c r="B840" t="s">
        <v>717</v>
      </c>
      <c r="C840" t="s">
        <v>2016</v>
      </c>
      <c r="D840" t="s">
        <v>2634</v>
      </c>
      <c r="E840" s="2">
        <v>34738</v>
      </c>
      <c r="F840">
        <v>10</v>
      </c>
      <c r="G840">
        <v>1</v>
      </c>
      <c r="H840" t="s">
        <v>3731</v>
      </c>
      <c r="I840">
        <v>10</v>
      </c>
    </row>
    <row r="841" spans="2:9" x14ac:dyDescent="0.3">
      <c r="B841" t="s">
        <v>718</v>
      </c>
      <c r="C841" t="s">
        <v>2017</v>
      </c>
      <c r="D841" t="s">
        <v>2634</v>
      </c>
      <c r="E841" s="2">
        <v>38224</v>
      </c>
      <c r="F841">
        <v>5</v>
      </c>
      <c r="G841">
        <v>1</v>
      </c>
      <c r="H841" t="s">
        <v>3732</v>
      </c>
      <c r="I841">
        <v>5</v>
      </c>
    </row>
    <row r="842" spans="2:9" x14ac:dyDescent="0.3">
      <c r="B842" t="s">
        <v>719</v>
      </c>
      <c r="C842" t="s">
        <v>2018</v>
      </c>
      <c r="D842" t="s">
        <v>2634</v>
      </c>
      <c r="E842" s="2">
        <v>40729</v>
      </c>
      <c r="F842">
        <v>10</v>
      </c>
      <c r="G842">
        <v>1</v>
      </c>
      <c r="H842" t="s">
        <v>3733</v>
      </c>
      <c r="I842">
        <v>10</v>
      </c>
    </row>
    <row r="843" spans="2:9" x14ac:dyDescent="0.3">
      <c r="B843" t="s">
        <v>3734</v>
      </c>
      <c r="C843" t="s">
        <v>3735</v>
      </c>
      <c r="D843" t="s">
        <v>2634</v>
      </c>
      <c r="E843" s="2">
        <v>42235</v>
      </c>
      <c r="F843">
        <v>5</v>
      </c>
      <c r="G843">
        <v>1</v>
      </c>
      <c r="H843" t="s">
        <v>3736</v>
      </c>
      <c r="I843">
        <v>5</v>
      </c>
    </row>
    <row r="844" spans="2:9" x14ac:dyDescent="0.3">
      <c r="B844" t="s">
        <v>720</v>
      </c>
      <c r="C844" t="s">
        <v>2019</v>
      </c>
      <c r="D844" t="s">
        <v>2634</v>
      </c>
      <c r="E844" s="2">
        <v>38812</v>
      </c>
      <c r="F844">
        <v>10</v>
      </c>
      <c r="G844">
        <v>1</v>
      </c>
      <c r="H844" t="s">
        <v>3737</v>
      </c>
      <c r="I844">
        <v>10</v>
      </c>
    </row>
    <row r="845" spans="2:9" x14ac:dyDescent="0.3">
      <c r="B845" t="s">
        <v>721</v>
      </c>
      <c r="C845" t="s">
        <v>2020</v>
      </c>
      <c r="D845" t="s">
        <v>2662</v>
      </c>
      <c r="E845" s="2">
        <v>36628</v>
      </c>
      <c r="F845">
        <v>10</v>
      </c>
      <c r="G845">
        <v>1</v>
      </c>
      <c r="H845" t="s">
        <v>3738</v>
      </c>
      <c r="I845">
        <v>10</v>
      </c>
    </row>
    <row r="846" spans="2:9" x14ac:dyDescent="0.3">
      <c r="B846" t="s">
        <v>3739</v>
      </c>
      <c r="C846" t="s">
        <v>3740</v>
      </c>
      <c r="D846" t="s">
        <v>2662</v>
      </c>
      <c r="E846" s="2">
        <v>42093</v>
      </c>
      <c r="F846">
        <v>1</v>
      </c>
      <c r="G846">
        <v>1</v>
      </c>
      <c r="H846" t="s">
        <v>3741</v>
      </c>
      <c r="I846">
        <v>1</v>
      </c>
    </row>
    <row r="847" spans="2:9" x14ac:dyDescent="0.3">
      <c r="B847" t="s">
        <v>3742</v>
      </c>
      <c r="C847" t="s">
        <v>3743</v>
      </c>
      <c r="D847" t="s">
        <v>2634</v>
      </c>
      <c r="E847" s="2">
        <v>42093</v>
      </c>
      <c r="F847">
        <v>1</v>
      </c>
      <c r="G847">
        <v>1</v>
      </c>
      <c r="H847" t="s">
        <v>3744</v>
      </c>
      <c r="I847">
        <v>1</v>
      </c>
    </row>
    <row r="848" spans="2:9" x14ac:dyDescent="0.3">
      <c r="B848" t="s">
        <v>3745</v>
      </c>
      <c r="C848" t="s">
        <v>3746</v>
      </c>
      <c r="D848" t="s">
        <v>2662</v>
      </c>
      <c r="E848" s="2">
        <v>42093</v>
      </c>
      <c r="F848">
        <v>1</v>
      </c>
      <c r="G848">
        <v>1</v>
      </c>
      <c r="H848" t="s">
        <v>3747</v>
      </c>
      <c r="I848">
        <v>1</v>
      </c>
    </row>
    <row r="849" spans="2:9" x14ac:dyDescent="0.3">
      <c r="B849" t="s">
        <v>722</v>
      </c>
      <c r="C849" t="s">
        <v>2021</v>
      </c>
      <c r="D849" t="s">
        <v>2634</v>
      </c>
      <c r="E849" s="2">
        <v>39455</v>
      </c>
      <c r="F849">
        <v>2</v>
      </c>
      <c r="G849">
        <v>1</v>
      </c>
      <c r="H849" t="s">
        <v>3748</v>
      </c>
      <c r="I849">
        <v>2</v>
      </c>
    </row>
    <row r="850" spans="2:9" x14ac:dyDescent="0.3">
      <c r="B850" t="s">
        <v>3749</v>
      </c>
      <c r="C850" t="s">
        <v>3750</v>
      </c>
      <c r="D850" t="s">
        <v>2634</v>
      </c>
      <c r="E850" s="2">
        <v>42093</v>
      </c>
      <c r="F850">
        <v>1</v>
      </c>
      <c r="G850">
        <v>1</v>
      </c>
      <c r="H850" t="s">
        <v>3751</v>
      </c>
      <c r="I850">
        <v>1</v>
      </c>
    </row>
    <row r="851" spans="2:9" x14ac:dyDescent="0.3">
      <c r="B851" t="s">
        <v>723</v>
      </c>
      <c r="C851" t="s">
        <v>2022</v>
      </c>
      <c r="D851" t="s">
        <v>2634</v>
      </c>
      <c r="E851" s="2">
        <v>39057</v>
      </c>
      <c r="F851">
        <v>5</v>
      </c>
      <c r="G851">
        <v>1</v>
      </c>
      <c r="H851" t="s">
        <v>3752</v>
      </c>
      <c r="I851">
        <v>5</v>
      </c>
    </row>
    <row r="852" spans="2:9" x14ac:dyDescent="0.3">
      <c r="B852" t="s">
        <v>3753</v>
      </c>
      <c r="C852" t="s">
        <v>3754</v>
      </c>
      <c r="D852" t="s">
        <v>2634</v>
      </c>
      <c r="E852" s="2">
        <v>41974</v>
      </c>
      <c r="F852">
        <v>2</v>
      </c>
      <c r="G852">
        <v>1</v>
      </c>
      <c r="H852" t="s">
        <v>3755</v>
      </c>
      <c r="I852">
        <v>2</v>
      </c>
    </row>
    <row r="853" spans="2:9" x14ac:dyDescent="0.3">
      <c r="B853" t="s">
        <v>724</v>
      </c>
      <c r="C853" t="s">
        <v>2023</v>
      </c>
      <c r="D853" t="s">
        <v>2634</v>
      </c>
      <c r="E853" s="2">
        <v>40317</v>
      </c>
      <c r="F853">
        <v>10</v>
      </c>
      <c r="G853">
        <v>1</v>
      </c>
      <c r="H853" t="s">
        <v>3756</v>
      </c>
      <c r="I853">
        <v>10</v>
      </c>
    </row>
    <row r="854" spans="2:9" x14ac:dyDescent="0.3">
      <c r="B854" t="s">
        <v>725</v>
      </c>
      <c r="C854" t="s">
        <v>2024</v>
      </c>
      <c r="D854" t="s">
        <v>2634</v>
      </c>
      <c r="E854" s="2">
        <v>38495</v>
      </c>
      <c r="F854">
        <v>10</v>
      </c>
      <c r="G854">
        <v>1</v>
      </c>
      <c r="H854" t="s">
        <v>3757</v>
      </c>
      <c r="I854">
        <v>10</v>
      </c>
    </row>
    <row r="855" spans="2:9" x14ac:dyDescent="0.3">
      <c r="B855" t="s">
        <v>726</v>
      </c>
      <c r="C855" t="s">
        <v>2025</v>
      </c>
      <c r="D855" t="s">
        <v>2634</v>
      </c>
      <c r="E855" s="2">
        <v>39377</v>
      </c>
      <c r="F855">
        <v>10</v>
      </c>
      <c r="G855">
        <v>1</v>
      </c>
      <c r="H855" t="s">
        <v>3758</v>
      </c>
      <c r="I855">
        <v>10</v>
      </c>
    </row>
    <row r="856" spans="2:9" x14ac:dyDescent="0.3">
      <c r="B856" t="s">
        <v>727</v>
      </c>
      <c r="C856" t="s">
        <v>2026</v>
      </c>
      <c r="D856" t="s">
        <v>2634</v>
      </c>
      <c r="E856" s="2">
        <v>35067</v>
      </c>
      <c r="F856">
        <v>10</v>
      </c>
      <c r="G856">
        <v>1</v>
      </c>
      <c r="H856" t="s">
        <v>3759</v>
      </c>
      <c r="I856">
        <v>10</v>
      </c>
    </row>
    <row r="857" spans="2:9" x14ac:dyDescent="0.3">
      <c r="B857" t="s">
        <v>728</v>
      </c>
      <c r="C857" t="s">
        <v>2027</v>
      </c>
      <c r="D857" t="s">
        <v>2634</v>
      </c>
      <c r="E857" s="2">
        <v>34907</v>
      </c>
      <c r="F857">
        <v>10</v>
      </c>
      <c r="G857">
        <v>1</v>
      </c>
      <c r="H857" t="s">
        <v>3760</v>
      </c>
      <c r="I857">
        <v>10</v>
      </c>
    </row>
    <row r="858" spans="2:9" x14ac:dyDescent="0.3">
      <c r="B858" t="s">
        <v>729</v>
      </c>
      <c r="C858" t="s">
        <v>2028</v>
      </c>
      <c r="D858" t="s">
        <v>2634</v>
      </c>
      <c r="E858" s="2">
        <v>38527</v>
      </c>
      <c r="F858">
        <v>5</v>
      </c>
      <c r="G858">
        <v>1</v>
      </c>
      <c r="H858" t="s">
        <v>3761</v>
      </c>
      <c r="I858">
        <v>5</v>
      </c>
    </row>
    <row r="859" spans="2:9" x14ac:dyDescent="0.3">
      <c r="B859" t="s">
        <v>730</v>
      </c>
      <c r="C859" t="s">
        <v>2029</v>
      </c>
      <c r="D859" t="s">
        <v>2634</v>
      </c>
      <c r="E859" s="2">
        <v>40248</v>
      </c>
      <c r="F859">
        <v>2</v>
      </c>
      <c r="G859">
        <v>1</v>
      </c>
      <c r="H859" t="s">
        <v>3762</v>
      </c>
      <c r="I859">
        <v>2</v>
      </c>
    </row>
    <row r="860" spans="2:9" x14ac:dyDescent="0.3">
      <c r="B860" t="s">
        <v>3763</v>
      </c>
      <c r="C860" t="s">
        <v>3764</v>
      </c>
      <c r="D860" t="s">
        <v>2634</v>
      </c>
      <c r="E860" s="2">
        <v>42194</v>
      </c>
      <c r="F860">
        <v>10</v>
      </c>
      <c r="G860">
        <v>1</v>
      </c>
      <c r="H860" t="s">
        <v>3765</v>
      </c>
      <c r="I860">
        <v>10</v>
      </c>
    </row>
    <row r="861" spans="2:9" x14ac:dyDescent="0.3">
      <c r="B861" t="s">
        <v>731</v>
      </c>
      <c r="C861" t="s">
        <v>2030</v>
      </c>
      <c r="D861" t="s">
        <v>2634</v>
      </c>
      <c r="E861" s="2">
        <v>38974</v>
      </c>
      <c r="F861">
        <v>2</v>
      </c>
      <c r="G861">
        <v>1</v>
      </c>
      <c r="H861" t="s">
        <v>3766</v>
      </c>
      <c r="I861">
        <v>2</v>
      </c>
    </row>
    <row r="862" spans="2:9" x14ac:dyDescent="0.3">
      <c r="B862" t="s">
        <v>732</v>
      </c>
      <c r="C862" t="s">
        <v>2031</v>
      </c>
      <c r="D862" t="s">
        <v>2634</v>
      </c>
      <c r="E862" s="2">
        <v>34738</v>
      </c>
      <c r="F862">
        <v>10</v>
      </c>
      <c r="G862">
        <v>1</v>
      </c>
      <c r="H862" t="s">
        <v>3767</v>
      </c>
      <c r="I862">
        <v>10</v>
      </c>
    </row>
    <row r="863" spans="2:9" x14ac:dyDescent="0.3">
      <c r="B863" t="s">
        <v>3768</v>
      </c>
      <c r="C863" t="s">
        <v>3769</v>
      </c>
      <c r="D863" t="s">
        <v>2634</v>
      </c>
      <c r="E863" s="2">
        <v>42642</v>
      </c>
      <c r="F863">
        <v>10</v>
      </c>
      <c r="G863">
        <v>1</v>
      </c>
      <c r="H863" t="s">
        <v>3770</v>
      </c>
      <c r="I863">
        <v>10</v>
      </c>
    </row>
    <row r="864" spans="2:9" x14ac:dyDescent="0.3">
      <c r="B864" t="s">
        <v>733</v>
      </c>
      <c r="C864" t="s">
        <v>2032</v>
      </c>
      <c r="D864" t="s">
        <v>2634</v>
      </c>
      <c r="E864" s="2">
        <v>35186</v>
      </c>
      <c r="F864">
        <v>1</v>
      </c>
      <c r="G864">
        <v>1</v>
      </c>
      <c r="H864" t="s">
        <v>3771</v>
      </c>
      <c r="I864">
        <v>1</v>
      </c>
    </row>
    <row r="865" spans="2:9" x14ac:dyDescent="0.3">
      <c r="B865" t="s">
        <v>734</v>
      </c>
      <c r="C865" t="s">
        <v>2033</v>
      </c>
      <c r="D865" t="s">
        <v>2634</v>
      </c>
      <c r="E865" s="2">
        <v>37277</v>
      </c>
      <c r="F865">
        <v>1</v>
      </c>
      <c r="G865">
        <v>1</v>
      </c>
      <c r="H865" t="s">
        <v>3772</v>
      </c>
      <c r="I865">
        <v>1</v>
      </c>
    </row>
    <row r="866" spans="2:9" x14ac:dyDescent="0.3">
      <c r="B866" t="s">
        <v>735</v>
      </c>
      <c r="C866" t="s">
        <v>2034</v>
      </c>
      <c r="D866" t="s">
        <v>2634</v>
      </c>
      <c r="E866" s="2">
        <v>37811</v>
      </c>
      <c r="F866">
        <v>5</v>
      </c>
      <c r="G866">
        <v>1</v>
      </c>
      <c r="H866" t="s">
        <v>3773</v>
      </c>
      <c r="I866">
        <v>5</v>
      </c>
    </row>
    <row r="867" spans="2:9" x14ac:dyDescent="0.3">
      <c r="B867" t="s">
        <v>3774</v>
      </c>
      <c r="C867" t="s">
        <v>3775</v>
      </c>
      <c r="D867" t="s">
        <v>2662</v>
      </c>
      <c r="E867" s="2">
        <v>42657</v>
      </c>
      <c r="F867">
        <v>10</v>
      </c>
      <c r="G867">
        <v>1</v>
      </c>
      <c r="H867" t="s">
        <v>3776</v>
      </c>
      <c r="I867">
        <v>10</v>
      </c>
    </row>
    <row r="868" spans="2:9" x14ac:dyDescent="0.3">
      <c r="B868" t="s">
        <v>736</v>
      </c>
      <c r="C868" t="s">
        <v>2035</v>
      </c>
      <c r="D868" t="s">
        <v>2634</v>
      </c>
      <c r="E868" s="2">
        <v>34829</v>
      </c>
      <c r="F868">
        <v>5</v>
      </c>
      <c r="G868">
        <v>1</v>
      </c>
      <c r="H868" t="s">
        <v>3777</v>
      </c>
      <c r="I868">
        <v>5</v>
      </c>
    </row>
    <row r="869" spans="2:9" x14ac:dyDescent="0.3">
      <c r="B869" t="s">
        <v>737</v>
      </c>
      <c r="C869" t="s">
        <v>2036</v>
      </c>
      <c r="D869" t="s">
        <v>2634</v>
      </c>
      <c r="E869" s="2">
        <v>39892</v>
      </c>
      <c r="F869">
        <v>10</v>
      </c>
      <c r="G869">
        <v>1</v>
      </c>
      <c r="H869" t="s">
        <v>3778</v>
      </c>
      <c r="I869">
        <v>10</v>
      </c>
    </row>
    <row r="870" spans="2:9" x14ac:dyDescent="0.3">
      <c r="B870" t="s">
        <v>3779</v>
      </c>
      <c r="C870" t="s">
        <v>2037</v>
      </c>
      <c r="D870" t="s">
        <v>2634</v>
      </c>
      <c r="E870" s="2">
        <v>42565</v>
      </c>
      <c r="F870">
        <v>2</v>
      </c>
      <c r="G870">
        <v>1</v>
      </c>
      <c r="H870" t="s">
        <v>3780</v>
      </c>
      <c r="I870">
        <v>2</v>
      </c>
    </row>
    <row r="871" spans="2:9" x14ac:dyDescent="0.3">
      <c r="B871" t="s">
        <v>3781</v>
      </c>
      <c r="C871" t="s">
        <v>3782</v>
      </c>
      <c r="D871" t="s">
        <v>2634</v>
      </c>
      <c r="E871" s="2">
        <v>42543</v>
      </c>
      <c r="F871">
        <v>10</v>
      </c>
      <c r="G871">
        <v>1</v>
      </c>
      <c r="H871" t="s">
        <v>3783</v>
      </c>
      <c r="I871">
        <v>10</v>
      </c>
    </row>
    <row r="872" spans="2:9" x14ac:dyDescent="0.3">
      <c r="B872" t="s">
        <v>738</v>
      </c>
      <c r="C872" t="s">
        <v>2038</v>
      </c>
      <c r="D872" t="s">
        <v>2634</v>
      </c>
      <c r="E872" s="2">
        <v>41177</v>
      </c>
      <c r="F872">
        <v>5</v>
      </c>
      <c r="G872">
        <v>1</v>
      </c>
      <c r="H872" t="s">
        <v>3784</v>
      </c>
      <c r="I872">
        <v>5</v>
      </c>
    </row>
    <row r="873" spans="2:9" x14ac:dyDescent="0.3">
      <c r="B873" t="s">
        <v>3785</v>
      </c>
      <c r="C873" t="s">
        <v>3786</v>
      </c>
      <c r="D873" t="s">
        <v>2634</v>
      </c>
      <c r="E873" s="2">
        <v>42675</v>
      </c>
      <c r="F873">
        <v>10</v>
      </c>
      <c r="G873">
        <v>1</v>
      </c>
      <c r="H873" t="s">
        <v>3787</v>
      </c>
      <c r="I873">
        <v>10</v>
      </c>
    </row>
    <row r="874" spans="2:9" x14ac:dyDescent="0.3">
      <c r="B874" t="s">
        <v>739</v>
      </c>
      <c r="C874" t="s">
        <v>2039</v>
      </c>
      <c r="D874" t="s">
        <v>2634</v>
      </c>
      <c r="E874" s="2">
        <v>38996</v>
      </c>
      <c r="F874">
        <v>10</v>
      </c>
      <c r="G874">
        <v>1</v>
      </c>
      <c r="H874" t="s">
        <v>3788</v>
      </c>
      <c r="I874">
        <v>10</v>
      </c>
    </row>
    <row r="875" spans="2:9" x14ac:dyDescent="0.3">
      <c r="B875" t="s">
        <v>740</v>
      </c>
      <c r="C875" t="s">
        <v>2040</v>
      </c>
      <c r="D875" t="s">
        <v>2634</v>
      </c>
      <c r="E875" s="2">
        <v>40189</v>
      </c>
      <c r="F875">
        <v>10</v>
      </c>
      <c r="G875">
        <v>1</v>
      </c>
      <c r="H875" t="s">
        <v>3789</v>
      </c>
      <c r="I875">
        <v>10</v>
      </c>
    </row>
    <row r="876" spans="2:9" x14ac:dyDescent="0.3">
      <c r="B876" t="s">
        <v>741</v>
      </c>
      <c r="C876" t="s">
        <v>2041</v>
      </c>
      <c r="D876" t="s">
        <v>2634</v>
      </c>
      <c r="E876" s="2">
        <v>39232</v>
      </c>
      <c r="F876">
        <v>10</v>
      </c>
      <c r="G876">
        <v>1</v>
      </c>
      <c r="H876" t="s">
        <v>3790</v>
      </c>
      <c r="I876">
        <v>10</v>
      </c>
    </row>
    <row r="877" spans="2:9" x14ac:dyDescent="0.3">
      <c r="B877" t="s">
        <v>742</v>
      </c>
      <c r="C877" t="s">
        <v>2042</v>
      </c>
      <c r="D877" t="s">
        <v>2634</v>
      </c>
      <c r="E877" s="2">
        <v>37161</v>
      </c>
      <c r="F877">
        <v>10</v>
      </c>
      <c r="G877">
        <v>1</v>
      </c>
      <c r="H877" t="s">
        <v>3791</v>
      </c>
      <c r="I877">
        <v>10</v>
      </c>
    </row>
    <row r="878" spans="2:9" x14ac:dyDescent="0.3">
      <c r="B878" t="s">
        <v>743</v>
      </c>
      <c r="C878" t="s">
        <v>2043</v>
      </c>
      <c r="D878" t="s">
        <v>2634</v>
      </c>
      <c r="E878" s="2">
        <v>38562</v>
      </c>
      <c r="F878">
        <v>5</v>
      </c>
      <c r="G878">
        <v>1</v>
      </c>
      <c r="H878" t="s">
        <v>3792</v>
      </c>
      <c r="I878">
        <v>5</v>
      </c>
    </row>
    <row r="879" spans="2:9" x14ac:dyDescent="0.3">
      <c r="B879" t="s">
        <v>3793</v>
      </c>
      <c r="C879" t="s">
        <v>3794</v>
      </c>
      <c r="D879" t="s">
        <v>2634</v>
      </c>
      <c r="E879" s="2">
        <v>40977</v>
      </c>
      <c r="F879">
        <v>10</v>
      </c>
      <c r="G879">
        <v>1</v>
      </c>
      <c r="H879" t="s">
        <v>3795</v>
      </c>
      <c r="I879">
        <v>10</v>
      </c>
    </row>
    <row r="880" spans="2:9" x14ac:dyDescent="0.3">
      <c r="B880" t="s">
        <v>744</v>
      </c>
      <c r="C880" t="s">
        <v>2044</v>
      </c>
      <c r="D880" t="s">
        <v>2634</v>
      </c>
      <c r="E880" s="2">
        <v>39282</v>
      </c>
      <c r="F880">
        <v>10</v>
      </c>
      <c r="G880">
        <v>1</v>
      </c>
      <c r="H880" t="s">
        <v>3796</v>
      </c>
      <c r="I880">
        <v>10</v>
      </c>
    </row>
    <row r="881" spans="2:9" x14ac:dyDescent="0.3">
      <c r="B881" t="s">
        <v>745</v>
      </c>
      <c r="C881" t="s">
        <v>2045</v>
      </c>
      <c r="D881" t="s">
        <v>2634</v>
      </c>
      <c r="E881" s="2">
        <v>39261</v>
      </c>
      <c r="F881">
        <v>1</v>
      </c>
      <c r="G881">
        <v>1</v>
      </c>
      <c r="H881" t="s">
        <v>3797</v>
      </c>
      <c r="I881">
        <v>1</v>
      </c>
    </row>
    <row r="882" spans="2:9" x14ac:dyDescent="0.3">
      <c r="B882" t="s">
        <v>1300</v>
      </c>
      <c r="C882" t="s">
        <v>2046</v>
      </c>
      <c r="D882" t="s">
        <v>2662</v>
      </c>
      <c r="E882" s="2">
        <v>36592</v>
      </c>
      <c r="F882">
        <v>10</v>
      </c>
      <c r="G882">
        <v>1</v>
      </c>
      <c r="H882" t="s">
        <v>3798</v>
      </c>
      <c r="I882">
        <v>10</v>
      </c>
    </row>
    <row r="883" spans="2:9" x14ac:dyDescent="0.3">
      <c r="B883" t="s">
        <v>3799</v>
      </c>
      <c r="C883" t="s">
        <v>3800</v>
      </c>
      <c r="D883" t="s">
        <v>2634</v>
      </c>
      <c r="E883" s="2">
        <v>42072</v>
      </c>
      <c r="F883">
        <v>1</v>
      </c>
      <c r="G883">
        <v>1</v>
      </c>
      <c r="H883" t="s">
        <v>3801</v>
      </c>
      <c r="I883">
        <v>1</v>
      </c>
    </row>
    <row r="884" spans="2:9" x14ac:dyDescent="0.3">
      <c r="B884" t="s">
        <v>3802</v>
      </c>
      <c r="C884" t="s">
        <v>3803</v>
      </c>
      <c r="D884" t="s">
        <v>2634</v>
      </c>
      <c r="E884" s="2">
        <v>42130</v>
      </c>
      <c r="F884">
        <v>10</v>
      </c>
      <c r="G884">
        <v>1</v>
      </c>
      <c r="H884" t="s">
        <v>3804</v>
      </c>
      <c r="I884">
        <v>10</v>
      </c>
    </row>
    <row r="885" spans="2:9" x14ac:dyDescent="0.3">
      <c r="B885" t="s">
        <v>746</v>
      </c>
      <c r="C885" t="s">
        <v>2047</v>
      </c>
      <c r="D885" t="s">
        <v>2634</v>
      </c>
      <c r="E885" s="2">
        <v>38523</v>
      </c>
      <c r="F885">
        <v>1</v>
      </c>
      <c r="G885">
        <v>1</v>
      </c>
      <c r="H885" t="s">
        <v>3805</v>
      </c>
      <c r="I885">
        <v>1</v>
      </c>
    </row>
    <row r="886" spans="2:9" x14ac:dyDescent="0.3">
      <c r="B886" t="s">
        <v>747</v>
      </c>
      <c r="C886" t="s">
        <v>2048</v>
      </c>
      <c r="D886" t="s">
        <v>2634</v>
      </c>
      <c r="E886" s="2">
        <v>35179</v>
      </c>
      <c r="F886">
        <v>10</v>
      </c>
      <c r="G886">
        <v>1</v>
      </c>
      <c r="H886" t="s">
        <v>3806</v>
      </c>
      <c r="I886">
        <v>10</v>
      </c>
    </row>
    <row r="887" spans="2:9" x14ac:dyDescent="0.3">
      <c r="B887" t="s">
        <v>3807</v>
      </c>
      <c r="C887" t="s">
        <v>3808</v>
      </c>
      <c r="D887" t="s">
        <v>2634</v>
      </c>
      <c r="E887" s="2">
        <v>34934</v>
      </c>
      <c r="F887">
        <v>10</v>
      </c>
      <c r="G887">
        <v>1</v>
      </c>
      <c r="H887" t="s">
        <v>3809</v>
      </c>
      <c r="I887">
        <v>10</v>
      </c>
    </row>
    <row r="888" spans="2:9" x14ac:dyDescent="0.3">
      <c r="B888" t="s">
        <v>748</v>
      </c>
      <c r="C888" t="s">
        <v>2049</v>
      </c>
      <c r="D888" t="s">
        <v>2662</v>
      </c>
      <c r="E888" s="2">
        <v>39629</v>
      </c>
      <c r="F888">
        <v>2</v>
      </c>
      <c r="G888">
        <v>1</v>
      </c>
      <c r="H888" t="s">
        <v>3810</v>
      </c>
      <c r="I888">
        <v>2</v>
      </c>
    </row>
    <row r="889" spans="2:9" x14ac:dyDescent="0.3">
      <c r="B889" t="s">
        <v>3811</v>
      </c>
      <c r="C889" t="s">
        <v>3812</v>
      </c>
      <c r="D889" t="s">
        <v>2634</v>
      </c>
      <c r="E889" s="2">
        <v>36663</v>
      </c>
      <c r="F889">
        <v>2</v>
      </c>
      <c r="G889">
        <v>1</v>
      </c>
      <c r="H889" t="s">
        <v>3813</v>
      </c>
      <c r="I889">
        <v>2</v>
      </c>
    </row>
    <row r="890" spans="2:9" x14ac:dyDescent="0.3">
      <c r="B890" t="s">
        <v>3814</v>
      </c>
      <c r="C890" t="s">
        <v>3815</v>
      </c>
      <c r="D890" t="s">
        <v>2634</v>
      </c>
      <c r="E890" s="2">
        <v>42552</v>
      </c>
      <c r="F890">
        <v>10</v>
      </c>
      <c r="G890">
        <v>1</v>
      </c>
      <c r="H890" t="s">
        <v>3816</v>
      </c>
      <c r="I890">
        <v>10</v>
      </c>
    </row>
    <row r="891" spans="2:9" x14ac:dyDescent="0.3">
      <c r="B891" t="s">
        <v>749</v>
      </c>
      <c r="C891" t="s">
        <v>2050</v>
      </c>
      <c r="D891" t="s">
        <v>2634</v>
      </c>
      <c r="E891" s="2">
        <v>40010</v>
      </c>
      <c r="F891">
        <v>10</v>
      </c>
      <c r="G891">
        <v>1</v>
      </c>
      <c r="H891" t="s">
        <v>3817</v>
      </c>
      <c r="I891">
        <v>10</v>
      </c>
    </row>
    <row r="892" spans="2:9" x14ac:dyDescent="0.3">
      <c r="B892" t="s">
        <v>750</v>
      </c>
      <c r="C892" t="s">
        <v>2051</v>
      </c>
      <c r="D892" t="s">
        <v>2634</v>
      </c>
      <c r="E892" s="2">
        <v>39232</v>
      </c>
      <c r="F892">
        <v>2</v>
      </c>
      <c r="G892">
        <v>1</v>
      </c>
      <c r="H892" t="s">
        <v>3818</v>
      </c>
      <c r="I892">
        <v>2</v>
      </c>
    </row>
    <row r="893" spans="2:9" x14ac:dyDescent="0.3">
      <c r="B893" t="s">
        <v>751</v>
      </c>
      <c r="C893" t="s">
        <v>2052</v>
      </c>
      <c r="D893" t="s">
        <v>2634</v>
      </c>
      <c r="E893" s="2">
        <v>41928</v>
      </c>
      <c r="F893">
        <v>2</v>
      </c>
      <c r="G893">
        <v>1</v>
      </c>
      <c r="H893" t="s">
        <v>3819</v>
      </c>
      <c r="I893">
        <v>2</v>
      </c>
    </row>
    <row r="894" spans="2:9" x14ac:dyDescent="0.3">
      <c r="B894" t="s">
        <v>752</v>
      </c>
      <c r="C894" t="s">
        <v>2053</v>
      </c>
      <c r="D894" t="s">
        <v>2634</v>
      </c>
      <c r="E894" s="2">
        <v>39115</v>
      </c>
      <c r="F894">
        <v>2</v>
      </c>
      <c r="G894">
        <v>1</v>
      </c>
      <c r="H894" t="s">
        <v>3820</v>
      </c>
      <c r="I894">
        <v>2</v>
      </c>
    </row>
    <row r="895" spans="2:9" x14ac:dyDescent="0.3">
      <c r="B895" t="s">
        <v>3821</v>
      </c>
      <c r="C895" t="s">
        <v>3822</v>
      </c>
      <c r="D895" t="s">
        <v>2634</v>
      </c>
      <c r="E895" s="2">
        <v>42584</v>
      </c>
      <c r="F895">
        <v>10</v>
      </c>
      <c r="G895">
        <v>1</v>
      </c>
      <c r="H895" t="s">
        <v>3823</v>
      </c>
      <c r="I895">
        <v>10</v>
      </c>
    </row>
    <row r="896" spans="2:9" x14ac:dyDescent="0.3">
      <c r="B896" t="s">
        <v>66</v>
      </c>
      <c r="C896" t="s">
        <v>2054</v>
      </c>
      <c r="D896" t="s">
        <v>2634</v>
      </c>
      <c r="E896" s="2">
        <v>39148</v>
      </c>
      <c r="F896">
        <v>10</v>
      </c>
      <c r="G896">
        <v>1</v>
      </c>
      <c r="H896" t="s">
        <v>3824</v>
      </c>
      <c r="I896">
        <v>10</v>
      </c>
    </row>
    <row r="897" spans="2:9" x14ac:dyDescent="0.3">
      <c r="B897" t="s">
        <v>753</v>
      </c>
      <c r="C897" t="s">
        <v>2055</v>
      </c>
      <c r="D897" t="s">
        <v>2634</v>
      </c>
      <c r="E897" s="2">
        <v>38131</v>
      </c>
      <c r="F897">
        <v>1</v>
      </c>
      <c r="G897">
        <v>1</v>
      </c>
      <c r="H897" t="s">
        <v>3825</v>
      </c>
      <c r="I897">
        <v>1</v>
      </c>
    </row>
    <row r="898" spans="2:9" x14ac:dyDescent="0.3">
      <c r="B898" t="s">
        <v>754</v>
      </c>
      <c r="C898" t="s">
        <v>2056</v>
      </c>
      <c r="D898" t="s">
        <v>2634</v>
      </c>
      <c r="E898" s="2">
        <v>36278</v>
      </c>
      <c r="F898">
        <v>2</v>
      </c>
      <c r="G898">
        <v>1</v>
      </c>
      <c r="H898" t="s">
        <v>3826</v>
      </c>
      <c r="I898">
        <v>2</v>
      </c>
    </row>
    <row r="899" spans="2:9" x14ac:dyDescent="0.3">
      <c r="B899" t="s">
        <v>755</v>
      </c>
      <c r="C899" t="s">
        <v>2057</v>
      </c>
      <c r="D899" t="s">
        <v>2634</v>
      </c>
      <c r="E899" s="2">
        <v>39071</v>
      </c>
      <c r="F899">
        <v>10</v>
      </c>
      <c r="G899">
        <v>1</v>
      </c>
      <c r="H899" t="s">
        <v>3827</v>
      </c>
      <c r="I899">
        <v>10</v>
      </c>
    </row>
    <row r="900" spans="2:9" x14ac:dyDescent="0.3">
      <c r="B900" t="s">
        <v>756</v>
      </c>
      <c r="C900" t="s">
        <v>2058</v>
      </c>
      <c r="D900" t="s">
        <v>2634</v>
      </c>
      <c r="E900" s="2">
        <v>41008</v>
      </c>
      <c r="F900">
        <v>1</v>
      </c>
      <c r="G900">
        <v>1</v>
      </c>
      <c r="H900" t="s">
        <v>3828</v>
      </c>
      <c r="I900">
        <v>1</v>
      </c>
    </row>
    <row r="901" spans="2:9" x14ac:dyDescent="0.3">
      <c r="B901" t="s">
        <v>757</v>
      </c>
      <c r="C901" t="s">
        <v>2059</v>
      </c>
      <c r="D901" t="s">
        <v>2634</v>
      </c>
      <c r="E901" s="2">
        <v>41347</v>
      </c>
      <c r="F901">
        <v>10</v>
      </c>
      <c r="G901">
        <v>1</v>
      </c>
      <c r="H901" t="s">
        <v>3829</v>
      </c>
      <c r="I901">
        <v>10</v>
      </c>
    </row>
    <row r="902" spans="2:9" x14ac:dyDescent="0.3">
      <c r="B902" t="s">
        <v>758</v>
      </c>
      <c r="C902" t="s">
        <v>2060</v>
      </c>
      <c r="D902" t="s">
        <v>2634</v>
      </c>
      <c r="E902" s="2">
        <v>40527</v>
      </c>
      <c r="F902">
        <v>10</v>
      </c>
      <c r="G902">
        <v>1</v>
      </c>
      <c r="H902" t="s">
        <v>3830</v>
      </c>
      <c r="I902">
        <v>10</v>
      </c>
    </row>
    <row r="903" spans="2:9" x14ac:dyDescent="0.3">
      <c r="B903" t="s">
        <v>3831</v>
      </c>
      <c r="C903" t="s">
        <v>3832</v>
      </c>
      <c r="D903" t="s">
        <v>2634</v>
      </c>
      <c r="E903" s="2">
        <v>42558</v>
      </c>
      <c r="F903">
        <v>2</v>
      </c>
      <c r="G903">
        <v>1</v>
      </c>
      <c r="H903" t="s">
        <v>3833</v>
      </c>
      <c r="I903">
        <v>2</v>
      </c>
    </row>
    <row r="904" spans="2:9" x14ac:dyDescent="0.3">
      <c r="B904" t="s">
        <v>3834</v>
      </c>
      <c r="C904" t="s">
        <v>3835</v>
      </c>
      <c r="D904" t="s">
        <v>2634</v>
      </c>
      <c r="E904" s="2">
        <v>42058</v>
      </c>
      <c r="F904">
        <v>5</v>
      </c>
      <c r="G904">
        <v>1</v>
      </c>
      <c r="H904" t="s">
        <v>3836</v>
      </c>
      <c r="I904">
        <v>5</v>
      </c>
    </row>
    <row r="905" spans="2:9" x14ac:dyDescent="0.3">
      <c r="B905" t="s">
        <v>759</v>
      </c>
      <c r="C905" t="s">
        <v>2061</v>
      </c>
      <c r="D905" t="s">
        <v>2634</v>
      </c>
      <c r="E905" s="2">
        <v>38152</v>
      </c>
      <c r="F905">
        <v>10</v>
      </c>
      <c r="G905">
        <v>1</v>
      </c>
      <c r="H905" t="s">
        <v>3837</v>
      </c>
      <c r="I905">
        <v>10</v>
      </c>
    </row>
    <row r="906" spans="2:9" x14ac:dyDescent="0.3">
      <c r="B906" t="s">
        <v>760</v>
      </c>
      <c r="C906" t="s">
        <v>2062</v>
      </c>
      <c r="D906" t="s">
        <v>2634</v>
      </c>
      <c r="E906" s="2">
        <v>36544</v>
      </c>
      <c r="F906">
        <v>10</v>
      </c>
      <c r="G906">
        <v>1</v>
      </c>
      <c r="H906" t="s">
        <v>3838</v>
      </c>
      <c r="I906">
        <v>10</v>
      </c>
    </row>
    <row r="907" spans="2:9" x14ac:dyDescent="0.3">
      <c r="B907" t="s">
        <v>3839</v>
      </c>
      <c r="C907" t="s">
        <v>3840</v>
      </c>
      <c r="D907" t="s">
        <v>2634</v>
      </c>
      <c r="E907" s="2">
        <v>41992</v>
      </c>
      <c r="F907">
        <v>10</v>
      </c>
      <c r="G907">
        <v>1</v>
      </c>
      <c r="H907" t="s">
        <v>3841</v>
      </c>
      <c r="I907">
        <v>10</v>
      </c>
    </row>
    <row r="908" spans="2:9" x14ac:dyDescent="0.3">
      <c r="B908" t="s">
        <v>761</v>
      </c>
      <c r="C908" t="s">
        <v>2063</v>
      </c>
      <c r="D908" t="s">
        <v>2634</v>
      </c>
      <c r="E908" s="2">
        <v>41166</v>
      </c>
      <c r="F908">
        <v>7</v>
      </c>
      <c r="G908">
        <v>1</v>
      </c>
      <c r="H908" t="s">
        <v>3842</v>
      </c>
      <c r="I908">
        <v>7</v>
      </c>
    </row>
    <row r="909" spans="2:9" x14ac:dyDescent="0.3">
      <c r="B909" t="s">
        <v>762</v>
      </c>
      <c r="C909" t="s">
        <v>2064</v>
      </c>
      <c r="D909" t="s">
        <v>2634</v>
      </c>
      <c r="E909" s="2">
        <v>36488</v>
      </c>
      <c r="F909">
        <v>2</v>
      </c>
      <c r="G909">
        <v>1</v>
      </c>
      <c r="H909" t="s">
        <v>3843</v>
      </c>
      <c r="I909">
        <v>2</v>
      </c>
    </row>
    <row r="910" spans="2:9" x14ac:dyDescent="0.3">
      <c r="B910" t="s">
        <v>763</v>
      </c>
      <c r="C910" t="s">
        <v>2065</v>
      </c>
      <c r="D910" t="s">
        <v>2634</v>
      </c>
      <c r="E910" s="2">
        <v>37743</v>
      </c>
      <c r="F910">
        <v>10</v>
      </c>
      <c r="G910">
        <v>1</v>
      </c>
      <c r="H910" t="s">
        <v>3844</v>
      </c>
      <c r="I910">
        <v>10</v>
      </c>
    </row>
    <row r="911" spans="2:9" x14ac:dyDescent="0.3">
      <c r="B911" t="s">
        <v>67</v>
      </c>
      <c r="C911" t="s">
        <v>2066</v>
      </c>
      <c r="D911" t="s">
        <v>2634</v>
      </c>
      <c r="E911" s="2">
        <v>35291</v>
      </c>
      <c r="F911">
        <v>1</v>
      </c>
      <c r="G911">
        <v>1</v>
      </c>
      <c r="H911" t="s">
        <v>3845</v>
      </c>
      <c r="I911">
        <v>1</v>
      </c>
    </row>
    <row r="912" spans="2:9" x14ac:dyDescent="0.3">
      <c r="B912" t="s">
        <v>764</v>
      </c>
      <c r="C912" t="s">
        <v>2067</v>
      </c>
      <c r="D912" t="s">
        <v>2634</v>
      </c>
      <c r="E912" s="2">
        <v>39336</v>
      </c>
      <c r="F912">
        <v>1</v>
      </c>
      <c r="G912">
        <v>1</v>
      </c>
      <c r="H912" t="s">
        <v>3846</v>
      </c>
      <c r="I912">
        <v>1</v>
      </c>
    </row>
    <row r="913" spans="2:9" x14ac:dyDescent="0.3">
      <c r="B913" t="s">
        <v>765</v>
      </c>
      <c r="C913" t="s">
        <v>2068</v>
      </c>
      <c r="D913" t="s">
        <v>2662</v>
      </c>
      <c r="E913" s="2">
        <v>36796</v>
      </c>
      <c r="F913">
        <v>10</v>
      </c>
      <c r="G913">
        <v>1</v>
      </c>
      <c r="H913" t="s">
        <v>3847</v>
      </c>
      <c r="I913">
        <v>10</v>
      </c>
    </row>
    <row r="914" spans="2:9" x14ac:dyDescent="0.3">
      <c r="B914" t="s">
        <v>68</v>
      </c>
      <c r="C914" t="s">
        <v>2069</v>
      </c>
      <c r="D914" t="s">
        <v>2634</v>
      </c>
      <c r="E914" s="2">
        <v>38142</v>
      </c>
      <c r="F914">
        <v>10</v>
      </c>
      <c r="G914">
        <v>1</v>
      </c>
      <c r="H914" t="s">
        <v>3848</v>
      </c>
      <c r="I914">
        <v>10</v>
      </c>
    </row>
    <row r="915" spans="2:9" x14ac:dyDescent="0.3">
      <c r="B915" t="s">
        <v>766</v>
      </c>
      <c r="C915" t="s">
        <v>2070</v>
      </c>
      <c r="D915" t="s">
        <v>2634</v>
      </c>
      <c r="E915" s="2">
        <v>37277</v>
      </c>
      <c r="F915">
        <v>10</v>
      </c>
      <c r="G915">
        <v>1</v>
      </c>
      <c r="H915" t="s">
        <v>3849</v>
      </c>
      <c r="I915">
        <v>10</v>
      </c>
    </row>
    <row r="916" spans="2:9" x14ac:dyDescent="0.3">
      <c r="B916" t="s">
        <v>12</v>
      </c>
      <c r="C916" t="s">
        <v>2071</v>
      </c>
      <c r="D916" t="s">
        <v>2634</v>
      </c>
      <c r="E916" s="2">
        <v>35326</v>
      </c>
      <c r="F916">
        <v>10</v>
      </c>
      <c r="G916">
        <v>1</v>
      </c>
      <c r="H916" t="s">
        <v>3850</v>
      </c>
      <c r="I916">
        <v>10</v>
      </c>
    </row>
    <row r="917" spans="2:9" x14ac:dyDescent="0.3">
      <c r="B917" t="s">
        <v>767</v>
      </c>
      <c r="C917" t="s">
        <v>3851</v>
      </c>
      <c r="D917" t="s">
        <v>2634</v>
      </c>
      <c r="E917" s="2">
        <v>36831</v>
      </c>
      <c r="F917">
        <v>5</v>
      </c>
      <c r="G917">
        <v>1</v>
      </c>
      <c r="H917" t="s">
        <v>3852</v>
      </c>
      <c r="I917">
        <v>5</v>
      </c>
    </row>
    <row r="918" spans="2:9" x14ac:dyDescent="0.3">
      <c r="B918" t="s">
        <v>768</v>
      </c>
      <c r="C918" t="s">
        <v>2072</v>
      </c>
      <c r="D918" t="s">
        <v>2634</v>
      </c>
      <c r="E918" s="2">
        <v>38359</v>
      </c>
      <c r="F918">
        <v>10</v>
      </c>
      <c r="G918">
        <v>1</v>
      </c>
      <c r="H918" t="s">
        <v>3853</v>
      </c>
      <c r="I918">
        <v>10</v>
      </c>
    </row>
    <row r="919" spans="2:9" x14ac:dyDescent="0.3">
      <c r="B919" t="s">
        <v>769</v>
      </c>
      <c r="C919" t="s">
        <v>2073</v>
      </c>
      <c r="D919" t="s">
        <v>2634</v>
      </c>
      <c r="E919" s="2">
        <v>38551</v>
      </c>
      <c r="F919">
        <v>10</v>
      </c>
      <c r="G919">
        <v>1</v>
      </c>
      <c r="H919" t="s">
        <v>3854</v>
      </c>
      <c r="I919">
        <v>10</v>
      </c>
    </row>
    <row r="920" spans="2:9" x14ac:dyDescent="0.3">
      <c r="B920" t="s">
        <v>770</v>
      </c>
      <c r="C920" t="s">
        <v>2074</v>
      </c>
      <c r="D920" t="s">
        <v>2634</v>
      </c>
      <c r="E920" s="2">
        <v>41011</v>
      </c>
      <c r="F920">
        <v>10</v>
      </c>
      <c r="G920">
        <v>1</v>
      </c>
      <c r="H920" t="s">
        <v>3855</v>
      </c>
      <c r="I920">
        <v>10</v>
      </c>
    </row>
    <row r="921" spans="2:9" x14ac:dyDescent="0.3">
      <c r="B921" t="s">
        <v>771</v>
      </c>
      <c r="C921" t="s">
        <v>2075</v>
      </c>
      <c r="D921" t="s">
        <v>2634</v>
      </c>
      <c r="E921" s="2">
        <v>36208</v>
      </c>
      <c r="F921">
        <v>10</v>
      </c>
      <c r="G921">
        <v>1</v>
      </c>
      <c r="H921" t="s">
        <v>3856</v>
      </c>
      <c r="I921">
        <v>10</v>
      </c>
    </row>
    <row r="922" spans="2:9" x14ac:dyDescent="0.3">
      <c r="B922" t="s">
        <v>772</v>
      </c>
      <c r="C922" t="s">
        <v>2076</v>
      </c>
      <c r="D922" t="s">
        <v>2634</v>
      </c>
      <c r="E922" s="2">
        <v>36705</v>
      </c>
      <c r="F922">
        <v>10</v>
      </c>
      <c r="G922">
        <v>1</v>
      </c>
      <c r="H922" t="s">
        <v>3857</v>
      </c>
      <c r="I922">
        <v>10</v>
      </c>
    </row>
    <row r="923" spans="2:9" x14ac:dyDescent="0.3">
      <c r="B923" t="s">
        <v>773</v>
      </c>
      <c r="C923" t="s">
        <v>2077</v>
      </c>
      <c r="D923" t="s">
        <v>2634</v>
      </c>
      <c r="E923" s="2">
        <v>38040</v>
      </c>
      <c r="F923">
        <v>10</v>
      </c>
      <c r="G923">
        <v>1</v>
      </c>
      <c r="H923" t="s">
        <v>3858</v>
      </c>
      <c r="I923">
        <v>10</v>
      </c>
    </row>
    <row r="924" spans="2:9" x14ac:dyDescent="0.3">
      <c r="B924" t="s">
        <v>774</v>
      </c>
      <c r="C924" t="s">
        <v>2078</v>
      </c>
      <c r="D924" t="s">
        <v>2634</v>
      </c>
      <c r="E924" s="2">
        <v>36781</v>
      </c>
      <c r="F924">
        <v>5</v>
      </c>
      <c r="G924">
        <v>1</v>
      </c>
      <c r="H924" t="s">
        <v>3859</v>
      </c>
      <c r="I924">
        <v>5</v>
      </c>
    </row>
    <row r="925" spans="2:9" x14ac:dyDescent="0.3">
      <c r="B925" t="s">
        <v>775</v>
      </c>
      <c r="C925" t="s">
        <v>2079</v>
      </c>
      <c r="D925" t="s">
        <v>2634</v>
      </c>
      <c r="E925" s="2">
        <v>38917</v>
      </c>
      <c r="F925">
        <v>2</v>
      </c>
      <c r="G925">
        <v>1</v>
      </c>
      <c r="H925" t="s">
        <v>3860</v>
      </c>
      <c r="I925">
        <v>2</v>
      </c>
    </row>
    <row r="926" spans="2:9" x14ac:dyDescent="0.3">
      <c r="B926" t="s">
        <v>776</v>
      </c>
      <c r="C926" t="s">
        <v>2080</v>
      </c>
      <c r="D926" t="s">
        <v>2634</v>
      </c>
      <c r="E926" s="2">
        <v>37753</v>
      </c>
      <c r="F926">
        <v>2</v>
      </c>
      <c r="G926">
        <v>1</v>
      </c>
      <c r="H926" t="s">
        <v>3861</v>
      </c>
      <c r="I926">
        <v>2</v>
      </c>
    </row>
    <row r="927" spans="2:9" x14ac:dyDescent="0.3">
      <c r="B927" t="s">
        <v>777</v>
      </c>
      <c r="C927" t="s">
        <v>2081</v>
      </c>
      <c r="D927" t="s">
        <v>2662</v>
      </c>
      <c r="E927" s="2">
        <v>38135</v>
      </c>
      <c r="F927">
        <v>10</v>
      </c>
      <c r="G927">
        <v>1</v>
      </c>
      <c r="H927" t="s">
        <v>3862</v>
      </c>
      <c r="I927">
        <v>10</v>
      </c>
    </row>
    <row r="928" spans="2:9" x14ac:dyDescent="0.3">
      <c r="B928" t="s">
        <v>3863</v>
      </c>
      <c r="C928" t="s">
        <v>3864</v>
      </c>
      <c r="D928" t="s">
        <v>2634</v>
      </c>
      <c r="E928" s="2">
        <v>42240</v>
      </c>
      <c r="F928">
        <v>10</v>
      </c>
      <c r="G928">
        <v>1</v>
      </c>
      <c r="H928" t="s">
        <v>3865</v>
      </c>
      <c r="I928">
        <v>10</v>
      </c>
    </row>
    <row r="929" spans="2:9" x14ac:dyDescent="0.3">
      <c r="B929" t="s">
        <v>778</v>
      </c>
      <c r="C929" t="s">
        <v>2082</v>
      </c>
      <c r="D929" t="s">
        <v>2634</v>
      </c>
      <c r="E929" s="2">
        <v>40669</v>
      </c>
      <c r="F929">
        <v>10</v>
      </c>
      <c r="G929">
        <v>1</v>
      </c>
      <c r="H929" t="s">
        <v>3866</v>
      </c>
      <c r="I929">
        <v>10</v>
      </c>
    </row>
    <row r="930" spans="2:9" x14ac:dyDescent="0.3">
      <c r="B930" t="s">
        <v>779</v>
      </c>
      <c r="C930" t="s">
        <v>2083</v>
      </c>
      <c r="D930" t="s">
        <v>2634</v>
      </c>
      <c r="E930" s="2">
        <v>39629</v>
      </c>
      <c r="F930">
        <v>1</v>
      </c>
      <c r="G930">
        <v>1</v>
      </c>
      <c r="H930" t="s">
        <v>3867</v>
      </c>
      <c r="I930">
        <v>1</v>
      </c>
    </row>
    <row r="931" spans="2:9" x14ac:dyDescent="0.3">
      <c r="B931" t="s">
        <v>3868</v>
      </c>
      <c r="C931" t="s">
        <v>3869</v>
      </c>
      <c r="D931" t="s">
        <v>2634</v>
      </c>
      <c r="E931" s="2">
        <v>42832</v>
      </c>
      <c r="F931">
        <v>1</v>
      </c>
      <c r="G931">
        <v>1</v>
      </c>
      <c r="H931" t="s">
        <v>3870</v>
      </c>
      <c r="I931">
        <v>1</v>
      </c>
    </row>
    <row r="932" spans="2:9" x14ac:dyDescent="0.3">
      <c r="B932" t="s">
        <v>3871</v>
      </c>
      <c r="C932" t="s">
        <v>3872</v>
      </c>
      <c r="D932" t="s">
        <v>2634</v>
      </c>
      <c r="E932" s="2">
        <v>42536</v>
      </c>
      <c r="F932">
        <v>1</v>
      </c>
      <c r="G932">
        <v>1</v>
      </c>
      <c r="H932" t="s">
        <v>3873</v>
      </c>
      <c r="I932">
        <v>1</v>
      </c>
    </row>
    <row r="933" spans="2:9" x14ac:dyDescent="0.3">
      <c r="B933" t="s">
        <v>780</v>
      </c>
      <c r="C933" t="s">
        <v>2084</v>
      </c>
      <c r="D933" t="s">
        <v>2634</v>
      </c>
      <c r="E933" s="2">
        <v>40996</v>
      </c>
      <c r="F933">
        <v>1</v>
      </c>
      <c r="G933">
        <v>1</v>
      </c>
      <c r="H933" t="s">
        <v>3874</v>
      </c>
      <c r="I933">
        <v>1</v>
      </c>
    </row>
    <row r="934" spans="2:9" x14ac:dyDescent="0.3">
      <c r="B934" t="s">
        <v>1301</v>
      </c>
      <c r="C934" t="s">
        <v>2085</v>
      </c>
      <c r="D934" t="s">
        <v>2634</v>
      </c>
      <c r="E934" s="2">
        <v>39343</v>
      </c>
      <c r="F934">
        <v>5</v>
      </c>
      <c r="G934">
        <v>1</v>
      </c>
      <c r="H934" t="s">
        <v>3875</v>
      </c>
      <c r="I934">
        <v>5</v>
      </c>
    </row>
    <row r="935" spans="2:9" x14ac:dyDescent="0.3">
      <c r="B935" t="s">
        <v>1302</v>
      </c>
      <c r="C935" t="s">
        <v>2086</v>
      </c>
      <c r="D935" t="s">
        <v>2634</v>
      </c>
      <c r="E935" s="2">
        <v>39251</v>
      </c>
      <c r="F935">
        <v>5</v>
      </c>
      <c r="G935">
        <v>1</v>
      </c>
      <c r="H935" t="s">
        <v>3876</v>
      </c>
      <c r="I935">
        <v>5</v>
      </c>
    </row>
    <row r="936" spans="2:9" x14ac:dyDescent="0.3">
      <c r="B936" t="s">
        <v>781</v>
      </c>
      <c r="C936" t="s">
        <v>2087</v>
      </c>
      <c r="D936" t="s">
        <v>2634</v>
      </c>
      <c r="E936" s="2">
        <v>39518</v>
      </c>
      <c r="F936">
        <v>5</v>
      </c>
      <c r="G936">
        <v>1</v>
      </c>
      <c r="H936" t="s">
        <v>3877</v>
      </c>
      <c r="I936">
        <v>5</v>
      </c>
    </row>
    <row r="937" spans="2:9" x14ac:dyDescent="0.3">
      <c r="B937" t="s">
        <v>782</v>
      </c>
      <c r="C937" t="s">
        <v>2088</v>
      </c>
      <c r="D937" t="s">
        <v>2634</v>
      </c>
      <c r="E937" s="2">
        <v>38701</v>
      </c>
      <c r="F937">
        <v>10</v>
      </c>
      <c r="G937">
        <v>1</v>
      </c>
      <c r="H937" t="s">
        <v>3878</v>
      </c>
      <c r="I937">
        <v>10</v>
      </c>
    </row>
    <row r="938" spans="2:9" x14ac:dyDescent="0.3">
      <c r="B938" t="s">
        <v>783</v>
      </c>
      <c r="C938" t="s">
        <v>2089</v>
      </c>
      <c r="D938" t="s">
        <v>2634</v>
      </c>
      <c r="E938" s="2">
        <v>39164</v>
      </c>
      <c r="F938">
        <v>5</v>
      </c>
      <c r="G938">
        <v>1</v>
      </c>
      <c r="H938" t="s">
        <v>3879</v>
      </c>
      <c r="I938">
        <v>5</v>
      </c>
    </row>
    <row r="939" spans="2:9" x14ac:dyDescent="0.3">
      <c r="B939" t="s">
        <v>784</v>
      </c>
      <c r="C939" t="s">
        <v>2090</v>
      </c>
      <c r="D939" t="s">
        <v>2634</v>
      </c>
      <c r="E939" s="2">
        <v>39164</v>
      </c>
      <c r="F939">
        <v>5</v>
      </c>
      <c r="G939">
        <v>1</v>
      </c>
      <c r="H939" t="s">
        <v>3880</v>
      </c>
      <c r="I939">
        <v>5</v>
      </c>
    </row>
    <row r="940" spans="2:9" x14ac:dyDescent="0.3">
      <c r="B940" t="s">
        <v>785</v>
      </c>
      <c r="C940" t="s">
        <v>2091</v>
      </c>
      <c r="D940" t="s">
        <v>2662</v>
      </c>
      <c r="E940" s="2">
        <v>41347</v>
      </c>
      <c r="F940">
        <v>5</v>
      </c>
      <c r="G940">
        <v>1</v>
      </c>
      <c r="H940" t="s">
        <v>3881</v>
      </c>
      <c r="I940">
        <v>5</v>
      </c>
    </row>
    <row r="941" spans="2:9" x14ac:dyDescent="0.3">
      <c r="B941" t="s">
        <v>786</v>
      </c>
      <c r="C941" t="s">
        <v>2092</v>
      </c>
      <c r="D941" t="s">
        <v>2634</v>
      </c>
      <c r="E941" s="2">
        <v>35060</v>
      </c>
      <c r="F941">
        <v>2</v>
      </c>
      <c r="G941">
        <v>1</v>
      </c>
      <c r="H941" t="s">
        <v>3882</v>
      </c>
      <c r="I941">
        <v>2</v>
      </c>
    </row>
    <row r="942" spans="2:9" x14ac:dyDescent="0.3">
      <c r="B942" t="s">
        <v>787</v>
      </c>
      <c r="C942" t="s">
        <v>2093</v>
      </c>
      <c r="D942" t="s">
        <v>2634</v>
      </c>
      <c r="E942" s="2">
        <v>41667</v>
      </c>
      <c r="F942">
        <v>10</v>
      </c>
      <c r="G942">
        <v>1</v>
      </c>
      <c r="H942" t="s">
        <v>3883</v>
      </c>
      <c r="I942">
        <v>10</v>
      </c>
    </row>
    <row r="943" spans="2:9" x14ac:dyDescent="0.3">
      <c r="B943" t="s">
        <v>788</v>
      </c>
      <c r="C943" t="s">
        <v>2094</v>
      </c>
      <c r="D943" t="s">
        <v>2634</v>
      </c>
      <c r="E943" s="2">
        <v>36278</v>
      </c>
      <c r="F943">
        <v>5</v>
      </c>
      <c r="G943">
        <v>1</v>
      </c>
      <c r="H943" t="s">
        <v>3884</v>
      </c>
      <c r="I943">
        <v>5</v>
      </c>
    </row>
    <row r="944" spans="2:9" x14ac:dyDescent="0.3">
      <c r="B944" t="s">
        <v>789</v>
      </c>
      <c r="C944" t="s">
        <v>2095</v>
      </c>
      <c r="D944" t="s">
        <v>2662</v>
      </c>
      <c r="E944" s="2">
        <v>37525</v>
      </c>
      <c r="F944">
        <v>10</v>
      </c>
      <c r="G944">
        <v>1</v>
      </c>
      <c r="H944" t="s">
        <v>3885</v>
      </c>
      <c r="I944">
        <v>10</v>
      </c>
    </row>
    <row r="945" spans="2:9" x14ac:dyDescent="0.3">
      <c r="B945" t="s">
        <v>790</v>
      </c>
      <c r="C945" t="s">
        <v>2096</v>
      </c>
      <c r="D945" t="s">
        <v>2634</v>
      </c>
      <c r="E945" s="2">
        <v>39042</v>
      </c>
      <c r="F945">
        <v>10</v>
      </c>
      <c r="G945">
        <v>1</v>
      </c>
      <c r="H945" t="s">
        <v>3886</v>
      </c>
      <c r="I945">
        <v>10</v>
      </c>
    </row>
    <row r="946" spans="2:9" x14ac:dyDescent="0.3">
      <c r="B946" t="s">
        <v>791</v>
      </c>
      <c r="C946" t="s">
        <v>2097</v>
      </c>
      <c r="D946" t="s">
        <v>2634</v>
      </c>
      <c r="E946" s="2">
        <v>39234</v>
      </c>
      <c r="F946">
        <v>10</v>
      </c>
      <c r="G946">
        <v>1</v>
      </c>
      <c r="H946" t="s">
        <v>3887</v>
      </c>
      <c r="I946">
        <v>10</v>
      </c>
    </row>
    <row r="947" spans="2:9" x14ac:dyDescent="0.3">
      <c r="B947" t="s">
        <v>3888</v>
      </c>
      <c r="C947" t="s">
        <v>3889</v>
      </c>
      <c r="D947" t="s">
        <v>2634</v>
      </c>
      <c r="E947" s="2">
        <v>42256</v>
      </c>
      <c r="F947">
        <v>10</v>
      </c>
      <c r="G947">
        <v>1</v>
      </c>
      <c r="H947" t="s">
        <v>3890</v>
      </c>
      <c r="I947">
        <v>10</v>
      </c>
    </row>
    <row r="948" spans="2:9" x14ac:dyDescent="0.3">
      <c r="B948" t="s">
        <v>792</v>
      </c>
      <c r="C948" t="s">
        <v>2098</v>
      </c>
      <c r="D948" t="s">
        <v>2634</v>
      </c>
      <c r="E948" s="2">
        <v>34738</v>
      </c>
      <c r="F948">
        <v>2</v>
      </c>
      <c r="G948">
        <v>1</v>
      </c>
      <c r="H948" t="s">
        <v>3891</v>
      </c>
      <c r="I948">
        <v>2</v>
      </c>
    </row>
    <row r="949" spans="2:9" x14ac:dyDescent="0.3">
      <c r="B949" t="s">
        <v>793</v>
      </c>
      <c r="C949" t="s">
        <v>3892</v>
      </c>
      <c r="D949" t="s">
        <v>2634</v>
      </c>
      <c r="E949" s="2">
        <v>41011</v>
      </c>
      <c r="F949">
        <v>2</v>
      </c>
      <c r="G949">
        <v>1</v>
      </c>
      <c r="H949" t="s">
        <v>3893</v>
      </c>
      <c r="I949">
        <v>2</v>
      </c>
    </row>
    <row r="950" spans="2:9" x14ac:dyDescent="0.3">
      <c r="B950" t="s">
        <v>3894</v>
      </c>
      <c r="C950" t="s">
        <v>3895</v>
      </c>
      <c r="D950" t="s">
        <v>2662</v>
      </c>
      <c r="E950" s="2">
        <v>42697</v>
      </c>
      <c r="F950">
        <v>10</v>
      </c>
      <c r="G950">
        <v>1</v>
      </c>
      <c r="H950" t="s">
        <v>3896</v>
      </c>
      <c r="I950">
        <v>10</v>
      </c>
    </row>
    <row r="951" spans="2:9" x14ac:dyDescent="0.3">
      <c r="B951" t="s">
        <v>794</v>
      </c>
      <c r="C951" t="s">
        <v>2099</v>
      </c>
      <c r="D951" t="s">
        <v>2634</v>
      </c>
      <c r="E951" s="2">
        <v>35158</v>
      </c>
      <c r="F951">
        <v>2</v>
      </c>
      <c r="G951">
        <v>1</v>
      </c>
      <c r="H951" t="s">
        <v>3897</v>
      </c>
      <c r="I951">
        <v>2</v>
      </c>
    </row>
    <row r="952" spans="2:9" x14ac:dyDescent="0.3">
      <c r="B952" t="s">
        <v>795</v>
      </c>
      <c r="C952" t="s">
        <v>2100</v>
      </c>
      <c r="D952" t="s">
        <v>2634</v>
      </c>
      <c r="E952" s="2">
        <v>37908</v>
      </c>
      <c r="F952">
        <v>2</v>
      </c>
      <c r="G952">
        <v>1</v>
      </c>
      <c r="H952" t="s">
        <v>3898</v>
      </c>
      <c r="I952">
        <v>2</v>
      </c>
    </row>
    <row r="953" spans="2:9" x14ac:dyDescent="0.3">
      <c r="B953" t="s">
        <v>796</v>
      </c>
      <c r="C953" t="s">
        <v>2101</v>
      </c>
      <c r="D953" t="s">
        <v>2634</v>
      </c>
      <c r="E953" s="2">
        <v>39175</v>
      </c>
      <c r="F953">
        <v>10</v>
      </c>
      <c r="G953">
        <v>1</v>
      </c>
      <c r="H953" t="s">
        <v>3899</v>
      </c>
      <c r="I953">
        <v>10</v>
      </c>
    </row>
    <row r="954" spans="2:9" x14ac:dyDescent="0.3">
      <c r="B954" t="s">
        <v>3900</v>
      </c>
      <c r="C954" t="s">
        <v>3901</v>
      </c>
      <c r="D954" t="s">
        <v>2634</v>
      </c>
      <c r="E954" s="2">
        <v>42611</v>
      </c>
      <c r="F954">
        <v>10</v>
      </c>
      <c r="G954">
        <v>1</v>
      </c>
      <c r="H954" t="s">
        <v>3902</v>
      </c>
      <c r="I954">
        <v>10</v>
      </c>
    </row>
    <row r="955" spans="2:9" x14ac:dyDescent="0.3">
      <c r="B955" t="s">
        <v>797</v>
      </c>
      <c r="C955" t="s">
        <v>2102</v>
      </c>
      <c r="D955" t="s">
        <v>2634</v>
      </c>
      <c r="E955" s="2">
        <v>40991</v>
      </c>
      <c r="F955">
        <v>10</v>
      </c>
      <c r="G955">
        <v>1</v>
      </c>
      <c r="H955" t="s">
        <v>3903</v>
      </c>
      <c r="I955">
        <v>10</v>
      </c>
    </row>
    <row r="956" spans="2:9" x14ac:dyDescent="0.3">
      <c r="B956" t="s">
        <v>798</v>
      </c>
      <c r="C956" t="s">
        <v>2103</v>
      </c>
      <c r="D956" t="s">
        <v>2634</v>
      </c>
      <c r="E956" s="2">
        <v>38126</v>
      </c>
      <c r="F956">
        <v>4</v>
      </c>
      <c r="G956">
        <v>1</v>
      </c>
      <c r="H956" t="s">
        <v>3904</v>
      </c>
      <c r="I956">
        <v>4</v>
      </c>
    </row>
    <row r="957" spans="2:9" x14ac:dyDescent="0.3">
      <c r="B957" t="s">
        <v>3905</v>
      </c>
      <c r="C957" t="s">
        <v>3906</v>
      </c>
      <c r="D957" t="s">
        <v>2634</v>
      </c>
      <c r="E957" s="2">
        <v>42431</v>
      </c>
      <c r="F957">
        <v>10</v>
      </c>
      <c r="G957">
        <v>1</v>
      </c>
      <c r="H957" t="s">
        <v>3907</v>
      </c>
      <c r="I957">
        <v>10</v>
      </c>
    </row>
    <row r="958" spans="2:9" x14ac:dyDescent="0.3">
      <c r="B958" t="s">
        <v>799</v>
      </c>
      <c r="C958" t="s">
        <v>2104</v>
      </c>
      <c r="D958" t="s">
        <v>2634</v>
      </c>
      <c r="E958" s="2">
        <v>38551</v>
      </c>
      <c r="F958">
        <v>1</v>
      </c>
      <c r="G958">
        <v>1</v>
      </c>
      <c r="H958" t="s">
        <v>3908</v>
      </c>
      <c r="I958">
        <v>1</v>
      </c>
    </row>
    <row r="959" spans="2:9" x14ac:dyDescent="0.3">
      <c r="B959" t="s">
        <v>800</v>
      </c>
      <c r="C959" t="s">
        <v>2105</v>
      </c>
      <c r="D959" t="s">
        <v>2634</v>
      </c>
      <c r="E959" s="2">
        <v>39260</v>
      </c>
      <c r="F959">
        <v>2</v>
      </c>
      <c r="G959">
        <v>1</v>
      </c>
      <c r="H959" t="s">
        <v>3909</v>
      </c>
      <c r="I959">
        <v>2</v>
      </c>
    </row>
    <row r="960" spans="2:9" x14ac:dyDescent="0.3">
      <c r="B960" t="s">
        <v>801</v>
      </c>
      <c r="C960" t="s">
        <v>2106</v>
      </c>
      <c r="D960" t="s">
        <v>2634</v>
      </c>
      <c r="E960" s="2">
        <v>37769</v>
      </c>
      <c r="F960">
        <v>10</v>
      </c>
      <c r="G960">
        <v>1</v>
      </c>
      <c r="H960" t="s">
        <v>3910</v>
      </c>
      <c r="I960">
        <v>10</v>
      </c>
    </row>
    <row r="961" spans="2:9" x14ac:dyDescent="0.3">
      <c r="B961" t="s">
        <v>802</v>
      </c>
      <c r="C961" t="s">
        <v>2107</v>
      </c>
      <c r="D961" t="s">
        <v>2634</v>
      </c>
      <c r="E961" s="2">
        <v>39546</v>
      </c>
      <c r="F961">
        <v>10</v>
      </c>
      <c r="G961">
        <v>1</v>
      </c>
      <c r="H961" t="s">
        <v>3911</v>
      </c>
      <c r="I961">
        <v>10</v>
      </c>
    </row>
    <row r="962" spans="2:9" x14ac:dyDescent="0.3">
      <c r="B962" t="s">
        <v>3912</v>
      </c>
      <c r="C962" t="s">
        <v>3913</v>
      </c>
      <c r="D962" t="s">
        <v>2634</v>
      </c>
      <c r="E962" s="2">
        <v>40186</v>
      </c>
      <c r="F962">
        <v>10</v>
      </c>
      <c r="G962">
        <v>1</v>
      </c>
      <c r="H962" t="s">
        <v>3914</v>
      </c>
      <c r="I962">
        <v>10</v>
      </c>
    </row>
    <row r="963" spans="2:9" x14ac:dyDescent="0.3">
      <c r="B963" t="s">
        <v>803</v>
      </c>
      <c r="C963" t="s">
        <v>2108</v>
      </c>
      <c r="D963" t="s">
        <v>2662</v>
      </c>
      <c r="E963" s="2">
        <v>40522</v>
      </c>
      <c r="F963">
        <v>10</v>
      </c>
      <c r="G963">
        <v>1</v>
      </c>
      <c r="H963" t="s">
        <v>3915</v>
      </c>
      <c r="I963">
        <v>10</v>
      </c>
    </row>
    <row r="964" spans="2:9" x14ac:dyDescent="0.3">
      <c r="B964" t="s">
        <v>804</v>
      </c>
      <c r="C964" t="s">
        <v>2109</v>
      </c>
      <c r="D964" t="s">
        <v>2634</v>
      </c>
      <c r="E964" s="2">
        <v>39115</v>
      </c>
      <c r="F964">
        <v>5</v>
      </c>
      <c r="G964">
        <v>1</v>
      </c>
      <c r="H964" t="s">
        <v>3916</v>
      </c>
      <c r="I964">
        <v>5</v>
      </c>
    </row>
    <row r="965" spans="2:9" x14ac:dyDescent="0.3">
      <c r="B965" t="s">
        <v>805</v>
      </c>
      <c r="C965" t="s">
        <v>2110</v>
      </c>
      <c r="D965" t="s">
        <v>2634</v>
      </c>
      <c r="E965" s="2">
        <v>39734</v>
      </c>
      <c r="F965">
        <v>10</v>
      </c>
      <c r="G965">
        <v>1</v>
      </c>
      <c r="H965" t="s">
        <v>3917</v>
      </c>
      <c r="I965">
        <v>10</v>
      </c>
    </row>
    <row r="966" spans="2:9" x14ac:dyDescent="0.3">
      <c r="B966" t="s">
        <v>806</v>
      </c>
      <c r="C966" t="s">
        <v>2111</v>
      </c>
      <c r="D966" t="s">
        <v>2662</v>
      </c>
      <c r="E966" s="2">
        <v>36985</v>
      </c>
      <c r="F966">
        <v>10</v>
      </c>
      <c r="G966">
        <v>1</v>
      </c>
      <c r="H966" t="s">
        <v>3918</v>
      </c>
      <c r="I966">
        <v>10</v>
      </c>
    </row>
    <row r="967" spans="2:9" x14ac:dyDescent="0.3">
      <c r="B967" t="s">
        <v>807</v>
      </c>
      <c r="C967" t="s">
        <v>2112</v>
      </c>
      <c r="D967" t="s">
        <v>2634</v>
      </c>
      <c r="E967" s="2">
        <v>39079</v>
      </c>
      <c r="F967">
        <v>10</v>
      </c>
      <c r="G967">
        <v>1</v>
      </c>
      <c r="H967" t="s">
        <v>3919</v>
      </c>
      <c r="I967">
        <v>10</v>
      </c>
    </row>
    <row r="968" spans="2:9" x14ac:dyDescent="0.3">
      <c r="B968" t="s">
        <v>3920</v>
      </c>
      <c r="C968" t="s">
        <v>3921</v>
      </c>
      <c r="D968" t="s">
        <v>2634</v>
      </c>
      <c r="E968" s="2">
        <v>42375</v>
      </c>
      <c r="F968">
        <v>10</v>
      </c>
      <c r="G968">
        <v>1</v>
      </c>
      <c r="H968" t="s">
        <v>3922</v>
      </c>
      <c r="I968">
        <v>10</v>
      </c>
    </row>
    <row r="969" spans="2:9" x14ac:dyDescent="0.3">
      <c r="B969" t="s">
        <v>13</v>
      </c>
      <c r="C969" t="s">
        <v>2113</v>
      </c>
      <c r="D969" t="s">
        <v>2634</v>
      </c>
      <c r="E969" s="2">
        <v>40057</v>
      </c>
      <c r="F969">
        <v>10</v>
      </c>
      <c r="G969">
        <v>1</v>
      </c>
      <c r="H969" t="s">
        <v>3923</v>
      </c>
      <c r="I969">
        <v>10</v>
      </c>
    </row>
    <row r="970" spans="2:9" x14ac:dyDescent="0.3">
      <c r="B970" t="s">
        <v>808</v>
      </c>
      <c r="C970" t="s">
        <v>2114</v>
      </c>
      <c r="D970" t="s">
        <v>2634</v>
      </c>
      <c r="E970" s="2">
        <v>41373</v>
      </c>
      <c r="F970">
        <v>2</v>
      </c>
      <c r="G970">
        <v>1</v>
      </c>
      <c r="H970" t="s">
        <v>3924</v>
      </c>
      <c r="I970">
        <v>2</v>
      </c>
    </row>
    <row r="971" spans="2:9" x14ac:dyDescent="0.3">
      <c r="B971" t="s">
        <v>809</v>
      </c>
      <c r="C971" t="s">
        <v>2115</v>
      </c>
      <c r="D971" t="s">
        <v>2662</v>
      </c>
      <c r="E971" s="2">
        <v>39069</v>
      </c>
      <c r="F971">
        <v>2</v>
      </c>
      <c r="G971">
        <v>1</v>
      </c>
      <c r="H971" t="s">
        <v>3925</v>
      </c>
      <c r="I971">
        <v>2</v>
      </c>
    </row>
    <row r="972" spans="2:9" x14ac:dyDescent="0.3">
      <c r="B972" t="s">
        <v>810</v>
      </c>
      <c r="C972" t="s">
        <v>2116</v>
      </c>
      <c r="D972" t="s">
        <v>2634</v>
      </c>
      <c r="E972" s="2">
        <v>38215</v>
      </c>
      <c r="F972">
        <v>2</v>
      </c>
      <c r="G972">
        <v>1</v>
      </c>
      <c r="H972" t="s">
        <v>3926</v>
      </c>
      <c r="I972">
        <v>2</v>
      </c>
    </row>
    <row r="973" spans="2:9" x14ac:dyDescent="0.3">
      <c r="B973" t="s">
        <v>811</v>
      </c>
      <c r="C973" t="s">
        <v>2117</v>
      </c>
      <c r="D973" t="s">
        <v>2634</v>
      </c>
      <c r="E973" s="2">
        <v>38229</v>
      </c>
      <c r="F973">
        <v>10</v>
      </c>
      <c r="G973">
        <v>1</v>
      </c>
      <c r="H973" t="s">
        <v>3927</v>
      </c>
      <c r="I973">
        <v>10</v>
      </c>
    </row>
    <row r="974" spans="2:9" x14ac:dyDescent="0.3">
      <c r="B974" t="s">
        <v>3928</v>
      </c>
      <c r="C974" t="s">
        <v>3929</v>
      </c>
      <c r="D974" t="s">
        <v>2634</v>
      </c>
      <c r="E974" s="2">
        <v>42145</v>
      </c>
      <c r="F974">
        <v>1</v>
      </c>
      <c r="G974">
        <v>1</v>
      </c>
      <c r="H974" t="s">
        <v>3930</v>
      </c>
      <c r="I974">
        <v>1</v>
      </c>
    </row>
    <row r="975" spans="2:9" x14ac:dyDescent="0.3">
      <c r="B975" t="s">
        <v>812</v>
      </c>
      <c r="C975" t="s">
        <v>2118</v>
      </c>
      <c r="D975" t="s">
        <v>2634</v>
      </c>
      <c r="E975" s="2">
        <v>35004</v>
      </c>
      <c r="F975">
        <v>10</v>
      </c>
      <c r="G975">
        <v>1</v>
      </c>
      <c r="H975" t="s">
        <v>3931</v>
      </c>
      <c r="I975">
        <v>10</v>
      </c>
    </row>
    <row r="976" spans="2:9" x14ac:dyDescent="0.3">
      <c r="B976" t="s">
        <v>813</v>
      </c>
      <c r="C976" t="s">
        <v>3932</v>
      </c>
      <c r="D976" t="s">
        <v>2634</v>
      </c>
      <c r="E976" s="2">
        <v>36439</v>
      </c>
      <c r="F976">
        <v>10</v>
      </c>
      <c r="G976">
        <v>1</v>
      </c>
      <c r="H976" t="s">
        <v>3933</v>
      </c>
      <c r="I976">
        <v>10</v>
      </c>
    </row>
    <row r="977" spans="2:9" x14ac:dyDescent="0.3">
      <c r="B977" t="s">
        <v>3934</v>
      </c>
      <c r="C977" t="s">
        <v>3935</v>
      </c>
      <c r="D977" t="s">
        <v>2662</v>
      </c>
      <c r="E977" s="2">
        <v>42670</v>
      </c>
      <c r="F977">
        <v>10</v>
      </c>
      <c r="G977">
        <v>1</v>
      </c>
      <c r="H977" t="s">
        <v>3936</v>
      </c>
      <c r="I977">
        <v>10</v>
      </c>
    </row>
    <row r="978" spans="2:9" x14ac:dyDescent="0.3">
      <c r="B978" t="s">
        <v>814</v>
      </c>
      <c r="C978" t="s">
        <v>2119</v>
      </c>
      <c r="D978" t="s">
        <v>2634</v>
      </c>
      <c r="E978" s="2">
        <v>38797</v>
      </c>
      <c r="F978">
        <v>10</v>
      </c>
      <c r="G978">
        <v>1</v>
      </c>
      <c r="H978" t="s">
        <v>3937</v>
      </c>
      <c r="I978">
        <v>10</v>
      </c>
    </row>
    <row r="979" spans="2:9" x14ac:dyDescent="0.3">
      <c r="B979" t="s">
        <v>815</v>
      </c>
      <c r="C979" t="s">
        <v>2120</v>
      </c>
      <c r="D979" t="s">
        <v>2634</v>
      </c>
      <c r="E979" s="2">
        <v>40311</v>
      </c>
      <c r="F979">
        <v>10</v>
      </c>
      <c r="G979">
        <v>1</v>
      </c>
      <c r="H979" t="s">
        <v>3938</v>
      </c>
      <c r="I979">
        <v>10</v>
      </c>
    </row>
    <row r="980" spans="2:9" x14ac:dyDescent="0.3">
      <c r="B980" t="s">
        <v>816</v>
      </c>
      <c r="C980" t="s">
        <v>2121</v>
      </c>
      <c r="D980" t="s">
        <v>2634</v>
      </c>
      <c r="E980" s="2">
        <v>39238</v>
      </c>
      <c r="F980">
        <v>2</v>
      </c>
      <c r="G980">
        <v>1</v>
      </c>
      <c r="H980" t="s">
        <v>3939</v>
      </c>
      <c r="I980">
        <v>2</v>
      </c>
    </row>
    <row r="981" spans="2:9" x14ac:dyDescent="0.3">
      <c r="B981" t="s">
        <v>817</v>
      </c>
      <c r="C981" t="s">
        <v>2122</v>
      </c>
      <c r="D981" t="s">
        <v>2634</v>
      </c>
      <c r="E981" s="2">
        <v>38750</v>
      </c>
      <c r="F981">
        <v>10</v>
      </c>
      <c r="G981">
        <v>1</v>
      </c>
      <c r="H981" t="s">
        <v>3940</v>
      </c>
      <c r="I981">
        <v>10</v>
      </c>
    </row>
    <row r="982" spans="2:9" x14ac:dyDescent="0.3">
      <c r="B982" t="s">
        <v>1303</v>
      </c>
      <c r="C982" t="s">
        <v>2123</v>
      </c>
      <c r="D982" t="s">
        <v>2634</v>
      </c>
      <c r="E982" s="2">
        <v>34887</v>
      </c>
      <c r="F982">
        <v>10</v>
      </c>
      <c r="G982">
        <v>1</v>
      </c>
      <c r="H982" t="s">
        <v>3941</v>
      </c>
      <c r="I982">
        <v>10</v>
      </c>
    </row>
    <row r="983" spans="2:9" x14ac:dyDescent="0.3">
      <c r="B983" t="s">
        <v>3942</v>
      </c>
      <c r="C983" t="s">
        <v>3943</v>
      </c>
      <c r="D983" t="s">
        <v>2634</v>
      </c>
      <c r="E983" s="2">
        <v>36761</v>
      </c>
      <c r="F983">
        <v>10</v>
      </c>
      <c r="G983">
        <v>1</v>
      </c>
      <c r="H983" t="s">
        <v>3944</v>
      </c>
      <c r="I983">
        <v>10</v>
      </c>
    </row>
    <row r="984" spans="2:9" x14ac:dyDescent="0.3">
      <c r="B984" t="s">
        <v>103</v>
      </c>
      <c r="C984" t="s">
        <v>2124</v>
      </c>
      <c r="D984" t="s">
        <v>2634</v>
      </c>
      <c r="E984" s="2">
        <v>39510</v>
      </c>
      <c r="F984">
        <v>1</v>
      </c>
      <c r="G984">
        <v>1</v>
      </c>
      <c r="H984" t="s">
        <v>3945</v>
      </c>
      <c r="I984">
        <v>1</v>
      </c>
    </row>
    <row r="985" spans="2:9" x14ac:dyDescent="0.3">
      <c r="B985" t="s">
        <v>818</v>
      </c>
      <c r="C985" t="s">
        <v>2125</v>
      </c>
      <c r="D985" t="s">
        <v>2634</v>
      </c>
      <c r="E985" s="2">
        <v>35081</v>
      </c>
      <c r="F985">
        <v>10</v>
      </c>
      <c r="G985">
        <v>1</v>
      </c>
      <c r="H985" t="s">
        <v>3946</v>
      </c>
      <c r="I985">
        <v>10</v>
      </c>
    </row>
    <row r="986" spans="2:9" x14ac:dyDescent="0.3">
      <c r="B986" t="s">
        <v>1304</v>
      </c>
      <c r="C986" t="s">
        <v>2126</v>
      </c>
      <c r="D986" t="s">
        <v>2662</v>
      </c>
      <c r="E986" s="2">
        <v>39416</v>
      </c>
      <c r="F986">
        <v>10</v>
      </c>
      <c r="G986">
        <v>1</v>
      </c>
      <c r="H986" t="s">
        <v>3947</v>
      </c>
      <c r="I986">
        <v>10</v>
      </c>
    </row>
    <row r="987" spans="2:9" x14ac:dyDescent="0.3">
      <c r="B987" t="s">
        <v>819</v>
      </c>
      <c r="C987" t="s">
        <v>2127</v>
      </c>
      <c r="D987" t="s">
        <v>2634</v>
      </c>
      <c r="E987" s="2">
        <v>37596</v>
      </c>
      <c r="F987">
        <v>10</v>
      </c>
      <c r="G987">
        <v>1</v>
      </c>
      <c r="H987" t="s">
        <v>3948</v>
      </c>
      <c r="I987">
        <v>10</v>
      </c>
    </row>
    <row r="988" spans="2:9" x14ac:dyDescent="0.3">
      <c r="B988" t="s">
        <v>1305</v>
      </c>
      <c r="C988" t="s">
        <v>2128</v>
      </c>
      <c r="D988" t="s">
        <v>2634</v>
      </c>
      <c r="E988" s="2">
        <v>35242</v>
      </c>
      <c r="F988">
        <v>10</v>
      </c>
      <c r="G988">
        <v>1</v>
      </c>
      <c r="H988" t="s">
        <v>3949</v>
      </c>
      <c r="I988">
        <v>10</v>
      </c>
    </row>
    <row r="989" spans="2:9" x14ac:dyDescent="0.3">
      <c r="B989" t="s">
        <v>3950</v>
      </c>
      <c r="C989" t="s">
        <v>3951</v>
      </c>
      <c r="D989" t="s">
        <v>2634</v>
      </c>
      <c r="E989" s="2">
        <v>42830</v>
      </c>
      <c r="F989">
        <v>10</v>
      </c>
      <c r="G989">
        <v>1</v>
      </c>
      <c r="H989" t="s">
        <v>3952</v>
      </c>
      <c r="I989">
        <v>10</v>
      </c>
    </row>
    <row r="990" spans="2:9" x14ac:dyDescent="0.3">
      <c r="B990" t="s">
        <v>820</v>
      </c>
      <c r="C990" t="s">
        <v>2129</v>
      </c>
      <c r="D990" t="s">
        <v>2634</v>
      </c>
      <c r="E990" s="2">
        <v>36593</v>
      </c>
      <c r="F990">
        <v>2</v>
      </c>
      <c r="G990">
        <v>1</v>
      </c>
      <c r="H990" t="s">
        <v>3953</v>
      </c>
      <c r="I990">
        <v>2</v>
      </c>
    </row>
    <row r="991" spans="2:9" x14ac:dyDescent="0.3">
      <c r="B991" t="s">
        <v>821</v>
      </c>
      <c r="C991" t="s">
        <v>2130</v>
      </c>
      <c r="D991" t="s">
        <v>2634</v>
      </c>
      <c r="E991" s="2">
        <v>37942</v>
      </c>
      <c r="F991">
        <v>10</v>
      </c>
      <c r="G991">
        <v>1</v>
      </c>
      <c r="H991" t="s">
        <v>3954</v>
      </c>
      <c r="I991">
        <v>10</v>
      </c>
    </row>
    <row r="992" spans="2:9" x14ac:dyDescent="0.3">
      <c r="B992" t="s">
        <v>3955</v>
      </c>
      <c r="C992" t="s">
        <v>3956</v>
      </c>
      <c r="D992" t="s">
        <v>2634</v>
      </c>
      <c r="E992" s="2">
        <v>41528</v>
      </c>
      <c r="F992">
        <v>10</v>
      </c>
      <c r="G992">
        <v>1</v>
      </c>
      <c r="H992" t="s">
        <v>3957</v>
      </c>
      <c r="I992">
        <v>10</v>
      </c>
    </row>
    <row r="993" spans="2:9" x14ac:dyDescent="0.3">
      <c r="B993" t="s">
        <v>822</v>
      </c>
      <c r="C993" t="s">
        <v>2131</v>
      </c>
      <c r="D993" t="s">
        <v>2634</v>
      </c>
      <c r="E993" s="2">
        <v>38296</v>
      </c>
      <c r="F993">
        <v>10</v>
      </c>
      <c r="G993">
        <v>1</v>
      </c>
      <c r="H993" t="s">
        <v>3958</v>
      </c>
      <c r="I993">
        <v>10</v>
      </c>
    </row>
    <row r="994" spans="2:9" x14ac:dyDescent="0.3">
      <c r="B994" t="s">
        <v>823</v>
      </c>
      <c r="C994" t="s">
        <v>2132</v>
      </c>
      <c r="D994" t="s">
        <v>2634</v>
      </c>
      <c r="E994" s="2">
        <v>37609</v>
      </c>
      <c r="F994">
        <v>10</v>
      </c>
      <c r="G994">
        <v>1</v>
      </c>
      <c r="H994" t="s">
        <v>3959</v>
      </c>
      <c r="I994">
        <v>10</v>
      </c>
    </row>
    <row r="995" spans="2:9" x14ac:dyDescent="0.3">
      <c r="B995" t="s">
        <v>824</v>
      </c>
      <c r="C995" t="s">
        <v>2133</v>
      </c>
      <c r="D995" t="s">
        <v>2634</v>
      </c>
      <c r="E995" s="2">
        <v>39687</v>
      </c>
      <c r="F995">
        <v>5</v>
      </c>
      <c r="G995">
        <v>1</v>
      </c>
      <c r="H995" t="s">
        <v>3960</v>
      </c>
      <c r="I995">
        <v>5</v>
      </c>
    </row>
    <row r="996" spans="2:9" x14ac:dyDescent="0.3">
      <c r="B996" t="s">
        <v>825</v>
      </c>
      <c r="C996" t="s">
        <v>2134</v>
      </c>
      <c r="D996" t="s">
        <v>2634</v>
      </c>
      <c r="E996" s="2">
        <v>40471</v>
      </c>
      <c r="F996">
        <v>10</v>
      </c>
      <c r="G996">
        <v>1</v>
      </c>
      <c r="H996" t="s">
        <v>3961</v>
      </c>
      <c r="I996">
        <v>10</v>
      </c>
    </row>
    <row r="997" spans="2:9" x14ac:dyDescent="0.3">
      <c r="B997" t="s">
        <v>3962</v>
      </c>
      <c r="C997" t="s">
        <v>3963</v>
      </c>
      <c r="D997" t="s">
        <v>2634</v>
      </c>
      <c r="E997" s="2">
        <v>42396</v>
      </c>
      <c r="F997">
        <v>10</v>
      </c>
      <c r="G997">
        <v>1</v>
      </c>
      <c r="H997" t="s">
        <v>3964</v>
      </c>
      <c r="I997">
        <v>10</v>
      </c>
    </row>
    <row r="998" spans="2:9" x14ac:dyDescent="0.3">
      <c r="B998" t="s">
        <v>826</v>
      </c>
      <c r="C998" t="s">
        <v>2135</v>
      </c>
      <c r="D998" t="s">
        <v>2634</v>
      </c>
      <c r="E998" s="2">
        <v>38245</v>
      </c>
      <c r="F998">
        <v>2</v>
      </c>
      <c r="G998">
        <v>1</v>
      </c>
      <c r="H998" t="s">
        <v>3965</v>
      </c>
      <c r="I998">
        <v>2</v>
      </c>
    </row>
    <row r="999" spans="2:9" x14ac:dyDescent="0.3">
      <c r="B999" t="s">
        <v>14</v>
      </c>
      <c r="C999" t="s">
        <v>2136</v>
      </c>
      <c r="D999" t="s">
        <v>2634</v>
      </c>
      <c r="E999" s="2">
        <v>37435</v>
      </c>
      <c r="F999">
        <v>5</v>
      </c>
      <c r="G999">
        <v>1</v>
      </c>
      <c r="H999" t="s">
        <v>3966</v>
      </c>
      <c r="I999">
        <v>5</v>
      </c>
    </row>
    <row r="1000" spans="2:9" x14ac:dyDescent="0.3">
      <c r="B1000" t="s">
        <v>69</v>
      </c>
      <c r="C1000" t="s">
        <v>2137</v>
      </c>
      <c r="D1000" t="s">
        <v>2634</v>
      </c>
      <c r="E1000" s="2">
        <v>40086</v>
      </c>
      <c r="F1000">
        <v>10</v>
      </c>
      <c r="G1000">
        <v>1</v>
      </c>
      <c r="H1000" t="s">
        <v>3967</v>
      </c>
      <c r="I1000">
        <v>10</v>
      </c>
    </row>
    <row r="1001" spans="2:9" x14ac:dyDescent="0.3">
      <c r="B1001" t="s">
        <v>827</v>
      </c>
      <c r="C1001" t="s">
        <v>2138</v>
      </c>
      <c r="D1001" t="s">
        <v>2634</v>
      </c>
      <c r="E1001" s="2">
        <v>34941</v>
      </c>
      <c r="F1001">
        <v>10</v>
      </c>
      <c r="G1001">
        <v>1</v>
      </c>
      <c r="H1001" t="s">
        <v>3968</v>
      </c>
      <c r="I1001">
        <v>10</v>
      </c>
    </row>
    <row r="1002" spans="2:9" x14ac:dyDescent="0.3">
      <c r="B1002" t="s">
        <v>828</v>
      </c>
      <c r="C1002" t="s">
        <v>2139</v>
      </c>
      <c r="D1002" t="s">
        <v>2662</v>
      </c>
      <c r="E1002" s="2">
        <v>39661</v>
      </c>
      <c r="F1002">
        <v>1</v>
      </c>
      <c r="G1002">
        <v>1</v>
      </c>
      <c r="H1002" t="s">
        <v>3969</v>
      </c>
      <c r="I1002">
        <v>1</v>
      </c>
    </row>
    <row r="1003" spans="2:9" x14ac:dyDescent="0.3">
      <c r="B1003" t="s">
        <v>829</v>
      </c>
      <c r="C1003" t="s">
        <v>2140</v>
      </c>
      <c r="D1003" t="s">
        <v>2634</v>
      </c>
      <c r="E1003" s="2">
        <v>37672</v>
      </c>
      <c r="F1003">
        <v>10</v>
      </c>
      <c r="G1003">
        <v>1</v>
      </c>
      <c r="H1003" t="s">
        <v>3970</v>
      </c>
      <c r="I1003">
        <v>10</v>
      </c>
    </row>
    <row r="1004" spans="2:9" x14ac:dyDescent="0.3">
      <c r="B1004" t="s">
        <v>830</v>
      </c>
      <c r="C1004" t="s">
        <v>2141</v>
      </c>
      <c r="D1004" t="s">
        <v>2634</v>
      </c>
      <c r="E1004" s="2">
        <v>39303</v>
      </c>
      <c r="F1004">
        <v>10</v>
      </c>
      <c r="G1004">
        <v>1</v>
      </c>
      <c r="H1004" t="s">
        <v>3971</v>
      </c>
      <c r="I1004">
        <v>10</v>
      </c>
    </row>
    <row r="1005" spans="2:9" x14ac:dyDescent="0.3">
      <c r="B1005" t="s">
        <v>831</v>
      </c>
      <c r="C1005" t="s">
        <v>2142</v>
      </c>
      <c r="D1005" t="s">
        <v>2634</v>
      </c>
      <c r="E1005" s="2">
        <v>40584</v>
      </c>
      <c r="F1005">
        <v>10</v>
      </c>
      <c r="G1005">
        <v>1</v>
      </c>
      <c r="H1005" t="s">
        <v>3972</v>
      </c>
      <c r="I1005">
        <v>10</v>
      </c>
    </row>
    <row r="1006" spans="2:9" x14ac:dyDescent="0.3">
      <c r="B1006" t="s">
        <v>832</v>
      </c>
      <c r="C1006" t="s">
        <v>2143</v>
      </c>
      <c r="D1006" t="s">
        <v>2634</v>
      </c>
      <c r="E1006" s="2">
        <v>40711</v>
      </c>
      <c r="F1006">
        <v>1</v>
      </c>
      <c r="G1006">
        <v>1</v>
      </c>
      <c r="H1006" t="s">
        <v>3973</v>
      </c>
      <c r="I1006">
        <v>1</v>
      </c>
    </row>
    <row r="1007" spans="2:9" x14ac:dyDescent="0.3">
      <c r="B1007" t="s">
        <v>833</v>
      </c>
      <c r="C1007" t="s">
        <v>2144</v>
      </c>
      <c r="D1007" t="s">
        <v>2662</v>
      </c>
      <c r="E1007" s="2">
        <v>40833</v>
      </c>
      <c r="F1007">
        <v>10</v>
      </c>
      <c r="G1007">
        <v>1</v>
      </c>
      <c r="H1007" t="s">
        <v>3974</v>
      </c>
      <c r="I1007">
        <v>10</v>
      </c>
    </row>
    <row r="1008" spans="2:9" x14ac:dyDescent="0.3">
      <c r="B1008" t="s">
        <v>834</v>
      </c>
      <c r="C1008" t="s">
        <v>2145</v>
      </c>
      <c r="D1008" t="s">
        <v>2634</v>
      </c>
      <c r="E1008" s="2">
        <v>34899</v>
      </c>
      <c r="F1008">
        <v>5</v>
      </c>
      <c r="G1008">
        <v>1</v>
      </c>
      <c r="H1008" t="s">
        <v>3975</v>
      </c>
      <c r="I1008">
        <v>5</v>
      </c>
    </row>
    <row r="1009" spans="2:9" x14ac:dyDescent="0.3">
      <c r="B1009" t="s">
        <v>835</v>
      </c>
      <c r="C1009" t="s">
        <v>2146</v>
      </c>
      <c r="D1009" t="s">
        <v>2634</v>
      </c>
      <c r="E1009" s="2">
        <v>39497</v>
      </c>
      <c r="F1009">
        <v>10</v>
      </c>
      <c r="G1009">
        <v>1</v>
      </c>
      <c r="H1009" t="s">
        <v>3976</v>
      </c>
      <c r="I1009">
        <v>10</v>
      </c>
    </row>
    <row r="1010" spans="2:9" x14ac:dyDescent="0.3">
      <c r="B1010" t="s">
        <v>836</v>
      </c>
      <c r="C1010" t="s">
        <v>2147</v>
      </c>
      <c r="D1010" t="s">
        <v>2662</v>
      </c>
      <c r="E1010" s="2">
        <v>36957</v>
      </c>
      <c r="F1010">
        <v>10</v>
      </c>
      <c r="G1010">
        <v>1</v>
      </c>
      <c r="H1010" t="s">
        <v>3977</v>
      </c>
      <c r="I1010">
        <v>10</v>
      </c>
    </row>
    <row r="1011" spans="2:9" x14ac:dyDescent="0.3">
      <c r="B1011" t="s">
        <v>837</v>
      </c>
      <c r="C1011" t="s">
        <v>2148</v>
      </c>
      <c r="D1011" t="s">
        <v>2634</v>
      </c>
      <c r="E1011" s="2">
        <v>37858</v>
      </c>
      <c r="F1011">
        <v>10</v>
      </c>
      <c r="G1011">
        <v>1</v>
      </c>
      <c r="H1011" t="s">
        <v>3978</v>
      </c>
      <c r="I1011">
        <v>10</v>
      </c>
    </row>
    <row r="1012" spans="2:9" x14ac:dyDescent="0.3">
      <c r="B1012" t="s">
        <v>838</v>
      </c>
      <c r="C1012" t="s">
        <v>2149</v>
      </c>
      <c r="D1012" t="s">
        <v>2662</v>
      </c>
      <c r="E1012" s="2">
        <v>39184</v>
      </c>
      <c r="F1012">
        <v>10</v>
      </c>
      <c r="G1012">
        <v>1</v>
      </c>
      <c r="H1012" t="s">
        <v>3979</v>
      </c>
      <c r="I1012">
        <v>10</v>
      </c>
    </row>
    <row r="1013" spans="2:9" x14ac:dyDescent="0.3">
      <c r="B1013" t="s">
        <v>838</v>
      </c>
      <c r="C1013" t="s">
        <v>2149</v>
      </c>
      <c r="D1013" t="s">
        <v>2657</v>
      </c>
      <c r="E1013" s="2">
        <v>39184</v>
      </c>
      <c r="F1013">
        <v>10</v>
      </c>
      <c r="G1013">
        <v>1</v>
      </c>
      <c r="H1013" t="s">
        <v>3979</v>
      </c>
      <c r="I1013">
        <v>10</v>
      </c>
    </row>
    <row r="1014" spans="2:9" x14ac:dyDescent="0.3">
      <c r="B1014" t="s">
        <v>839</v>
      </c>
      <c r="C1014" t="s">
        <v>2150</v>
      </c>
      <c r="D1014" t="s">
        <v>2634</v>
      </c>
      <c r="E1014" s="2">
        <v>41583</v>
      </c>
      <c r="F1014">
        <v>10</v>
      </c>
      <c r="G1014">
        <v>1</v>
      </c>
      <c r="H1014" t="s">
        <v>3980</v>
      </c>
      <c r="I1014">
        <v>10</v>
      </c>
    </row>
    <row r="1015" spans="2:9" x14ac:dyDescent="0.3">
      <c r="B1015" t="s">
        <v>3981</v>
      </c>
      <c r="C1015" t="s">
        <v>3982</v>
      </c>
      <c r="D1015" t="s">
        <v>2634</v>
      </c>
      <c r="E1015" s="2">
        <v>35613</v>
      </c>
      <c r="F1015">
        <v>10</v>
      </c>
      <c r="G1015">
        <v>1</v>
      </c>
      <c r="H1015" t="s">
        <v>3983</v>
      </c>
      <c r="I1015">
        <v>10</v>
      </c>
    </row>
    <row r="1016" spans="2:9" x14ac:dyDescent="0.3">
      <c r="B1016" t="s">
        <v>3984</v>
      </c>
      <c r="C1016" t="s">
        <v>3985</v>
      </c>
      <c r="D1016" t="s">
        <v>2634</v>
      </c>
      <c r="E1016" s="2">
        <v>42209</v>
      </c>
      <c r="F1016">
        <v>2</v>
      </c>
      <c r="G1016">
        <v>1</v>
      </c>
      <c r="H1016" t="s">
        <v>3986</v>
      </c>
      <c r="I1016">
        <v>2</v>
      </c>
    </row>
    <row r="1017" spans="2:9" x14ac:dyDescent="0.3">
      <c r="B1017" t="s">
        <v>840</v>
      </c>
      <c r="C1017" t="s">
        <v>2151</v>
      </c>
      <c r="D1017" t="s">
        <v>2634</v>
      </c>
      <c r="E1017" s="2">
        <v>38701</v>
      </c>
      <c r="F1017">
        <v>1</v>
      </c>
      <c r="G1017">
        <v>1</v>
      </c>
      <c r="H1017" t="s">
        <v>3987</v>
      </c>
      <c r="I1017">
        <v>1</v>
      </c>
    </row>
    <row r="1018" spans="2:9" x14ac:dyDescent="0.3">
      <c r="B1018" t="s">
        <v>1306</v>
      </c>
      <c r="C1018" t="s">
        <v>2152</v>
      </c>
      <c r="D1018" t="s">
        <v>2662</v>
      </c>
      <c r="E1018" s="2">
        <v>39148</v>
      </c>
      <c r="F1018">
        <v>10</v>
      </c>
      <c r="G1018">
        <v>1</v>
      </c>
      <c r="H1018" t="s">
        <v>3988</v>
      </c>
      <c r="I1018">
        <v>10</v>
      </c>
    </row>
    <row r="1019" spans="2:9" x14ac:dyDescent="0.3">
      <c r="B1019" t="s">
        <v>70</v>
      </c>
      <c r="C1019" t="s">
        <v>2153</v>
      </c>
      <c r="D1019" t="s">
        <v>2634</v>
      </c>
      <c r="E1019" s="2">
        <v>35613</v>
      </c>
      <c r="F1019">
        <v>10</v>
      </c>
      <c r="G1019">
        <v>1</v>
      </c>
      <c r="H1019" t="s">
        <v>3989</v>
      </c>
      <c r="I1019">
        <v>10</v>
      </c>
    </row>
    <row r="1020" spans="2:9" x14ac:dyDescent="0.3">
      <c r="B1020" t="s">
        <v>841</v>
      </c>
      <c r="C1020" t="s">
        <v>2154</v>
      </c>
      <c r="D1020" t="s">
        <v>2634</v>
      </c>
      <c r="E1020" s="2">
        <v>39127</v>
      </c>
      <c r="F1020">
        <v>10</v>
      </c>
      <c r="G1020">
        <v>1</v>
      </c>
      <c r="H1020" t="s">
        <v>3990</v>
      </c>
      <c r="I1020">
        <v>10</v>
      </c>
    </row>
    <row r="1021" spans="2:9" x14ac:dyDescent="0.3">
      <c r="B1021" t="s">
        <v>842</v>
      </c>
      <c r="C1021" t="s">
        <v>2155</v>
      </c>
      <c r="D1021" t="s">
        <v>2634</v>
      </c>
      <c r="E1021" s="2">
        <v>41467</v>
      </c>
      <c r="F1021">
        <v>1</v>
      </c>
      <c r="G1021">
        <v>1</v>
      </c>
      <c r="H1021" t="s">
        <v>3991</v>
      </c>
      <c r="I1021">
        <v>1</v>
      </c>
    </row>
    <row r="1022" spans="2:9" x14ac:dyDescent="0.3">
      <c r="B1022" t="s">
        <v>843</v>
      </c>
      <c r="C1022" t="s">
        <v>2156</v>
      </c>
      <c r="D1022" t="s">
        <v>2634</v>
      </c>
      <c r="E1022" s="2">
        <v>36034</v>
      </c>
      <c r="F1022">
        <v>1</v>
      </c>
      <c r="G1022">
        <v>1</v>
      </c>
      <c r="H1022" t="s">
        <v>3992</v>
      </c>
      <c r="I1022">
        <v>1</v>
      </c>
    </row>
    <row r="1023" spans="2:9" x14ac:dyDescent="0.3">
      <c r="B1023" t="s">
        <v>844</v>
      </c>
      <c r="C1023" t="s">
        <v>2157</v>
      </c>
      <c r="D1023" t="s">
        <v>2634</v>
      </c>
      <c r="E1023" s="2">
        <v>40240</v>
      </c>
      <c r="F1023">
        <v>10</v>
      </c>
      <c r="G1023">
        <v>1</v>
      </c>
      <c r="H1023" t="s">
        <v>3993</v>
      </c>
      <c r="I1023">
        <v>10</v>
      </c>
    </row>
    <row r="1024" spans="2:9" x14ac:dyDescent="0.3">
      <c r="B1024" t="s">
        <v>845</v>
      </c>
      <c r="C1024" t="s">
        <v>2158</v>
      </c>
      <c r="D1024" t="s">
        <v>2634</v>
      </c>
      <c r="E1024" s="2">
        <v>34787</v>
      </c>
      <c r="F1024">
        <v>1</v>
      </c>
      <c r="G1024">
        <v>1</v>
      </c>
      <c r="H1024" t="s">
        <v>3994</v>
      </c>
      <c r="I1024">
        <v>1</v>
      </c>
    </row>
    <row r="1025" spans="2:9" x14ac:dyDescent="0.3">
      <c r="B1025" t="s">
        <v>846</v>
      </c>
      <c r="C1025" t="s">
        <v>2159</v>
      </c>
      <c r="D1025" t="s">
        <v>2634</v>
      </c>
      <c r="E1025" s="2">
        <v>40980</v>
      </c>
      <c r="F1025">
        <v>1</v>
      </c>
      <c r="G1025">
        <v>1</v>
      </c>
      <c r="H1025" t="s">
        <v>3995</v>
      </c>
      <c r="I1025">
        <v>1</v>
      </c>
    </row>
    <row r="1026" spans="2:9" x14ac:dyDescent="0.3">
      <c r="B1026" t="s">
        <v>847</v>
      </c>
      <c r="C1026" t="s">
        <v>2160</v>
      </c>
      <c r="D1026" t="s">
        <v>2634</v>
      </c>
      <c r="E1026" s="2">
        <v>40450</v>
      </c>
      <c r="F1026">
        <v>1</v>
      </c>
      <c r="G1026">
        <v>1</v>
      </c>
      <c r="H1026" t="s">
        <v>3996</v>
      </c>
      <c r="I1026">
        <v>1</v>
      </c>
    </row>
    <row r="1027" spans="2:9" x14ac:dyDescent="0.3">
      <c r="B1027" t="s">
        <v>3997</v>
      </c>
      <c r="C1027" t="s">
        <v>3998</v>
      </c>
      <c r="D1027" t="s">
        <v>2634</v>
      </c>
      <c r="E1027" s="2">
        <v>42082</v>
      </c>
      <c r="F1027">
        <v>10</v>
      </c>
      <c r="G1027">
        <v>1</v>
      </c>
      <c r="H1027" t="s">
        <v>3999</v>
      </c>
      <c r="I1027">
        <v>10</v>
      </c>
    </row>
    <row r="1028" spans="2:9" x14ac:dyDescent="0.3">
      <c r="B1028" t="s">
        <v>4000</v>
      </c>
      <c r="C1028" t="s">
        <v>4001</v>
      </c>
      <c r="D1028" t="s">
        <v>2662</v>
      </c>
      <c r="E1028" s="2">
        <v>42237</v>
      </c>
      <c r="F1028">
        <v>10</v>
      </c>
      <c r="G1028">
        <v>1</v>
      </c>
      <c r="H1028" t="s">
        <v>4002</v>
      </c>
      <c r="I1028">
        <v>10</v>
      </c>
    </row>
    <row r="1029" spans="2:9" x14ac:dyDescent="0.3">
      <c r="B1029" t="s">
        <v>848</v>
      </c>
      <c r="C1029" t="s">
        <v>2161</v>
      </c>
      <c r="D1029" t="s">
        <v>2662</v>
      </c>
      <c r="E1029" s="2">
        <v>36362</v>
      </c>
      <c r="F1029">
        <v>10</v>
      </c>
      <c r="G1029">
        <v>1</v>
      </c>
      <c r="H1029" t="s">
        <v>4003</v>
      </c>
      <c r="I1029">
        <v>10</v>
      </c>
    </row>
    <row r="1030" spans="2:9" x14ac:dyDescent="0.3">
      <c r="B1030" t="s">
        <v>849</v>
      </c>
      <c r="C1030" t="s">
        <v>2162</v>
      </c>
      <c r="D1030" t="s">
        <v>2634</v>
      </c>
      <c r="E1030" s="2">
        <v>39157</v>
      </c>
      <c r="F1030">
        <v>10</v>
      </c>
      <c r="G1030">
        <v>1</v>
      </c>
      <c r="H1030" t="s">
        <v>4004</v>
      </c>
      <c r="I1030">
        <v>10</v>
      </c>
    </row>
    <row r="1031" spans="2:9" x14ac:dyDescent="0.3">
      <c r="B1031" t="s">
        <v>4005</v>
      </c>
      <c r="C1031" t="s">
        <v>2163</v>
      </c>
      <c r="D1031" t="s">
        <v>2662</v>
      </c>
      <c r="E1031" s="2">
        <v>42499</v>
      </c>
      <c r="F1031">
        <v>10</v>
      </c>
      <c r="G1031">
        <v>1</v>
      </c>
      <c r="H1031" t="s">
        <v>4006</v>
      </c>
      <c r="I1031">
        <v>10</v>
      </c>
    </row>
    <row r="1032" spans="2:9" x14ac:dyDescent="0.3">
      <c r="B1032" t="s">
        <v>850</v>
      </c>
      <c r="C1032" t="s">
        <v>2164</v>
      </c>
      <c r="D1032" t="s">
        <v>2634</v>
      </c>
      <c r="E1032" s="2">
        <v>35172</v>
      </c>
      <c r="F1032">
        <v>1</v>
      </c>
      <c r="G1032">
        <v>1</v>
      </c>
      <c r="H1032" t="s">
        <v>4007</v>
      </c>
      <c r="I1032">
        <v>1</v>
      </c>
    </row>
    <row r="1033" spans="2:9" x14ac:dyDescent="0.3">
      <c r="B1033" t="s">
        <v>851</v>
      </c>
      <c r="C1033" t="s">
        <v>2165</v>
      </c>
      <c r="D1033" t="s">
        <v>2634</v>
      </c>
      <c r="E1033" s="2">
        <v>40816</v>
      </c>
      <c r="F1033">
        <v>2</v>
      </c>
      <c r="G1033">
        <v>1</v>
      </c>
      <c r="H1033" t="s">
        <v>4008</v>
      </c>
      <c r="I1033">
        <v>2</v>
      </c>
    </row>
    <row r="1034" spans="2:9" x14ac:dyDescent="0.3">
      <c r="B1034" t="s">
        <v>852</v>
      </c>
      <c r="C1034" t="s">
        <v>2166</v>
      </c>
      <c r="D1034" t="s">
        <v>2634</v>
      </c>
      <c r="E1034" s="2">
        <v>39085</v>
      </c>
      <c r="F1034">
        <v>5</v>
      </c>
      <c r="G1034">
        <v>1</v>
      </c>
      <c r="H1034" t="s">
        <v>4009</v>
      </c>
      <c r="I1034">
        <v>5</v>
      </c>
    </row>
    <row r="1035" spans="2:9" x14ac:dyDescent="0.3">
      <c r="B1035" t="s">
        <v>853</v>
      </c>
      <c r="C1035" t="s">
        <v>2167</v>
      </c>
      <c r="D1035" t="s">
        <v>2634</v>
      </c>
      <c r="E1035" s="2">
        <v>38261</v>
      </c>
      <c r="F1035">
        <v>2</v>
      </c>
      <c r="G1035">
        <v>1</v>
      </c>
      <c r="H1035" t="s">
        <v>4010</v>
      </c>
      <c r="I1035">
        <v>2</v>
      </c>
    </row>
    <row r="1036" spans="2:9" x14ac:dyDescent="0.3">
      <c r="B1036" t="s">
        <v>854</v>
      </c>
      <c r="C1036" t="s">
        <v>2168</v>
      </c>
      <c r="D1036" t="s">
        <v>2634</v>
      </c>
      <c r="E1036" s="2">
        <v>40360</v>
      </c>
      <c r="F1036">
        <v>10</v>
      </c>
      <c r="G1036">
        <v>1</v>
      </c>
      <c r="H1036" t="s">
        <v>4011</v>
      </c>
      <c r="I1036">
        <v>10</v>
      </c>
    </row>
    <row r="1037" spans="2:9" x14ac:dyDescent="0.3">
      <c r="B1037" t="s">
        <v>855</v>
      </c>
      <c r="C1037" t="s">
        <v>2169</v>
      </c>
      <c r="D1037" t="s">
        <v>2662</v>
      </c>
      <c r="E1037" s="2">
        <v>39085</v>
      </c>
      <c r="F1037">
        <v>2</v>
      </c>
      <c r="G1037">
        <v>1</v>
      </c>
      <c r="H1037" t="s">
        <v>4012</v>
      </c>
      <c r="I1037">
        <v>2</v>
      </c>
    </row>
    <row r="1038" spans="2:9" x14ac:dyDescent="0.3">
      <c r="B1038" t="s">
        <v>4013</v>
      </c>
      <c r="C1038" t="s">
        <v>4014</v>
      </c>
      <c r="D1038" t="s">
        <v>2634</v>
      </c>
      <c r="E1038" s="2">
        <v>42509</v>
      </c>
      <c r="F1038">
        <v>10</v>
      </c>
      <c r="G1038">
        <v>1</v>
      </c>
      <c r="H1038" t="s">
        <v>4015</v>
      </c>
      <c r="I1038">
        <v>10</v>
      </c>
    </row>
    <row r="1039" spans="2:9" x14ac:dyDescent="0.3">
      <c r="B1039" t="s">
        <v>856</v>
      </c>
      <c r="C1039" t="s">
        <v>2170</v>
      </c>
      <c r="D1039" t="s">
        <v>2634</v>
      </c>
      <c r="E1039" s="2">
        <v>39051</v>
      </c>
      <c r="F1039">
        <v>5</v>
      </c>
      <c r="G1039">
        <v>1</v>
      </c>
      <c r="H1039" t="s">
        <v>4016</v>
      </c>
      <c r="I1039">
        <v>5</v>
      </c>
    </row>
    <row r="1040" spans="2:9" x14ac:dyDescent="0.3">
      <c r="B1040" t="s">
        <v>857</v>
      </c>
      <c r="C1040" t="s">
        <v>2171</v>
      </c>
      <c r="D1040" t="s">
        <v>2634</v>
      </c>
      <c r="E1040" s="2">
        <v>38407</v>
      </c>
      <c r="F1040">
        <v>1</v>
      </c>
      <c r="G1040">
        <v>1</v>
      </c>
      <c r="H1040" t="s">
        <v>4017</v>
      </c>
      <c r="I1040">
        <v>1</v>
      </c>
    </row>
    <row r="1041" spans="2:9" x14ac:dyDescent="0.3">
      <c r="B1041" t="s">
        <v>858</v>
      </c>
      <c r="C1041" t="s">
        <v>2172</v>
      </c>
      <c r="D1041" t="s">
        <v>2634</v>
      </c>
      <c r="E1041" s="2">
        <v>39458</v>
      </c>
      <c r="F1041">
        <v>10</v>
      </c>
      <c r="G1041">
        <v>1</v>
      </c>
      <c r="H1041" t="s">
        <v>4018</v>
      </c>
      <c r="I1041">
        <v>10</v>
      </c>
    </row>
    <row r="1042" spans="2:9" x14ac:dyDescent="0.3">
      <c r="B1042" t="s">
        <v>859</v>
      </c>
      <c r="C1042" t="s">
        <v>2173</v>
      </c>
      <c r="D1042" t="s">
        <v>2634</v>
      </c>
      <c r="E1042" s="2">
        <v>34829</v>
      </c>
      <c r="F1042">
        <v>10</v>
      </c>
      <c r="G1042">
        <v>1</v>
      </c>
      <c r="H1042" t="s">
        <v>4019</v>
      </c>
      <c r="I1042">
        <v>10</v>
      </c>
    </row>
    <row r="1043" spans="2:9" x14ac:dyDescent="0.3">
      <c r="B1043" t="s">
        <v>860</v>
      </c>
      <c r="C1043" t="s">
        <v>2174</v>
      </c>
      <c r="D1043" t="s">
        <v>2634</v>
      </c>
      <c r="E1043" s="2">
        <v>38680</v>
      </c>
      <c r="F1043">
        <v>10</v>
      </c>
      <c r="G1043">
        <v>1</v>
      </c>
      <c r="H1043" t="s">
        <v>4020</v>
      </c>
      <c r="I1043">
        <v>10</v>
      </c>
    </row>
    <row r="1044" spans="2:9" x14ac:dyDescent="0.3">
      <c r="B1044" t="s">
        <v>861</v>
      </c>
      <c r="C1044" t="s">
        <v>2175</v>
      </c>
      <c r="D1044" t="s">
        <v>2634</v>
      </c>
      <c r="E1044" s="2">
        <v>41270</v>
      </c>
      <c r="F1044">
        <v>10</v>
      </c>
      <c r="G1044">
        <v>1</v>
      </c>
      <c r="H1044" t="s">
        <v>4021</v>
      </c>
      <c r="I1044">
        <v>10</v>
      </c>
    </row>
    <row r="1045" spans="2:9" x14ac:dyDescent="0.3">
      <c r="B1045" t="s">
        <v>4022</v>
      </c>
      <c r="C1045" t="s">
        <v>4023</v>
      </c>
      <c r="D1045" t="s">
        <v>2634</v>
      </c>
      <c r="E1045" s="2">
        <v>42459</v>
      </c>
      <c r="F1045">
        <v>1</v>
      </c>
      <c r="G1045">
        <v>1</v>
      </c>
      <c r="H1045" t="s">
        <v>4024</v>
      </c>
      <c r="I1045">
        <v>1</v>
      </c>
    </row>
    <row r="1046" spans="2:9" x14ac:dyDescent="0.3">
      <c r="B1046" t="s">
        <v>862</v>
      </c>
      <c r="C1046" t="s">
        <v>2176</v>
      </c>
      <c r="D1046" t="s">
        <v>2634</v>
      </c>
      <c r="E1046" s="2">
        <v>40409</v>
      </c>
      <c r="F1046">
        <v>10</v>
      </c>
      <c r="G1046">
        <v>1</v>
      </c>
      <c r="H1046" t="s">
        <v>4025</v>
      </c>
      <c r="I1046">
        <v>10</v>
      </c>
    </row>
    <row r="1047" spans="2:9" x14ac:dyDescent="0.3">
      <c r="B1047" t="s">
        <v>863</v>
      </c>
      <c r="C1047" t="s">
        <v>2177</v>
      </c>
      <c r="D1047" t="s">
        <v>2634</v>
      </c>
      <c r="E1047" s="2">
        <v>41933</v>
      </c>
      <c r="F1047">
        <v>10</v>
      </c>
      <c r="G1047">
        <v>1</v>
      </c>
      <c r="H1047" t="s">
        <v>4026</v>
      </c>
      <c r="I1047">
        <v>10</v>
      </c>
    </row>
    <row r="1048" spans="2:9" x14ac:dyDescent="0.3">
      <c r="B1048" t="s">
        <v>1307</v>
      </c>
      <c r="C1048" t="s">
        <v>2178</v>
      </c>
      <c r="D1048" t="s">
        <v>2634</v>
      </c>
      <c r="E1048" s="2">
        <v>34899</v>
      </c>
      <c r="F1048">
        <v>2</v>
      </c>
      <c r="G1048">
        <v>1</v>
      </c>
      <c r="H1048" t="s">
        <v>4027</v>
      </c>
      <c r="I1048">
        <v>2</v>
      </c>
    </row>
    <row r="1049" spans="2:9" x14ac:dyDescent="0.3">
      <c r="B1049" t="s">
        <v>864</v>
      </c>
      <c r="C1049" t="s">
        <v>2179</v>
      </c>
      <c r="D1049" t="s">
        <v>2634</v>
      </c>
      <c r="E1049" s="2">
        <v>34738</v>
      </c>
      <c r="F1049">
        <v>2</v>
      </c>
      <c r="G1049">
        <v>1</v>
      </c>
      <c r="H1049" t="s">
        <v>4028</v>
      </c>
      <c r="I1049">
        <v>2</v>
      </c>
    </row>
    <row r="1050" spans="2:9" x14ac:dyDescent="0.3">
      <c r="B1050" t="s">
        <v>865</v>
      </c>
      <c r="C1050" t="s">
        <v>2180</v>
      </c>
      <c r="D1050" t="s">
        <v>2662</v>
      </c>
      <c r="E1050" s="2">
        <v>36677</v>
      </c>
      <c r="F1050">
        <v>10</v>
      </c>
      <c r="G1050">
        <v>1</v>
      </c>
      <c r="H1050" t="s">
        <v>4029</v>
      </c>
      <c r="I1050">
        <v>10</v>
      </c>
    </row>
    <row r="1051" spans="2:9" x14ac:dyDescent="0.3">
      <c r="B1051" t="s">
        <v>73</v>
      </c>
      <c r="C1051" t="s">
        <v>2181</v>
      </c>
      <c r="D1051" t="s">
        <v>2634</v>
      </c>
      <c r="E1051" s="2">
        <v>34738</v>
      </c>
      <c r="F1051">
        <v>2</v>
      </c>
      <c r="G1051">
        <v>1</v>
      </c>
      <c r="H1051" t="s">
        <v>4030</v>
      </c>
      <c r="I1051">
        <v>2</v>
      </c>
    </row>
    <row r="1052" spans="2:9" x14ac:dyDescent="0.3">
      <c r="B1052" t="s">
        <v>866</v>
      </c>
      <c r="C1052" t="s">
        <v>2182</v>
      </c>
      <c r="D1052" t="s">
        <v>2634</v>
      </c>
      <c r="E1052" s="2">
        <v>40507</v>
      </c>
      <c r="F1052">
        <v>5</v>
      </c>
      <c r="G1052">
        <v>1</v>
      </c>
      <c r="H1052" t="s">
        <v>4031</v>
      </c>
      <c r="I1052">
        <v>5</v>
      </c>
    </row>
    <row r="1053" spans="2:9" x14ac:dyDescent="0.3">
      <c r="B1053" t="s">
        <v>867</v>
      </c>
      <c r="C1053" t="s">
        <v>2183</v>
      </c>
      <c r="D1053" t="s">
        <v>2634</v>
      </c>
      <c r="E1053" s="2">
        <v>34738</v>
      </c>
      <c r="F1053">
        <v>2</v>
      </c>
      <c r="G1053">
        <v>1</v>
      </c>
      <c r="H1053" t="s">
        <v>4032</v>
      </c>
      <c r="I1053">
        <v>2</v>
      </c>
    </row>
    <row r="1054" spans="2:9" x14ac:dyDescent="0.3">
      <c r="B1054" t="s">
        <v>4033</v>
      </c>
      <c r="C1054" t="s">
        <v>4034</v>
      </c>
      <c r="D1054" t="s">
        <v>2634</v>
      </c>
      <c r="E1054" s="2">
        <v>42257</v>
      </c>
      <c r="F1054">
        <v>10</v>
      </c>
      <c r="G1054">
        <v>1</v>
      </c>
      <c r="H1054" t="s">
        <v>4035</v>
      </c>
      <c r="I1054">
        <v>10</v>
      </c>
    </row>
    <row r="1055" spans="2:9" x14ac:dyDescent="0.3">
      <c r="B1055" t="s">
        <v>868</v>
      </c>
      <c r="C1055" t="s">
        <v>2184</v>
      </c>
      <c r="D1055" t="s">
        <v>2634</v>
      </c>
      <c r="E1055" s="2">
        <v>40274</v>
      </c>
      <c r="F1055">
        <v>10</v>
      </c>
      <c r="G1055">
        <v>1</v>
      </c>
      <c r="H1055" t="s">
        <v>4036</v>
      </c>
      <c r="I1055">
        <v>10</v>
      </c>
    </row>
    <row r="1056" spans="2:9" x14ac:dyDescent="0.3">
      <c r="B1056" t="s">
        <v>869</v>
      </c>
      <c r="C1056" t="s">
        <v>2185</v>
      </c>
      <c r="D1056" t="s">
        <v>2662</v>
      </c>
      <c r="E1056" s="2">
        <v>36362</v>
      </c>
      <c r="F1056">
        <v>10</v>
      </c>
      <c r="G1056">
        <v>1</v>
      </c>
      <c r="H1056" t="s">
        <v>4037</v>
      </c>
      <c r="I1056">
        <v>10</v>
      </c>
    </row>
    <row r="1057" spans="2:9" x14ac:dyDescent="0.3">
      <c r="B1057" t="s">
        <v>71</v>
      </c>
      <c r="C1057" t="s">
        <v>2186</v>
      </c>
      <c r="D1057" t="s">
        <v>2634</v>
      </c>
      <c r="E1057" s="2">
        <v>38072</v>
      </c>
      <c r="F1057">
        <v>10</v>
      </c>
      <c r="G1057">
        <v>1</v>
      </c>
      <c r="H1057" t="s">
        <v>4038</v>
      </c>
      <c r="I1057">
        <v>10</v>
      </c>
    </row>
    <row r="1058" spans="2:9" x14ac:dyDescent="0.3">
      <c r="B1058" t="s">
        <v>74</v>
      </c>
      <c r="C1058" t="s">
        <v>2187</v>
      </c>
      <c r="D1058" t="s">
        <v>2634</v>
      </c>
      <c r="E1058" s="2">
        <v>39136</v>
      </c>
      <c r="F1058">
        <v>10</v>
      </c>
      <c r="G1058">
        <v>1</v>
      </c>
      <c r="H1058" t="s">
        <v>4039</v>
      </c>
      <c r="I1058">
        <v>10</v>
      </c>
    </row>
    <row r="1059" spans="2:9" x14ac:dyDescent="0.3">
      <c r="B1059" t="s">
        <v>870</v>
      </c>
      <c r="C1059" t="s">
        <v>2188</v>
      </c>
      <c r="D1059" t="s">
        <v>2634</v>
      </c>
      <c r="E1059" s="2">
        <v>36278</v>
      </c>
      <c r="F1059">
        <v>10</v>
      </c>
      <c r="G1059">
        <v>1</v>
      </c>
      <c r="H1059" t="s">
        <v>4040</v>
      </c>
      <c r="I1059">
        <v>10</v>
      </c>
    </row>
    <row r="1060" spans="2:9" x14ac:dyDescent="0.3">
      <c r="B1060" t="s">
        <v>871</v>
      </c>
      <c r="C1060" t="s">
        <v>2189</v>
      </c>
      <c r="D1060" t="s">
        <v>2634</v>
      </c>
      <c r="E1060" s="2">
        <v>38888</v>
      </c>
      <c r="F1060">
        <v>1</v>
      </c>
      <c r="G1060">
        <v>1</v>
      </c>
      <c r="H1060" t="s">
        <v>4041</v>
      </c>
      <c r="I1060">
        <v>1</v>
      </c>
    </row>
    <row r="1061" spans="2:9" x14ac:dyDescent="0.3">
      <c r="B1061" t="s">
        <v>872</v>
      </c>
      <c r="C1061" t="s">
        <v>2190</v>
      </c>
      <c r="D1061" t="s">
        <v>2634</v>
      </c>
      <c r="E1061" s="2">
        <v>40632</v>
      </c>
      <c r="F1061">
        <v>10</v>
      </c>
      <c r="G1061">
        <v>1</v>
      </c>
      <c r="H1061" t="s">
        <v>4042</v>
      </c>
      <c r="I1061">
        <v>10</v>
      </c>
    </row>
    <row r="1062" spans="2:9" x14ac:dyDescent="0.3">
      <c r="B1062" t="s">
        <v>873</v>
      </c>
      <c r="C1062" t="s">
        <v>2191</v>
      </c>
      <c r="D1062" t="s">
        <v>2634</v>
      </c>
      <c r="E1062" s="2">
        <v>40812</v>
      </c>
      <c r="F1062">
        <v>10</v>
      </c>
      <c r="G1062">
        <v>1</v>
      </c>
      <c r="H1062" t="s">
        <v>4043</v>
      </c>
      <c r="I1062">
        <v>10</v>
      </c>
    </row>
    <row r="1063" spans="2:9" x14ac:dyDescent="0.3">
      <c r="B1063" t="s">
        <v>75</v>
      </c>
      <c r="C1063" t="s">
        <v>2192</v>
      </c>
      <c r="D1063" t="s">
        <v>2634</v>
      </c>
      <c r="E1063" s="2">
        <v>38175</v>
      </c>
      <c r="F1063">
        <v>10</v>
      </c>
      <c r="G1063">
        <v>1</v>
      </c>
      <c r="H1063" t="s">
        <v>4044</v>
      </c>
      <c r="I1063">
        <v>10</v>
      </c>
    </row>
    <row r="1064" spans="2:9" x14ac:dyDescent="0.3">
      <c r="B1064" t="s">
        <v>874</v>
      </c>
      <c r="C1064" t="s">
        <v>2193</v>
      </c>
      <c r="D1064" t="s">
        <v>2634</v>
      </c>
      <c r="E1064" s="2">
        <v>39128</v>
      </c>
      <c r="F1064">
        <v>10</v>
      </c>
      <c r="G1064">
        <v>1</v>
      </c>
      <c r="H1064" t="s">
        <v>4045</v>
      </c>
      <c r="I1064">
        <v>10</v>
      </c>
    </row>
    <row r="1065" spans="2:9" x14ac:dyDescent="0.3">
      <c r="B1065" t="s">
        <v>875</v>
      </c>
      <c r="C1065" t="s">
        <v>2194</v>
      </c>
      <c r="D1065" t="s">
        <v>2634</v>
      </c>
      <c r="E1065" s="2">
        <v>34787</v>
      </c>
      <c r="F1065">
        <v>10</v>
      </c>
      <c r="G1065">
        <v>1</v>
      </c>
      <c r="H1065" t="s">
        <v>4046</v>
      </c>
      <c r="I1065">
        <v>10</v>
      </c>
    </row>
    <row r="1066" spans="2:9" x14ac:dyDescent="0.3">
      <c r="B1066" t="s">
        <v>876</v>
      </c>
      <c r="C1066" t="s">
        <v>2195</v>
      </c>
      <c r="D1066" t="s">
        <v>2634</v>
      </c>
      <c r="E1066" s="2">
        <v>37998</v>
      </c>
      <c r="F1066">
        <v>10</v>
      </c>
      <c r="G1066">
        <v>1</v>
      </c>
      <c r="H1066" t="s">
        <v>4047</v>
      </c>
      <c r="I1066">
        <v>10</v>
      </c>
    </row>
    <row r="1067" spans="2:9" x14ac:dyDescent="0.3">
      <c r="B1067" t="s">
        <v>877</v>
      </c>
      <c r="C1067" t="s">
        <v>2196</v>
      </c>
      <c r="D1067" t="s">
        <v>2634</v>
      </c>
      <c r="E1067" s="2">
        <v>39195</v>
      </c>
      <c r="F1067">
        <v>2</v>
      </c>
      <c r="G1067">
        <v>1</v>
      </c>
      <c r="H1067" t="s">
        <v>4048</v>
      </c>
      <c r="I1067">
        <v>2</v>
      </c>
    </row>
    <row r="1068" spans="2:9" x14ac:dyDescent="0.3">
      <c r="B1068" t="s">
        <v>72</v>
      </c>
      <c r="C1068" t="s">
        <v>2197</v>
      </c>
      <c r="D1068" t="s">
        <v>2634</v>
      </c>
      <c r="E1068" s="2">
        <v>34787</v>
      </c>
      <c r="F1068">
        <v>1</v>
      </c>
      <c r="G1068">
        <v>1</v>
      </c>
      <c r="H1068" t="s">
        <v>4049</v>
      </c>
      <c r="I1068">
        <v>1</v>
      </c>
    </row>
    <row r="1069" spans="2:9" x14ac:dyDescent="0.3">
      <c r="B1069" t="s">
        <v>878</v>
      </c>
      <c r="C1069" t="s">
        <v>2198</v>
      </c>
      <c r="D1069" t="s">
        <v>2634</v>
      </c>
      <c r="E1069" s="2">
        <v>40709</v>
      </c>
      <c r="F1069">
        <v>1</v>
      </c>
      <c r="G1069">
        <v>1</v>
      </c>
      <c r="H1069" t="s">
        <v>4050</v>
      </c>
      <c r="I1069">
        <v>1</v>
      </c>
    </row>
    <row r="1070" spans="2:9" x14ac:dyDescent="0.3">
      <c r="B1070" t="s">
        <v>4051</v>
      </c>
      <c r="C1070" t="s">
        <v>4052</v>
      </c>
      <c r="D1070" t="s">
        <v>2662</v>
      </c>
      <c r="E1070" s="2">
        <v>42346</v>
      </c>
      <c r="F1070">
        <v>10</v>
      </c>
      <c r="G1070">
        <v>1</v>
      </c>
      <c r="H1070" t="s">
        <v>4053</v>
      </c>
      <c r="I1070">
        <v>10</v>
      </c>
    </row>
    <row r="1071" spans="2:9" x14ac:dyDescent="0.3">
      <c r="B1071" t="s">
        <v>4054</v>
      </c>
      <c r="C1071" t="s">
        <v>4055</v>
      </c>
      <c r="D1071" t="s">
        <v>2662</v>
      </c>
      <c r="E1071" s="2">
        <v>41554</v>
      </c>
      <c r="F1071">
        <v>1</v>
      </c>
      <c r="G1071">
        <v>1</v>
      </c>
      <c r="H1071" t="s">
        <v>4056</v>
      </c>
      <c r="I1071">
        <v>1</v>
      </c>
    </row>
    <row r="1072" spans="2:9" x14ac:dyDescent="0.3">
      <c r="B1072" t="s">
        <v>4057</v>
      </c>
      <c r="C1072" t="s">
        <v>4058</v>
      </c>
      <c r="D1072" t="s">
        <v>2634</v>
      </c>
      <c r="E1072" s="2">
        <v>42536</v>
      </c>
      <c r="F1072">
        <v>10</v>
      </c>
      <c r="G1072">
        <v>1</v>
      </c>
      <c r="H1072" t="s">
        <v>4059</v>
      </c>
      <c r="I1072">
        <v>10</v>
      </c>
    </row>
    <row r="1073" spans="2:9" x14ac:dyDescent="0.3">
      <c r="B1073" t="s">
        <v>1308</v>
      </c>
      <c r="C1073" t="s">
        <v>2199</v>
      </c>
      <c r="D1073" t="s">
        <v>2634</v>
      </c>
      <c r="E1073" s="2">
        <v>40344</v>
      </c>
      <c r="F1073">
        <v>10</v>
      </c>
      <c r="G1073">
        <v>1</v>
      </c>
      <c r="H1073" t="s">
        <v>4060</v>
      </c>
      <c r="I1073">
        <v>10</v>
      </c>
    </row>
    <row r="1074" spans="2:9" x14ac:dyDescent="0.3">
      <c r="B1074" t="s">
        <v>879</v>
      </c>
      <c r="C1074" t="s">
        <v>2200</v>
      </c>
      <c r="D1074" t="s">
        <v>2634</v>
      </c>
      <c r="E1074" s="2">
        <v>38853</v>
      </c>
      <c r="F1074">
        <v>10</v>
      </c>
      <c r="G1074">
        <v>1</v>
      </c>
      <c r="H1074" t="s">
        <v>4061</v>
      </c>
      <c r="I1074">
        <v>10</v>
      </c>
    </row>
    <row r="1075" spans="2:9" x14ac:dyDescent="0.3">
      <c r="B1075" t="s">
        <v>880</v>
      </c>
      <c r="C1075" t="s">
        <v>2201</v>
      </c>
      <c r="D1075" t="s">
        <v>2662</v>
      </c>
      <c r="E1075" s="2">
        <v>39597</v>
      </c>
      <c r="F1075">
        <v>10</v>
      </c>
      <c r="G1075">
        <v>1</v>
      </c>
      <c r="H1075" t="s">
        <v>4062</v>
      </c>
      <c r="I1075">
        <v>10</v>
      </c>
    </row>
    <row r="1076" spans="2:9" x14ac:dyDescent="0.3">
      <c r="B1076" t="s">
        <v>881</v>
      </c>
      <c r="C1076" t="s">
        <v>2202</v>
      </c>
      <c r="D1076" t="s">
        <v>2634</v>
      </c>
      <c r="E1076" s="2">
        <v>39115</v>
      </c>
      <c r="F1076">
        <v>5</v>
      </c>
      <c r="G1076">
        <v>1</v>
      </c>
      <c r="H1076" t="s">
        <v>4063</v>
      </c>
      <c r="I1076">
        <v>5</v>
      </c>
    </row>
    <row r="1077" spans="2:9" x14ac:dyDescent="0.3">
      <c r="B1077" t="s">
        <v>4064</v>
      </c>
      <c r="C1077" t="s">
        <v>4065</v>
      </c>
      <c r="D1077" t="s">
        <v>2634</v>
      </c>
      <c r="E1077" s="2">
        <v>42235</v>
      </c>
      <c r="F1077">
        <v>10</v>
      </c>
      <c r="G1077">
        <v>1</v>
      </c>
      <c r="H1077" t="s">
        <v>4066</v>
      </c>
      <c r="I1077">
        <v>10</v>
      </c>
    </row>
    <row r="1078" spans="2:9" x14ac:dyDescent="0.3">
      <c r="B1078" t="s">
        <v>882</v>
      </c>
      <c r="C1078" t="s">
        <v>2203</v>
      </c>
      <c r="D1078" t="s">
        <v>2634</v>
      </c>
      <c r="E1078" s="2">
        <v>39079</v>
      </c>
      <c r="F1078">
        <v>5</v>
      </c>
      <c r="G1078">
        <v>1</v>
      </c>
      <c r="H1078" t="s">
        <v>4067</v>
      </c>
      <c r="I1078">
        <v>5</v>
      </c>
    </row>
    <row r="1079" spans="2:9" x14ac:dyDescent="0.3">
      <c r="B1079" t="s">
        <v>883</v>
      </c>
      <c r="C1079" t="s">
        <v>2204</v>
      </c>
      <c r="D1079" t="s">
        <v>2634</v>
      </c>
      <c r="E1079" s="2">
        <v>37370</v>
      </c>
      <c r="F1079">
        <v>2</v>
      </c>
      <c r="G1079">
        <v>1</v>
      </c>
      <c r="H1079" t="s">
        <v>4068</v>
      </c>
      <c r="I1079">
        <v>2</v>
      </c>
    </row>
    <row r="1080" spans="2:9" x14ac:dyDescent="0.3">
      <c r="B1080" t="s">
        <v>884</v>
      </c>
      <c r="C1080" t="s">
        <v>2205</v>
      </c>
      <c r="D1080" t="s">
        <v>2634</v>
      </c>
      <c r="E1080" s="2">
        <v>36787</v>
      </c>
      <c r="F1080">
        <v>10</v>
      </c>
      <c r="G1080">
        <v>1</v>
      </c>
      <c r="H1080" t="s">
        <v>4069</v>
      </c>
      <c r="I1080">
        <v>10</v>
      </c>
    </row>
    <row r="1081" spans="2:9" x14ac:dyDescent="0.3">
      <c r="B1081" t="s">
        <v>4070</v>
      </c>
      <c r="C1081" t="s">
        <v>4071</v>
      </c>
      <c r="D1081" t="s">
        <v>2634</v>
      </c>
      <c r="E1081" s="2">
        <v>42681</v>
      </c>
      <c r="F1081">
        <v>10</v>
      </c>
      <c r="G1081">
        <v>1</v>
      </c>
      <c r="H1081" t="s">
        <v>4072</v>
      </c>
      <c r="I1081">
        <v>10</v>
      </c>
    </row>
    <row r="1082" spans="2:9" x14ac:dyDescent="0.3">
      <c r="B1082" t="s">
        <v>885</v>
      </c>
      <c r="C1082" t="s">
        <v>2206</v>
      </c>
      <c r="D1082" t="s">
        <v>2662</v>
      </c>
      <c r="E1082" s="2">
        <v>36871</v>
      </c>
      <c r="F1082">
        <v>10</v>
      </c>
      <c r="G1082">
        <v>1</v>
      </c>
      <c r="H1082" t="s">
        <v>4073</v>
      </c>
      <c r="I1082">
        <v>10</v>
      </c>
    </row>
    <row r="1083" spans="2:9" x14ac:dyDescent="0.3">
      <c r="B1083" t="s">
        <v>4074</v>
      </c>
      <c r="C1083" t="s">
        <v>4075</v>
      </c>
      <c r="D1083" t="s">
        <v>2634</v>
      </c>
      <c r="E1083" s="2">
        <v>42150</v>
      </c>
      <c r="F1083">
        <v>2</v>
      </c>
      <c r="G1083">
        <v>1</v>
      </c>
      <c r="H1083" t="s">
        <v>4076</v>
      </c>
      <c r="I1083">
        <v>2</v>
      </c>
    </row>
    <row r="1084" spans="2:9" x14ac:dyDescent="0.3">
      <c r="B1084" t="s">
        <v>886</v>
      </c>
      <c r="C1084" t="s">
        <v>2207</v>
      </c>
      <c r="D1084" t="s">
        <v>2634</v>
      </c>
      <c r="E1084" s="2">
        <v>39122</v>
      </c>
      <c r="F1084">
        <v>10</v>
      </c>
      <c r="G1084">
        <v>1</v>
      </c>
      <c r="H1084" t="s">
        <v>4077</v>
      </c>
      <c r="I1084">
        <v>10</v>
      </c>
    </row>
    <row r="1085" spans="2:9" x14ac:dyDescent="0.3">
      <c r="B1085" t="s">
        <v>4078</v>
      </c>
      <c r="C1085" t="s">
        <v>4079</v>
      </c>
      <c r="D1085" t="s">
        <v>2634</v>
      </c>
      <c r="E1085" s="2">
        <v>42835</v>
      </c>
      <c r="F1085">
        <v>10</v>
      </c>
      <c r="G1085">
        <v>1</v>
      </c>
      <c r="H1085" t="s">
        <v>4080</v>
      </c>
      <c r="I1085">
        <v>10</v>
      </c>
    </row>
    <row r="1086" spans="2:9" x14ac:dyDescent="0.3">
      <c r="B1086" t="s">
        <v>4081</v>
      </c>
      <c r="C1086" t="s">
        <v>4082</v>
      </c>
      <c r="D1086" t="s">
        <v>2634</v>
      </c>
      <c r="E1086" s="2">
        <v>42696</v>
      </c>
      <c r="F1086">
        <v>10</v>
      </c>
      <c r="G1086">
        <v>1</v>
      </c>
      <c r="H1086" t="s">
        <v>4083</v>
      </c>
      <c r="I1086">
        <v>10</v>
      </c>
    </row>
    <row r="1087" spans="2:9" x14ac:dyDescent="0.3">
      <c r="B1087" t="s">
        <v>4084</v>
      </c>
      <c r="C1087" t="s">
        <v>4085</v>
      </c>
      <c r="D1087" t="s">
        <v>2634</v>
      </c>
      <c r="E1087" s="2">
        <v>42558</v>
      </c>
      <c r="F1087">
        <v>10</v>
      </c>
      <c r="G1087">
        <v>1</v>
      </c>
      <c r="H1087" t="s">
        <v>4086</v>
      </c>
      <c r="I1087">
        <v>10</v>
      </c>
    </row>
    <row r="1088" spans="2:9" x14ac:dyDescent="0.3">
      <c r="B1088" t="s">
        <v>887</v>
      </c>
      <c r="C1088" t="s">
        <v>4087</v>
      </c>
      <c r="D1088" t="s">
        <v>2634</v>
      </c>
      <c r="E1088" s="2">
        <v>36488</v>
      </c>
      <c r="F1088">
        <v>5</v>
      </c>
      <c r="G1088">
        <v>1</v>
      </c>
      <c r="H1088" t="s">
        <v>4088</v>
      </c>
      <c r="I1088">
        <v>5</v>
      </c>
    </row>
    <row r="1089" spans="2:9" x14ac:dyDescent="0.3">
      <c r="B1089" t="s">
        <v>888</v>
      </c>
      <c r="C1089" t="s">
        <v>2208</v>
      </c>
      <c r="D1089" t="s">
        <v>2634</v>
      </c>
      <c r="E1089" s="2">
        <v>40884</v>
      </c>
      <c r="F1089">
        <v>5</v>
      </c>
      <c r="G1089">
        <v>1</v>
      </c>
      <c r="H1089" t="s">
        <v>4089</v>
      </c>
      <c r="I1089">
        <v>5</v>
      </c>
    </row>
    <row r="1090" spans="2:9" x14ac:dyDescent="0.3">
      <c r="B1090" t="s">
        <v>889</v>
      </c>
      <c r="C1090" t="s">
        <v>2209</v>
      </c>
      <c r="D1090" t="s">
        <v>2634</v>
      </c>
      <c r="E1090" s="2">
        <v>37722</v>
      </c>
      <c r="F1090">
        <v>10</v>
      </c>
      <c r="G1090">
        <v>1</v>
      </c>
      <c r="H1090" t="s">
        <v>4090</v>
      </c>
      <c r="I1090">
        <v>10</v>
      </c>
    </row>
    <row r="1091" spans="2:9" x14ac:dyDescent="0.3">
      <c r="B1091" t="s">
        <v>890</v>
      </c>
      <c r="C1091" t="s">
        <v>2210</v>
      </c>
      <c r="D1091" t="s">
        <v>2634</v>
      </c>
      <c r="E1091" s="2">
        <v>37362</v>
      </c>
      <c r="F1091">
        <v>10</v>
      </c>
      <c r="G1091">
        <v>1</v>
      </c>
      <c r="H1091" t="s">
        <v>4091</v>
      </c>
      <c r="I1091">
        <v>10</v>
      </c>
    </row>
    <row r="1092" spans="2:9" x14ac:dyDescent="0.3">
      <c r="B1092" t="s">
        <v>891</v>
      </c>
      <c r="C1092" t="s">
        <v>2211</v>
      </c>
      <c r="D1092" t="s">
        <v>2634</v>
      </c>
      <c r="E1092" s="2">
        <v>39360</v>
      </c>
      <c r="F1092">
        <v>10</v>
      </c>
      <c r="G1092">
        <v>1</v>
      </c>
      <c r="H1092" t="s">
        <v>4092</v>
      </c>
      <c r="I1092">
        <v>10</v>
      </c>
    </row>
    <row r="1093" spans="2:9" x14ac:dyDescent="0.3">
      <c r="B1093" t="s">
        <v>4093</v>
      </c>
      <c r="C1093" t="s">
        <v>4094</v>
      </c>
      <c r="D1093" t="s">
        <v>2634</v>
      </c>
      <c r="E1093" s="2">
        <v>42242</v>
      </c>
      <c r="F1093">
        <v>10</v>
      </c>
      <c r="G1093">
        <v>1</v>
      </c>
      <c r="H1093" t="s">
        <v>4095</v>
      </c>
      <c r="I1093">
        <v>10</v>
      </c>
    </row>
    <row r="1094" spans="2:9" x14ac:dyDescent="0.3">
      <c r="B1094" t="s">
        <v>892</v>
      </c>
      <c r="C1094" t="s">
        <v>2212</v>
      </c>
      <c r="D1094" t="s">
        <v>2634</v>
      </c>
      <c r="E1094" s="2">
        <v>39458</v>
      </c>
      <c r="F1094">
        <v>10</v>
      </c>
      <c r="G1094">
        <v>1</v>
      </c>
      <c r="H1094" t="s">
        <v>4096</v>
      </c>
      <c r="I1094">
        <v>10</v>
      </c>
    </row>
    <row r="1095" spans="2:9" x14ac:dyDescent="0.3">
      <c r="B1095" t="s">
        <v>4097</v>
      </c>
      <c r="C1095" t="s">
        <v>4098</v>
      </c>
      <c r="D1095" t="s">
        <v>2634</v>
      </c>
      <c r="E1095" s="2">
        <v>42268</v>
      </c>
      <c r="F1095">
        <v>10</v>
      </c>
      <c r="G1095">
        <v>1</v>
      </c>
      <c r="H1095" t="s">
        <v>4099</v>
      </c>
      <c r="I1095">
        <v>10</v>
      </c>
    </row>
    <row r="1096" spans="2:9" x14ac:dyDescent="0.3">
      <c r="B1096" t="s">
        <v>893</v>
      </c>
      <c r="C1096" t="s">
        <v>2213</v>
      </c>
      <c r="D1096" t="s">
        <v>2662</v>
      </c>
      <c r="E1096" s="2">
        <v>40273</v>
      </c>
      <c r="F1096">
        <v>10</v>
      </c>
      <c r="G1096">
        <v>1</v>
      </c>
      <c r="H1096" t="s">
        <v>4100</v>
      </c>
      <c r="I1096">
        <v>10</v>
      </c>
    </row>
    <row r="1097" spans="2:9" x14ac:dyDescent="0.3">
      <c r="B1097" t="s">
        <v>894</v>
      </c>
      <c r="C1097" t="s">
        <v>2214</v>
      </c>
      <c r="D1097" t="s">
        <v>2634</v>
      </c>
      <c r="E1097" s="2">
        <v>39084</v>
      </c>
      <c r="F1097">
        <v>10</v>
      </c>
      <c r="G1097">
        <v>1</v>
      </c>
      <c r="H1097" t="s">
        <v>4101</v>
      </c>
      <c r="I1097">
        <v>10</v>
      </c>
    </row>
    <row r="1098" spans="2:9" x14ac:dyDescent="0.3">
      <c r="B1098" t="s">
        <v>895</v>
      </c>
      <c r="C1098" t="s">
        <v>2215</v>
      </c>
      <c r="D1098" t="s">
        <v>2634</v>
      </c>
      <c r="E1098" s="2">
        <v>34983</v>
      </c>
      <c r="F1098">
        <v>2</v>
      </c>
      <c r="G1098">
        <v>1</v>
      </c>
      <c r="H1098" t="s">
        <v>4102</v>
      </c>
      <c r="I1098">
        <v>2</v>
      </c>
    </row>
    <row r="1099" spans="2:9" x14ac:dyDescent="0.3">
      <c r="B1099" t="s">
        <v>896</v>
      </c>
      <c r="C1099" t="s">
        <v>2216</v>
      </c>
      <c r="D1099" t="s">
        <v>2634</v>
      </c>
      <c r="E1099" s="2">
        <v>34829</v>
      </c>
      <c r="F1099">
        <v>10</v>
      </c>
      <c r="G1099">
        <v>1</v>
      </c>
      <c r="H1099" t="s">
        <v>4103</v>
      </c>
      <c r="I1099">
        <v>10</v>
      </c>
    </row>
    <row r="1100" spans="2:9" x14ac:dyDescent="0.3">
      <c r="B1100" t="s">
        <v>897</v>
      </c>
      <c r="C1100" t="s">
        <v>2217</v>
      </c>
      <c r="D1100" t="s">
        <v>2634</v>
      </c>
      <c r="E1100" s="2">
        <v>40820</v>
      </c>
      <c r="F1100">
        <v>1</v>
      </c>
      <c r="G1100">
        <v>1</v>
      </c>
      <c r="H1100" t="s">
        <v>4104</v>
      </c>
      <c r="I1100">
        <v>1</v>
      </c>
    </row>
    <row r="1101" spans="2:9" x14ac:dyDescent="0.3">
      <c r="B1101" t="s">
        <v>898</v>
      </c>
      <c r="C1101" t="s">
        <v>2218</v>
      </c>
      <c r="D1101" t="s">
        <v>2634</v>
      </c>
      <c r="E1101" s="2">
        <v>40415</v>
      </c>
      <c r="F1101">
        <v>1</v>
      </c>
      <c r="G1101">
        <v>1</v>
      </c>
      <c r="H1101" t="s">
        <v>4105</v>
      </c>
      <c r="I1101">
        <v>1</v>
      </c>
    </row>
    <row r="1102" spans="2:9" x14ac:dyDescent="0.3">
      <c r="B1102" t="s">
        <v>899</v>
      </c>
      <c r="C1102" t="s">
        <v>2219</v>
      </c>
      <c r="D1102" t="s">
        <v>2634</v>
      </c>
      <c r="E1102" s="2">
        <v>38792</v>
      </c>
      <c r="F1102">
        <v>2</v>
      </c>
      <c r="G1102">
        <v>1</v>
      </c>
      <c r="H1102" t="s">
        <v>4106</v>
      </c>
      <c r="I1102">
        <v>2</v>
      </c>
    </row>
    <row r="1103" spans="2:9" x14ac:dyDescent="0.3">
      <c r="B1103" t="s">
        <v>4107</v>
      </c>
      <c r="C1103" t="s">
        <v>4108</v>
      </c>
      <c r="D1103" t="s">
        <v>2634</v>
      </c>
      <c r="E1103" s="2">
        <v>42408</v>
      </c>
      <c r="F1103">
        <v>10</v>
      </c>
      <c r="G1103">
        <v>1</v>
      </c>
      <c r="H1103" t="s">
        <v>4109</v>
      </c>
      <c r="I1103">
        <v>10</v>
      </c>
    </row>
    <row r="1104" spans="2:9" x14ac:dyDescent="0.3">
      <c r="B1104" t="s">
        <v>900</v>
      </c>
      <c r="C1104" t="s">
        <v>2220</v>
      </c>
      <c r="D1104" t="s">
        <v>2662</v>
      </c>
      <c r="E1104" s="2">
        <v>38583</v>
      </c>
      <c r="F1104">
        <v>10</v>
      </c>
      <c r="G1104">
        <v>1</v>
      </c>
      <c r="H1104" t="s">
        <v>4110</v>
      </c>
      <c r="I1104">
        <v>10</v>
      </c>
    </row>
    <row r="1105" spans="2:9" x14ac:dyDescent="0.3">
      <c r="B1105" t="s">
        <v>901</v>
      </c>
      <c r="C1105" t="s">
        <v>2221</v>
      </c>
      <c r="D1105" t="s">
        <v>2634</v>
      </c>
      <c r="E1105" s="2">
        <v>34948</v>
      </c>
      <c r="F1105">
        <v>5</v>
      </c>
      <c r="G1105">
        <v>1</v>
      </c>
      <c r="H1105" t="s">
        <v>4111</v>
      </c>
      <c r="I1105">
        <v>5</v>
      </c>
    </row>
    <row r="1106" spans="2:9" x14ac:dyDescent="0.3">
      <c r="B1106" t="s">
        <v>4112</v>
      </c>
      <c r="C1106" t="s">
        <v>4113</v>
      </c>
      <c r="D1106" t="s">
        <v>2634</v>
      </c>
      <c r="E1106" s="2">
        <v>42538</v>
      </c>
      <c r="F1106">
        <v>10</v>
      </c>
      <c r="G1106">
        <v>1</v>
      </c>
      <c r="H1106" t="s">
        <v>4114</v>
      </c>
      <c r="I1106">
        <v>10</v>
      </c>
    </row>
    <row r="1107" spans="2:9" x14ac:dyDescent="0.3">
      <c r="B1107" t="s">
        <v>902</v>
      </c>
      <c r="C1107" t="s">
        <v>2222</v>
      </c>
      <c r="D1107" t="s">
        <v>2634</v>
      </c>
      <c r="E1107" s="2">
        <v>35158</v>
      </c>
      <c r="F1107">
        <v>10</v>
      </c>
      <c r="G1107">
        <v>1</v>
      </c>
      <c r="H1107" t="s">
        <v>4115</v>
      </c>
      <c r="I1107">
        <v>10</v>
      </c>
    </row>
    <row r="1108" spans="2:9" x14ac:dyDescent="0.3">
      <c r="B1108" t="s">
        <v>1309</v>
      </c>
      <c r="C1108" t="s">
        <v>2223</v>
      </c>
      <c r="D1108" t="s">
        <v>2634</v>
      </c>
      <c r="E1108" s="2">
        <v>35046</v>
      </c>
      <c r="F1108">
        <v>5</v>
      </c>
      <c r="G1108">
        <v>1</v>
      </c>
      <c r="H1108" t="s">
        <v>4116</v>
      </c>
      <c r="I1108">
        <v>5</v>
      </c>
    </row>
    <row r="1109" spans="2:9" x14ac:dyDescent="0.3">
      <c r="B1109" t="s">
        <v>903</v>
      </c>
      <c r="C1109" t="s">
        <v>2224</v>
      </c>
      <c r="D1109" t="s">
        <v>2634</v>
      </c>
      <c r="E1109" s="2">
        <v>38357</v>
      </c>
      <c r="F1109">
        <v>2</v>
      </c>
      <c r="G1109">
        <v>1</v>
      </c>
      <c r="H1109" t="s">
        <v>4117</v>
      </c>
      <c r="I1109">
        <v>2</v>
      </c>
    </row>
    <row r="1110" spans="2:9" x14ac:dyDescent="0.3">
      <c r="B1110" t="s">
        <v>904</v>
      </c>
      <c r="C1110" t="s">
        <v>2225</v>
      </c>
      <c r="D1110" t="s">
        <v>2634</v>
      </c>
      <c r="E1110" s="2">
        <v>40478</v>
      </c>
      <c r="F1110">
        <v>10</v>
      </c>
      <c r="G1110">
        <v>1</v>
      </c>
      <c r="H1110" t="s">
        <v>4118</v>
      </c>
      <c r="I1110">
        <v>10</v>
      </c>
    </row>
    <row r="1111" spans="2:9" x14ac:dyDescent="0.3">
      <c r="B1111" t="s">
        <v>4119</v>
      </c>
      <c r="C1111" t="s">
        <v>2226</v>
      </c>
      <c r="D1111" t="s">
        <v>2634</v>
      </c>
      <c r="E1111" s="2">
        <v>42776</v>
      </c>
      <c r="F1111">
        <v>1</v>
      </c>
      <c r="G1111">
        <v>1</v>
      </c>
      <c r="H1111" t="s">
        <v>4120</v>
      </c>
      <c r="I1111">
        <v>1</v>
      </c>
    </row>
    <row r="1112" spans="2:9" x14ac:dyDescent="0.3">
      <c r="B1112" t="s">
        <v>905</v>
      </c>
      <c r="C1112" t="s">
        <v>2227</v>
      </c>
      <c r="D1112" t="s">
        <v>2634</v>
      </c>
      <c r="E1112" s="2">
        <v>38520</v>
      </c>
      <c r="F1112">
        <v>5</v>
      </c>
      <c r="G1112">
        <v>1</v>
      </c>
      <c r="H1112" t="s">
        <v>4121</v>
      </c>
      <c r="I1112">
        <v>5</v>
      </c>
    </row>
    <row r="1113" spans="2:9" x14ac:dyDescent="0.3">
      <c r="B1113" t="s">
        <v>906</v>
      </c>
      <c r="C1113" t="s">
        <v>2228</v>
      </c>
      <c r="D1113" t="s">
        <v>2634</v>
      </c>
      <c r="E1113" s="2">
        <v>37853</v>
      </c>
      <c r="F1113">
        <v>10</v>
      </c>
      <c r="G1113">
        <v>1</v>
      </c>
      <c r="H1113" t="s">
        <v>4122</v>
      </c>
      <c r="I1113">
        <v>10</v>
      </c>
    </row>
    <row r="1114" spans="2:9" x14ac:dyDescent="0.3">
      <c r="B1114" t="s">
        <v>907</v>
      </c>
      <c r="C1114" t="s">
        <v>2229</v>
      </c>
      <c r="D1114" t="s">
        <v>2634</v>
      </c>
      <c r="E1114" s="2">
        <v>40994</v>
      </c>
      <c r="F1114">
        <v>1</v>
      </c>
      <c r="G1114">
        <v>1</v>
      </c>
      <c r="H1114" t="s">
        <v>4123</v>
      </c>
      <c r="I1114">
        <v>1</v>
      </c>
    </row>
    <row r="1115" spans="2:9" x14ac:dyDescent="0.3">
      <c r="B1115" t="s">
        <v>908</v>
      </c>
      <c r="C1115" t="s">
        <v>2230</v>
      </c>
      <c r="D1115" t="s">
        <v>2634</v>
      </c>
      <c r="E1115" s="2">
        <v>41164</v>
      </c>
      <c r="F1115">
        <v>2</v>
      </c>
      <c r="G1115">
        <v>1</v>
      </c>
      <c r="H1115" t="s">
        <v>4124</v>
      </c>
      <c r="I1115">
        <v>2</v>
      </c>
    </row>
    <row r="1116" spans="2:9" x14ac:dyDescent="0.3">
      <c r="B1116" t="s">
        <v>909</v>
      </c>
      <c r="C1116" t="s">
        <v>2231</v>
      </c>
      <c r="D1116" t="s">
        <v>2634</v>
      </c>
      <c r="E1116" s="2">
        <v>40542</v>
      </c>
      <c r="F1116">
        <v>10</v>
      </c>
      <c r="G1116">
        <v>1</v>
      </c>
      <c r="H1116" t="s">
        <v>4125</v>
      </c>
      <c r="I1116">
        <v>10</v>
      </c>
    </row>
    <row r="1117" spans="2:9" x14ac:dyDescent="0.3">
      <c r="B1117" t="s">
        <v>910</v>
      </c>
      <c r="C1117" t="s">
        <v>2232</v>
      </c>
      <c r="D1117" t="s">
        <v>2634</v>
      </c>
      <c r="E1117" s="2">
        <v>37770</v>
      </c>
      <c r="F1117">
        <v>10</v>
      </c>
      <c r="G1117">
        <v>1</v>
      </c>
      <c r="H1117" t="s">
        <v>4126</v>
      </c>
      <c r="I1117">
        <v>10</v>
      </c>
    </row>
    <row r="1118" spans="2:9" x14ac:dyDescent="0.3">
      <c r="B1118" t="s">
        <v>911</v>
      </c>
      <c r="C1118" t="s">
        <v>2233</v>
      </c>
      <c r="D1118" t="s">
        <v>2634</v>
      </c>
      <c r="E1118" s="2">
        <v>38084</v>
      </c>
      <c r="F1118">
        <v>10</v>
      </c>
      <c r="G1118">
        <v>1</v>
      </c>
      <c r="H1118" t="s">
        <v>4127</v>
      </c>
      <c r="I1118">
        <v>10</v>
      </c>
    </row>
    <row r="1119" spans="2:9" x14ac:dyDescent="0.3">
      <c r="B1119" t="s">
        <v>912</v>
      </c>
      <c r="C1119" t="s">
        <v>2234</v>
      </c>
      <c r="D1119" t="s">
        <v>2634</v>
      </c>
      <c r="E1119" s="2">
        <v>39111</v>
      </c>
      <c r="F1119">
        <v>2</v>
      </c>
      <c r="G1119">
        <v>1</v>
      </c>
      <c r="H1119" t="s">
        <v>4128</v>
      </c>
      <c r="I1119">
        <v>2</v>
      </c>
    </row>
    <row r="1120" spans="2:9" x14ac:dyDescent="0.3">
      <c r="B1120" t="s">
        <v>913</v>
      </c>
      <c r="C1120" t="s">
        <v>2235</v>
      </c>
      <c r="D1120" t="s">
        <v>2634</v>
      </c>
      <c r="E1120" s="2">
        <v>39149</v>
      </c>
      <c r="F1120">
        <v>10</v>
      </c>
      <c r="G1120">
        <v>1</v>
      </c>
      <c r="H1120" t="s">
        <v>4129</v>
      </c>
      <c r="I1120">
        <v>10</v>
      </c>
    </row>
    <row r="1121" spans="2:9" x14ac:dyDescent="0.3">
      <c r="B1121" t="s">
        <v>914</v>
      </c>
      <c r="C1121" t="s">
        <v>2236</v>
      </c>
      <c r="D1121" t="s">
        <v>2634</v>
      </c>
      <c r="E1121" s="2">
        <v>38723</v>
      </c>
      <c r="F1121">
        <v>2</v>
      </c>
      <c r="G1121">
        <v>1</v>
      </c>
      <c r="H1121" t="s">
        <v>4130</v>
      </c>
      <c r="I1121">
        <v>2</v>
      </c>
    </row>
    <row r="1122" spans="2:9" x14ac:dyDescent="0.3">
      <c r="B1122" t="s">
        <v>915</v>
      </c>
      <c r="C1122" t="s">
        <v>4131</v>
      </c>
      <c r="D1122" t="s">
        <v>2634</v>
      </c>
      <c r="E1122" s="2">
        <v>39324</v>
      </c>
      <c r="F1122">
        <v>5</v>
      </c>
      <c r="G1122">
        <v>1</v>
      </c>
      <c r="H1122" t="s">
        <v>4132</v>
      </c>
      <c r="I1122">
        <v>5</v>
      </c>
    </row>
    <row r="1123" spans="2:9" x14ac:dyDescent="0.3">
      <c r="B1123" t="s">
        <v>916</v>
      </c>
      <c r="C1123" t="s">
        <v>2237</v>
      </c>
      <c r="D1123" t="s">
        <v>2662</v>
      </c>
      <c r="E1123" s="2">
        <v>36250</v>
      </c>
      <c r="F1123">
        <v>10</v>
      </c>
      <c r="G1123">
        <v>1</v>
      </c>
      <c r="H1123" t="s">
        <v>4133</v>
      </c>
      <c r="I1123">
        <v>10</v>
      </c>
    </row>
    <row r="1124" spans="2:9" x14ac:dyDescent="0.3">
      <c r="B1124" t="s">
        <v>917</v>
      </c>
      <c r="C1124" t="s">
        <v>2238</v>
      </c>
      <c r="D1124" t="s">
        <v>2634</v>
      </c>
      <c r="E1124" s="2">
        <v>38721</v>
      </c>
      <c r="F1124">
        <v>10</v>
      </c>
      <c r="G1124">
        <v>1</v>
      </c>
      <c r="H1124" t="s">
        <v>4134</v>
      </c>
      <c r="I1124">
        <v>10</v>
      </c>
    </row>
    <row r="1125" spans="2:9" x14ac:dyDescent="0.3">
      <c r="B1125" t="s">
        <v>4135</v>
      </c>
      <c r="C1125" t="s">
        <v>4136</v>
      </c>
      <c r="D1125" t="s">
        <v>2634</v>
      </c>
      <c r="E1125" s="2">
        <v>42563</v>
      </c>
      <c r="F1125">
        <v>10</v>
      </c>
      <c r="G1125">
        <v>1</v>
      </c>
      <c r="H1125" t="s">
        <v>4137</v>
      </c>
      <c r="I1125">
        <v>10</v>
      </c>
    </row>
    <row r="1126" spans="2:9" x14ac:dyDescent="0.3">
      <c r="B1126" t="s">
        <v>4138</v>
      </c>
      <c r="C1126" t="s">
        <v>4139</v>
      </c>
      <c r="D1126" t="s">
        <v>2634</v>
      </c>
      <c r="E1126" s="2">
        <v>42418</v>
      </c>
      <c r="F1126">
        <v>10</v>
      </c>
      <c r="G1126">
        <v>1</v>
      </c>
      <c r="H1126" t="s">
        <v>4140</v>
      </c>
      <c r="I1126">
        <v>10</v>
      </c>
    </row>
    <row r="1127" spans="2:9" x14ac:dyDescent="0.3">
      <c r="B1127" t="s">
        <v>1310</v>
      </c>
      <c r="C1127" t="s">
        <v>2239</v>
      </c>
      <c r="D1127" t="s">
        <v>2634</v>
      </c>
      <c r="E1127" s="2">
        <v>36880</v>
      </c>
      <c r="F1127">
        <v>10</v>
      </c>
      <c r="G1127">
        <v>1</v>
      </c>
      <c r="H1127" t="s">
        <v>4141</v>
      </c>
      <c r="I1127">
        <v>10</v>
      </c>
    </row>
    <row r="1128" spans="2:9" x14ac:dyDescent="0.3">
      <c r="B1128" t="s">
        <v>1311</v>
      </c>
      <c r="C1128" t="s">
        <v>2240</v>
      </c>
      <c r="D1128" t="s">
        <v>2634</v>
      </c>
      <c r="E1128" s="2">
        <v>37679</v>
      </c>
      <c r="F1128">
        <v>2</v>
      </c>
      <c r="G1128">
        <v>1</v>
      </c>
      <c r="H1128" t="s">
        <v>4142</v>
      </c>
      <c r="I1128">
        <v>2</v>
      </c>
    </row>
    <row r="1129" spans="2:9" x14ac:dyDescent="0.3">
      <c r="B1129" t="s">
        <v>918</v>
      </c>
      <c r="C1129" t="s">
        <v>2241</v>
      </c>
      <c r="D1129" t="s">
        <v>2634</v>
      </c>
      <c r="E1129" s="2">
        <v>37790</v>
      </c>
      <c r="F1129">
        <v>2</v>
      </c>
      <c r="G1129">
        <v>1</v>
      </c>
      <c r="H1129" t="s">
        <v>4143</v>
      </c>
      <c r="I1129">
        <v>2</v>
      </c>
    </row>
    <row r="1130" spans="2:9" x14ac:dyDescent="0.3">
      <c r="B1130" t="s">
        <v>4144</v>
      </c>
      <c r="C1130" t="s">
        <v>4145</v>
      </c>
      <c r="D1130" t="s">
        <v>2634</v>
      </c>
      <c r="E1130" s="2">
        <v>42811</v>
      </c>
      <c r="F1130">
        <v>10</v>
      </c>
      <c r="G1130">
        <v>1</v>
      </c>
      <c r="H1130" t="s">
        <v>4146</v>
      </c>
      <c r="I1130">
        <v>10</v>
      </c>
    </row>
    <row r="1131" spans="2:9" x14ac:dyDescent="0.3">
      <c r="B1131" t="s">
        <v>919</v>
      </c>
      <c r="C1131" t="s">
        <v>2242</v>
      </c>
      <c r="D1131" t="s">
        <v>2634</v>
      </c>
      <c r="E1131" s="2">
        <v>39510</v>
      </c>
      <c r="F1131">
        <v>2</v>
      </c>
      <c r="G1131">
        <v>1</v>
      </c>
      <c r="H1131" t="s">
        <v>4147</v>
      </c>
      <c r="I1131">
        <v>2</v>
      </c>
    </row>
    <row r="1132" spans="2:9" x14ac:dyDescent="0.3">
      <c r="B1132" t="s">
        <v>920</v>
      </c>
      <c r="C1132" t="s">
        <v>2243</v>
      </c>
      <c r="D1132" t="s">
        <v>2634</v>
      </c>
      <c r="E1132" s="2">
        <v>40331</v>
      </c>
      <c r="F1132">
        <v>2</v>
      </c>
      <c r="G1132">
        <v>1</v>
      </c>
      <c r="H1132" t="s">
        <v>4148</v>
      </c>
      <c r="I1132">
        <v>2</v>
      </c>
    </row>
    <row r="1133" spans="2:9" x14ac:dyDescent="0.3">
      <c r="B1133" t="s">
        <v>921</v>
      </c>
      <c r="C1133" t="s">
        <v>2244</v>
      </c>
      <c r="D1133" t="s">
        <v>2634</v>
      </c>
      <c r="E1133" s="2">
        <v>35165</v>
      </c>
      <c r="F1133">
        <v>10</v>
      </c>
      <c r="G1133">
        <v>100</v>
      </c>
      <c r="H1133" t="s">
        <v>4149</v>
      </c>
      <c r="I1133">
        <v>10</v>
      </c>
    </row>
    <row r="1134" spans="2:9" x14ac:dyDescent="0.3">
      <c r="B1134" t="s">
        <v>922</v>
      </c>
      <c r="C1134" t="s">
        <v>2245</v>
      </c>
      <c r="D1134" t="s">
        <v>2634</v>
      </c>
      <c r="E1134" s="2">
        <v>36565</v>
      </c>
      <c r="F1134">
        <v>1</v>
      </c>
      <c r="G1134">
        <v>1</v>
      </c>
      <c r="H1134" t="s">
        <v>4150</v>
      </c>
      <c r="I1134">
        <v>1</v>
      </c>
    </row>
    <row r="1135" spans="2:9" x14ac:dyDescent="0.3">
      <c r="B1135" t="s">
        <v>923</v>
      </c>
      <c r="C1135" t="s">
        <v>2246</v>
      </c>
      <c r="D1135" t="s">
        <v>2662</v>
      </c>
      <c r="E1135" s="2">
        <v>40037</v>
      </c>
      <c r="F1135">
        <v>10</v>
      </c>
      <c r="G1135">
        <v>1</v>
      </c>
      <c r="H1135" t="s">
        <v>4151</v>
      </c>
      <c r="I1135">
        <v>10</v>
      </c>
    </row>
    <row r="1136" spans="2:9" x14ac:dyDescent="0.3">
      <c r="B1136" t="s">
        <v>924</v>
      </c>
      <c r="C1136" t="s">
        <v>2247</v>
      </c>
      <c r="D1136" t="s">
        <v>2634</v>
      </c>
      <c r="E1136" s="2">
        <v>39086</v>
      </c>
      <c r="F1136">
        <v>1</v>
      </c>
      <c r="G1136">
        <v>1</v>
      </c>
      <c r="H1136" t="s">
        <v>4152</v>
      </c>
      <c r="I1136">
        <v>1</v>
      </c>
    </row>
    <row r="1137" spans="2:9" x14ac:dyDescent="0.3">
      <c r="B1137" t="s">
        <v>925</v>
      </c>
      <c r="C1137" t="s">
        <v>2248</v>
      </c>
      <c r="D1137" t="s">
        <v>2634</v>
      </c>
      <c r="E1137" s="2">
        <v>34787</v>
      </c>
      <c r="F1137">
        <v>10</v>
      </c>
      <c r="G1137">
        <v>1</v>
      </c>
      <c r="H1137" t="s">
        <v>4153</v>
      </c>
      <c r="I1137">
        <v>10</v>
      </c>
    </row>
    <row r="1138" spans="2:9" x14ac:dyDescent="0.3">
      <c r="B1138" t="s">
        <v>926</v>
      </c>
      <c r="C1138" t="s">
        <v>2249</v>
      </c>
      <c r="D1138" t="s">
        <v>2634</v>
      </c>
      <c r="E1138" s="2">
        <v>39157</v>
      </c>
      <c r="F1138">
        <v>5</v>
      </c>
      <c r="G1138">
        <v>1</v>
      </c>
      <c r="H1138" t="s">
        <v>4154</v>
      </c>
      <c r="I1138">
        <v>5</v>
      </c>
    </row>
    <row r="1139" spans="2:9" x14ac:dyDescent="0.3">
      <c r="B1139" t="s">
        <v>927</v>
      </c>
      <c r="C1139" t="s">
        <v>2250</v>
      </c>
      <c r="D1139" t="s">
        <v>2634</v>
      </c>
      <c r="E1139" s="2">
        <v>38615</v>
      </c>
      <c r="F1139">
        <v>10</v>
      </c>
      <c r="G1139">
        <v>1</v>
      </c>
      <c r="H1139" t="s">
        <v>4155</v>
      </c>
      <c r="I1139">
        <v>10</v>
      </c>
    </row>
    <row r="1140" spans="2:9" x14ac:dyDescent="0.3">
      <c r="B1140" t="s">
        <v>928</v>
      </c>
      <c r="C1140" t="s">
        <v>2251</v>
      </c>
      <c r="D1140" t="s">
        <v>2634</v>
      </c>
      <c r="E1140" s="2">
        <v>36251</v>
      </c>
      <c r="F1140">
        <v>1</v>
      </c>
      <c r="G1140">
        <v>1</v>
      </c>
      <c r="H1140" t="s">
        <v>4156</v>
      </c>
      <c r="I1140">
        <v>1</v>
      </c>
    </row>
    <row r="1141" spans="2:9" x14ac:dyDescent="0.3">
      <c r="B1141" t="s">
        <v>929</v>
      </c>
      <c r="C1141" t="s">
        <v>4157</v>
      </c>
      <c r="D1141" t="s">
        <v>2634</v>
      </c>
      <c r="E1141" s="2">
        <v>38980</v>
      </c>
      <c r="F1141">
        <v>10</v>
      </c>
      <c r="G1141">
        <v>1</v>
      </c>
      <c r="H1141" t="s">
        <v>4158</v>
      </c>
      <c r="I1141">
        <v>10</v>
      </c>
    </row>
    <row r="1142" spans="2:9" x14ac:dyDescent="0.3">
      <c r="B1142" t="s">
        <v>4159</v>
      </c>
      <c r="C1142" t="s">
        <v>4160</v>
      </c>
      <c r="D1142" t="s">
        <v>2634</v>
      </c>
      <c r="E1142" s="2">
        <v>42235</v>
      </c>
      <c r="F1142">
        <v>5</v>
      </c>
      <c r="G1142">
        <v>1</v>
      </c>
      <c r="H1142" t="s">
        <v>4161</v>
      </c>
      <c r="I1142">
        <v>5</v>
      </c>
    </row>
    <row r="1143" spans="2:9" x14ac:dyDescent="0.3">
      <c r="B1143" t="s">
        <v>89</v>
      </c>
      <c r="C1143" t="s">
        <v>2252</v>
      </c>
      <c r="D1143" t="s">
        <v>2634</v>
      </c>
      <c r="E1143" s="2">
        <v>35529</v>
      </c>
      <c r="F1143">
        <v>1</v>
      </c>
      <c r="G1143">
        <v>1</v>
      </c>
      <c r="H1143" t="s">
        <v>4162</v>
      </c>
      <c r="I1143">
        <v>1</v>
      </c>
    </row>
    <row r="1144" spans="2:9" x14ac:dyDescent="0.3">
      <c r="B1144" t="s">
        <v>930</v>
      </c>
      <c r="C1144" t="s">
        <v>2253</v>
      </c>
      <c r="D1144" t="s">
        <v>2634</v>
      </c>
      <c r="E1144" s="2">
        <v>35375</v>
      </c>
      <c r="F1144">
        <v>1</v>
      </c>
      <c r="G1144">
        <v>1</v>
      </c>
      <c r="H1144" t="s">
        <v>4163</v>
      </c>
      <c r="I1144">
        <v>1</v>
      </c>
    </row>
    <row r="1145" spans="2:9" x14ac:dyDescent="0.3">
      <c r="B1145" t="s">
        <v>931</v>
      </c>
      <c r="C1145" t="s">
        <v>2254</v>
      </c>
      <c r="D1145" t="s">
        <v>2634</v>
      </c>
      <c r="E1145" s="2">
        <v>36628</v>
      </c>
      <c r="F1145">
        <v>10</v>
      </c>
      <c r="G1145">
        <v>1</v>
      </c>
      <c r="H1145" t="s">
        <v>4164</v>
      </c>
      <c r="I1145">
        <v>10</v>
      </c>
    </row>
    <row r="1146" spans="2:9" x14ac:dyDescent="0.3">
      <c r="B1146" t="s">
        <v>932</v>
      </c>
      <c r="C1146" t="s">
        <v>2255</v>
      </c>
      <c r="D1146" t="s">
        <v>2634</v>
      </c>
      <c r="E1146" s="2">
        <v>40459</v>
      </c>
      <c r="F1146">
        <v>10</v>
      </c>
      <c r="G1146">
        <v>1</v>
      </c>
      <c r="H1146" t="s">
        <v>4165</v>
      </c>
      <c r="I1146">
        <v>10</v>
      </c>
    </row>
    <row r="1147" spans="2:9" x14ac:dyDescent="0.3">
      <c r="B1147" t="s">
        <v>933</v>
      </c>
      <c r="C1147" t="s">
        <v>2256</v>
      </c>
      <c r="D1147" t="s">
        <v>2662</v>
      </c>
      <c r="E1147" s="2">
        <v>39272</v>
      </c>
      <c r="F1147">
        <v>10</v>
      </c>
      <c r="G1147">
        <v>1</v>
      </c>
      <c r="H1147" t="s">
        <v>4166</v>
      </c>
      <c r="I1147">
        <v>10</v>
      </c>
    </row>
    <row r="1148" spans="2:9" x14ac:dyDescent="0.3">
      <c r="B1148" t="s">
        <v>934</v>
      </c>
      <c r="C1148" t="s">
        <v>2257</v>
      </c>
      <c r="D1148" t="s">
        <v>2634</v>
      </c>
      <c r="E1148" s="2">
        <v>38407</v>
      </c>
      <c r="F1148">
        <v>10</v>
      </c>
      <c r="G1148">
        <v>1</v>
      </c>
      <c r="H1148" t="s">
        <v>4167</v>
      </c>
      <c r="I1148">
        <v>10</v>
      </c>
    </row>
    <row r="1149" spans="2:9" x14ac:dyDescent="0.3">
      <c r="B1149" t="s">
        <v>935</v>
      </c>
      <c r="C1149" t="s">
        <v>2258</v>
      </c>
      <c r="D1149" t="s">
        <v>2634</v>
      </c>
      <c r="E1149" s="2">
        <v>39623</v>
      </c>
      <c r="F1149">
        <v>10</v>
      </c>
      <c r="G1149">
        <v>1</v>
      </c>
      <c r="H1149" t="s">
        <v>4168</v>
      </c>
      <c r="I1149">
        <v>10</v>
      </c>
    </row>
    <row r="1150" spans="2:9" x14ac:dyDescent="0.3">
      <c r="B1150" t="s">
        <v>936</v>
      </c>
      <c r="C1150" t="s">
        <v>2259</v>
      </c>
      <c r="D1150" t="s">
        <v>2634</v>
      </c>
      <c r="E1150" s="2">
        <v>35697</v>
      </c>
      <c r="F1150">
        <v>10</v>
      </c>
      <c r="G1150">
        <v>1</v>
      </c>
      <c r="H1150" t="s">
        <v>4169</v>
      </c>
      <c r="I1150">
        <v>10</v>
      </c>
    </row>
    <row r="1151" spans="2:9" x14ac:dyDescent="0.3">
      <c r="B1151" t="s">
        <v>937</v>
      </c>
      <c r="C1151" t="s">
        <v>2260</v>
      </c>
      <c r="D1151" t="s">
        <v>2662</v>
      </c>
      <c r="E1151" s="2">
        <v>40889</v>
      </c>
      <c r="F1151">
        <v>1</v>
      </c>
      <c r="G1151">
        <v>1</v>
      </c>
      <c r="H1151" t="s">
        <v>4170</v>
      </c>
      <c r="I1151">
        <v>1</v>
      </c>
    </row>
    <row r="1152" spans="2:9" x14ac:dyDescent="0.3">
      <c r="B1152" t="s">
        <v>938</v>
      </c>
      <c r="C1152" t="s">
        <v>2261</v>
      </c>
      <c r="D1152" t="s">
        <v>2634</v>
      </c>
      <c r="E1152" s="2">
        <v>38846</v>
      </c>
      <c r="F1152">
        <v>2</v>
      </c>
      <c r="G1152">
        <v>1</v>
      </c>
      <c r="H1152" t="s">
        <v>4171</v>
      </c>
      <c r="I1152">
        <v>2</v>
      </c>
    </row>
    <row r="1153" spans="2:9" x14ac:dyDescent="0.3">
      <c r="B1153" t="s">
        <v>939</v>
      </c>
      <c r="C1153" t="s">
        <v>2262</v>
      </c>
      <c r="D1153" t="s">
        <v>2634</v>
      </c>
      <c r="E1153" s="2">
        <v>34990</v>
      </c>
      <c r="F1153">
        <v>10</v>
      </c>
      <c r="G1153">
        <v>1</v>
      </c>
      <c r="H1153" t="s">
        <v>4172</v>
      </c>
      <c r="I1153">
        <v>10</v>
      </c>
    </row>
    <row r="1154" spans="2:9" x14ac:dyDescent="0.3">
      <c r="B1154" t="s">
        <v>940</v>
      </c>
      <c r="C1154" t="s">
        <v>2263</v>
      </c>
      <c r="D1154" t="s">
        <v>2634</v>
      </c>
      <c r="E1154" s="2">
        <v>39619</v>
      </c>
      <c r="F1154">
        <v>10</v>
      </c>
      <c r="G1154">
        <v>1</v>
      </c>
      <c r="H1154" t="s">
        <v>4173</v>
      </c>
      <c r="I1154">
        <v>10</v>
      </c>
    </row>
    <row r="1155" spans="2:9" x14ac:dyDescent="0.3">
      <c r="B1155" t="s">
        <v>4174</v>
      </c>
      <c r="C1155" t="s">
        <v>4175</v>
      </c>
      <c r="D1155" t="s">
        <v>2634</v>
      </c>
      <c r="E1155" s="2">
        <v>42613</v>
      </c>
      <c r="F1155">
        <v>10</v>
      </c>
      <c r="G1155">
        <v>1</v>
      </c>
      <c r="H1155" t="s">
        <v>4176</v>
      </c>
      <c r="I1155">
        <v>10</v>
      </c>
    </row>
    <row r="1156" spans="2:9" x14ac:dyDescent="0.3">
      <c r="B1156" t="s">
        <v>941</v>
      </c>
      <c r="C1156" t="s">
        <v>2264</v>
      </c>
      <c r="D1156" t="s">
        <v>2634</v>
      </c>
      <c r="E1156" s="2">
        <v>35802</v>
      </c>
      <c r="F1156">
        <v>10</v>
      </c>
      <c r="G1156">
        <v>1</v>
      </c>
      <c r="H1156" t="s">
        <v>4177</v>
      </c>
      <c r="I1156">
        <v>10</v>
      </c>
    </row>
    <row r="1157" spans="2:9" x14ac:dyDescent="0.3">
      <c r="B1157" t="s">
        <v>942</v>
      </c>
      <c r="C1157" t="s">
        <v>2265</v>
      </c>
      <c r="D1157" t="s">
        <v>2634</v>
      </c>
      <c r="E1157" s="2">
        <v>38782</v>
      </c>
      <c r="F1157">
        <v>5</v>
      </c>
      <c r="G1157">
        <v>1</v>
      </c>
      <c r="H1157" t="s">
        <v>4178</v>
      </c>
      <c r="I1157">
        <v>5</v>
      </c>
    </row>
    <row r="1158" spans="2:9" x14ac:dyDescent="0.3">
      <c r="B1158" t="s">
        <v>4179</v>
      </c>
      <c r="C1158" t="s">
        <v>4180</v>
      </c>
      <c r="D1158" t="s">
        <v>2634</v>
      </c>
      <c r="E1158" s="2">
        <v>40095</v>
      </c>
      <c r="F1158">
        <v>10</v>
      </c>
      <c r="G1158">
        <v>1</v>
      </c>
      <c r="H1158" t="s">
        <v>4181</v>
      </c>
      <c r="I1158">
        <v>10</v>
      </c>
    </row>
    <row r="1159" spans="2:9" x14ac:dyDescent="0.3">
      <c r="B1159" t="s">
        <v>943</v>
      </c>
      <c r="C1159" t="s">
        <v>2266</v>
      </c>
      <c r="D1159" t="s">
        <v>2634</v>
      </c>
      <c r="E1159" s="2">
        <v>39519</v>
      </c>
      <c r="F1159">
        <v>10</v>
      </c>
      <c r="G1159">
        <v>1</v>
      </c>
      <c r="H1159" t="s">
        <v>4182</v>
      </c>
      <c r="I1159">
        <v>10</v>
      </c>
    </row>
    <row r="1160" spans="2:9" x14ac:dyDescent="0.3">
      <c r="B1160" t="s">
        <v>944</v>
      </c>
      <c r="C1160" t="s">
        <v>2267</v>
      </c>
      <c r="D1160" t="s">
        <v>2634</v>
      </c>
      <c r="E1160" s="2">
        <v>39128</v>
      </c>
      <c r="F1160">
        <v>2</v>
      </c>
      <c r="G1160">
        <v>1</v>
      </c>
      <c r="H1160" t="s">
        <v>4183</v>
      </c>
      <c r="I1160">
        <v>2</v>
      </c>
    </row>
    <row r="1161" spans="2:9" x14ac:dyDescent="0.3">
      <c r="B1161" t="s">
        <v>945</v>
      </c>
      <c r="C1161" t="s">
        <v>4184</v>
      </c>
      <c r="D1161" t="s">
        <v>2634</v>
      </c>
      <c r="E1161" s="2">
        <v>40150</v>
      </c>
      <c r="F1161">
        <v>10</v>
      </c>
      <c r="G1161">
        <v>1</v>
      </c>
      <c r="H1161" t="s">
        <v>4185</v>
      </c>
      <c r="I1161">
        <v>10</v>
      </c>
    </row>
    <row r="1162" spans="2:9" x14ac:dyDescent="0.3">
      <c r="B1162" t="s">
        <v>946</v>
      </c>
      <c r="C1162" t="s">
        <v>2268</v>
      </c>
      <c r="D1162" t="s">
        <v>2662</v>
      </c>
      <c r="E1162" s="2">
        <v>36838</v>
      </c>
      <c r="F1162">
        <v>10</v>
      </c>
      <c r="G1162">
        <v>1</v>
      </c>
      <c r="H1162" t="s">
        <v>4186</v>
      </c>
      <c r="I1162">
        <v>10</v>
      </c>
    </row>
    <row r="1163" spans="2:9" x14ac:dyDescent="0.3">
      <c r="B1163" t="s">
        <v>947</v>
      </c>
      <c r="C1163" t="s">
        <v>2269</v>
      </c>
      <c r="D1163" t="s">
        <v>2634</v>
      </c>
      <c r="E1163" s="2">
        <v>39777</v>
      </c>
      <c r="F1163">
        <v>1</v>
      </c>
      <c r="G1163">
        <v>1</v>
      </c>
      <c r="H1163" t="s">
        <v>4187</v>
      </c>
      <c r="I1163">
        <v>1</v>
      </c>
    </row>
    <row r="1164" spans="2:9" x14ac:dyDescent="0.3">
      <c r="B1164" t="s">
        <v>948</v>
      </c>
      <c r="C1164" t="s">
        <v>2270</v>
      </c>
      <c r="D1164" t="s">
        <v>2634</v>
      </c>
      <c r="E1164" s="2">
        <v>40711</v>
      </c>
      <c r="F1164">
        <v>1</v>
      </c>
      <c r="G1164">
        <v>1</v>
      </c>
      <c r="H1164" t="s">
        <v>4188</v>
      </c>
      <c r="I1164">
        <v>1</v>
      </c>
    </row>
    <row r="1165" spans="2:9" x14ac:dyDescent="0.3">
      <c r="B1165" t="s">
        <v>76</v>
      </c>
      <c r="C1165" t="s">
        <v>2271</v>
      </c>
      <c r="D1165" t="s">
        <v>2634</v>
      </c>
      <c r="E1165" s="2">
        <v>35032</v>
      </c>
      <c r="F1165">
        <v>10</v>
      </c>
      <c r="G1165">
        <v>1</v>
      </c>
      <c r="H1165" t="s">
        <v>4189</v>
      </c>
      <c r="I1165">
        <v>10</v>
      </c>
    </row>
    <row r="1166" spans="2:9" x14ac:dyDescent="0.3">
      <c r="B1166" t="s">
        <v>949</v>
      </c>
      <c r="C1166" t="s">
        <v>2272</v>
      </c>
      <c r="D1166" t="s">
        <v>2634</v>
      </c>
      <c r="E1166" s="2">
        <v>35032</v>
      </c>
      <c r="F1166">
        <v>10</v>
      </c>
      <c r="G1166">
        <v>1</v>
      </c>
      <c r="H1166" t="s">
        <v>4190</v>
      </c>
      <c r="I1166">
        <v>10</v>
      </c>
    </row>
    <row r="1167" spans="2:9" x14ac:dyDescent="0.3">
      <c r="B1167" t="s">
        <v>950</v>
      </c>
      <c r="C1167" t="s">
        <v>2273</v>
      </c>
      <c r="D1167" t="s">
        <v>2634</v>
      </c>
      <c r="E1167" s="2">
        <v>39407</v>
      </c>
      <c r="F1167">
        <v>10</v>
      </c>
      <c r="G1167">
        <v>1</v>
      </c>
      <c r="H1167" t="s">
        <v>4191</v>
      </c>
      <c r="I1167">
        <v>10</v>
      </c>
    </row>
    <row r="1168" spans="2:9" x14ac:dyDescent="0.3">
      <c r="B1168" t="s">
        <v>77</v>
      </c>
      <c r="C1168" t="s">
        <v>2274</v>
      </c>
      <c r="D1168" t="s">
        <v>2634</v>
      </c>
      <c r="E1168" s="2">
        <v>34738</v>
      </c>
      <c r="F1168">
        <v>10</v>
      </c>
      <c r="G1168">
        <v>1</v>
      </c>
      <c r="H1168" t="s">
        <v>4192</v>
      </c>
      <c r="I1168">
        <v>10</v>
      </c>
    </row>
    <row r="1169" spans="2:9" x14ac:dyDescent="0.3">
      <c r="B1169" t="s">
        <v>1312</v>
      </c>
      <c r="C1169" t="s">
        <v>2275</v>
      </c>
      <c r="D1169" t="s">
        <v>2634</v>
      </c>
      <c r="E1169" s="2">
        <v>35095</v>
      </c>
      <c r="F1169">
        <v>10</v>
      </c>
      <c r="G1169">
        <v>1</v>
      </c>
      <c r="H1169" t="s">
        <v>4193</v>
      </c>
      <c r="I1169">
        <v>10</v>
      </c>
    </row>
    <row r="1170" spans="2:9" x14ac:dyDescent="0.3">
      <c r="B1170" t="s">
        <v>951</v>
      </c>
      <c r="C1170" t="s">
        <v>2276</v>
      </c>
      <c r="D1170" t="s">
        <v>2634</v>
      </c>
      <c r="E1170" s="2">
        <v>38656</v>
      </c>
      <c r="F1170">
        <v>1</v>
      </c>
      <c r="G1170">
        <v>1</v>
      </c>
      <c r="H1170" t="s">
        <v>4194</v>
      </c>
      <c r="I1170">
        <v>1</v>
      </c>
    </row>
    <row r="1171" spans="2:9" x14ac:dyDescent="0.3">
      <c r="B1171" t="s">
        <v>952</v>
      </c>
      <c r="C1171" t="s">
        <v>2277</v>
      </c>
      <c r="D1171" t="s">
        <v>2634</v>
      </c>
      <c r="E1171" s="2">
        <v>41365</v>
      </c>
      <c r="F1171">
        <v>10</v>
      </c>
      <c r="G1171">
        <v>1</v>
      </c>
      <c r="H1171" t="s">
        <v>4195</v>
      </c>
      <c r="I1171">
        <v>10</v>
      </c>
    </row>
    <row r="1172" spans="2:9" x14ac:dyDescent="0.3">
      <c r="B1172" t="s">
        <v>953</v>
      </c>
      <c r="C1172" t="s">
        <v>2278</v>
      </c>
      <c r="D1172" t="s">
        <v>2634</v>
      </c>
      <c r="E1172" s="2">
        <v>38708</v>
      </c>
      <c r="F1172">
        <v>10</v>
      </c>
      <c r="G1172">
        <v>1</v>
      </c>
      <c r="H1172" t="s">
        <v>4196</v>
      </c>
      <c r="I1172">
        <v>10</v>
      </c>
    </row>
    <row r="1173" spans="2:9" x14ac:dyDescent="0.3">
      <c r="B1173" t="s">
        <v>954</v>
      </c>
      <c r="C1173" t="s">
        <v>2279</v>
      </c>
      <c r="D1173" t="s">
        <v>2634</v>
      </c>
      <c r="E1173" s="2">
        <v>40480</v>
      </c>
      <c r="F1173">
        <v>1</v>
      </c>
      <c r="G1173">
        <v>1</v>
      </c>
      <c r="H1173" t="s">
        <v>4197</v>
      </c>
      <c r="I1173">
        <v>1</v>
      </c>
    </row>
    <row r="1174" spans="2:9" x14ac:dyDescent="0.3">
      <c r="B1174" t="s">
        <v>955</v>
      </c>
      <c r="C1174" t="s">
        <v>2280</v>
      </c>
      <c r="D1174" t="s">
        <v>2634</v>
      </c>
      <c r="E1174" s="2">
        <v>38575</v>
      </c>
      <c r="F1174">
        <v>10</v>
      </c>
      <c r="G1174">
        <v>1</v>
      </c>
      <c r="H1174" t="s">
        <v>4198</v>
      </c>
      <c r="I1174">
        <v>10</v>
      </c>
    </row>
    <row r="1175" spans="2:9" x14ac:dyDescent="0.3">
      <c r="B1175" t="s">
        <v>956</v>
      </c>
      <c r="C1175" t="s">
        <v>2281</v>
      </c>
      <c r="D1175" t="s">
        <v>2634</v>
      </c>
      <c r="E1175" s="2">
        <v>37753</v>
      </c>
      <c r="F1175">
        <v>1</v>
      </c>
      <c r="G1175">
        <v>1</v>
      </c>
      <c r="H1175" t="s">
        <v>4199</v>
      </c>
      <c r="I1175">
        <v>1</v>
      </c>
    </row>
    <row r="1176" spans="2:9" x14ac:dyDescent="0.3">
      <c r="B1176" t="s">
        <v>957</v>
      </c>
      <c r="C1176" t="s">
        <v>2282</v>
      </c>
      <c r="D1176" t="s">
        <v>2634</v>
      </c>
      <c r="E1176" s="2">
        <v>35032</v>
      </c>
      <c r="F1176">
        <v>10</v>
      </c>
      <c r="G1176">
        <v>1</v>
      </c>
      <c r="H1176" t="s">
        <v>4200</v>
      </c>
      <c r="I1176">
        <v>10</v>
      </c>
    </row>
    <row r="1177" spans="2:9" x14ac:dyDescent="0.3">
      <c r="B1177" t="s">
        <v>958</v>
      </c>
      <c r="C1177" t="s">
        <v>2283</v>
      </c>
      <c r="D1177" t="s">
        <v>2634</v>
      </c>
      <c r="E1177" s="2">
        <v>39428</v>
      </c>
      <c r="F1177">
        <v>10</v>
      </c>
      <c r="G1177">
        <v>1</v>
      </c>
      <c r="H1177" t="s">
        <v>4201</v>
      </c>
      <c r="I1177">
        <v>10</v>
      </c>
    </row>
    <row r="1178" spans="2:9" x14ac:dyDescent="0.3">
      <c r="B1178" t="s">
        <v>959</v>
      </c>
      <c r="C1178" t="s">
        <v>2284</v>
      </c>
      <c r="D1178" t="s">
        <v>2634</v>
      </c>
      <c r="E1178" s="2">
        <v>40539</v>
      </c>
      <c r="F1178">
        <v>10</v>
      </c>
      <c r="G1178">
        <v>1</v>
      </c>
      <c r="H1178" t="s">
        <v>4202</v>
      </c>
      <c r="I1178">
        <v>10</v>
      </c>
    </row>
    <row r="1179" spans="2:9" x14ac:dyDescent="0.3">
      <c r="B1179" t="s">
        <v>960</v>
      </c>
      <c r="C1179" t="s">
        <v>2285</v>
      </c>
      <c r="D1179" t="s">
        <v>2634</v>
      </c>
      <c r="E1179" s="2">
        <v>38112</v>
      </c>
      <c r="F1179">
        <v>10</v>
      </c>
      <c r="G1179">
        <v>1</v>
      </c>
      <c r="H1179" t="s">
        <v>4203</v>
      </c>
      <c r="I1179">
        <v>10</v>
      </c>
    </row>
    <row r="1180" spans="2:9" x14ac:dyDescent="0.3">
      <c r="B1180" t="s">
        <v>961</v>
      </c>
      <c r="C1180" t="s">
        <v>2286</v>
      </c>
      <c r="D1180" t="s">
        <v>2662</v>
      </c>
      <c r="E1180" s="2">
        <v>39412</v>
      </c>
      <c r="F1180">
        <v>10</v>
      </c>
      <c r="G1180">
        <v>1</v>
      </c>
      <c r="H1180" t="s">
        <v>4204</v>
      </c>
      <c r="I1180">
        <v>10</v>
      </c>
    </row>
    <row r="1181" spans="2:9" x14ac:dyDescent="0.3">
      <c r="B1181" t="s">
        <v>962</v>
      </c>
      <c r="C1181" t="s">
        <v>2287</v>
      </c>
      <c r="D1181" t="s">
        <v>2634</v>
      </c>
      <c r="E1181" s="2">
        <v>38594</v>
      </c>
      <c r="F1181">
        <v>10</v>
      </c>
      <c r="G1181">
        <v>1</v>
      </c>
      <c r="H1181" t="s">
        <v>4205</v>
      </c>
      <c r="I1181">
        <v>10</v>
      </c>
    </row>
    <row r="1182" spans="2:9" x14ac:dyDescent="0.3">
      <c r="B1182" t="s">
        <v>963</v>
      </c>
      <c r="C1182" t="s">
        <v>2288</v>
      </c>
      <c r="D1182" t="s">
        <v>2634</v>
      </c>
      <c r="E1182" s="2">
        <v>38820</v>
      </c>
      <c r="F1182">
        <v>10</v>
      </c>
      <c r="G1182">
        <v>1</v>
      </c>
      <c r="H1182" t="s">
        <v>4206</v>
      </c>
      <c r="I1182">
        <v>10</v>
      </c>
    </row>
    <row r="1183" spans="2:9" x14ac:dyDescent="0.3">
      <c r="B1183" t="s">
        <v>964</v>
      </c>
      <c r="C1183" t="s">
        <v>2289</v>
      </c>
      <c r="D1183" t="s">
        <v>2634</v>
      </c>
      <c r="E1183" s="2">
        <v>38754</v>
      </c>
      <c r="F1183">
        <v>10</v>
      </c>
      <c r="G1183">
        <v>1</v>
      </c>
      <c r="H1183" t="s">
        <v>4207</v>
      </c>
      <c r="I1183">
        <v>10</v>
      </c>
    </row>
    <row r="1184" spans="2:9" x14ac:dyDescent="0.3">
      <c r="B1184" t="s">
        <v>4208</v>
      </c>
      <c r="C1184" t="s">
        <v>4209</v>
      </c>
      <c r="D1184" t="s">
        <v>2634</v>
      </c>
      <c r="E1184" s="2">
        <v>42696</v>
      </c>
      <c r="F1184">
        <v>1</v>
      </c>
      <c r="G1184">
        <v>1</v>
      </c>
      <c r="H1184" t="s">
        <v>4210</v>
      </c>
      <c r="I1184">
        <v>1</v>
      </c>
    </row>
    <row r="1185" spans="2:9" x14ac:dyDescent="0.3">
      <c r="B1185" t="s">
        <v>965</v>
      </c>
      <c r="C1185" t="s">
        <v>2290</v>
      </c>
      <c r="D1185" t="s">
        <v>2634</v>
      </c>
      <c r="E1185" s="2">
        <v>34759</v>
      </c>
      <c r="F1185">
        <v>10</v>
      </c>
      <c r="G1185">
        <v>1</v>
      </c>
      <c r="H1185" t="s">
        <v>4211</v>
      </c>
      <c r="I1185">
        <v>10</v>
      </c>
    </row>
    <row r="1186" spans="2:9" x14ac:dyDescent="0.3">
      <c r="B1186" t="s">
        <v>966</v>
      </c>
      <c r="C1186" t="s">
        <v>2291</v>
      </c>
      <c r="D1186" t="s">
        <v>2634</v>
      </c>
      <c r="E1186" s="2">
        <v>41177</v>
      </c>
      <c r="F1186">
        <v>2</v>
      </c>
      <c r="G1186">
        <v>1</v>
      </c>
      <c r="H1186" t="s">
        <v>4212</v>
      </c>
      <c r="I1186">
        <v>2</v>
      </c>
    </row>
    <row r="1187" spans="2:9" x14ac:dyDescent="0.3">
      <c r="B1187" t="s">
        <v>967</v>
      </c>
      <c r="C1187" t="s">
        <v>2292</v>
      </c>
      <c r="D1187" t="s">
        <v>2634</v>
      </c>
      <c r="E1187" s="2">
        <v>39609</v>
      </c>
      <c r="F1187">
        <v>8</v>
      </c>
      <c r="G1187">
        <v>1</v>
      </c>
      <c r="H1187" t="s">
        <v>4213</v>
      </c>
      <c r="I1187">
        <v>8</v>
      </c>
    </row>
    <row r="1188" spans="2:9" x14ac:dyDescent="0.3">
      <c r="B1188" t="s">
        <v>78</v>
      </c>
      <c r="C1188" t="s">
        <v>2293</v>
      </c>
      <c r="D1188" t="s">
        <v>2634</v>
      </c>
      <c r="E1188" s="2">
        <v>39489</v>
      </c>
      <c r="F1188">
        <v>10</v>
      </c>
      <c r="G1188">
        <v>1</v>
      </c>
      <c r="H1188" t="s">
        <v>4214</v>
      </c>
      <c r="I1188">
        <v>10</v>
      </c>
    </row>
    <row r="1189" spans="2:9" x14ac:dyDescent="0.3">
      <c r="B1189" t="s">
        <v>968</v>
      </c>
      <c r="C1189" t="s">
        <v>2294</v>
      </c>
      <c r="D1189" t="s">
        <v>2634</v>
      </c>
      <c r="E1189" s="2">
        <v>40518</v>
      </c>
      <c r="F1189">
        <v>10</v>
      </c>
      <c r="G1189">
        <v>1</v>
      </c>
      <c r="H1189" t="s">
        <v>4215</v>
      </c>
      <c r="I1189">
        <v>10</v>
      </c>
    </row>
    <row r="1190" spans="2:9" x14ac:dyDescent="0.3">
      <c r="B1190" t="s">
        <v>969</v>
      </c>
      <c r="C1190" t="s">
        <v>2295</v>
      </c>
      <c r="D1190" t="s">
        <v>2634</v>
      </c>
      <c r="E1190" s="2">
        <v>36299</v>
      </c>
      <c r="F1190">
        <v>5</v>
      </c>
      <c r="G1190">
        <v>1</v>
      </c>
      <c r="H1190" t="s">
        <v>4216</v>
      </c>
      <c r="I1190">
        <v>5</v>
      </c>
    </row>
    <row r="1191" spans="2:9" x14ac:dyDescent="0.3">
      <c r="B1191" t="s">
        <v>970</v>
      </c>
      <c r="C1191" t="s">
        <v>2296</v>
      </c>
      <c r="D1191" t="s">
        <v>2634</v>
      </c>
      <c r="E1191" s="2">
        <v>34745</v>
      </c>
      <c r="F1191">
        <v>10</v>
      </c>
      <c r="G1191">
        <v>1</v>
      </c>
      <c r="H1191" t="s">
        <v>4217</v>
      </c>
      <c r="I1191">
        <v>10</v>
      </c>
    </row>
    <row r="1192" spans="2:9" x14ac:dyDescent="0.3">
      <c r="B1192" t="s">
        <v>971</v>
      </c>
      <c r="C1192" t="s">
        <v>2297</v>
      </c>
      <c r="D1192" t="s">
        <v>2634</v>
      </c>
      <c r="E1192" s="2">
        <v>38833</v>
      </c>
      <c r="F1192">
        <v>1</v>
      </c>
      <c r="G1192">
        <v>1</v>
      </c>
      <c r="H1192" t="s">
        <v>4218</v>
      </c>
      <c r="I1192">
        <v>1</v>
      </c>
    </row>
    <row r="1193" spans="2:9" x14ac:dyDescent="0.3">
      <c r="B1193" t="s">
        <v>972</v>
      </c>
      <c r="C1193" t="s">
        <v>1808</v>
      </c>
      <c r="D1193" t="s">
        <v>2634</v>
      </c>
      <c r="E1193" s="2">
        <v>41120</v>
      </c>
      <c r="F1193">
        <v>2</v>
      </c>
      <c r="G1193">
        <v>1</v>
      </c>
      <c r="H1193" t="s">
        <v>4219</v>
      </c>
      <c r="I1193">
        <v>2</v>
      </c>
    </row>
    <row r="1194" spans="2:9" x14ac:dyDescent="0.3">
      <c r="B1194" t="s">
        <v>973</v>
      </c>
      <c r="C1194" t="s">
        <v>1809</v>
      </c>
      <c r="D1194" t="s">
        <v>2634</v>
      </c>
      <c r="E1194" s="2">
        <v>40116</v>
      </c>
      <c r="F1194">
        <v>10</v>
      </c>
      <c r="G1194">
        <v>1</v>
      </c>
      <c r="H1194" t="s">
        <v>4220</v>
      </c>
      <c r="I1194">
        <v>10</v>
      </c>
    </row>
    <row r="1195" spans="2:9" x14ac:dyDescent="0.3">
      <c r="B1195" t="s">
        <v>974</v>
      </c>
      <c r="C1195" t="s">
        <v>2298</v>
      </c>
      <c r="D1195" t="s">
        <v>2634</v>
      </c>
      <c r="E1195" s="2">
        <v>34787</v>
      </c>
      <c r="F1195">
        <v>5</v>
      </c>
      <c r="G1195">
        <v>1</v>
      </c>
      <c r="H1195" t="s">
        <v>4221</v>
      </c>
      <c r="I1195">
        <v>5</v>
      </c>
    </row>
    <row r="1196" spans="2:9" x14ac:dyDescent="0.3">
      <c r="B1196" t="s">
        <v>975</v>
      </c>
      <c r="C1196" t="s">
        <v>2299</v>
      </c>
      <c r="D1196" t="s">
        <v>2662</v>
      </c>
      <c r="E1196" s="2">
        <v>36719</v>
      </c>
      <c r="F1196">
        <v>1</v>
      </c>
      <c r="G1196">
        <v>1</v>
      </c>
      <c r="H1196" t="s">
        <v>4222</v>
      </c>
      <c r="I1196">
        <v>1</v>
      </c>
    </row>
    <row r="1197" spans="2:9" x14ac:dyDescent="0.3">
      <c r="B1197" t="s">
        <v>976</v>
      </c>
      <c r="C1197" t="s">
        <v>2300</v>
      </c>
      <c r="D1197" t="s">
        <v>2634</v>
      </c>
      <c r="E1197" s="2">
        <v>39071</v>
      </c>
      <c r="F1197">
        <v>10</v>
      </c>
      <c r="G1197">
        <v>1</v>
      </c>
      <c r="H1197" t="s">
        <v>4223</v>
      </c>
      <c r="I1197">
        <v>10</v>
      </c>
    </row>
    <row r="1198" spans="2:9" x14ac:dyDescent="0.3">
      <c r="B1198" t="s">
        <v>977</v>
      </c>
      <c r="C1198" t="s">
        <v>2301</v>
      </c>
      <c r="D1198" t="s">
        <v>2634</v>
      </c>
      <c r="E1198" s="2">
        <v>37623</v>
      </c>
      <c r="F1198">
        <v>2</v>
      </c>
      <c r="G1198">
        <v>1</v>
      </c>
      <c r="H1198" t="s">
        <v>4224</v>
      </c>
      <c r="I1198">
        <v>2</v>
      </c>
    </row>
    <row r="1199" spans="2:9" x14ac:dyDescent="0.3">
      <c r="B1199" t="s">
        <v>978</v>
      </c>
      <c r="C1199" t="s">
        <v>2302</v>
      </c>
      <c r="D1199" t="s">
        <v>2634</v>
      </c>
      <c r="E1199" s="2">
        <v>40884</v>
      </c>
      <c r="F1199">
        <v>1</v>
      </c>
      <c r="G1199">
        <v>1</v>
      </c>
      <c r="H1199" t="s">
        <v>4225</v>
      </c>
      <c r="I1199">
        <v>1</v>
      </c>
    </row>
    <row r="1200" spans="2:9" x14ac:dyDescent="0.3">
      <c r="B1200" t="s">
        <v>979</v>
      </c>
      <c r="C1200" t="s">
        <v>2303</v>
      </c>
      <c r="D1200" t="s">
        <v>2634</v>
      </c>
      <c r="E1200" s="2">
        <v>40731</v>
      </c>
      <c r="F1200">
        <v>10</v>
      </c>
      <c r="G1200">
        <v>1</v>
      </c>
      <c r="H1200" t="s">
        <v>4226</v>
      </c>
      <c r="I1200">
        <v>10</v>
      </c>
    </row>
    <row r="1201" spans="2:9" x14ac:dyDescent="0.3">
      <c r="B1201" t="s">
        <v>4227</v>
      </c>
      <c r="C1201" t="s">
        <v>4228</v>
      </c>
      <c r="D1201" t="s">
        <v>2634</v>
      </c>
      <c r="E1201" s="2">
        <v>42628</v>
      </c>
      <c r="F1201">
        <v>10</v>
      </c>
      <c r="G1201">
        <v>1</v>
      </c>
      <c r="H1201" t="s">
        <v>4229</v>
      </c>
      <c r="I1201">
        <v>10</v>
      </c>
    </row>
    <row r="1202" spans="2:9" x14ac:dyDescent="0.3">
      <c r="B1202" t="s">
        <v>980</v>
      </c>
      <c r="C1202" t="s">
        <v>2304</v>
      </c>
      <c r="D1202" t="s">
        <v>2634</v>
      </c>
      <c r="E1202" s="2">
        <v>39402</v>
      </c>
      <c r="F1202">
        <v>10</v>
      </c>
      <c r="G1202">
        <v>1</v>
      </c>
      <c r="H1202" t="s">
        <v>4230</v>
      </c>
      <c r="I1202">
        <v>10</v>
      </c>
    </row>
    <row r="1203" spans="2:9" x14ac:dyDescent="0.3">
      <c r="B1203" t="s">
        <v>981</v>
      </c>
      <c r="C1203" t="s">
        <v>2305</v>
      </c>
      <c r="D1203" t="s">
        <v>2634</v>
      </c>
      <c r="E1203" s="2">
        <v>38777</v>
      </c>
      <c r="F1203">
        <v>1</v>
      </c>
      <c r="G1203">
        <v>1</v>
      </c>
      <c r="H1203" t="s">
        <v>4231</v>
      </c>
      <c r="I1203">
        <v>1</v>
      </c>
    </row>
    <row r="1204" spans="2:9" x14ac:dyDescent="0.3">
      <c r="B1204" t="s">
        <v>4232</v>
      </c>
      <c r="C1204" t="s">
        <v>4233</v>
      </c>
      <c r="D1204" t="s">
        <v>2634</v>
      </c>
      <c r="E1204" s="2">
        <v>42263</v>
      </c>
      <c r="F1204">
        <v>10</v>
      </c>
      <c r="G1204">
        <v>1</v>
      </c>
      <c r="H1204" t="s">
        <v>4234</v>
      </c>
      <c r="I1204">
        <v>10</v>
      </c>
    </row>
    <row r="1205" spans="2:9" x14ac:dyDescent="0.3">
      <c r="B1205" t="s">
        <v>982</v>
      </c>
      <c r="C1205" t="s">
        <v>2306</v>
      </c>
      <c r="D1205" t="s">
        <v>2634</v>
      </c>
      <c r="E1205" s="2">
        <v>39111</v>
      </c>
      <c r="F1205">
        <v>10</v>
      </c>
      <c r="G1205">
        <v>1</v>
      </c>
      <c r="H1205" t="s">
        <v>4235</v>
      </c>
      <c r="I1205">
        <v>10</v>
      </c>
    </row>
    <row r="1206" spans="2:9" x14ac:dyDescent="0.3">
      <c r="B1206" t="s">
        <v>15</v>
      </c>
      <c r="C1206" t="s">
        <v>2307</v>
      </c>
      <c r="D1206" t="s">
        <v>2634</v>
      </c>
      <c r="E1206" s="2">
        <v>34886</v>
      </c>
      <c r="F1206">
        <v>10</v>
      </c>
      <c r="G1206">
        <v>1</v>
      </c>
      <c r="H1206" t="s">
        <v>4236</v>
      </c>
      <c r="I1206">
        <v>10</v>
      </c>
    </row>
    <row r="1207" spans="2:9" x14ac:dyDescent="0.3">
      <c r="B1207" t="s">
        <v>983</v>
      </c>
      <c r="C1207" t="s">
        <v>2308</v>
      </c>
      <c r="D1207" t="s">
        <v>2634</v>
      </c>
      <c r="E1207" s="2">
        <v>34948</v>
      </c>
      <c r="F1207">
        <v>10</v>
      </c>
      <c r="G1207">
        <v>1</v>
      </c>
      <c r="H1207" t="s">
        <v>4237</v>
      </c>
      <c r="I1207">
        <v>10</v>
      </c>
    </row>
    <row r="1208" spans="2:9" x14ac:dyDescent="0.3">
      <c r="B1208" t="s">
        <v>984</v>
      </c>
      <c r="C1208" t="s">
        <v>2309</v>
      </c>
      <c r="D1208" t="s">
        <v>2634</v>
      </c>
      <c r="E1208" s="2">
        <v>38481</v>
      </c>
      <c r="F1208">
        <v>10</v>
      </c>
      <c r="G1208">
        <v>1</v>
      </c>
      <c r="H1208" t="s">
        <v>4238</v>
      </c>
      <c r="I1208">
        <v>10</v>
      </c>
    </row>
    <row r="1209" spans="2:9" x14ac:dyDescent="0.3">
      <c r="B1209" t="s">
        <v>985</v>
      </c>
      <c r="C1209" t="s">
        <v>2310</v>
      </c>
      <c r="D1209" t="s">
        <v>2634</v>
      </c>
      <c r="E1209" s="2">
        <v>38784</v>
      </c>
      <c r="F1209">
        <v>10</v>
      </c>
      <c r="G1209">
        <v>1</v>
      </c>
      <c r="H1209" t="s">
        <v>4239</v>
      </c>
      <c r="I1209">
        <v>10</v>
      </c>
    </row>
    <row r="1210" spans="2:9" x14ac:dyDescent="0.3">
      <c r="B1210" t="s">
        <v>4240</v>
      </c>
      <c r="C1210" t="s">
        <v>4241</v>
      </c>
      <c r="D1210" t="s">
        <v>2662</v>
      </c>
      <c r="E1210" s="2">
        <v>42537</v>
      </c>
      <c r="F1210">
        <v>10</v>
      </c>
      <c r="G1210">
        <v>1</v>
      </c>
      <c r="H1210" t="s">
        <v>4242</v>
      </c>
      <c r="I1210">
        <v>10</v>
      </c>
    </row>
    <row r="1211" spans="2:9" x14ac:dyDescent="0.3">
      <c r="B1211" t="s">
        <v>986</v>
      </c>
      <c r="C1211" t="s">
        <v>2311</v>
      </c>
      <c r="D1211" t="s">
        <v>2634</v>
      </c>
      <c r="E1211" s="2">
        <v>34745</v>
      </c>
      <c r="F1211">
        <v>10</v>
      </c>
      <c r="G1211">
        <v>1</v>
      </c>
      <c r="H1211" t="s">
        <v>4243</v>
      </c>
      <c r="I1211">
        <v>10</v>
      </c>
    </row>
    <row r="1212" spans="2:9" x14ac:dyDescent="0.3">
      <c r="B1212" t="s">
        <v>987</v>
      </c>
      <c r="C1212" t="s">
        <v>2312</v>
      </c>
      <c r="D1212" t="s">
        <v>2662</v>
      </c>
      <c r="E1212" s="2">
        <v>38315</v>
      </c>
      <c r="F1212">
        <v>10</v>
      </c>
      <c r="G1212">
        <v>1</v>
      </c>
      <c r="H1212" t="s">
        <v>4244</v>
      </c>
      <c r="I1212">
        <v>10</v>
      </c>
    </row>
    <row r="1213" spans="2:9" x14ac:dyDescent="0.3">
      <c r="B1213" t="s">
        <v>4245</v>
      </c>
      <c r="C1213" t="s">
        <v>4246</v>
      </c>
      <c r="D1213" t="s">
        <v>2634</v>
      </c>
      <c r="E1213" s="2">
        <v>42340</v>
      </c>
      <c r="F1213">
        <v>10</v>
      </c>
      <c r="G1213">
        <v>1</v>
      </c>
      <c r="H1213" t="s">
        <v>4247</v>
      </c>
      <c r="I1213">
        <v>10</v>
      </c>
    </row>
    <row r="1214" spans="2:9" x14ac:dyDescent="0.3">
      <c r="B1214" t="s">
        <v>1313</v>
      </c>
      <c r="C1214" t="s">
        <v>2313</v>
      </c>
      <c r="D1214" t="s">
        <v>2662</v>
      </c>
      <c r="E1214" s="2">
        <v>36971</v>
      </c>
      <c r="F1214">
        <v>1</v>
      </c>
      <c r="G1214">
        <v>1</v>
      </c>
      <c r="H1214" t="s">
        <v>4248</v>
      </c>
      <c r="I1214">
        <v>1</v>
      </c>
    </row>
    <row r="1215" spans="2:9" x14ac:dyDescent="0.3">
      <c r="B1215" t="s">
        <v>988</v>
      </c>
      <c r="C1215" t="s">
        <v>2314</v>
      </c>
      <c r="D1215" t="s">
        <v>2634</v>
      </c>
      <c r="E1215" s="2">
        <v>38406</v>
      </c>
      <c r="F1215">
        <v>10</v>
      </c>
      <c r="G1215">
        <v>1</v>
      </c>
      <c r="H1215" t="s">
        <v>4249</v>
      </c>
      <c r="I1215">
        <v>10</v>
      </c>
    </row>
    <row r="1216" spans="2:9" x14ac:dyDescent="0.3">
      <c r="B1216" t="s">
        <v>1322</v>
      </c>
      <c r="C1216" t="s">
        <v>2625</v>
      </c>
      <c r="D1216" t="s">
        <v>2662</v>
      </c>
      <c r="E1216" s="2">
        <v>42696</v>
      </c>
      <c r="F1216">
        <v>10</v>
      </c>
      <c r="G1216">
        <v>1</v>
      </c>
      <c r="H1216" t="s">
        <v>4250</v>
      </c>
      <c r="I1216">
        <v>10</v>
      </c>
    </row>
    <row r="1217" spans="2:9" x14ac:dyDescent="0.3">
      <c r="B1217" t="s">
        <v>989</v>
      </c>
      <c r="C1217" t="s">
        <v>2315</v>
      </c>
      <c r="D1217" t="s">
        <v>2634</v>
      </c>
      <c r="E1217" s="2">
        <v>37586</v>
      </c>
      <c r="F1217">
        <v>10</v>
      </c>
      <c r="G1217">
        <v>1</v>
      </c>
      <c r="H1217" t="s">
        <v>4251</v>
      </c>
      <c r="I1217">
        <v>10</v>
      </c>
    </row>
    <row r="1218" spans="2:9" x14ac:dyDescent="0.3">
      <c r="B1218" t="s">
        <v>990</v>
      </c>
      <c r="C1218" t="s">
        <v>2316</v>
      </c>
      <c r="D1218" t="s">
        <v>2634</v>
      </c>
      <c r="E1218" s="2">
        <v>35263</v>
      </c>
      <c r="F1218">
        <v>10</v>
      </c>
      <c r="G1218">
        <v>1</v>
      </c>
      <c r="H1218" t="s">
        <v>4252</v>
      </c>
      <c r="I1218">
        <v>10</v>
      </c>
    </row>
    <row r="1219" spans="2:9" x14ac:dyDescent="0.3">
      <c r="B1219" t="s">
        <v>991</v>
      </c>
      <c r="C1219" t="s">
        <v>2317</v>
      </c>
      <c r="D1219" t="s">
        <v>2634</v>
      </c>
      <c r="E1219" s="2">
        <v>34829</v>
      </c>
      <c r="F1219">
        <v>10</v>
      </c>
      <c r="G1219">
        <v>1</v>
      </c>
      <c r="H1219" t="s">
        <v>4253</v>
      </c>
      <c r="I1219">
        <v>10</v>
      </c>
    </row>
    <row r="1220" spans="2:9" x14ac:dyDescent="0.3">
      <c r="B1220" t="s">
        <v>992</v>
      </c>
      <c r="C1220" t="s">
        <v>2318</v>
      </c>
      <c r="D1220" t="s">
        <v>2634</v>
      </c>
      <c r="E1220" s="2">
        <v>40686</v>
      </c>
      <c r="F1220">
        <v>10</v>
      </c>
      <c r="G1220">
        <v>1</v>
      </c>
      <c r="H1220" t="s">
        <v>4254</v>
      </c>
      <c r="I1220">
        <v>10</v>
      </c>
    </row>
    <row r="1221" spans="2:9" x14ac:dyDescent="0.3">
      <c r="B1221" t="s">
        <v>993</v>
      </c>
      <c r="C1221" t="s">
        <v>2319</v>
      </c>
      <c r="D1221" t="s">
        <v>2634</v>
      </c>
      <c r="E1221" s="2">
        <v>39106</v>
      </c>
      <c r="F1221">
        <v>2</v>
      </c>
      <c r="G1221">
        <v>1</v>
      </c>
      <c r="H1221" t="s">
        <v>4255</v>
      </c>
      <c r="I1221">
        <v>2</v>
      </c>
    </row>
    <row r="1222" spans="2:9" x14ac:dyDescent="0.3">
      <c r="B1222" t="s">
        <v>79</v>
      </c>
      <c r="C1222" t="s">
        <v>2320</v>
      </c>
      <c r="D1222" t="s">
        <v>2634</v>
      </c>
      <c r="E1222" s="2">
        <v>37760</v>
      </c>
      <c r="F1222">
        <v>10</v>
      </c>
      <c r="G1222">
        <v>1</v>
      </c>
      <c r="H1222" t="s">
        <v>4256</v>
      </c>
      <c r="I1222">
        <v>10</v>
      </c>
    </row>
    <row r="1223" spans="2:9" x14ac:dyDescent="0.3">
      <c r="B1223" t="s">
        <v>994</v>
      </c>
      <c r="C1223" t="s">
        <v>2321</v>
      </c>
      <c r="D1223" t="s">
        <v>2634</v>
      </c>
      <c r="E1223" s="2">
        <v>38803</v>
      </c>
      <c r="F1223">
        <v>1</v>
      </c>
      <c r="G1223">
        <v>1</v>
      </c>
      <c r="H1223" t="s">
        <v>4257</v>
      </c>
      <c r="I1223">
        <v>1</v>
      </c>
    </row>
    <row r="1224" spans="2:9" x14ac:dyDescent="0.3">
      <c r="B1224" t="s">
        <v>995</v>
      </c>
      <c r="C1224" t="s">
        <v>2322</v>
      </c>
      <c r="D1224" t="s">
        <v>2634</v>
      </c>
      <c r="E1224" s="2">
        <v>40150</v>
      </c>
      <c r="F1224">
        <v>10</v>
      </c>
      <c r="G1224">
        <v>1</v>
      </c>
      <c r="H1224" t="s">
        <v>4258</v>
      </c>
      <c r="I1224">
        <v>10</v>
      </c>
    </row>
    <row r="1225" spans="2:9" x14ac:dyDescent="0.3">
      <c r="B1225" t="s">
        <v>996</v>
      </c>
      <c r="C1225" t="s">
        <v>2323</v>
      </c>
      <c r="D1225" t="s">
        <v>2634</v>
      </c>
      <c r="E1225" s="2">
        <v>35641</v>
      </c>
      <c r="F1225">
        <v>10</v>
      </c>
      <c r="G1225">
        <v>1</v>
      </c>
      <c r="H1225" t="s">
        <v>4259</v>
      </c>
      <c r="I1225">
        <v>10</v>
      </c>
    </row>
    <row r="1226" spans="2:9" x14ac:dyDescent="0.3">
      <c r="B1226" t="s">
        <v>997</v>
      </c>
      <c r="C1226" t="s">
        <v>2324</v>
      </c>
      <c r="D1226" t="s">
        <v>2634</v>
      </c>
      <c r="E1226" s="2">
        <v>39101</v>
      </c>
      <c r="F1226">
        <v>1</v>
      </c>
      <c r="G1226">
        <v>1</v>
      </c>
      <c r="H1226" t="s">
        <v>4260</v>
      </c>
      <c r="I1226">
        <v>1</v>
      </c>
    </row>
    <row r="1227" spans="2:9" x14ac:dyDescent="0.3">
      <c r="B1227" t="s">
        <v>998</v>
      </c>
      <c r="C1227" t="s">
        <v>4261</v>
      </c>
      <c r="D1227" t="s">
        <v>2634</v>
      </c>
      <c r="E1227" s="2">
        <v>38604</v>
      </c>
      <c r="F1227">
        <v>10</v>
      </c>
      <c r="G1227">
        <v>1</v>
      </c>
      <c r="H1227" t="s">
        <v>4262</v>
      </c>
      <c r="I1227">
        <v>10</v>
      </c>
    </row>
    <row r="1228" spans="2:9" x14ac:dyDescent="0.3">
      <c r="B1228" t="s">
        <v>4263</v>
      </c>
      <c r="C1228" t="s">
        <v>4264</v>
      </c>
      <c r="D1228" t="s">
        <v>2662</v>
      </c>
      <c r="E1228" s="2">
        <v>40456</v>
      </c>
      <c r="F1228">
        <v>10</v>
      </c>
      <c r="G1228">
        <v>1</v>
      </c>
      <c r="H1228" t="s">
        <v>4265</v>
      </c>
      <c r="I1228">
        <v>10</v>
      </c>
    </row>
    <row r="1229" spans="2:9" x14ac:dyDescent="0.3">
      <c r="B1229" t="s">
        <v>999</v>
      </c>
      <c r="C1229" t="s">
        <v>2325</v>
      </c>
      <c r="D1229" t="s">
        <v>2634</v>
      </c>
      <c r="E1229" s="2">
        <v>39078</v>
      </c>
      <c r="F1229">
        <v>10</v>
      </c>
      <c r="G1229">
        <v>1</v>
      </c>
      <c r="H1229" t="s">
        <v>4266</v>
      </c>
      <c r="I1229">
        <v>10</v>
      </c>
    </row>
    <row r="1230" spans="2:9" x14ac:dyDescent="0.3">
      <c r="B1230" t="s">
        <v>4267</v>
      </c>
      <c r="C1230" t="s">
        <v>4268</v>
      </c>
      <c r="D1230" t="s">
        <v>2634</v>
      </c>
      <c r="E1230" s="2">
        <v>42242</v>
      </c>
      <c r="F1230">
        <v>10</v>
      </c>
      <c r="G1230">
        <v>1</v>
      </c>
      <c r="H1230" t="s">
        <v>4269</v>
      </c>
      <c r="I1230">
        <v>10</v>
      </c>
    </row>
    <row r="1231" spans="2:9" x14ac:dyDescent="0.3">
      <c r="B1231" t="s">
        <v>1000</v>
      </c>
      <c r="C1231" t="s">
        <v>2326</v>
      </c>
      <c r="D1231" t="s">
        <v>2634</v>
      </c>
      <c r="E1231" s="2">
        <v>34759</v>
      </c>
      <c r="F1231">
        <v>1</v>
      </c>
      <c r="G1231">
        <v>1</v>
      </c>
      <c r="H1231" t="s">
        <v>4270</v>
      </c>
      <c r="I1231">
        <v>1</v>
      </c>
    </row>
    <row r="1232" spans="2:9" x14ac:dyDescent="0.3">
      <c r="B1232" t="s">
        <v>4271</v>
      </c>
      <c r="C1232" t="s">
        <v>4272</v>
      </c>
      <c r="D1232" t="s">
        <v>2634</v>
      </c>
      <c r="E1232" s="2">
        <v>42864</v>
      </c>
      <c r="F1232">
        <v>5</v>
      </c>
      <c r="G1232">
        <v>1</v>
      </c>
      <c r="H1232" t="s">
        <v>4273</v>
      </c>
      <c r="I1232">
        <v>5</v>
      </c>
    </row>
    <row r="1233" spans="2:9" x14ac:dyDescent="0.3">
      <c r="B1233" t="s">
        <v>1001</v>
      </c>
      <c r="C1233" t="s">
        <v>2327</v>
      </c>
      <c r="D1233" t="s">
        <v>2634</v>
      </c>
      <c r="E1233" s="2">
        <v>40988</v>
      </c>
      <c r="F1233">
        <v>2</v>
      </c>
      <c r="G1233">
        <v>1</v>
      </c>
      <c r="H1233" t="s">
        <v>4274</v>
      </c>
      <c r="I1233">
        <v>2</v>
      </c>
    </row>
    <row r="1234" spans="2:9" x14ac:dyDescent="0.3">
      <c r="B1234" t="s">
        <v>1002</v>
      </c>
      <c r="C1234" t="s">
        <v>2328</v>
      </c>
      <c r="D1234" t="s">
        <v>2634</v>
      </c>
      <c r="E1234" s="2">
        <v>35655</v>
      </c>
      <c r="F1234">
        <v>10</v>
      </c>
      <c r="G1234">
        <v>1</v>
      </c>
      <c r="H1234" t="s">
        <v>4275</v>
      </c>
      <c r="I1234">
        <v>10</v>
      </c>
    </row>
    <row r="1235" spans="2:9" x14ac:dyDescent="0.3">
      <c r="B1235" t="s">
        <v>1003</v>
      </c>
      <c r="C1235" t="s">
        <v>2329</v>
      </c>
      <c r="D1235" t="s">
        <v>2634</v>
      </c>
      <c r="E1235" s="2">
        <v>41716</v>
      </c>
      <c r="F1235">
        <v>10</v>
      </c>
      <c r="G1235">
        <v>1</v>
      </c>
      <c r="H1235" t="s">
        <v>4276</v>
      </c>
      <c r="I1235">
        <v>10</v>
      </c>
    </row>
    <row r="1236" spans="2:9" x14ac:dyDescent="0.3">
      <c r="B1236" t="s">
        <v>1004</v>
      </c>
      <c r="C1236" t="s">
        <v>2330</v>
      </c>
      <c r="D1236" t="s">
        <v>2634</v>
      </c>
      <c r="E1236" s="2">
        <v>34878</v>
      </c>
      <c r="F1236">
        <v>10</v>
      </c>
      <c r="G1236">
        <v>1</v>
      </c>
      <c r="H1236" t="s">
        <v>4277</v>
      </c>
      <c r="I1236">
        <v>10</v>
      </c>
    </row>
    <row r="1237" spans="2:9" x14ac:dyDescent="0.3">
      <c r="B1237" t="s">
        <v>1005</v>
      </c>
      <c r="C1237" t="s">
        <v>2331</v>
      </c>
      <c r="D1237" t="s">
        <v>2634</v>
      </c>
      <c r="E1237" s="2">
        <v>40833</v>
      </c>
      <c r="F1237">
        <v>10</v>
      </c>
      <c r="G1237">
        <v>1</v>
      </c>
      <c r="H1237" t="s">
        <v>4278</v>
      </c>
      <c r="I1237">
        <v>10</v>
      </c>
    </row>
    <row r="1238" spans="2:9" x14ac:dyDescent="0.3">
      <c r="B1238" t="s">
        <v>1006</v>
      </c>
      <c r="C1238" t="s">
        <v>2332</v>
      </c>
      <c r="D1238" t="s">
        <v>2634</v>
      </c>
      <c r="E1238" s="2">
        <v>38986</v>
      </c>
      <c r="F1238">
        <v>10</v>
      </c>
      <c r="G1238">
        <v>1</v>
      </c>
      <c r="H1238" t="s">
        <v>4279</v>
      </c>
      <c r="I1238">
        <v>10</v>
      </c>
    </row>
    <row r="1239" spans="2:9" x14ac:dyDescent="0.3">
      <c r="B1239" t="s">
        <v>1007</v>
      </c>
      <c r="C1239" t="s">
        <v>2333</v>
      </c>
      <c r="D1239" t="s">
        <v>2634</v>
      </c>
      <c r="E1239" s="2">
        <v>39315</v>
      </c>
      <c r="F1239">
        <v>10</v>
      </c>
      <c r="G1239">
        <v>1</v>
      </c>
      <c r="H1239" t="s">
        <v>4280</v>
      </c>
      <c r="I1239">
        <v>10</v>
      </c>
    </row>
    <row r="1240" spans="2:9" x14ac:dyDescent="0.3">
      <c r="B1240" t="s">
        <v>1008</v>
      </c>
      <c r="C1240" t="s">
        <v>2334</v>
      </c>
      <c r="D1240" t="s">
        <v>2634</v>
      </c>
      <c r="E1240" s="2">
        <v>41117</v>
      </c>
      <c r="F1240">
        <v>10</v>
      </c>
      <c r="G1240">
        <v>1</v>
      </c>
      <c r="H1240" t="s">
        <v>4281</v>
      </c>
      <c r="I1240">
        <v>10</v>
      </c>
    </row>
    <row r="1241" spans="2:9" x14ac:dyDescent="0.3">
      <c r="B1241" t="s">
        <v>4282</v>
      </c>
      <c r="C1241" t="s">
        <v>4283</v>
      </c>
      <c r="D1241" t="s">
        <v>2634</v>
      </c>
      <c r="E1241" s="2">
        <v>42439</v>
      </c>
      <c r="F1241">
        <v>2</v>
      </c>
      <c r="G1241">
        <v>1</v>
      </c>
      <c r="H1241" t="s">
        <v>4284</v>
      </c>
      <c r="I1241">
        <v>2</v>
      </c>
    </row>
    <row r="1242" spans="2:9" x14ac:dyDescent="0.3">
      <c r="B1242" t="s">
        <v>1009</v>
      </c>
      <c r="C1242" t="s">
        <v>2335</v>
      </c>
      <c r="D1242" t="s">
        <v>2634</v>
      </c>
      <c r="E1242" s="2">
        <v>40675</v>
      </c>
      <c r="F1242">
        <v>10</v>
      </c>
      <c r="G1242">
        <v>1</v>
      </c>
      <c r="H1242" t="s">
        <v>4285</v>
      </c>
      <c r="I1242">
        <v>10</v>
      </c>
    </row>
    <row r="1243" spans="2:9" x14ac:dyDescent="0.3">
      <c r="B1243" t="s">
        <v>1010</v>
      </c>
      <c r="C1243" t="s">
        <v>2336</v>
      </c>
      <c r="D1243" t="s">
        <v>2634</v>
      </c>
      <c r="E1243" s="2">
        <v>34787</v>
      </c>
      <c r="F1243">
        <v>10</v>
      </c>
      <c r="G1243">
        <v>1</v>
      </c>
      <c r="H1243" t="s">
        <v>4286</v>
      </c>
      <c r="I1243">
        <v>10</v>
      </c>
    </row>
    <row r="1244" spans="2:9" x14ac:dyDescent="0.3">
      <c r="B1244" t="s">
        <v>4287</v>
      </c>
      <c r="C1244" t="s">
        <v>4288</v>
      </c>
      <c r="D1244" t="s">
        <v>2634</v>
      </c>
      <c r="E1244" s="2">
        <v>42552</v>
      </c>
      <c r="F1244">
        <v>2</v>
      </c>
      <c r="G1244">
        <v>1</v>
      </c>
      <c r="H1244" t="s">
        <v>4289</v>
      </c>
      <c r="I1244">
        <v>2</v>
      </c>
    </row>
    <row r="1245" spans="2:9" x14ac:dyDescent="0.3">
      <c r="B1245" t="s">
        <v>1011</v>
      </c>
      <c r="C1245" t="s">
        <v>2337</v>
      </c>
      <c r="D1245" t="s">
        <v>2662</v>
      </c>
      <c r="E1245" s="2">
        <v>40869</v>
      </c>
      <c r="F1245">
        <v>10</v>
      </c>
      <c r="G1245">
        <v>1</v>
      </c>
      <c r="H1245" t="s">
        <v>4290</v>
      </c>
      <c r="I1245">
        <v>10</v>
      </c>
    </row>
    <row r="1246" spans="2:9" x14ac:dyDescent="0.3">
      <c r="B1246" t="s">
        <v>4291</v>
      </c>
      <c r="C1246" t="s">
        <v>4292</v>
      </c>
      <c r="D1246" t="s">
        <v>2634</v>
      </c>
      <c r="E1246" s="2">
        <v>42713</v>
      </c>
      <c r="F1246">
        <v>5</v>
      </c>
      <c r="G1246">
        <v>1</v>
      </c>
      <c r="H1246" t="s">
        <v>4293</v>
      </c>
      <c r="I1246">
        <v>5</v>
      </c>
    </row>
    <row r="1247" spans="2:9" x14ac:dyDescent="0.3">
      <c r="B1247" t="s">
        <v>1314</v>
      </c>
      <c r="C1247" t="s">
        <v>2338</v>
      </c>
      <c r="D1247" t="s">
        <v>2662</v>
      </c>
      <c r="E1247" s="2">
        <v>39224</v>
      </c>
      <c r="F1247">
        <v>10</v>
      </c>
      <c r="G1247">
        <v>1</v>
      </c>
      <c r="H1247" t="s">
        <v>4294</v>
      </c>
      <c r="I1247">
        <v>10</v>
      </c>
    </row>
    <row r="1248" spans="2:9" x14ac:dyDescent="0.3">
      <c r="B1248" t="s">
        <v>1315</v>
      </c>
      <c r="C1248" t="s">
        <v>2339</v>
      </c>
      <c r="D1248" t="s">
        <v>2634</v>
      </c>
      <c r="E1248" s="2">
        <v>38817</v>
      </c>
      <c r="F1248">
        <v>10</v>
      </c>
      <c r="G1248">
        <v>1</v>
      </c>
      <c r="H1248" t="s">
        <v>4295</v>
      </c>
      <c r="I1248">
        <v>10</v>
      </c>
    </row>
    <row r="1249" spans="2:9" x14ac:dyDescent="0.3">
      <c r="B1249" t="s">
        <v>1012</v>
      </c>
      <c r="C1249" t="s">
        <v>2340</v>
      </c>
      <c r="D1249" t="s">
        <v>2662</v>
      </c>
      <c r="E1249" s="2">
        <v>38519</v>
      </c>
      <c r="F1249">
        <v>10</v>
      </c>
      <c r="G1249">
        <v>1</v>
      </c>
      <c r="H1249" t="s">
        <v>4296</v>
      </c>
      <c r="I1249">
        <v>10</v>
      </c>
    </row>
    <row r="1250" spans="2:9" x14ac:dyDescent="0.3">
      <c r="B1250" t="s">
        <v>4297</v>
      </c>
      <c r="C1250" t="s">
        <v>4298</v>
      </c>
      <c r="D1250" t="s">
        <v>2634</v>
      </c>
      <c r="E1250" s="2">
        <v>42033</v>
      </c>
      <c r="F1250">
        <v>10</v>
      </c>
      <c r="G1250">
        <v>1</v>
      </c>
      <c r="H1250" t="s">
        <v>4299</v>
      </c>
      <c r="I1250">
        <v>10</v>
      </c>
    </row>
    <row r="1251" spans="2:9" x14ac:dyDescent="0.3">
      <c r="B1251" t="s">
        <v>1013</v>
      </c>
      <c r="C1251" t="s">
        <v>2341</v>
      </c>
      <c r="D1251" t="s">
        <v>2634</v>
      </c>
      <c r="E1251" s="2">
        <v>39510</v>
      </c>
      <c r="F1251">
        <v>2</v>
      </c>
      <c r="G1251">
        <v>1</v>
      </c>
      <c r="H1251" t="s">
        <v>4300</v>
      </c>
      <c r="I1251">
        <v>2</v>
      </c>
    </row>
    <row r="1252" spans="2:9" x14ac:dyDescent="0.3">
      <c r="B1252" t="s">
        <v>4301</v>
      </c>
      <c r="C1252" t="s">
        <v>4302</v>
      </c>
      <c r="D1252" t="s">
        <v>2634</v>
      </c>
      <c r="E1252" s="2">
        <v>42830</v>
      </c>
      <c r="F1252">
        <v>10</v>
      </c>
      <c r="G1252">
        <v>1</v>
      </c>
      <c r="H1252" t="s">
        <v>4303</v>
      </c>
      <c r="I1252">
        <v>10</v>
      </c>
    </row>
    <row r="1253" spans="2:9" x14ac:dyDescent="0.3">
      <c r="B1253" t="s">
        <v>1014</v>
      </c>
      <c r="C1253" t="s">
        <v>2342</v>
      </c>
      <c r="D1253" t="s">
        <v>2634</v>
      </c>
      <c r="E1253" s="2">
        <v>35081</v>
      </c>
      <c r="F1253">
        <v>1</v>
      </c>
      <c r="G1253">
        <v>1</v>
      </c>
      <c r="H1253" t="s">
        <v>4304</v>
      </c>
      <c r="I1253">
        <v>1</v>
      </c>
    </row>
    <row r="1254" spans="2:9" x14ac:dyDescent="0.3">
      <c r="B1254" t="s">
        <v>1015</v>
      </c>
      <c r="C1254" t="s">
        <v>2343</v>
      </c>
      <c r="D1254" t="s">
        <v>2634</v>
      </c>
      <c r="E1254" s="2">
        <v>41905</v>
      </c>
      <c r="F1254">
        <v>10</v>
      </c>
      <c r="G1254">
        <v>1</v>
      </c>
      <c r="H1254" t="s">
        <v>4305</v>
      </c>
      <c r="I1254">
        <v>10</v>
      </c>
    </row>
    <row r="1255" spans="2:9" x14ac:dyDescent="0.3">
      <c r="B1255" t="s">
        <v>4306</v>
      </c>
      <c r="C1255" t="s">
        <v>4307</v>
      </c>
      <c r="D1255" t="s">
        <v>2634</v>
      </c>
      <c r="E1255" s="2">
        <v>42250</v>
      </c>
      <c r="F1255">
        <v>10</v>
      </c>
      <c r="G1255">
        <v>1</v>
      </c>
      <c r="H1255" t="s">
        <v>4308</v>
      </c>
      <c r="I1255">
        <v>10</v>
      </c>
    </row>
    <row r="1256" spans="2:9" x14ac:dyDescent="0.3">
      <c r="B1256" t="s">
        <v>1016</v>
      </c>
      <c r="C1256" t="s">
        <v>2344</v>
      </c>
      <c r="D1256" t="s">
        <v>2634</v>
      </c>
      <c r="E1256" s="2">
        <v>40884</v>
      </c>
      <c r="F1256">
        <v>2</v>
      </c>
      <c r="G1256">
        <v>1</v>
      </c>
      <c r="H1256" t="s">
        <v>4309</v>
      </c>
      <c r="I1256">
        <v>2</v>
      </c>
    </row>
    <row r="1257" spans="2:9" x14ac:dyDescent="0.3">
      <c r="B1257" t="s">
        <v>1017</v>
      </c>
      <c r="C1257" t="s">
        <v>2345</v>
      </c>
      <c r="D1257" t="s">
        <v>2634</v>
      </c>
      <c r="E1257" s="2">
        <v>41913</v>
      </c>
      <c r="F1257">
        <v>10</v>
      </c>
      <c r="G1257">
        <v>1</v>
      </c>
      <c r="H1257" t="s">
        <v>4310</v>
      </c>
      <c r="I1257">
        <v>10</v>
      </c>
    </row>
    <row r="1258" spans="2:9" x14ac:dyDescent="0.3">
      <c r="B1258" t="s">
        <v>1018</v>
      </c>
      <c r="C1258" t="s">
        <v>2346</v>
      </c>
      <c r="D1258" t="s">
        <v>2634</v>
      </c>
      <c r="E1258" s="2">
        <v>40150</v>
      </c>
      <c r="F1258">
        <v>1</v>
      </c>
      <c r="G1258">
        <v>1</v>
      </c>
      <c r="H1258" t="s">
        <v>4311</v>
      </c>
      <c r="I1258">
        <v>1</v>
      </c>
    </row>
    <row r="1259" spans="2:9" x14ac:dyDescent="0.3">
      <c r="B1259" t="s">
        <v>1019</v>
      </c>
      <c r="C1259" t="s">
        <v>2347</v>
      </c>
      <c r="D1259" t="s">
        <v>2634</v>
      </c>
      <c r="E1259" s="2">
        <v>40641</v>
      </c>
      <c r="F1259">
        <v>10</v>
      </c>
      <c r="G1259">
        <v>1</v>
      </c>
      <c r="H1259" t="s">
        <v>4312</v>
      </c>
      <c r="I1259">
        <v>10</v>
      </c>
    </row>
    <row r="1260" spans="2:9" x14ac:dyDescent="0.3">
      <c r="B1260" t="s">
        <v>1020</v>
      </c>
      <c r="C1260" t="s">
        <v>2348</v>
      </c>
      <c r="D1260" t="s">
        <v>2634</v>
      </c>
      <c r="E1260" s="2">
        <v>36971</v>
      </c>
      <c r="F1260">
        <v>10</v>
      </c>
      <c r="G1260">
        <v>1</v>
      </c>
      <c r="H1260" t="s">
        <v>4313</v>
      </c>
      <c r="I1260">
        <v>10</v>
      </c>
    </row>
    <row r="1261" spans="2:9" x14ac:dyDescent="0.3">
      <c r="B1261" t="s">
        <v>1021</v>
      </c>
      <c r="C1261" t="s">
        <v>2349</v>
      </c>
      <c r="D1261" t="s">
        <v>2634</v>
      </c>
      <c r="E1261" s="2">
        <v>39042</v>
      </c>
      <c r="F1261">
        <v>2</v>
      </c>
      <c r="G1261">
        <v>1</v>
      </c>
      <c r="H1261" t="s">
        <v>4314</v>
      </c>
      <c r="I1261">
        <v>2</v>
      </c>
    </row>
    <row r="1262" spans="2:9" x14ac:dyDescent="0.3">
      <c r="B1262" t="s">
        <v>1022</v>
      </c>
      <c r="C1262" t="s">
        <v>2350</v>
      </c>
      <c r="D1262" t="s">
        <v>2634</v>
      </c>
      <c r="E1262" s="2">
        <v>34990</v>
      </c>
      <c r="F1262">
        <v>10</v>
      </c>
      <c r="G1262">
        <v>1</v>
      </c>
      <c r="H1262" t="s">
        <v>4315</v>
      </c>
      <c r="I1262">
        <v>10</v>
      </c>
    </row>
    <row r="1263" spans="2:9" x14ac:dyDescent="0.3">
      <c r="B1263" t="s">
        <v>4316</v>
      </c>
      <c r="C1263" t="s">
        <v>4317</v>
      </c>
      <c r="D1263" t="s">
        <v>2634</v>
      </c>
      <c r="E1263" s="2">
        <v>42324</v>
      </c>
      <c r="F1263">
        <v>10</v>
      </c>
      <c r="G1263">
        <v>1</v>
      </c>
      <c r="H1263" t="s">
        <v>4318</v>
      </c>
      <c r="I1263">
        <v>10</v>
      </c>
    </row>
    <row r="1264" spans="2:9" x14ac:dyDescent="0.3">
      <c r="B1264" t="s">
        <v>1023</v>
      </c>
      <c r="C1264" t="s">
        <v>2351</v>
      </c>
      <c r="D1264" t="s">
        <v>2634</v>
      </c>
      <c r="E1264" s="2">
        <v>38495</v>
      </c>
      <c r="F1264">
        <v>5</v>
      </c>
      <c r="G1264">
        <v>1</v>
      </c>
      <c r="H1264" t="s">
        <v>4319</v>
      </c>
      <c r="I1264">
        <v>5</v>
      </c>
    </row>
    <row r="1265" spans="2:9" x14ac:dyDescent="0.3">
      <c r="B1265" t="s">
        <v>80</v>
      </c>
      <c r="C1265" t="s">
        <v>2352</v>
      </c>
      <c r="D1265" t="s">
        <v>2634</v>
      </c>
      <c r="E1265" s="2">
        <v>34815</v>
      </c>
      <c r="F1265">
        <v>10</v>
      </c>
      <c r="G1265">
        <v>1</v>
      </c>
      <c r="H1265" t="s">
        <v>4320</v>
      </c>
      <c r="I1265">
        <v>10</v>
      </c>
    </row>
    <row r="1266" spans="2:9" x14ac:dyDescent="0.3">
      <c r="B1266" t="s">
        <v>4321</v>
      </c>
      <c r="C1266" t="s">
        <v>4322</v>
      </c>
      <c r="D1266" t="s">
        <v>2634</v>
      </c>
      <c r="E1266" s="2">
        <v>42257</v>
      </c>
      <c r="F1266">
        <v>10</v>
      </c>
      <c r="G1266">
        <v>1</v>
      </c>
      <c r="H1266" t="s">
        <v>4323</v>
      </c>
      <c r="I1266">
        <v>10</v>
      </c>
    </row>
    <row r="1267" spans="2:9" x14ac:dyDescent="0.3">
      <c r="B1267" t="s">
        <v>1024</v>
      </c>
      <c r="C1267" t="s">
        <v>2353</v>
      </c>
      <c r="D1267" t="s">
        <v>2634</v>
      </c>
      <c r="E1267" s="2">
        <v>36598</v>
      </c>
      <c r="F1267">
        <v>5</v>
      </c>
      <c r="G1267">
        <v>1</v>
      </c>
      <c r="H1267" t="s">
        <v>4324</v>
      </c>
      <c r="I1267">
        <v>5</v>
      </c>
    </row>
    <row r="1268" spans="2:9" x14ac:dyDescent="0.3">
      <c r="B1268" t="s">
        <v>1025</v>
      </c>
      <c r="C1268" t="s">
        <v>2354</v>
      </c>
      <c r="D1268" t="s">
        <v>2634</v>
      </c>
      <c r="E1268" s="2">
        <v>35375</v>
      </c>
      <c r="F1268">
        <v>10</v>
      </c>
      <c r="G1268">
        <v>1</v>
      </c>
      <c r="H1268" t="s">
        <v>4325</v>
      </c>
      <c r="I1268">
        <v>10</v>
      </c>
    </row>
    <row r="1269" spans="2:9" x14ac:dyDescent="0.3">
      <c r="B1269" t="s">
        <v>1026</v>
      </c>
      <c r="C1269" t="s">
        <v>2355</v>
      </c>
      <c r="D1269" t="s">
        <v>2634</v>
      </c>
      <c r="E1269" s="2">
        <v>34759</v>
      </c>
      <c r="F1269">
        <v>10</v>
      </c>
      <c r="G1269">
        <v>1</v>
      </c>
      <c r="H1269" t="s">
        <v>4326</v>
      </c>
      <c r="I1269">
        <v>10</v>
      </c>
    </row>
    <row r="1270" spans="2:9" x14ac:dyDescent="0.3">
      <c r="B1270" t="s">
        <v>4327</v>
      </c>
      <c r="C1270" t="s">
        <v>4328</v>
      </c>
      <c r="D1270" t="s">
        <v>2662</v>
      </c>
      <c r="E1270" s="2">
        <v>42523</v>
      </c>
      <c r="F1270">
        <v>10</v>
      </c>
      <c r="G1270">
        <v>1</v>
      </c>
      <c r="H1270" t="s">
        <v>4329</v>
      </c>
      <c r="I1270">
        <v>10</v>
      </c>
    </row>
    <row r="1271" spans="2:9" x14ac:dyDescent="0.3">
      <c r="B1271" t="s">
        <v>1027</v>
      </c>
      <c r="C1271" t="s">
        <v>2356</v>
      </c>
      <c r="D1271" t="s">
        <v>2634</v>
      </c>
      <c r="E1271" s="2">
        <v>38446</v>
      </c>
      <c r="F1271">
        <v>10</v>
      </c>
      <c r="G1271">
        <v>1</v>
      </c>
      <c r="H1271" t="s">
        <v>4330</v>
      </c>
      <c r="I1271">
        <v>10</v>
      </c>
    </row>
    <row r="1272" spans="2:9" x14ac:dyDescent="0.3">
      <c r="B1272" t="s">
        <v>1028</v>
      </c>
      <c r="C1272" t="s">
        <v>2357</v>
      </c>
      <c r="D1272" t="s">
        <v>2634</v>
      </c>
      <c r="E1272" s="2">
        <v>39498</v>
      </c>
      <c r="F1272">
        <v>10</v>
      </c>
      <c r="G1272">
        <v>1</v>
      </c>
      <c r="H1272" t="s">
        <v>4331</v>
      </c>
      <c r="I1272">
        <v>10</v>
      </c>
    </row>
    <row r="1273" spans="2:9" x14ac:dyDescent="0.3">
      <c r="B1273" t="s">
        <v>4332</v>
      </c>
      <c r="C1273" t="s">
        <v>4333</v>
      </c>
      <c r="D1273" t="s">
        <v>2634</v>
      </c>
      <c r="E1273" s="2">
        <v>42213</v>
      </c>
      <c r="F1273">
        <v>1</v>
      </c>
      <c r="G1273">
        <v>1</v>
      </c>
      <c r="H1273" t="s">
        <v>4334</v>
      </c>
      <c r="I1273">
        <v>1</v>
      </c>
    </row>
    <row r="1274" spans="2:9" x14ac:dyDescent="0.3">
      <c r="B1274" t="s">
        <v>1029</v>
      </c>
      <c r="C1274" t="s">
        <v>2358</v>
      </c>
      <c r="D1274" t="s">
        <v>2634</v>
      </c>
      <c r="E1274" s="2">
        <v>39027</v>
      </c>
      <c r="F1274">
        <v>10</v>
      </c>
      <c r="G1274">
        <v>1</v>
      </c>
      <c r="H1274" t="s">
        <v>4335</v>
      </c>
      <c r="I1274">
        <v>10</v>
      </c>
    </row>
    <row r="1275" spans="2:9" x14ac:dyDescent="0.3">
      <c r="B1275" t="s">
        <v>1030</v>
      </c>
      <c r="C1275" t="s">
        <v>2359</v>
      </c>
      <c r="D1275" t="s">
        <v>2634</v>
      </c>
      <c r="E1275" s="2">
        <v>39681</v>
      </c>
      <c r="F1275">
        <v>10</v>
      </c>
      <c r="G1275">
        <v>1</v>
      </c>
      <c r="H1275" t="s">
        <v>4336</v>
      </c>
      <c r="I1275">
        <v>10</v>
      </c>
    </row>
    <row r="1276" spans="2:9" x14ac:dyDescent="0.3">
      <c r="B1276" t="s">
        <v>1031</v>
      </c>
      <c r="C1276" t="s">
        <v>2360</v>
      </c>
      <c r="D1276" t="s">
        <v>2634</v>
      </c>
      <c r="E1276" s="2">
        <v>36278</v>
      </c>
      <c r="F1276">
        <v>10</v>
      </c>
      <c r="G1276">
        <v>1</v>
      </c>
      <c r="H1276" t="s">
        <v>4337</v>
      </c>
      <c r="I1276">
        <v>10</v>
      </c>
    </row>
    <row r="1277" spans="2:9" x14ac:dyDescent="0.3">
      <c r="B1277" t="s">
        <v>81</v>
      </c>
      <c r="C1277" t="s">
        <v>2361</v>
      </c>
      <c r="D1277" t="s">
        <v>2634</v>
      </c>
      <c r="E1277" s="2">
        <v>34948</v>
      </c>
      <c r="F1277">
        <v>2</v>
      </c>
      <c r="G1277">
        <v>1</v>
      </c>
      <c r="H1277" t="s">
        <v>4338</v>
      </c>
      <c r="I1277">
        <v>2</v>
      </c>
    </row>
    <row r="1278" spans="2:9" x14ac:dyDescent="0.3">
      <c r="B1278" t="s">
        <v>4339</v>
      </c>
      <c r="C1278" t="s">
        <v>4340</v>
      </c>
      <c r="D1278" t="s">
        <v>2634</v>
      </c>
      <c r="E1278" s="2">
        <v>42076</v>
      </c>
      <c r="F1278">
        <v>1</v>
      </c>
      <c r="G1278">
        <v>1</v>
      </c>
      <c r="H1278" t="s">
        <v>4341</v>
      </c>
      <c r="I1278">
        <v>1</v>
      </c>
    </row>
    <row r="1279" spans="2:9" x14ac:dyDescent="0.3">
      <c r="B1279" t="s">
        <v>1032</v>
      </c>
      <c r="C1279" t="s">
        <v>2362</v>
      </c>
      <c r="D1279" t="s">
        <v>2662</v>
      </c>
      <c r="E1279" s="2">
        <v>38013</v>
      </c>
      <c r="F1279">
        <v>5</v>
      </c>
      <c r="G1279">
        <v>1</v>
      </c>
      <c r="H1279" t="s">
        <v>4342</v>
      </c>
      <c r="I1279">
        <v>5</v>
      </c>
    </row>
    <row r="1280" spans="2:9" x14ac:dyDescent="0.3">
      <c r="B1280" t="s">
        <v>1033</v>
      </c>
      <c r="C1280" t="s">
        <v>2363</v>
      </c>
      <c r="D1280" t="s">
        <v>2634</v>
      </c>
      <c r="E1280" s="2">
        <v>35207</v>
      </c>
      <c r="F1280">
        <v>10</v>
      </c>
      <c r="G1280">
        <v>1</v>
      </c>
      <c r="H1280" t="s">
        <v>4343</v>
      </c>
      <c r="I1280">
        <v>10</v>
      </c>
    </row>
    <row r="1281" spans="2:9" x14ac:dyDescent="0.3">
      <c r="B1281" t="s">
        <v>4344</v>
      </c>
      <c r="C1281" t="s">
        <v>2364</v>
      </c>
      <c r="D1281" t="s">
        <v>2634</v>
      </c>
      <c r="E1281" s="2">
        <v>42443</v>
      </c>
      <c r="F1281">
        <v>10</v>
      </c>
      <c r="G1281">
        <v>1</v>
      </c>
      <c r="H1281" t="s">
        <v>4345</v>
      </c>
      <c r="I1281">
        <v>10</v>
      </c>
    </row>
    <row r="1282" spans="2:9" x14ac:dyDescent="0.3">
      <c r="B1282" t="s">
        <v>1034</v>
      </c>
      <c r="C1282" t="s">
        <v>2365</v>
      </c>
      <c r="D1282" t="s">
        <v>2662</v>
      </c>
      <c r="E1282" s="2">
        <v>39297</v>
      </c>
      <c r="F1282">
        <v>10</v>
      </c>
      <c r="G1282">
        <v>1</v>
      </c>
      <c r="H1282" t="s">
        <v>4346</v>
      </c>
      <c r="I1282">
        <v>10</v>
      </c>
    </row>
    <row r="1283" spans="2:9" x14ac:dyDescent="0.3">
      <c r="B1283" t="s">
        <v>1035</v>
      </c>
      <c r="C1283" t="s">
        <v>2366</v>
      </c>
      <c r="D1283" t="s">
        <v>2634</v>
      </c>
      <c r="E1283" s="2">
        <v>38055</v>
      </c>
      <c r="F1283">
        <v>2</v>
      </c>
      <c r="G1283">
        <v>1</v>
      </c>
      <c r="H1283" t="s">
        <v>4347</v>
      </c>
      <c r="I1283">
        <v>2</v>
      </c>
    </row>
    <row r="1284" spans="2:9" x14ac:dyDescent="0.3">
      <c r="B1284" t="s">
        <v>1036</v>
      </c>
      <c r="C1284" t="s">
        <v>2367</v>
      </c>
      <c r="D1284" t="s">
        <v>2634</v>
      </c>
      <c r="E1284" s="2">
        <v>36104</v>
      </c>
      <c r="F1284">
        <v>1</v>
      </c>
      <c r="G1284">
        <v>1</v>
      </c>
      <c r="H1284" t="s">
        <v>4348</v>
      </c>
      <c r="I1284">
        <v>1</v>
      </c>
    </row>
    <row r="1285" spans="2:9" x14ac:dyDescent="0.3">
      <c r="B1285" t="s">
        <v>1037</v>
      </c>
      <c r="C1285" t="s">
        <v>2368</v>
      </c>
      <c r="D1285" t="s">
        <v>2634</v>
      </c>
      <c r="E1285" s="2">
        <v>39545</v>
      </c>
      <c r="F1285">
        <v>10</v>
      </c>
      <c r="G1285">
        <v>1</v>
      </c>
      <c r="H1285" t="s">
        <v>4349</v>
      </c>
      <c r="I1285">
        <v>10</v>
      </c>
    </row>
    <row r="1286" spans="2:9" x14ac:dyDescent="0.3">
      <c r="B1286" t="s">
        <v>4350</v>
      </c>
      <c r="C1286" t="s">
        <v>4351</v>
      </c>
      <c r="D1286" t="s">
        <v>2634</v>
      </c>
      <c r="E1286" s="2">
        <v>39092</v>
      </c>
      <c r="F1286">
        <v>1</v>
      </c>
      <c r="G1286">
        <v>1</v>
      </c>
      <c r="H1286" t="s">
        <v>4352</v>
      </c>
      <c r="I1286">
        <v>1</v>
      </c>
    </row>
    <row r="1287" spans="2:9" x14ac:dyDescent="0.3">
      <c r="B1287" t="s">
        <v>1038</v>
      </c>
      <c r="C1287" t="s">
        <v>2369</v>
      </c>
      <c r="D1287" t="s">
        <v>2634</v>
      </c>
      <c r="E1287" s="2">
        <v>39111</v>
      </c>
      <c r="F1287">
        <v>10</v>
      </c>
      <c r="G1287">
        <v>1</v>
      </c>
      <c r="H1287" t="s">
        <v>4353</v>
      </c>
      <c r="I1287">
        <v>10</v>
      </c>
    </row>
    <row r="1288" spans="2:9" x14ac:dyDescent="0.3">
      <c r="B1288" t="s">
        <v>1039</v>
      </c>
      <c r="C1288" t="s">
        <v>2370</v>
      </c>
      <c r="D1288" t="s">
        <v>2634</v>
      </c>
      <c r="E1288" s="2">
        <v>40318</v>
      </c>
      <c r="F1288">
        <v>10</v>
      </c>
      <c r="G1288">
        <v>1</v>
      </c>
      <c r="H1288" t="s">
        <v>4354</v>
      </c>
      <c r="I1288">
        <v>10</v>
      </c>
    </row>
    <row r="1289" spans="2:9" x14ac:dyDescent="0.3">
      <c r="B1289" t="s">
        <v>1040</v>
      </c>
      <c r="C1289" t="s">
        <v>2371</v>
      </c>
      <c r="D1289" t="s">
        <v>2634</v>
      </c>
      <c r="E1289" s="2">
        <v>36187</v>
      </c>
      <c r="F1289">
        <v>10</v>
      </c>
      <c r="G1289">
        <v>1</v>
      </c>
      <c r="H1289" t="s">
        <v>4355</v>
      </c>
      <c r="I1289">
        <v>10</v>
      </c>
    </row>
    <row r="1290" spans="2:9" x14ac:dyDescent="0.3">
      <c r="B1290" t="s">
        <v>1041</v>
      </c>
      <c r="C1290" t="s">
        <v>2372</v>
      </c>
      <c r="D1290" t="s">
        <v>2634</v>
      </c>
      <c r="E1290" s="2">
        <v>35347</v>
      </c>
      <c r="F1290">
        <v>10</v>
      </c>
      <c r="G1290">
        <v>1</v>
      </c>
      <c r="H1290" t="s">
        <v>4356</v>
      </c>
      <c r="I1290">
        <v>10</v>
      </c>
    </row>
    <row r="1291" spans="2:9" x14ac:dyDescent="0.3">
      <c r="B1291" t="s">
        <v>4357</v>
      </c>
      <c r="C1291" t="s">
        <v>4358</v>
      </c>
      <c r="D1291" t="s">
        <v>2634</v>
      </c>
      <c r="E1291" s="2">
        <v>42151</v>
      </c>
      <c r="F1291">
        <v>1</v>
      </c>
      <c r="G1291">
        <v>1</v>
      </c>
      <c r="H1291" t="s">
        <v>4359</v>
      </c>
      <c r="I1291">
        <v>1</v>
      </c>
    </row>
    <row r="1292" spans="2:9" x14ac:dyDescent="0.3">
      <c r="B1292" t="s">
        <v>1042</v>
      </c>
      <c r="C1292" t="s">
        <v>2373</v>
      </c>
      <c r="D1292" t="s">
        <v>2662</v>
      </c>
      <c r="E1292" s="2">
        <v>37041</v>
      </c>
      <c r="F1292">
        <v>10</v>
      </c>
      <c r="G1292">
        <v>1</v>
      </c>
      <c r="H1292" t="s">
        <v>4360</v>
      </c>
      <c r="I1292">
        <v>10</v>
      </c>
    </row>
    <row r="1293" spans="2:9" x14ac:dyDescent="0.3">
      <c r="B1293" t="s">
        <v>1043</v>
      </c>
      <c r="C1293" t="s">
        <v>2374</v>
      </c>
      <c r="D1293" t="s">
        <v>2634</v>
      </c>
      <c r="E1293" s="2">
        <v>36992</v>
      </c>
      <c r="F1293">
        <v>2</v>
      </c>
      <c r="G1293">
        <v>1</v>
      </c>
      <c r="H1293" t="s">
        <v>4361</v>
      </c>
      <c r="I1293">
        <v>2</v>
      </c>
    </row>
    <row r="1294" spans="2:9" x14ac:dyDescent="0.3">
      <c r="B1294" t="s">
        <v>1044</v>
      </c>
      <c r="C1294" t="s">
        <v>2375</v>
      </c>
      <c r="D1294" t="s">
        <v>2634</v>
      </c>
      <c r="E1294" s="2">
        <v>37862</v>
      </c>
      <c r="F1294">
        <v>10</v>
      </c>
      <c r="G1294">
        <v>1</v>
      </c>
      <c r="H1294" t="s">
        <v>4362</v>
      </c>
      <c r="I1294">
        <v>10</v>
      </c>
    </row>
    <row r="1295" spans="2:9" x14ac:dyDescent="0.3">
      <c r="B1295" t="s">
        <v>1045</v>
      </c>
      <c r="C1295" t="s">
        <v>4363</v>
      </c>
      <c r="D1295" t="s">
        <v>2634</v>
      </c>
      <c r="E1295" s="2">
        <v>40246</v>
      </c>
      <c r="F1295">
        <v>5</v>
      </c>
      <c r="G1295">
        <v>1</v>
      </c>
      <c r="H1295" t="s">
        <v>4364</v>
      </c>
      <c r="I1295">
        <v>5</v>
      </c>
    </row>
    <row r="1296" spans="2:9" x14ac:dyDescent="0.3">
      <c r="B1296" t="s">
        <v>1046</v>
      </c>
      <c r="C1296" t="s">
        <v>2376</v>
      </c>
      <c r="D1296" t="s">
        <v>2634</v>
      </c>
      <c r="E1296" s="2">
        <v>39141</v>
      </c>
      <c r="F1296">
        <v>1</v>
      </c>
      <c r="G1296">
        <v>1</v>
      </c>
      <c r="H1296" t="s">
        <v>4365</v>
      </c>
      <c r="I1296">
        <v>1</v>
      </c>
    </row>
    <row r="1297" spans="2:9" x14ac:dyDescent="0.3">
      <c r="B1297" t="s">
        <v>1047</v>
      </c>
      <c r="C1297" t="s">
        <v>2377</v>
      </c>
      <c r="D1297" t="s">
        <v>2634</v>
      </c>
      <c r="E1297" s="2">
        <v>41894</v>
      </c>
      <c r="F1297">
        <v>10</v>
      </c>
      <c r="G1297">
        <v>1</v>
      </c>
      <c r="H1297" t="s">
        <v>4366</v>
      </c>
      <c r="I1297">
        <v>10</v>
      </c>
    </row>
    <row r="1298" spans="2:9" x14ac:dyDescent="0.3">
      <c r="B1298" t="s">
        <v>1048</v>
      </c>
      <c r="C1298" t="s">
        <v>2378</v>
      </c>
      <c r="D1298" t="s">
        <v>2634</v>
      </c>
      <c r="E1298" s="2">
        <v>39071</v>
      </c>
      <c r="F1298">
        <v>10</v>
      </c>
      <c r="G1298">
        <v>1</v>
      </c>
      <c r="H1298" t="s">
        <v>4367</v>
      </c>
      <c r="I1298">
        <v>10</v>
      </c>
    </row>
    <row r="1299" spans="2:9" x14ac:dyDescent="0.3">
      <c r="B1299" t="s">
        <v>1316</v>
      </c>
      <c r="C1299" t="s">
        <v>2379</v>
      </c>
      <c r="D1299" t="s">
        <v>2634</v>
      </c>
      <c r="E1299" s="2">
        <v>36670</v>
      </c>
      <c r="F1299">
        <v>10</v>
      </c>
      <c r="G1299">
        <v>1</v>
      </c>
      <c r="H1299" t="s">
        <v>4368</v>
      </c>
      <c r="I1299">
        <v>10</v>
      </c>
    </row>
    <row r="1300" spans="2:9" x14ac:dyDescent="0.3">
      <c r="B1300" t="s">
        <v>1049</v>
      </c>
      <c r="C1300" t="s">
        <v>2380</v>
      </c>
      <c r="D1300" t="s">
        <v>2634</v>
      </c>
      <c r="E1300" s="2">
        <v>38810</v>
      </c>
      <c r="F1300">
        <v>2</v>
      </c>
      <c r="G1300">
        <v>1</v>
      </c>
      <c r="H1300" t="s">
        <v>4369</v>
      </c>
      <c r="I1300">
        <v>2</v>
      </c>
    </row>
    <row r="1301" spans="2:9" x14ac:dyDescent="0.3">
      <c r="B1301" t="s">
        <v>1050</v>
      </c>
      <c r="C1301" t="s">
        <v>2381</v>
      </c>
      <c r="D1301" t="s">
        <v>2634</v>
      </c>
      <c r="E1301" s="2">
        <v>35025</v>
      </c>
      <c r="F1301">
        <v>2</v>
      </c>
      <c r="G1301">
        <v>1</v>
      </c>
      <c r="H1301" t="s">
        <v>4370</v>
      </c>
      <c r="I1301">
        <v>2</v>
      </c>
    </row>
    <row r="1302" spans="2:9" x14ac:dyDescent="0.3">
      <c r="B1302" t="s">
        <v>1051</v>
      </c>
      <c r="C1302" t="s">
        <v>2382</v>
      </c>
      <c r="D1302" t="s">
        <v>2662</v>
      </c>
      <c r="E1302" s="2">
        <v>36852</v>
      </c>
      <c r="F1302">
        <v>10</v>
      </c>
      <c r="G1302">
        <v>1</v>
      </c>
      <c r="H1302" t="s">
        <v>4371</v>
      </c>
      <c r="I1302">
        <v>10</v>
      </c>
    </row>
    <row r="1303" spans="2:9" x14ac:dyDescent="0.3">
      <c r="B1303" t="s">
        <v>4372</v>
      </c>
      <c r="C1303" t="s">
        <v>4373</v>
      </c>
      <c r="D1303" t="s">
        <v>2634</v>
      </c>
      <c r="E1303" s="2">
        <v>42569</v>
      </c>
      <c r="F1303">
        <v>10</v>
      </c>
      <c r="G1303">
        <v>1</v>
      </c>
      <c r="H1303" t="s">
        <v>4374</v>
      </c>
      <c r="I1303">
        <v>10</v>
      </c>
    </row>
    <row r="1304" spans="2:9" x14ac:dyDescent="0.3">
      <c r="B1304" t="s">
        <v>1052</v>
      </c>
      <c r="C1304" t="s">
        <v>2383</v>
      </c>
      <c r="D1304" t="s">
        <v>2634</v>
      </c>
      <c r="E1304" s="2">
        <v>37998</v>
      </c>
      <c r="F1304">
        <v>1</v>
      </c>
      <c r="G1304">
        <v>1</v>
      </c>
      <c r="H1304" t="s">
        <v>4375</v>
      </c>
      <c r="I1304">
        <v>1</v>
      </c>
    </row>
    <row r="1305" spans="2:9" x14ac:dyDescent="0.3">
      <c r="B1305" t="s">
        <v>1053</v>
      </c>
      <c r="C1305" t="s">
        <v>2384</v>
      </c>
      <c r="D1305" t="s">
        <v>2634</v>
      </c>
      <c r="E1305" s="2">
        <v>36369</v>
      </c>
      <c r="F1305">
        <v>1</v>
      </c>
      <c r="G1305">
        <v>1</v>
      </c>
      <c r="H1305" t="s">
        <v>4376</v>
      </c>
      <c r="I1305">
        <v>1</v>
      </c>
    </row>
    <row r="1306" spans="2:9" x14ac:dyDescent="0.3">
      <c r="B1306" t="s">
        <v>4377</v>
      </c>
      <c r="C1306" t="s">
        <v>4378</v>
      </c>
      <c r="D1306" t="s">
        <v>2634</v>
      </c>
      <c r="E1306" s="2">
        <v>40773</v>
      </c>
      <c r="F1306">
        <v>2</v>
      </c>
      <c r="G1306">
        <v>1</v>
      </c>
      <c r="H1306" t="s">
        <v>4379</v>
      </c>
      <c r="I1306">
        <v>2</v>
      </c>
    </row>
    <row r="1307" spans="2:9" x14ac:dyDescent="0.3">
      <c r="B1307" t="s">
        <v>4380</v>
      </c>
      <c r="C1307" t="s">
        <v>4381</v>
      </c>
      <c r="D1307" t="s">
        <v>2634</v>
      </c>
      <c r="E1307" s="2">
        <v>38692</v>
      </c>
      <c r="F1307">
        <v>10</v>
      </c>
      <c r="G1307">
        <v>1</v>
      </c>
      <c r="H1307" t="s">
        <v>4382</v>
      </c>
      <c r="I1307">
        <v>10</v>
      </c>
    </row>
    <row r="1308" spans="2:9" x14ac:dyDescent="0.3">
      <c r="B1308" t="s">
        <v>1054</v>
      </c>
      <c r="C1308" t="s">
        <v>2385</v>
      </c>
      <c r="D1308" t="s">
        <v>2634</v>
      </c>
      <c r="E1308" s="2">
        <v>34878</v>
      </c>
      <c r="F1308">
        <v>10</v>
      </c>
      <c r="G1308">
        <v>1</v>
      </c>
      <c r="H1308" t="s">
        <v>4383</v>
      </c>
      <c r="I1308">
        <v>10</v>
      </c>
    </row>
    <row r="1309" spans="2:9" x14ac:dyDescent="0.3">
      <c r="B1309" t="s">
        <v>82</v>
      </c>
      <c r="C1309" t="s">
        <v>2386</v>
      </c>
      <c r="D1309" t="s">
        <v>2634</v>
      </c>
      <c r="E1309" s="2">
        <v>36137</v>
      </c>
      <c r="F1309">
        <v>1</v>
      </c>
      <c r="G1309">
        <v>1</v>
      </c>
      <c r="H1309" t="s">
        <v>4384</v>
      </c>
      <c r="I1309">
        <v>1</v>
      </c>
    </row>
    <row r="1310" spans="2:9" x14ac:dyDescent="0.3">
      <c r="B1310" t="s">
        <v>4385</v>
      </c>
      <c r="C1310" t="s">
        <v>4386</v>
      </c>
      <c r="D1310" t="s">
        <v>2634</v>
      </c>
      <c r="E1310" s="2">
        <v>42594</v>
      </c>
      <c r="F1310">
        <v>10</v>
      </c>
      <c r="G1310">
        <v>1</v>
      </c>
      <c r="H1310" t="s">
        <v>4387</v>
      </c>
      <c r="I1310">
        <v>10</v>
      </c>
    </row>
    <row r="1311" spans="2:9" x14ac:dyDescent="0.3">
      <c r="B1311" t="s">
        <v>1055</v>
      </c>
      <c r="C1311" t="s">
        <v>2387</v>
      </c>
      <c r="D1311" t="s">
        <v>2634</v>
      </c>
      <c r="E1311" s="2">
        <v>39281</v>
      </c>
      <c r="F1311">
        <v>1</v>
      </c>
      <c r="G1311">
        <v>1</v>
      </c>
      <c r="H1311" t="s">
        <v>4388</v>
      </c>
      <c r="I1311">
        <v>1</v>
      </c>
    </row>
    <row r="1312" spans="2:9" x14ac:dyDescent="0.3">
      <c r="B1312" t="s">
        <v>4389</v>
      </c>
      <c r="C1312" t="s">
        <v>4390</v>
      </c>
      <c r="D1312" t="s">
        <v>2634</v>
      </c>
      <c r="E1312" s="2">
        <v>42745</v>
      </c>
      <c r="F1312">
        <v>1</v>
      </c>
      <c r="G1312">
        <v>1</v>
      </c>
      <c r="H1312" t="s">
        <v>4391</v>
      </c>
      <c r="I1312">
        <v>1</v>
      </c>
    </row>
    <row r="1313" spans="2:9" x14ac:dyDescent="0.3">
      <c r="B1313" t="s">
        <v>1056</v>
      </c>
      <c r="C1313" t="s">
        <v>2388</v>
      </c>
      <c r="D1313" t="s">
        <v>2662</v>
      </c>
      <c r="E1313" s="2">
        <v>41059</v>
      </c>
      <c r="F1313">
        <v>10</v>
      </c>
      <c r="G1313">
        <v>1</v>
      </c>
      <c r="H1313" t="s">
        <v>4392</v>
      </c>
      <c r="I1313">
        <v>10</v>
      </c>
    </row>
    <row r="1314" spans="2:9" x14ac:dyDescent="0.3">
      <c r="B1314" t="s">
        <v>1057</v>
      </c>
      <c r="C1314" t="s">
        <v>2389</v>
      </c>
      <c r="D1314" t="s">
        <v>2634</v>
      </c>
      <c r="E1314" s="2">
        <v>39071</v>
      </c>
      <c r="F1314">
        <v>10</v>
      </c>
      <c r="G1314">
        <v>1</v>
      </c>
      <c r="H1314" t="s">
        <v>4393</v>
      </c>
      <c r="I1314">
        <v>10</v>
      </c>
    </row>
    <row r="1315" spans="2:9" x14ac:dyDescent="0.3">
      <c r="B1315" t="s">
        <v>4394</v>
      </c>
      <c r="C1315" t="s">
        <v>4395</v>
      </c>
      <c r="D1315" t="s">
        <v>2634</v>
      </c>
      <c r="E1315" s="2">
        <v>35655</v>
      </c>
      <c r="F1315">
        <v>10</v>
      </c>
      <c r="G1315">
        <v>1</v>
      </c>
      <c r="H1315" t="s">
        <v>4396</v>
      </c>
      <c r="I1315">
        <v>10</v>
      </c>
    </row>
    <row r="1316" spans="2:9" x14ac:dyDescent="0.3">
      <c r="B1316" t="s">
        <v>1058</v>
      </c>
      <c r="C1316" t="s">
        <v>2390</v>
      </c>
      <c r="D1316" t="s">
        <v>2634</v>
      </c>
      <c r="E1316" s="2">
        <v>35074</v>
      </c>
      <c r="F1316">
        <v>10</v>
      </c>
      <c r="G1316">
        <v>1</v>
      </c>
      <c r="H1316" t="s">
        <v>4397</v>
      </c>
      <c r="I1316">
        <v>10</v>
      </c>
    </row>
    <row r="1317" spans="2:9" x14ac:dyDescent="0.3">
      <c r="B1317" t="s">
        <v>104</v>
      </c>
      <c r="C1317" t="s">
        <v>2391</v>
      </c>
      <c r="D1317" t="s">
        <v>2634</v>
      </c>
      <c r="E1317" s="2">
        <v>39595</v>
      </c>
      <c r="F1317">
        <v>3</v>
      </c>
      <c r="G1317">
        <v>1</v>
      </c>
      <c r="H1317" t="s">
        <v>4398</v>
      </c>
      <c r="I1317">
        <v>3</v>
      </c>
    </row>
    <row r="1318" spans="2:9" x14ac:dyDescent="0.3">
      <c r="B1318" t="s">
        <v>1059</v>
      </c>
      <c r="C1318" t="s">
        <v>2392</v>
      </c>
      <c r="D1318" t="s">
        <v>2634</v>
      </c>
      <c r="E1318" s="2">
        <v>38559</v>
      </c>
      <c r="F1318">
        <v>10</v>
      </c>
      <c r="G1318">
        <v>1</v>
      </c>
      <c r="H1318" t="s">
        <v>4399</v>
      </c>
      <c r="I1318">
        <v>10</v>
      </c>
    </row>
    <row r="1319" spans="2:9" x14ac:dyDescent="0.3">
      <c r="B1319" t="s">
        <v>1060</v>
      </c>
      <c r="C1319" t="s">
        <v>2393</v>
      </c>
      <c r="D1319" t="s">
        <v>2662</v>
      </c>
      <c r="E1319" s="2">
        <v>36516</v>
      </c>
      <c r="F1319">
        <v>2</v>
      </c>
      <c r="G1319">
        <v>1</v>
      </c>
      <c r="H1319" t="s">
        <v>4400</v>
      </c>
      <c r="I1319">
        <v>2</v>
      </c>
    </row>
    <row r="1320" spans="2:9" x14ac:dyDescent="0.3">
      <c r="B1320" t="s">
        <v>1061</v>
      </c>
      <c r="C1320" t="s">
        <v>2394</v>
      </c>
      <c r="D1320" t="s">
        <v>2634</v>
      </c>
      <c r="E1320" s="2">
        <v>40555</v>
      </c>
      <c r="F1320">
        <v>1</v>
      </c>
      <c r="G1320">
        <v>1</v>
      </c>
      <c r="H1320" t="s">
        <v>4401</v>
      </c>
      <c r="I1320">
        <v>1</v>
      </c>
    </row>
    <row r="1321" spans="2:9" x14ac:dyDescent="0.3">
      <c r="B1321" t="s">
        <v>4402</v>
      </c>
      <c r="C1321" t="s">
        <v>4403</v>
      </c>
      <c r="D1321" t="s">
        <v>2634</v>
      </c>
      <c r="E1321" s="2">
        <v>40112</v>
      </c>
      <c r="F1321">
        <v>10</v>
      </c>
      <c r="G1321">
        <v>1</v>
      </c>
      <c r="H1321" t="s">
        <v>4404</v>
      </c>
      <c r="I1321">
        <v>10</v>
      </c>
    </row>
    <row r="1322" spans="2:9" x14ac:dyDescent="0.3">
      <c r="B1322" t="s">
        <v>1317</v>
      </c>
      <c r="C1322" t="s">
        <v>2395</v>
      </c>
      <c r="D1322" t="s">
        <v>2634</v>
      </c>
      <c r="E1322" s="2">
        <v>41640</v>
      </c>
      <c r="F1322">
        <v>10</v>
      </c>
      <c r="G1322">
        <v>1</v>
      </c>
      <c r="H1322" t="s">
        <v>4405</v>
      </c>
      <c r="I1322">
        <v>10</v>
      </c>
    </row>
    <row r="1323" spans="2:9" x14ac:dyDescent="0.3">
      <c r="B1323" t="s">
        <v>1062</v>
      </c>
      <c r="C1323" t="s">
        <v>2396</v>
      </c>
      <c r="D1323" t="s">
        <v>2634</v>
      </c>
      <c r="E1323" s="2">
        <v>35053</v>
      </c>
      <c r="F1323">
        <v>10</v>
      </c>
      <c r="G1323">
        <v>1</v>
      </c>
      <c r="H1323" t="s">
        <v>4406</v>
      </c>
      <c r="I1323">
        <v>10</v>
      </c>
    </row>
    <row r="1324" spans="2:9" x14ac:dyDescent="0.3">
      <c r="B1324" t="s">
        <v>1063</v>
      </c>
      <c r="C1324" t="s">
        <v>2397</v>
      </c>
      <c r="D1324" t="s">
        <v>2634</v>
      </c>
      <c r="E1324" s="2">
        <v>37851</v>
      </c>
      <c r="F1324">
        <v>10</v>
      </c>
      <c r="G1324">
        <v>1</v>
      </c>
      <c r="H1324" t="s">
        <v>4407</v>
      </c>
      <c r="I1324">
        <v>10</v>
      </c>
    </row>
    <row r="1325" spans="2:9" x14ac:dyDescent="0.3">
      <c r="B1325" t="s">
        <v>1064</v>
      </c>
      <c r="C1325" t="s">
        <v>2398</v>
      </c>
      <c r="D1325" t="s">
        <v>2662</v>
      </c>
      <c r="E1325" s="2">
        <v>36271</v>
      </c>
      <c r="F1325">
        <v>10</v>
      </c>
      <c r="G1325">
        <v>1</v>
      </c>
      <c r="H1325" t="s">
        <v>4408</v>
      </c>
      <c r="I1325">
        <v>10</v>
      </c>
    </row>
    <row r="1326" spans="2:9" x14ac:dyDescent="0.3">
      <c r="B1326" t="s">
        <v>1065</v>
      </c>
      <c r="C1326" t="s">
        <v>2399</v>
      </c>
      <c r="D1326" t="s">
        <v>2634</v>
      </c>
      <c r="E1326" s="2">
        <v>39210</v>
      </c>
      <c r="F1326">
        <v>10</v>
      </c>
      <c r="G1326">
        <v>1</v>
      </c>
      <c r="H1326" t="s">
        <v>4409</v>
      </c>
      <c r="I1326">
        <v>10</v>
      </c>
    </row>
    <row r="1327" spans="2:9" x14ac:dyDescent="0.3">
      <c r="B1327" t="s">
        <v>4410</v>
      </c>
      <c r="C1327" t="s">
        <v>4411</v>
      </c>
      <c r="D1327" t="s">
        <v>2634</v>
      </c>
      <c r="E1327" s="2">
        <v>39322</v>
      </c>
      <c r="F1327">
        <v>10</v>
      </c>
      <c r="G1327">
        <v>1</v>
      </c>
      <c r="H1327" t="s">
        <v>4412</v>
      </c>
      <c r="I1327">
        <v>10</v>
      </c>
    </row>
    <row r="1328" spans="2:9" x14ac:dyDescent="0.3">
      <c r="B1328" t="s">
        <v>98</v>
      </c>
      <c r="C1328" t="s">
        <v>2400</v>
      </c>
      <c r="D1328" t="s">
        <v>2634</v>
      </c>
      <c r="E1328" s="2">
        <v>40802</v>
      </c>
      <c r="F1328">
        <v>10</v>
      </c>
      <c r="G1328">
        <v>1</v>
      </c>
      <c r="H1328" t="s">
        <v>4413</v>
      </c>
      <c r="I1328">
        <v>10</v>
      </c>
    </row>
    <row r="1329" spans="2:9" x14ac:dyDescent="0.3">
      <c r="B1329" t="s">
        <v>1066</v>
      </c>
      <c r="C1329" t="s">
        <v>2401</v>
      </c>
      <c r="D1329" t="s">
        <v>2634</v>
      </c>
      <c r="E1329" s="2">
        <v>35410</v>
      </c>
      <c r="F1329">
        <v>10</v>
      </c>
      <c r="G1329">
        <v>1</v>
      </c>
      <c r="H1329" t="s">
        <v>4414</v>
      </c>
      <c r="I1329">
        <v>10</v>
      </c>
    </row>
    <row r="1330" spans="2:9" x14ac:dyDescent="0.3">
      <c r="B1330" t="s">
        <v>1067</v>
      </c>
      <c r="C1330" t="s">
        <v>2402</v>
      </c>
      <c r="D1330" t="s">
        <v>2634</v>
      </c>
      <c r="E1330" s="2">
        <v>38509</v>
      </c>
      <c r="F1330">
        <v>10</v>
      </c>
      <c r="G1330">
        <v>1</v>
      </c>
      <c r="H1330" t="s">
        <v>4415</v>
      </c>
      <c r="I1330">
        <v>10</v>
      </c>
    </row>
    <row r="1331" spans="2:9" x14ac:dyDescent="0.3">
      <c r="B1331" t="s">
        <v>4416</v>
      </c>
      <c r="C1331" t="s">
        <v>4417</v>
      </c>
      <c r="D1331" t="s">
        <v>2634</v>
      </c>
      <c r="E1331" s="2">
        <v>42576</v>
      </c>
      <c r="F1331">
        <v>1</v>
      </c>
      <c r="G1331">
        <v>1</v>
      </c>
      <c r="H1331" t="s">
        <v>4418</v>
      </c>
      <c r="I1331">
        <v>1</v>
      </c>
    </row>
    <row r="1332" spans="2:9" x14ac:dyDescent="0.3">
      <c r="B1332" t="s">
        <v>83</v>
      </c>
      <c r="C1332" t="s">
        <v>4419</v>
      </c>
      <c r="D1332" t="s">
        <v>2634</v>
      </c>
      <c r="E1332" s="2">
        <v>36558</v>
      </c>
      <c r="F1332">
        <v>10</v>
      </c>
      <c r="G1332">
        <v>1</v>
      </c>
      <c r="H1332" t="s">
        <v>4420</v>
      </c>
      <c r="I1332">
        <v>10</v>
      </c>
    </row>
    <row r="1333" spans="2:9" x14ac:dyDescent="0.3">
      <c r="B1333" t="s">
        <v>1068</v>
      </c>
      <c r="C1333" t="s">
        <v>2403</v>
      </c>
      <c r="D1333" t="s">
        <v>2634</v>
      </c>
      <c r="E1333" s="2">
        <v>34955</v>
      </c>
      <c r="F1333">
        <v>10</v>
      </c>
      <c r="G1333">
        <v>1</v>
      </c>
      <c r="H1333" t="s">
        <v>4421</v>
      </c>
      <c r="I1333">
        <v>10</v>
      </c>
    </row>
    <row r="1334" spans="2:9" x14ac:dyDescent="0.3">
      <c r="B1334" t="s">
        <v>1069</v>
      </c>
      <c r="C1334" t="s">
        <v>2404</v>
      </c>
      <c r="D1334" t="s">
        <v>2634</v>
      </c>
      <c r="E1334" s="2">
        <v>37712</v>
      </c>
      <c r="F1334">
        <v>10</v>
      </c>
      <c r="G1334">
        <v>1</v>
      </c>
      <c r="H1334" t="s">
        <v>4422</v>
      </c>
      <c r="I1334">
        <v>10</v>
      </c>
    </row>
    <row r="1335" spans="2:9" x14ac:dyDescent="0.3">
      <c r="B1335" t="s">
        <v>1070</v>
      </c>
      <c r="C1335" t="s">
        <v>2405</v>
      </c>
      <c r="D1335" t="s">
        <v>2634</v>
      </c>
      <c r="E1335" s="2">
        <v>40583</v>
      </c>
      <c r="F1335">
        <v>10</v>
      </c>
      <c r="G1335">
        <v>1</v>
      </c>
      <c r="H1335" t="s">
        <v>4423</v>
      </c>
      <c r="I1335">
        <v>10</v>
      </c>
    </row>
    <row r="1336" spans="2:9" x14ac:dyDescent="0.3">
      <c r="B1336" t="s">
        <v>1071</v>
      </c>
      <c r="C1336" t="s">
        <v>2406</v>
      </c>
      <c r="D1336" t="s">
        <v>2634</v>
      </c>
      <c r="E1336" s="2">
        <v>37753</v>
      </c>
      <c r="F1336">
        <v>1</v>
      </c>
      <c r="G1336">
        <v>1</v>
      </c>
      <c r="H1336" t="s">
        <v>4424</v>
      </c>
      <c r="I1336">
        <v>1</v>
      </c>
    </row>
    <row r="1337" spans="2:9" x14ac:dyDescent="0.3">
      <c r="B1337" t="s">
        <v>1072</v>
      </c>
      <c r="C1337" t="s">
        <v>2407</v>
      </c>
      <c r="D1337" t="s">
        <v>2634</v>
      </c>
      <c r="E1337" s="2">
        <v>38750</v>
      </c>
      <c r="F1337">
        <v>2</v>
      </c>
      <c r="G1337">
        <v>1</v>
      </c>
      <c r="H1337" t="s">
        <v>4425</v>
      </c>
      <c r="I1337">
        <v>2</v>
      </c>
    </row>
    <row r="1338" spans="2:9" x14ac:dyDescent="0.3">
      <c r="B1338" t="s">
        <v>1073</v>
      </c>
      <c r="C1338" t="s">
        <v>2408</v>
      </c>
      <c r="D1338" t="s">
        <v>2634</v>
      </c>
      <c r="E1338" s="2">
        <v>35039</v>
      </c>
      <c r="F1338">
        <v>10</v>
      </c>
      <c r="G1338">
        <v>1</v>
      </c>
      <c r="H1338" t="s">
        <v>4426</v>
      </c>
      <c r="I1338">
        <v>10</v>
      </c>
    </row>
    <row r="1339" spans="2:9" x14ac:dyDescent="0.3">
      <c r="B1339" t="s">
        <v>1074</v>
      </c>
      <c r="C1339" t="s">
        <v>2409</v>
      </c>
      <c r="D1339" t="s">
        <v>2634</v>
      </c>
      <c r="E1339" s="2">
        <v>36868</v>
      </c>
      <c r="F1339">
        <v>2</v>
      </c>
      <c r="G1339">
        <v>1</v>
      </c>
      <c r="H1339" t="s">
        <v>4427</v>
      </c>
      <c r="I1339">
        <v>2</v>
      </c>
    </row>
    <row r="1340" spans="2:9" x14ac:dyDescent="0.3">
      <c r="B1340" t="s">
        <v>1075</v>
      </c>
      <c r="C1340" t="s">
        <v>2410</v>
      </c>
      <c r="D1340" t="s">
        <v>2634</v>
      </c>
      <c r="E1340" s="2">
        <v>37869</v>
      </c>
      <c r="F1340">
        <v>10</v>
      </c>
      <c r="G1340">
        <v>1</v>
      </c>
      <c r="H1340" t="s">
        <v>4428</v>
      </c>
      <c r="I1340">
        <v>10</v>
      </c>
    </row>
    <row r="1341" spans="2:9" x14ac:dyDescent="0.3">
      <c r="B1341" t="s">
        <v>1076</v>
      </c>
      <c r="C1341" t="s">
        <v>2411</v>
      </c>
      <c r="D1341" t="s">
        <v>2634</v>
      </c>
      <c r="E1341" s="2">
        <v>38546</v>
      </c>
      <c r="F1341">
        <v>2</v>
      </c>
      <c r="G1341">
        <v>1</v>
      </c>
      <c r="H1341" t="s">
        <v>4429</v>
      </c>
      <c r="I1341">
        <v>2</v>
      </c>
    </row>
    <row r="1342" spans="2:9" x14ac:dyDescent="0.3">
      <c r="B1342" t="s">
        <v>1077</v>
      </c>
      <c r="C1342" t="s">
        <v>2412</v>
      </c>
      <c r="D1342" t="s">
        <v>2634</v>
      </c>
      <c r="E1342" s="2">
        <v>34844</v>
      </c>
      <c r="F1342">
        <v>2</v>
      </c>
      <c r="G1342">
        <v>1</v>
      </c>
      <c r="H1342" t="s">
        <v>4430</v>
      </c>
      <c r="I1342">
        <v>2</v>
      </c>
    </row>
    <row r="1343" spans="2:9" x14ac:dyDescent="0.3">
      <c r="B1343" t="s">
        <v>1078</v>
      </c>
      <c r="C1343" t="s">
        <v>2413</v>
      </c>
      <c r="D1343" t="s">
        <v>2634</v>
      </c>
      <c r="E1343" s="2">
        <v>39497</v>
      </c>
      <c r="F1343">
        <v>10</v>
      </c>
      <c r="G1343">
        <v>1</v>
      </c>
      <c r="H1343" t="s">
        <v>4431</v>
      </c>
      <c r="I1343">
        <v>10</v>
      </c>
    </row>
    <row r="1344" spans="2:9" x14ac:dyDescent="0.3">
      <c r="B1344" t="s">
        <v>1079</v>
      </c>
      <c r="C1344" t="s">
        <v>2414</v>
      </c>
      <c r="D1344" t="s">
        <v>2634</v>
      </c>
      <c r="E1344" s="2">
        <v>40522</v>
      </c>
      <c r="F1344">
        <v>10</v>
      </c>
      <c r="G1344">
        <v>1</v>
      </c>
      <c r="H1344" t="s">
        <v>4432</v>
      </c>
      <c r="I1344">
        <v>10</v>
      </c>
    </row>
    <row r="1345" spans="2:9" x14ac:dyDescent="0.3">
      <c r="B1345" t="s">
        <v>1080</v>
      </c>
      <c r="C1345" t="s">
        <v>2415</v>
      </c>
      <c r="D1345" t="s">
        <v>2634</v>
      </c>
      <c r="E1345" s="2">
        <v>40571</v>
      </c>
      <c r="F1345">
        <v>10</v>
      </c>
      <c r="G1345">
        <v>1</v>
      </c>
      <c r="H1345" t="s">
        <v>4433</v>
      </c>
      <c r="I1345">
        <v>10</v>
      </c>
    </row>
    <row r="1346" spans="2:9" x14ac:dyDescent="0.3">
      <c r="B1346" t="s">
        <v>1081</v>
      </c>
      <c r="C1346" t="s">
        <v>2416</v>
      </c>
      <c r="D1346" t="s">
        <v>2634</v>
      </c>
      <c r="E1346" s="2">
        <v>41205</v>
      </c>
      <c r="F1346">
        <v>5</v>
      </c>
      <c r="G1346">
        <v>1</v>
      </c>
      <c r="H1346" t="s">
        <v>4434</v>
      </c>
      <c r="I1346">
        <v>5</v>
      </c>
    </row>
    <row r="1347" spans="2:9" x14ac:dyDescent="0.3">
      <c r="B1347" t="s">
        <v>1082</v>
      </c>
      <c r="C1347" t="s">
        <v>2417</v>
      </c>
      <c r="D1347" t="s">
        <v>2634</v>
      </c>
      <c r="E1347" s="2">
        <v>40331</v>
      </c>
      <c r="F1347">
        <v>1</v>
      </c>
      <c r="G1347">
        <v>1</v>
      </c>
      <c r="H1347" t="s">
        <v>4435</v>
      </c>
      <c r="I1347">
        <v>1</v>
      </c>
    </row>
    <row r="1348" spans="2:9" x14ac:dyDescent="0.3">
      <c r="B1348" t="s">
        <v>1083</v>
      </c>
      <c r="C1348" t="s">
        <v>2418</v>
      </c>
      <c r="D1348" t="s">
        <v>2634</v>
      </c>
      <c r="E1348" s="2">
        <v>35802</v>
      </c>
      <c r="F1348">
        <v>10</v>
      </c>
      <c r="G1348">
        <v>1</v>
      </c>
      <c r="H1348" t="s">
        <v>4436</v>
      </c>
      <c r="I1348">
        <v>10</v>
      </c>
    </row>
    <row r="1349" spans="2:9" x14ac:dyDescent="0.3">
      <c r="B1349" t="s">
        <v>1084</v>
      </c>
      <c r="C1349" t="s">
        <v>2419</v>
      </c>
      <c r="D1349" t="s">
        <v>2634</v>
      </c>
      <c r="E1349" s="2">
        <v>35263</v>
      </c>
      <c r="F1349">
        <v>10</v>
      </c>
      <c r="G1349">
        <v>1</v>
      </c>
      <c r="H1349" t="s">
        <v>4437</v>
      </c>
      <c r="I1349">
        <v>10</v>
      </c>
    </row>
    <row r="1350" spans="2:9" x14ac:dyDescent="0.3">
      <c r="B1350" t="s">
        <v>1085</v>
      </c>
      <c r="C1350" t="s">
        <v>2420</v>
      </c>
      <c r="D1350" t="s">
        <v>2634</v>
      </c>
      <c r="E1350" s="2">
        <v>36684</v>
      </c>
      <c r="F1350">
        <v>1</v>
      </c>
      <c r="G1350">
        <v>1</v>
      </c>
      <c r="H1350" t="s">
        <v>4438</v>
      </c>
      <c r="I1350">
        <v>1</v>
      </c>
    </row>
    <row r="1351" spans="2:9" x14ac:dyDescent="0.3">
      <c r="B1351" t="s">
        <v>1086</v>
      </c>
      <c r="C1351" t="s">
        <v>2421</v>
      </c>
      <c r="D1351" t="s">
        <v>2634</v>
      </c>
      <c r="E1351" s="2">
        <v>38624</v>
      </c>
      <c r="F1351">
        <v>10</v>
      </c>
      <c r="G1351">
        <v>1</v>
      </c>
      <c r="H1351" t="s">
        <v>4439</v>
      </c>
      <c r="I1351">
        <v>10</v>
      </c>
    </row>
    <row r="1352" spans="2:9" x14ac:dyDescent="0.3">
      <c r="B1352" t="s">
        <v>1087</v>
      </c>
      <c r="C1352" t="s">
        <v>2422</v>
      </c>
      <c r="D1352" t="s">
        <v>2634</v>
      </c>
      <c r="E1352" s="2">
        <v>38778</v>
      </c>
      <c r="F1352">
        <v>1</v>
      </c>
      <c r="G1352">
        <v>1</v>
      </c>
      <c r="H1352" t="s">
        <v>4440</v>
      </c>
      <c r="I1352">
        <v>1</v>
      </c>
    </row>
    <row r="1353" spans="2:9" x14ac:dyDescent="0.3">
      <c r="B1353" t="s">
        <v>1088</v>
      </c>
      <c r="C1353" t="s">
        <v>4441</v>
      </c>
      <c r="D1353" t="s">
        <v>2634</v>
      </c>
      <c r="E1353" s="2">
        <v>34738</v>
      </c>
      <c r="F1353">
        <v>1</v>
      </c>
      <c r="G1353">
        <v>1</v>
      </c>
      <c r="H1353" t="s">
        <v>4442</v>
      </c>
      <c r="I1353">
        <v>1</v>
      </c>
    </row>
    <row r="1354" spans="2:9" x14ac:dyDescent="0.3">
      <c r="B1354" t="s">
        <v>1089</v>
      </c>
      <c r="C1354" t="s">
        <v>2423</v>
      </c>
      <c r="D1354" t="s">
        <v>2634</v>
      </c>
      <c r="E1354" s="2">
        <v>40130</v>
      </c>
      <c r="F1354">
        <v>2</v>
      </c>
      <c r="G1354">
        <v>1</v>
      </c>
      <c r="H1354" t="s">
        <v>4443</v>
      </c>
      <c r="I1354">
        <v>2</v>
      </c>
    </row>
    <row r="1355" spans="2:9" x14ac:dyDescent="0.3">
      <c r="B1355" t="s">
        <v>16</v>
      </c>
      <c r="C1355" t="s">
        <v>2424</v>
      </c>
      <c r="D1355" t="s">
        <v>2634</v>
      </c>
      <c r="E1355" s="2">
        <v>38831</v>
      </c>
      <c r="F1355">
        <v>5</v>
      </c>
      <c r="G1355">
        <v>1</v>
      </c>
      <c r="H1355" t="s">
        <v>4444</v>
      </c>
      <c r="I1355">
        <v>5</v>
      </c>
    </row>
    <row r="1356" spans="2:9" x14ac:dyDescent="0.3">
      <c r="B1356" t="s">
        <v>1090</v>
      </c>
      <c r="C1356" t="s">
        <v>2425</v>
      </c>
      <c r="D1356" t="s">
        <v>2634</v>
      </c>
      <c r="E1356" s="2">
        <v>41908</v>
      </c>
      <c r="F1356">
        <v>10</v>
      </c>
      <c r="G1356">
        <v>1</v>
      </c>
      <c r="H1356" t="s">
        <v>4445</v>
      </c>
      <c r="I1356">
        <v>10</v>
      </c>
    </row>
    <row r="1357" spans="2:9" x14ac:dyDescent="0.3">
      <c r="B1357" t="s">
        <v>1091</v>
      </c>
      <c r="C1357" t="s">
        <v>2426</v>
      </c>
      <c r="D1357" t="s">
        <v>2634</v>
      </c>
      <c r="E1357" s="2">
        <v>38176</v>
      </c>
      <c r="F1357">
        <v>1</v>
      </c>
      <c r="G1357">
        <v>1</v>
      </c>
      <c r="H1357" t="s">
        <v>4446</v>
      </c>
      <c r="I1357">
        <v>1</v>
      </c>
    </row>
    <row r="1358" spans="2:9" x14ac:dyDescent="0.3">
      <c r="B1358" t="s">
        <v>1092</v>
      </c>
      <c r="C1358" t="s">
        <v>2427</v>
      </c>
      <c r="D1358" t="s">
        <v>2634</v>
      </c>
      <c r="E1358" s="2">
        <v>36446</v>
      </c>
      <c r="F1358">
        <v>10</v>
      </c>
      <c r="G1358">
        <v>1</v>
      </c>
      <c r="H1358" t="s">
        <v>4447</v>
      </c>
      <c r="I1358">
        <v>10</v>
      </c>
    </row>
    <row r="1359" spans="2:9" x14ac:dyDescent="0.3">
      <c r="B1359" t="s">
        <v>105</v>
      </c>
      <c r="C1359" t="s">
        <v>2428</v>
      </c>
      <c r="D1359" t="s">
        <v>2634</v>
      </c>
      <c r="E1359" s="2">
        <v>38401</v>
      </c>
      <c r="F1359">
        <v>1</v>
      </c>
      <c r="G1359">
        <v>1</v>
      </c>
      <c r="H1359" t="s">
        <v>4448</v>
      </c>
      <c r="I1359">
        <v>1</v>
      </c>
    </row>
    <row r="1360" spans="2:9" x14ac:dyDescent="0.3">
      <c r="B1360" t="s">
        <v>1093</v>
      </c>
      <c r="C1360" t="s">
        <v>2429</v>
      </c>
      <c r="D1360" t="s">
        <v>2634</v>
      </c>
      <c r="E1360" s="2">
        <v>34899</v>
      </c>
      <c r="F1360">
        <v>2</v>
      </c>
      <c r="G1360">
        <v>1</v>
      </c>
      <c r="H1360" t="s">
        <v>4449</v>
      </c>
      <c r="I1360">
        <v>2</v>
      </c>
    </row>
    <row r="1361" spans="2:9" x14ac:dyDescent="0.3">
      <c r="B1361" t="s">
        <v>1094</v>
      </c>
      <c r="C1361" t="s">
        <v>2430</v>
      </c>
      <c r="D1361" t="s">
        <v>2634</v>
      </c>
      <c r="E1361" s="2">
        <v>39373</v>
      </c>
      <c r="F1361">
        <v>10</v>
      </c>
      <c r="G1361">
        <v>1</v>
      </c>
      <c r="H1361" t="s">
        <v>4450</v>
      </c>
      <c r="I1361">
        <v>10</v>
      </c>
    </row>
    <row r="1362" spans="2:9" x14ac:dyDescent="0.3">
      <c r="B1362" t="s">
        <v>1095</v>
      </c>
      <c r="C1362" t="s">
        <v>2431</v>
      </c>
      <c r="D1362" t="s">
        <v>2634</v>
      </c>
      <c r="E1362" s="2">
        <v>39155</v>
      </c>
      <c r="F1362">
        <v>5</v>
      </c>
      <c r="G1362">
        <v>1</v>
      </c>
      <c r="H1362" t="s">
        <v>4451</v>
      </c>
      <c r="I1362">
        <v>5</v>
      </c>
    </row>
    <row r="1363" spans="2:9" x14ac:dyDescent="0.3">
      <c r="B1363" t="s">
        <v>1096</v>
      </c>
      <c r="C1363" t="s">
        <v>2432</v>
      </c>
      <c r="D1363" t="s">
        <v>2634</v>
      </c>
      <c r="E1363" s="2">
        <v>39595</v>
      </c>
      <c r="F1363">
        <v>10</v>
      </c>
      <c r="G1363">
        <v>1</v>
      </c>
      <c r="H1363" t="s">
        <v>4452</v>
      </c>
      <c r="I1363">
        <v>10</v>
      </c>
    </row>
    <row r="1364" spans="2:9" x14ac:dyDescent="0.3">
      <c r="B1364" t="s">
        <v>1097</v>
      </c>
      <c r="C1364" t="s">
        <v>2433</v>
      </c>
      <c r="D1364" t="s">
        <v>2662</v>
      </c>
      <c r="E1364" s="2">
        <v>39079</v>
      </c>
      <c r="F1364">
        <v>10</v>
      </c>
      <c r="G1364">
        <v>1</v>
      </c>
      <c r="H1364" t="s">
        <v>4453</v>
      </c>
      <c r="I1364">
        <v>10</v>
      </c>
    </row>
    <row r="1365" spans="2:9" x14ac:dyDescent="0.3">
      <c r="B1365" t="s">
        <v>1098</v>
      </c>
      <c r="C1365" t="s">
        <v>4454</v>
      </c>
      <c r="D1365" t="s">
        <v>2634</v>
      </c>
      <c r="E1365" s="2">
        <v>40550</v>
      </c>
      <c r="F1365">
        <v>5</v>
      </c>
      <c r="G1365">
        <v>1</v>
      </c>
      <c r="H1365" t="s">
        <v>4455</v>
      </c>
      <c r="I1365">
        <v>5</v>
      </c>
    </row>
    <row r="1366" spans="2:9" x14ac:dyDescent="0.3">
      <c r="B1366" t="s">
        <v>1099</v>
      </c>
      <c r="C1366" t="s">
        <v>2434</v>
      </c>
      <c r="D1366" t="s">
        <v>2634</v>
      </c>
      <c r="E1366" s="2">
        <v>37398</v>
      </c>
      <c r="F1366">
        <v>1</v>
      </c>
      <c r="G1366">
        <v>1</v>
      </c>
      <c r="H1366" t="s">
        <v>4456</v>
      </c>
      <c r="I1366">
        <v>1</v>
      </c>
    </row>
    <row r="1367" spans="2:9" x14ac:dyDescent="0.3">
      <c r="B1367" t="s">
        <v>1100</v>
      </c>
      <c r="C1367" t="s">
        <v>2435</v>
      </c>
      <c r="D1367" t="s">
        <v>2634</v>
      </c>
      <c r="E1367" s="2">
        <v>38518</v>
      </c>
      <c r="F1367">
        <v>10</v>
      </c>
      <c r="G1367">
        <v>1</v>
      </c>
      <c r="H1367" t="s">
        <v>4457</v>
      </c>
      <c r="I1367">
        <v>10</v>
      </c>
    </row>
    <row r="1368" spans="2:9" x14ac:dyDescent="0.3">
      <c r="B1368" t="s">
        <v>1101</v>
      </c>
      <c r="C1368" t="s">
        <v>2436</v>
      </c>
      <c r="D1368" t="s">
        <v>2634</v>
      </c>
      <c r="E1368" s="2">
        <v>34829</v>
      </c>
      <c r="F1368">
        <v>10</v>
      </c>
      <c r="G1368">
        <v>1</v>
      </c>
      <c r="H1368" t="s">
        <v>4458</v>
      </c>
      <c r="I1368">
        <v>10</v>
      </c>
    </row>
    <row r="1369" spans="2:9" x14ac:dyDescent="0.3">
      <c r="B1369" t="s">
        <v>1102</v>
      </c>
      <c r="C1369" t="s">
        <v>2437</v>
      </c>
      <c r="D1369" t="s">
        <v>2634</v>
      </c>
      <c r="E1369" s="2">
        <v>39065</v>
      </c>
      <c r="F1369">
        <v>10</v>
      </c>
      <c r="G1369">
        <v>1</v>
      </c>
      <c r="H1369" t="s">
        <v>4459</v>
      </c>
      <c r="I1369">
        <v>10</v>
      </c>
    </row>
    <row r="1370" spans="2:9" x14ac:dyDescent="0.3">
      <c r="B1370" t="s">
        <v>1103</v>
      </c>
      <c r="C1370" t="s">
        <v>2438</v>
      </c>
      <c r="D1370" t="s">
        <v>2634</v>
      </c>
      <c r="E1370" s="2">
        <v>37917</v>
      </c>
      <c r="F1370">
        <v>1</v>
      </c>
      <c r="G1370">
        <v>1</v>
      </c>
      <c r="H1370" t="s">
        <v>4460</v>
      </c>
      <c r="I1370">
        <v>1</v>
      </c>
    </row>
    <row r="1371" spans="2:9" x14ac:dyDescent="0.3">
      <c r="B1371" t="s">
        <v>1104</v>
      </c>
      <c r="C1371" t="s">
        <v>2439</v>
      </c>
      <c r="D1371" t="s">
        <v>2634</v>
      </c>
      <c r="E1371" s="2">
        <v>38644</v>
      </c>
      <c r="F1371">
        <v>2</v>
      </c>
      <c r="G1371">
        <v>1</v>
      </c>
      <c r="H1371" t="s">
        <v>4461</v>
      </c>
      <c r="I1371">
        <v>2</v>
      </c>
    </row>
    <row r="1372" spans="2:9" x14ac:dyDescent="0.3">
      <c r="B1372" t="s">
        <v>1105</v>
      </c>
      <c r="C1372" t="s">
        <v>2440</v>
      </c>
      <c r="D1372" t="s">
        <v>2634</v>
      </c>
      <c r="E1372" s="2">
        <v>41058</v>
      </c>
      <c r="F1372">
        <v>1</v>
      </c>
      <c r="G1372">
        <v>1</v>
      </c>
      <c r="H1372" t="s">
        <v>4462</v>
      </c>
      <c r="I1372">
        <v>1</v>
      </c>
    </row>
    <row r="1373" spans="2:9" x14ac:dyDescent="0.3">
      <c r="B1373" t="s">
        <v>1106</v>
      </c>
      <c r="C1373" t="s">
        <v>2441</v>
      </c>
      <c r="D1373" t="s">
        <v>2634</v>
      </c>
      <c r="E1373" s="2">
        <v>35039</v>
      </c>
      <c r="F1373">
        <v>10</v>
      </c>
      <c r="G1373">
        <v>1</v>
      </c>
      <c r="H1373" t="s">
        <v>4463</v>
      </c>
      <c r="I1373">
        <v>10</v>
      </c>
    </row>
    <row r="1374" spans="2:9" x14ac:dyDescent="0.3">
      <c r="B1374" t="s">
        <v>1107</v>
      </c>
      <c r="C1374" t="s">
        <v>2442</v>
      </c>
      <c r="D1374" t="s">
        <v>2634</v>
      </c>
      <c r="E1374" s="2">
        <v>38846</v>
      </c>
      <c r="F1374">
        <v>10</v>
      </c>
      <c r="G1374">
        <v>1</v>
      </c>
      <c r="H1374" t="s">
        <v>4464</v>
      </c>
      <c r="I1374">
        <v>10</v>
      </c>
    </row>
    <row r="1375" spans="2:9" x14ac:dyDescent="0.3">
      <c r="B1375" t="s">
        <v>1108</v>
      </c>
      <c r="C1375" t="s">
        <v>2443</v>
      </c>
      <c r="D1375" t="s">
        <v>2634</v>
      </c>
      <c r="E1375" s="2">
        <v>40709</v>
      </c>
      <c r="F1375">
        <v>2</v>
      </c>
      <c r="G1375">
        <v>1</v>
      </c>
      <c r="H1375" t="s">
        <v>4465</v>
      </c>
      <c r="I1375">
        <v>2</v>
      </c>
    </row>
    <row r="1376" spans="2:9" x14ac:dyDescent="0.3">
      <c r="B1376" t="s">
        <v>1109</v>
      </c>
      <c r="C1376" t="s">
        <v>2444</v>
      </c>
      <c r="D1376" t="s">
        <v>2634</v>
      </c>
      <c r="E1376" s="2">
        <v>40224</v>
      </c>
      <c r="F1376">
        <v>10</v>
      </c>
      <c r="G1376">
        <v>1</v>
      </c>
      <c r="H1376" t="s">
        <v>4466</v>
      </c>
      <c r="I1376">
        <v>10</v>
      </c>
    </row>
    <row r="1377" spans="2:9" x14ac:dyDescent="0.3">
      <c r="B1377" t="s">
        <v>84</v>
      </c>
      <c r="C1377" t="s">
        <v>2445</v>
      </c>
      <c r="D1377" t="s">
        <v>2634</v>
      </c>
      <c r="E1377" s="2">
        <v>36516</v>
      </c>
      <c r="F1377">
        <v>10</v>
      </c>
      <c r="G1377">
        <v>1</v>
      </c>
      <c r="H1377" t="s">
        <v>4467</v>
      </c>
      <c r="I1377">
        <v>10</v>
      </c>
    </row>
    <row r="1378" spans="2:9" x14ac:dyDescent="0.3">
      <c r="B1378" t="s">
        <v>4468</v>
      </c>
      <c r="C1378" t="s">
        <v>4469</v>
      </c>
      <c r="D1378" t="s">
        <v>2634</v>
      </c>
      <c r="E1378" s="2">
        <v>42227</v>
      </c>
      <c r="F1378">
        <v>10</v>
      </c>
      <c r="G1378">
        <v>1</v>
      </c>
      <c r="H1378" t="s">
        <v>4470</v>
      </c>
      <c r="I1378">
        <v>10</v>
      </c>
    </row>
    <row r="1379" spans="2:9" x14ac:dyDescent="0.3">
      <c r="B1379" t="s">
        <v>1110</v>
      </c>
      <c r="C1379" t="s">
        <v>2446</v>
      </c>
      <c r="D1379" t="s">
        <v>2634</v>
      </c>
      <c r="E1379" s="2">
        <v>34907</v>
      </c>
      <c r="F1379">
        <v>10</v>
      </c>
      <c r="G1379">
        <v>1</v>
      </c>
      <c r="H1379" t="s">
        <v>4471</v>
      </c>
      <c r="I1379">
        <v>10</v>
      </c>
    </row>
    <row r="1380" spans="2:9" x14ac:dyDescent="0.3">
      <c r="B1380" t="s">
        <v>1111</v>
      </c>
      <c r="C1380" t="s">
        <v>2447</v>
      </c>
      <c r="D1380" t="s">
        <v>2634</v>
      </c>
      <c r="E1380" s="2">
        <v>36880</v>
      </c>
      <c r="F1380">
        <v>2</v>
      </c>
      <c r="G1380">
        <v>1</v>
      </c>
      <c r="H1380" t="s">
        <v>4472</v>
      </c>
      <c r="I1380">
        <v>2</v>
      </c>
    </row>
    <row r="1381" spans="2:9" x14ac:dyDescent="0.3">
      <c r="B1381" t="s">
        <v>1112</v>
      </c>
      <c r="C1381" t="s">
        <v>2448</v>
      </c>
      <c r="D1381" t="s">
        <v>2634</v>
      </c>
      <c r="E1381" s="2">
        <v>39321</v>
      </c>
      <c r="F1381">
        <v>1</v>
      </c>
      <c r="G1381">
        <v>1</v>
      </c>
      <c r="H1381" t="s">
        <v>4473</v>
      </c>
      <c r="I1381">
        <v>1</v>
      </c>
    </row>
    <row r="1382" spans="2:9" x14ac:dyDescent="0.3">
      <c r="B1382" t="s">
        <v>1113</v>
      </c>
      <c r="C1382" t="s">
        <v>2449</v>
      </c>
      <c r="D1382" t="s">
        <v>2634</v>
      </c>
      <c r="E1382" s="2">
        <v>38989</v>
      </c>
      <c r="F1382">
        <v>10</v>
      </c>
      <c r="G1382">
        <v>1</v>
      </c>
      <c r="H1382" t="s">
        <v>4474</v>
      </c>
      <c r="I1382">
        <v>10</v>
      </c>
    </row>
    <row r="1383" spans="2:9" x14ac:dyDescent="0.3">
      <c r="B1383" t="s">
        <v>1114</v>
      </c>
      <c r="C1383" t="s">
        <v>2450</v>
      </c>
      <c r="D1383" t="s">
        <v>2634</v>
      </c>
      <c r="E1383" s="2">
        <v>40308</v>
      </c>
      <c r="F1383">
        <v>10</v>
      </c>
      <c r="G1383">
        <v>1</v>
      </c>
      <c r="H1383" t="s">
        <v>4475</v>
      </c>
      <c r="I1383">
        <v>10</v>
      </c>
    </row>
    <row r="1384" spans="2:9" x14ac:dyDescent="0.3">
      <c r="B1384" t="s">
        <v>1115</v>
      </c>
      <c r="C1384" t="s">
        <v>2451</v>
      </c>
      <c r="D1384" t="s">
        <v>2634</v>
      </c>
      <c r="E1384" s="2">
        <v>39087</v>
      </c>
      <c r="F1384">
        <v>1</v>
      </c>
      <c r="G1384">
        <v>1</v>
      </c>
      <c r="H1384" t="s">
        <v>4476</v>
      </c>
      <c r="I1384">
        <v>1</v>
      </c>
    </row>
    <row r="1385" spans="2:9" x14ac:dyDescent="0.3">
      <c r="B1385" t="s">
        <v>1116</v>
      </c>
      <c r="C1385" t="s">
        <v>2452</v>
      </c>
      <c r="D1385" t="s">
        <v>2662</v>
      </c>
      <c r="E1385" s="2">
        <v>39497</v>
      </c>
      <c r="F1385">
        <v>10</v>
      </c>
      <c r="G1385">
        <v>1</v>
      </c>
      <c r="H1385" t="s">
        <v>4477</v>
      </c>
      <c r="I1385">
        <v>10</v>
      </c>
    </row>
    <row r="1386" spans="2:9" x14ac:dyDescent="0.3">
      <c r="B1386" t="s">
        <v>1117</v>
      </c>
      <c r="C1386" t="s">
        <v>2453</v>
      </c>
      <c r="D1386" t="s">
        <v>2634</v>
      </c>
      <c r="E1386" s="2">
        <v>41249</v>
      </c>
      <c r="F1386">
        <v>10</v>
      </c>
      <c r="G1386">
        <v>1</v>
      </c>
      <c r="H1386" t="s">
        <v>4478</v>
      </c>
      <c r="I1386">
        <v>10</v>
      </c>
    </row>
    <row r="1387" spans="2:9" x14ac:dyDescent="0.3">
      <c r="B1387" t="s">
        <v>1118</v>
      </c>
      <c r="C1387" t="s">
        <v>2454</v>
      </c>
      <c r="D1387" t="s">
        <v>2662</v>
      </c>
      <c r="E1387" s="2">
        <v>40316</v>
      </c>
      <c r="F1387">
        <v>10</v>
      </c>
      <c r="G1387">
        <v>1</v>
      </c>
      <c r="H1387" t="s">
        <v>4479</v>
      </c>
      <c r="I1387">
        <v>10</v>
      </c>
    </row>
    <row r="1388" spans="2:9" x14ac:dyDescent="0.3">
      <c r="B1388" t="s">
        <v>1119</v>
      </c>
      <c r="C1388" t="s">
        <v>2455</v>
      </c>
      <c r="D1388" t="s">
        <v>2662</v>
      </c>
      <c r="E1388" s="2">
        <v>39272</v>
      </c>
      <c r="F1388">
        <v>10</v>
      </c>
      <c r="G1388">
        <v>1</v>
      </c>
      <c r="H1388" t="s">
        <v>4480</v>
      </c>
      <c r="I1388">
        <v>10</v>
      </c>
    </row>
    <row r="1389" spans="2:9" x14ac:dyDescent="0.3">
      <c r="B1389" t="s">
        <v>4481</v>
      </c>
      <c r="C1389" t="s">
        <v>4482</v>
      </c>
      <c r="D1389" t="s">
        <v>2634</v>
      </c>
      <c r="E1389" s="2">
        <v>42817</v>
      </c>
      <c r="F1389">
        <v>10</v>
      </c>
      <c r="G1389">
        <v>1</v>
      </c>
      <c r="H1389" t="s">
        <v>4483</v>
      </c>
      <c r="I1389">
        <v>10</v>
      </c>
    </row>
    <row r="1390" spans="2:9" x14ac:dyDescent="0.3">
      <c r="B1390" t="s">
        <v>86</v>
      </c>
      <c r="C1390" t="s">
        <v>2456</v>
      </c>
      <c r="D1390" t="s">
        <v>2634</v>
      </c>
      <c r="E1390" s="2">
        <v>36251</v>
      </c>
      <c r="F1390">
        <v>10</v>
      </c>
      <c r="G1390">
        <v>1</v>
      </c>
      <c r="H1390" t="s">
        <v>4484</v>
      </c>
      <c r="I1390">
        <v>10</v>
      </c>
    </row>
    <row r="1391" spans="2:9" x14ac:dyDescent="0.3">
      <c r="B1391" t="s">
        <v>86</v>
      </c>
      <c r="C1391" t="s">
        <v>2456</v>
      </c>
      <c r="D1391" t="s">
        <v>3149</v>
      </c>
      <c r="E1391" s="2">
        <v>36251</v>
      </c>
      <c r="F1391">
        <v>10</v>
      </c>
      <c r="G1391">
        <v>1</v>
      </c>
      <c r="H1391" t="s">
        <v>4485</v>
      </c>
      <c r="I1391">
        <v>10</v>
      </c>
    </row>
    <row r="1392" spans="2:9" x14ac:dyDescent="0.3">
      <c r="B1392" t="s">
        <v>1120</v>
      </c>
      <c r="C1392" t="s">
        <v>2457</v>
      </c>
      <c r="D1392" t="s">
        <v>2634</v>
      </c>
      <c r="E1392" s="2">
        <v>36572</v>
      </c>
      <c r="F1392">
        <v>1</v>
      </c>
      <c r="G1392">
        <v>1</v>
      </c>
      <c r="H1392" t="s">
        <v>4486</v>
      </c>
      <c r="I1392">
        <v>1</v>
      </c>
    </row>
    <row r="1393" spans="2:9" x14ac:dyDescent="0.3">
      <c r="B1393" t="s">
        <v>87</v>
      </c>
      <c r="C1393" t="s">
        <v>2458</v>
      </c>
      <c r="D1393" t="s">
        <v>2634</v>
      </c>
      <c r="E1393" s="2">
        <v>34801</v>
      </c>
      <c r="F1393">
        <v>10</v>
      </c>
      <c r="G1393">
        <v>1</v>
      </c>
      <c r="H1393" t="s">
        <v>4487</v>
      </c>
      <c r="I1393">
        <v>10</v>
      </c>
    </row>
    <row r="1394" spans="2:9" x14ac:dyDescent="0.3">
      <c r="B1394" t="s">
        <v>1121</v>
      </c>
      <c r="C1394" t="s">
        <v>2459</v>
      </c>
      <c r="D1394" t="s">
        <v>2634</v>
      </c>
      <c r="E1394" s="2">
        <v>37881</v>
      </c>
      <c r="F1394">
        <v>10</v>
      </c>
      <c r="G1394">
        <v>1</v>
      </c>
      <c r="H1394" t="s">
        <v>4488</v>
      </c>
      <c r="I1394">
        <v>10</v>
      </c>
    </row>
    <row r="1395" spans="2:9" x14ac:dyDescent="0.3">
      <c r="B1395" t="s">
        <v>88</v>
      </c>
      <c r="C1395" t="s">
        <v>2460</v>
      </c>
      <c r="D1395" t="s">
        <v>2634</v>
      </c>
      <c r="E1395" s="2">
        <v>36117</v>
      </c>
      <c r="F1395">
        <v>1</v>
      </c>
      <c r="G1395">
        <v>1</v>
      </c>
      <c r="H1395" t="s">
        <v>4489</v>
      </c>
      <c r="I1395">
        <v>1</v>
      </c>
    </row>
    <row r="1396" spans="2:9" x14ac:dyDescent="0.3">
      <c r="B1396" t="s">
        <v>1122</v>
      </c>
      <c r="C1396" t="s">
        <v>2461</v>
      </c>
      <c r="D1396" t="s">
        <v>2634</v>
      </c>
      <c r="E1396" s="2">
        <v>35970</v>
      </c>
      <c r="F1396">
        <v>10</v>
      </c>
      <c r="G1396">
        <v>1</v>
      </c>
      <c r="H1396" t="s">
        <v>4490</v>
      </c>
      <c r="I1396">
        <v>10</v>
      </c>
    </row>
    <row r="1397" spans="2:9" x14ac:dyDescent="0.3">
      <c r="B1397" t="s">
        <v>1123</v>
      </c>
      <c r="C1397" t="s">
        <v>2462</v>
      </c>
      <c r="D1397" t="s">
        <v>2634</v>
      </c>
      <c r="E1397" s="2">
        <v>37768</v>
      </c>
      <c r="F1397">
        <v>10</v>
      </c>
      <c r="G1397">
        <v>1</v>
      </c>
      <c r="H1397" t="s">
        <v>4491</v>
      </c>
      <c r="I1397">
        <v>10</v>
      </c>
    </row>
    <row r="1398" spans="2:9" x14ac:dyDescent="0.3">
      <c r="B1398" t="s">
        <v>1124</v>
      </c>
      <c r="C1398" t="s">
        <v>2463</v>
      </c>
      <c r="D1398" t="s">
        <v>2634</v>
      </c>
      <c r="E1398" s="2">
        <v>35998</v>
      </c>
      <c r="F1398">
        <v>2</v>
      </c>
      <c r="G1398">
        <v>1</v>
      </c>
      <c r="H1398" t="s">
        <v>4492</v>
      </c>
      <c r="I1398">
        <v>2</v>
      </c>
    </row>
    <row r="1399" spans="2:9" x14ac:dyDescent="0.3">
      <c r="B1399" t="s">
        <v>4493</v>
      </c>
      <c r="C1399" t="s">
        <v>2463</v>
      </c>
      <c r="D1399" t="s">
        <v>2634</v>
      </c>
      <c r="E1399" s="2">
        <v>39757</v>
      </c>
      <c r="F1399">
        <v>2</v>
      </c>
      <c r="G1399">
        <v>1</v>
      </c>
      <c r="H1399" t="s">
        <v>4494</v>
      </c>
      <c r="I1399">
        <v>2</v>
      </c>
    </row>
    <row r="1400" spans="2:9" x14ac:dyDescent="0.3">
      <c r="B1400" t="s">
        <v>1125</v>
      </c>
      <c r="C1400" t="s">
        <v>2464</v>
      </c>
      <c r="D1400" t="s">
        <v>2634</v>
      </c>
      <c r="E1400" s="2">
        <v>35158</v>
      </c>
      <c r="F1400">
        <v>1</v>
      </c>
      <c r="G1400">
        <v>1</v>
      </c>
      <c r="H1400" t="s">
        <v>4495</v>
      </c>
      <c r="I1400">
        <v>1</v>
      </c>
    </row>
    <row r="1401" spans="2:9" x14ac:dyDescent="0.3">
      <c r="B1401" t="s">
        <v>1126</v>
      </c>
      <c r="C1401" t="s">
        <v>2465</v>
      </c>
      <c r="D1401" t="s">
        <v>2634</v>
      </c>
      <c r="E1401" s="2">
        <v>37676</v>
      </c>
      <c r="F1401">
        <v>10</v>
      </c>
      <c r="G1401">
        <v>1</v>
      </c>
      <c r="H1401" t="s">
        <v>4496</v>
      </c>
      <c r="I1401">
        <v>10</v>
      </c>
    </row>
    <row r="1402" spans="2:9" x14ac:dyDescent="0.3">
      <c r="B1402" t="s">
        <v>106</v>
      </c>
      <c r="C1402" t="s">
        <v>2466</v>
      </c>
      <c r="D1402" t="s">
        <v>2634</v>
      </c>
      <c r="E1402" s="2">
        <v>36117</v>
      </c>
      <c r="F1402">
        <v>10</v>
      </c>
      <c r="G1402">
        <v>1</v>
      </c>
      <c r="H1402" t="s">
        <v>4497</v>
      </c>
      <c r="I1402">
        <v>10</v>
      </c>
    </row>
    <row r="1403" spans="2:9" x14ac:dyDescent="0.3">
      <c r="B1403" t="s">
        <v>1127</v>
      </c>
      <c r="C1403" t="s">
        <v>2467</v>
      </c>
      <c r="D1403" t="s">
        <v>2634</v>
      </c>
      <c r="E1403" s="2">
        <v>41038</v>
      </c>
      <c r="F1403">
        <v>10</v>
      </c>
      <c r="G1403">
        <v>1</v>
      </c>
      <c r="H1403" t="s">
        <v>4498</v>
      </c>
      <c r="I1403">
        <v>10</v>
      </c>
    </row>
    <row r="1404" spans="2:9" x14ac:dyDescent="0.3">
      <c r="B1404" t="s">
        <v>1128</v>
      </c>
      <c r="C1404" t="s">
        <v>2468</v>
      </c>
      <c r="D1404" t="s">
        <v>2634</v>
      </c>
      <c r="E1404" s="2">
        <v>37277</v>
      </c>
      <c r="F1404">
        <v>2</v>
      </c>
      <c r="G1404">
        <v>1</v>
      </c>
      <c r="H1404" t="s">
        <v>4499</v>
      </c>
      <c r="I1404">
        <v>2</v>
      </c>
    </row>
    <row r="1405" spans="2:9" x14ac:dyDescent="0.3">
      <c r="B1405" t="s">
        <v>1129</v>
      </c>
      <c r="C1405" t="s">
        <v>2469</v>
      </c>
      <c r="D1405" t="s">
        <v>2634</v>
      </c>
      <c r="E1405" s="2">
        <v>40652</v>
      </c>
      <c r="F1405">
        <v>10</v>
      </c>
      <c r="G1405">
        <v>1</v>
      </c>
      <c r="H1405" t="s">
        <v>4500</v>
      </c>
      <c r="I1405">
        <v>10</v>
      </c>
    </row>
    <row r="1406" spans="2:9" x14ac:dyDescent="0.3">
      <c r="B1406" t="s">
        <v>4501</v>
      </c>
      <c r="C1406" t="s">
        <v>4502</v>
      </c>
      <c r="D1406" t="s">
        <v>2634</v>
      </c>
      <c r="E1406" s="2">
        <v>42719</v>
      </c>
      <c r="F1406">
        <v>2</v>
      </c>
      <c r="G1406">
        <v>1</v>
      </c>
      <c r="H1406" t="s">
        <v>4503</v>
      </c>
      <c r="I1406">
        <v>2</v>
      </c>
    </row>
    <row r="1407" spans="2:9" x14ac:dyDescent="0.3">
      <c r="B1407" t="s">
        <v>1130</v>
      </c>
      <c r="C1407" t="s">
        <v>2470</v>
      </c>
      <c r="D1407" t="s">
        <v>2634</v>
      </c>
      <c r="E1407" s="2">
        <v>35571</v>
      </c>
      <c r="F1407">
        <v>10</v>
      </c>
      <c r="G1407">
        <v>1</v>
      </c>
      <c r="H1407" t="s">
        <v>4504</v>
      </c>
      <c r="I1407">
        <v>10</v>
      </c>
    </row>
    <row r="1408" spans="2:9" x14ac:dyDescent="0.3">
      <c r="B1408" t="s">
        <v>1131</v>
      </c>
      <c r="C1408" t="s">
        <v>2471</v>
      </c>
      <c r="D1408" t="s">
        <v>2634</v>
      </c>
      <c r="E1408" s="2">
        <v>38224</v>
      </c>
      <c r="F1408">
        <v>1</v>
      </c>
      <c r="G1408">
        <v>1</v>
      </c>
      <c r="H1408" t="s">
        <v>4505</v>
      </c>
      <c r="I1408">
        <v>1</v>
      </c>
    </row>
    <row r="1409" spans="2:9" x14ac:dyDescent="0.3">
      <c r="B1409" t="s">
        <v>1132</v>
      </c>
      <c r="C1409" t="s">
        <v>2472</v>
      </c>
      <c r="D1409" t="s">
        <v>2634</v>
      </c>
      <c r="E1409" s="2">
        <v>40794</v>
      </c>
      <c r="F1409">
        <v>10</v>
      </c>
      <c r="G1409">
        <v>1</v>
      </c>
      <c r="H1409" t="s">
        <v>4506</v>
      </c>
      <c r="I1409">
        <v>10</v>
      </c>
    </row>
    <row r="1410" spans="2:9" x14ac:dyDescent="0.3">
      <c r="B1410" t="s">
        <v>4507</v>
      </c>
      <c r="C1410" t="s">
        <v>4508</v>
      </c>
      <c r="D1410" t="s">
        <v>2634</v>
      </c>
      <c r="E1410" s="2">
        <v>42412</v>
      </c>
      <c r="F1410">
        <v>10</v>
      </c>
      <c r="G1410">
        <v>1</v>
      </c>
      <c r="H1410" t="s">
        <v>4509</v>
      </c>
      <c r="I1410">
        <v>10</v>
      </c>
    </row>
    <row r="1411" spans="2:9" x14ac:dyDescent="0.3">
      <c r="B1411" t="s">
        <v>1133</v>
      </c>
      <c r="C1411" t="s">
        <v>4510</v>
      </c>
      <c r="D1411" t="s">
        <v>2662</v>
      </c>
      <c r="E1411" s="2">
        <v>40794</v>
      </c>
      <c r="F1411">
        <v>10</v>
      </c>
      <c r="G1411">
        <v>1</v>
      </c>
      <c r="H1411" t="s">
        <v>4511</v>
      </c>
      <c r="I1411">
        <v>10</v>
      </c>
    </row>
    <row r="1412" spans="2:9" x14ac:dyDescent="0.3">
      <c r="B1412" t="s">
        <v>1134</v>
      </c>
      <c r="C1412" t="s">
        <v>2473</v>
      </c>
      <c r="D1412" t="s">
        <v>2634</v>
      </c>
      <c r="E1412" s="2">
        <v>38957</v>
      </c>
      <c r="F1412">
        <v>5</v>
      </c>
      <c r="G1412">
        <v>1</v>
      </c>
      <c r="H1412" t="s">
        <v>4512</v>
      </c>
      <c r="I1412">
        <v>5</v>
      </c>
    </row>
    <row r="1413" spans="2:9" x14ac:dyDescent="0.3">
      <c r="B1413" t="s">
        <v>1135</v>
      </c>
      <c r="C1413" t="s">
        <v>2474</v>
      </c>
      <c r="D1413" t="s">
        <v>2634</v>
      </c>
      <c r="E1413" s="2">
        <v>40492</v>
      </c>
      <c r="F1413">
        <v>2</v>
      </c>
      <c r="G1413">
        <v>1</v>
      </c>
      <c r="H1413" t="s">
        <v>4513</v>
      </c>
      <c r="I1413">
        <v>2</v>
      </c>
    </row>
    <row r="1414" spans="2:9" x14ac:dyDescent="0.3">
      <c r="B1414" t="s">
        <v>1136</v>
      </c>
      <c r="C1414" t="s">
        <v>2475</v>
      </c>
      <c r="D1414" t="s">
        <v>2634</v>
      </c>
      <c r="E1414" s="2">
        <v>40375</v>
      </c>
      <c r="F1414">
        <v>10</v>
      </c>
      <c r="G1414">
        <v>1</v>
      </c>
      <c r="H1414" t="s">
        <v>4514</v>
      </c>
      <c r="I1414">
        <v>10</v>
      </c>
    </row>
    <row r="1415" spans="2:9" x14ac:dyDescent="0.3">
      <c r="B1415" t="s">
        <v>4515</v>
      </c>
      <c r="C1415" t="s">
        <v>4516</v>
      </c>
      <c r="D1415" t="s">
        <v>2634</v>
      </c>
      <c r="E1415" s="2">
        <v>42733</v>
      </c>
      <c r="F1415">
        <v>10</v>
      </c>
      <c r="G1415">
        <v>1</v>
      </c>
      <c r="H1415" t="s">
        <v>4517</v>
      </c>
      <c r="I1415">
        <v>10</v>
      </c>
    </row>
    <row r="1416" spans="2:9" x14ac:dyDescent="0.3">
      <c r="B1416" t="s">
        <v>1137</v>
      </c>
      <c r="C1416" t="s">
        <v>2476</v>
      </c>
      <c r="D1416" t="s">
        <v>2634</v>
      </c>
      <c r="E1416" s="2">
        <v>38239</v>
      </c>
      <c r="F1416">
        <v>1</v>
      </c>
      <c r="G1416">
        <v>1</v>
      </c>
      <c r="H1416" t="s">
        <v>4518</v>
      </c>
      <c r="I1416">
        <v>1</v>
      </c>
    </row>
    <row r="1417" spans="2:9" x14ac:dyDescent="0.3">
      <c r="B1417" t="s">
        <v>1138</v>
      </c>
      <c r="C1417" t="s">
        <v>2477</v>
      </c>
      <c r="D1417" t="s">
        <v>2662</v>
      </c>
      <c r="E1417" s="2">
        <v>40247</v>
      </c>
      <c r="F1417">
        <v>10</v>
      </c>
      <c r="G1417">
        <v>1</v>
      </c>
      <c r="H1417" t="s">
        <v>4519</v>
      </c>
      <c r="I1417">
        <v>10</v>
      </c>
    </row>
    <row r="1418" spans="2:9" x14ac:dyDescent="0.3">
      <c r="B1418" t="s">
        <v>1139</v>
      </c>
      <c r="C1418" t="s">
        <v>2478</v>
      </c>
      <c r="D1418" t="s">
        <v>2634</v>
      </c>
      <c r="E1418" s="2">
        <v>40605</v>
      </c>
      <c r="F1418">
        <v>1</v>
      </c>
      <c r="G1418">
        <v>1</v>
      </c>
      <c r="H1418" t="s">
        <v>4520</v>
      </c>
      <c r="I1418">
        <v>1</v>
      </c>
    </row>
    <row r="1419" spans="2:9" x14ac:dyDescent="0.3">
      <c r="B1419" t="s">
        <v>1140</v>
      </c>
      <c r="C1419" t="s">
        <v>2479</v>
      </c>
      <c r="D1419" t="s">
        <v>2634</v>
      </c>
      <c r="E1419" s="2">
        <v>36733</v>
      </c>
      <c r="F1419">
        <v>10</v>
      </c>
      <c r="G1419">
        <v>1</v>
      </c>
      <c r="H1419" t="s">
        <v>4521</v>
      </c>
      <c r="I1419">
        <v>10</v>
      </c>
    </row>
    <row r="1420" spans="2:9" x14ac:dyDescent="0.3">
      <c r="B1420" t="s">
        <v>1141</v>
      </c>
      <c r="C1420" t="s">
        <v>2480</v>
      </c>
      <c r="D1420" t="s">
        <v>2662</v>
      </c>
      <c r="E1420" s="2">
        <v>39139</v>
      </c>
      <c r="F1420">
        <v>10</v>
      </c>
      <c r="G1420">
        <v>1</v>
      </c>
      <c r="H1420" t="s">
        <v>4522</v>
      </c>
      <c r="I1420">
        <v>10</v>
      </c>
    </row>
    <row r="1421" spans="2:9" x14ac:dyDescent="0.3">
      <c r="B1421" t="s">
        <v>1142</v>
      </c>
      <c r="C1421" t="s">
        <v>4523</v>
      </c>
      <c r="D1421" t="s">
        <v>2634</v>
      </c>
      <c r="E1421" s="2">
        <v>39219</v>
      </c>
      <c r="F1421">
        <v>10</v>
      </c>
      <c r="G1421">
        <v>1</v>
      </c>
      <c r="H1421" t="s">
        <v>4524</v>
      </c>
      <c r="I1421">
        <v>10</v>
      </c>
    </row>
    <row r="1422" spans="2:9" x14ac:dyDescent="0.3">
      <c r="B1422" t="s">
        <v>1143</v>
      </c>
      <c r="C1422" t="s">
        <v>2481</v>
      </c>
      <c r="D1422" t="s">
        <v>2634</v>
      </c>
      <c r="E1422" s="2">
        <v>40228</v>
      </c>
      <c r="F1422">
        <v>10</v>
      </c>
      <c r="G1422">
        <v>1</v>
      </c>
      <c r="H1422" t="s">
        <v>4525</v>
      </c>
      <c r="I1422">
        <v>10</v>
      </c>
    </row>
    <row r="1423" spans="2:9" x14ac:dyDescent="0.3">
      <c r="B1423" t="s">
        <v>1144</v>
      </c>
      <c r="C1423" t="s">
        <v>2482</v>
      </c>
      <c r="D1423" t="s">
        <v>2634</v>
      </c>
      <c r="E1423" s="2">
        <v>39174</v>
      </c>
      <c r="F1423">
        <v>10</v>
      </c>
      <c r="G1423">
        <v>1</v>
      </c>
      <c r="H1423" t="s">
        <v>4526</v>
      </c>
      <c r="I1423">
        <v>10</v>
      </c>
    </row>
    <row r="1424" spans="2:9" x14ac:dyDescent="0.3">
      <c r="B1424" t="s">
        <v>90</v>
      </c>
      <c r="C1424" t="s">
        <v>2483</v>
      </c>
      <c r="D1424" t="s">
        <v>2634</v>
      </c>
      <c r="E1424" s="2">
        <v>34941</v>
      </c>
      <c r="F1424">
        <v>2</v>
      </c>
      <c r="G1424">
        <v>1</v>
      </c>
      <c r="H1424" t="s">
        <v>4527</v>
      </c>
      <c r="I1424">
        <v>2</v>
      </c>
    </row>
    <row r="1425" spans="2:9" x14ac:dyDescent="0.3">
      <c r="B1425" t="s">
        <v>1145</v>
      </c>
      <c r="C1425" t="s">
        <v>2484</v>
      </c>
      <c r="D1425" t="s">
        <v>2634</v>
      </c>
      <c r="E1425" s="2">
        <v>34821</v>
      </c>
      <c r="F1425">
        <v>10</v>
      </c>
      <c r="G1425">
        <v>1</v>
      </c>
      <c r="H1425" t="s">
        <v>4528</v>
      </c>
      <c r="I1425">
        <v>10</v>
      </c>
    </row>
    <row r="1426" spans="2:9" x14ac:dyDescent="0.3">
      <c r="B1426" t="s">
        <v>1146</v>
      </c>
      <c r="C1426" t="s">
        <v>2485</v>
      </c>
      <c r="D1426" t="s">
        <v>2634</v>
      </c>
      <c r="E1426" s="2">
        <v>36684</v>
      </c>
      <c r="F1426">
        <v>1</v>
      </c>
      <c r="G1426">
        <v>1</v>
      </c>
      <c r="H1426" t="s">
        <v>4529</v>
      </c>
      <c r="I1426">
        <v>1</v>
      </c>
    </row>
    <row r="1427" spans="2:9" x14ac:dyDescent="0.3">
      <c r="B1427" t="s">
        <v>1147</v>
      </c>
      <c r="C1427" t="s">
        <v>2486</v>
      </c>
      <c r="D1427" t="s">
        <v>2662</v>
      </c>
      <c r="E1427" s="2">
        <v>40938</v>
      </c>
      <c r="F1427">
        <v>10</v>
      </c>
      <c r="G1427">
        <v>1</v>
      </c>
      <c r="H1427" t="s">
        <v>4530</v>
      </c>
      <c r="I1427">
        <v>10</v>
      </c>
    </row>
    <row r="1428" spans="2:9" x14ac:dyDescent="0.3">
      <c r="B1428" t="s">
        <v>4531</v>
      </c>
      <c r="C1428" t="s">
        <v>4532</v>
      </c>
      <c r="D1428" t="s">
        <v>2634</v>
      </c>
      <c r="E1428" s="2">
        <v>42499</v>
      </c>
      <c r="F1428">
        <v>10</v>
      </c>
      <c r="G1428">
        <v>1</v>
      </c>
      <c r="H1428" t="s">
        <v>4533</v>
      </c>
      <c r="I1428">
        <v>10</v>
      </c>
    </row>
    <row r="1429" spans="2:9" x14ac:dyDescent="0.3">
      <c r="B1429" t="s">
        <v>1148</v>
      </c>
      <c r="C1429" t="s">
        <v>2487</v>
      </c>
      <c r="D1429" t="s">
        <v>2634</v>
      </c>
      <c r="E1429" s="2">
        <v>40375</v>
      </c>
      <c r="F1429">
        <v>10</v>
      </c>
      <c r="G1429">
        <v>1</v>
      </c>
      <c r="H1429" t="s">
        <v>4534</v>
      </c>
      <c r="I1429">
        <v>10</v>
      </c>
    </row>
    <row r="1430" spans="2:9" x14ac:dyDescent="0.3">
      <c r="B1430" t="s">
        <v>1149</v>
      </c>
      <c r="C1430" t="s">
        <v>2488</v>
      </c>
      <c r="D1430" t="s">
        <v>2634</v>
      </c>
      <c r="E1430" s="2">
        <v>39098</v>
      </c>
      <c r="F1430">
        <v>5</v>
      </c>
      <c r="G1430">
        <v>1</v>
      </c>
      <c r="H1430" t="s">
        <v>4535</v>
      </c>
      <c r="I1430">
        <v>5</v>
      </c>
    </row>
    <row r="1431" spans="2:9" x14ac:dyDescent="0.3">
      <c r="B1431" t="s">
        <v>1150</v>
      </c>
      <c r="C1431" t="s">
        <v>2489</v>
      </c>
      <c r="D1431" t="s">
        <v>2634</v>
      </c>
      <c r="E1431" s="2">
        <v>39125</v>
      </c>
      <c r="F1431">
        <v>10</v>
      </c>
      <c r="G1431">
        <v>1</v>
      </c>
      <c r="H1431" t="s">
        <v>4536</v>
      </c>
      <c r="I1431">
        <v>10</v>
      </c>
    </row>
    <row r="1432" spans="2:9" x14ac:dyDescent="0.3">
      <c r="B1432" t="s">
        <v>1318</v>
      </c>
      <c r="C1432" t="s">
        <v>2490</v>
      </c>
      <c r="D1432" t="s">
        <v>2662</v>
      </c>
      <c r="E1432" s="2">
        <v>40830</v>
      </c>
      <c r="F1432">
        <v>10</v>
      </c>
      <c r="G1432">
        <v>1</v>
      </c>
      <c r="H1432" t="s">
        <v>4537</v>
      </c>
      <c r="I1432">
        <v>10</v>
      </c>
    </row>
    <row r="1433" spans="2:9" x14ac:dyDescent="0.3">
      <c r="B1433" t="s">
        <v>1151</v>
      </c>
      <c r="C1433" t="s">
        <v>2491</v>
      </c>
      <c r="D1433" t="s">
        <v>2634</v>
      </c>
      <c r="E1433" s="2">
        <v>34969</v>
      </c>
      <c r="F1433">
        <v>10</v>
      </c>
      <c r="G1433">
        <v>1</v>
      </c>
      <c r="H1433" t="s">
        <v>4538</v>
      </c>
      <c r="I1433">
        <v>10</v>
      </c>
    </row>
    <row r="1434" spans="2:9" x14ac:dyDescent="0.3">
      <c r="B1434" t="s">
        <v>1152</v>
      </c>
      <c r="C1434" t="s">
        <v>2492</v>
      </c>
      <c r="D1434" t="s">
        <v>2662</v>
      </c>
      <c r="E1434" s="2">
        <v>37879</v>
      </c>
      <c r="F1434">
        <v>10</v>
      </c>
      <c r="G1434">
        <v>1</v>
      </c>
      <c r="H1434" t="s">
        <v>4539</v>
      </c>
      <c r="I1434">
        <v>10</v>
      </c>
    </row>
    <row r="1435" spans="2:9" x14ac:dyDescent="0.3">
      <c r="B1435" t="s">
        <v>1153</v>
      </c>
      <c r="C1435" t="s">
        <v>2493</v>
      </c>
      <c r="D1435" t="s">
        <v>2634</v>
      </c>
      <c r="E1435" s="2">
        <v>39246</v>
      </c>
      <c r="F1435">
        <v>1</v>
      </c>
      <c r="G1435">
        <v>1</v>
      </c>
      <c r="H1435" t="s">
        <v>4540</v>
      </c>
      <c r="I1435">
        <v>1</v>
      </c>
    </row>
    <row r="1436" spans="2:9" x14ac:dyDescent="0.3">
      <c r="B1436" t="s">
        <v>1154</v>
      </c>
      <c r="C1436" t="s">
        <v>2494</v>
      </c>
      <c r="D1436" t="s">
        <v>2634</v>
      </c>
      <c r="E1436" s="2">
        <v>39119</v>
      </c>
      <c r="F1436">
        <v>10</v>
      </c>
      <c r="G1436">
        <v>1</v>
      </c>
      <c r="H1436" t="s">
        <v>4541</v>
      </c>
      <c r="I1436">
        <v>10</v>
      </c>
    </row>
    <row r="1437" spans="2:9" x14ac:dyDescent="0.3">
      <c r="B1437" t="s">
        <v>1155</v>
      </c>
      <c r="C1437" t="s">
        <v>2495</v>
      </c>
      <c r="D1437" t="s">
        <v>2634</v>
      </c>
      <c r="E1437" s="2">
        <v>38744</v>
      </c>
      <c r="F1437">
        <v>10</v>
      </c>
      <c r="G1437">
        <v>1</v>
      </c>
      <c r="H1437" t="s">
        <v>4542</v>
      </c>
      <c r="I1437">
        <v>10</v>
      </c>
    </row>
    <row r="1438" spans="2:9" x14ac:dyDescent="0.3">
      <c r="B1438" t="s">
        <v>1156</v>
      </c>
      <c r="C1438" t="s">
        <v>2496</v>
      </c>
      <c r="D1438" t="s">
        <v>2634</v>
      </c>
      <c r="E1438" s="2">
        <v>36840</v>
      </c>
      <c r="F1438">
        <v>10</v>
      </c>
      <c r="G1438">
        <v>1</v>
      </c>
      <c r="H1438" t="s">
        <v>4543</v>
      </c>
      <c r="I1438">
        <v>10</v>
      </c>
    </row>
    <row r="1439" spans="2:9" x14ac:dyDescent="0.3">
      <c r="B1439" t="s">
        <v>1157</v>
      </c>
      <c r="C1439" t="s">
        <v>2497</v>
      </c>
      <c r="D1439" t="s">
        <v>2634</v>
      </c>
      <c r="E1439" s="2">
        <v>37755</v>
      </c>
      <c r="F1439">
        <v>10</v>
      </c>
      <c r="G1439">
        <v>1</v>
      </c>
      <c r="H1439" t="s">
        <v>4544</v>
      </c>
      <c r="I1439">
        <v>10</v>
      </c>
    </row>
    <row r="1440" spans="2:9" x14ac:dyDescent="0.3">
      <c r="B1440" t="s">
        <v>1158</v>
      </c>
      <c r="C1440" t="s">
        <v>2498</v>
      </c>
      <c r="D1440" t="s">
        <v>2634</v>
      </c>
      <c r="E1440" s="2">
        <v>38254</v>
      </c>
      <c r="F1440">
        <v>1</v>
      </c>
      <c r="G1440">
        <v>1</v>
      </c>
      <c r="H1440" t="s">
        <v>4545</v>
      </c>
      <c r="I1440">
        <v>1</v>
      </c>
    </row>
    <row r="1441" spans="2:9" x14ac:dyDescent="0.3">
      <c r="B1441" t="s">
        <v>4546</v>
      </c>
      <c r="C1441" t="s">
        <v>4547</v>
      </c>
      <c r="D1441" t="s">
        <v>2634</v>
      </c>
      <c r="E1441" s="2">
        <v>42718</v>
      </c>
      <c r="F1441">
        <v>10</v>
      </c>
      <c r="G1441">
        <v>1</v>
      </c>
      <c r="H1441" t="s">
        <v>4548</v>
      </c>
      <c r="I1441">
        <v>10</v>
      </c>
    </row>
    <row r="1442" spans="2:9" x14ac:dyDescent="0.3">
      <c r="B1442" t="s">
        <v>1159</v>
      </c>
      <c r="C1442" t="s">
        <v>2499</v>
      </c>
      <c r="D1442" t="s">
        <v>2634</v>
      </c>
      <c r="E1442" s="2">
        <v>36460</v>
      </c>
      <c r="F1442">
        <v>10</v>
      </c>
      <c r="G1442">
        <v>1</v>
      </c>
      <c r="H1442" t="s">
        <v>4549</v>
      </c>
      <c r="I1442">
        <v>10</v>
      </c>
    </row>
    <row r="1443" spans="2:9" x14ac:dyDescent="0.3">
      <c r="B1443" t="s">
        <v>1160</v>
      </c>
      <c r="C1443" t="s">
        <v>2500</v>
      </c>
      <c r="D1443" t="s">
        <v>2634</v>
      </c>
      <c r="E1443" s="2">
        <v>35109</v>
      </c>
      <c r="F1443">
        <v>10</v>
      </c>
      <c r="G1443">
        <v>1</v>
      </c>
      <c r="H1443" t="s">
        <v>4550</v>
      </c>
      <c r="I1443">
        <v>10</v>
      </c>
    </row>
    <row r="1444" spans="2:9" x14ac:dyDescent="0.3">
      <c r="B1444" t="s">
        <v>1161</v>
      </c>
      <c r="C1444" t="s">
        <v>2501</v>
      </c>
      <c r="D1444" t="s">
        <v>2662</v>
      </c>
      <c r="E1444" s="2">
        <v>37656</v>
      </c>
      <c r="F1444">
        <v>10</v>
      </c>
      <c r="G1444">
        <v>1</v>
      </c>
      <c r="H1444" t="s">
        <v>4551</v>
      </c>
      <c r="I1444">
        <v>10</v>
      </c>
    </row>
    <row r="1445" spans="2:9" x14ac:dyDescent="0.3">
      <c r="B1445" t="s">
        <v>1319</v>
      </c>
      <c r="C1445" t="s">
        <v>2502</v>
      </c>
      <c r="D1445" t="s">
        <v>2662</v>
      </c>
      <c r="E1445" s="2">
        <v>37172</v>
      </c>
      <c r="F1445">
        <v>10</v>
      </c>
      <c r="G1445">
        <v>1</v>
      </c>
      <c r="H1445" t="s">
        <v>4552</v>
      </c>
      <c r="I1445">
        <v>10</v>
      </c>
    </row>
    <row r="1446" spans="2:9" x14ac:dyDescent="0.3">
      <c r="B1446" t="s">
        <v>1162</v>
      </c>
      <c r="C1446" t="s">
        <v>2503</v>
      </c>
      <c r="D1446" t="s">
        <v>2634</v>
      </c>
      <c r="E1446" s="2">
        <v>34983</v>
      </c>
      <c r="F1446">
        <v>10</v>
      </c>
      <c r="G1446">
        <v>1</v>
      </c>
      <c r="H1446" t="s">
        <v>4553</v>
      </c>
      <c r="I1446">
        <v>10</v>
      </c>
    </row>
    <row r="1447" spans="2:9" x14ac:dyDescent="0.3">
      <c r="B1447" t="s">
        <v>91</v>
      </c>
      <c r="C1447" t="s">
        <v>2504</v>
      </c>
      <c r="D1447" t="s">
        <v>2634</v>
      </c>
      <c r="E1447" s="2">
        <v>37585</v>
      </c>
      <c r="F1447">
        <v>5</v>
      </c>
      <c r="G1447">
        <v>1</v>
      </c>
      <c r="H1447" t="s">
        <v>4554</v>
      </c>
      <c r="I1447">
        <v>5</v>
      </c>
    </row>
    <row r="1448" spans="2:9" x14ac:dyDescent="0.3">
      <c r="B1448" t="s">
        <v>92</v>
      </c>
      <c r="C1448" t="s">
        <v>2505</v>
      </c>
      <c r="D1448" t="s">
        <v>2634</v>
      </c>
      <c r="E1448" s="2">
        <v>39049</v>
      </c>
      <c r="F1448">
        <v>10</v>
      </c>
      <c r="G1448">
        <v>1</v>
      </c>
      <c r="H1448" t="s">
        <v>4555</v>
      </c>
      <c r="I1448">
        <v>10</v>
      </c>
    </row>
    <row r="1449" spans="2:9" x14ac:dyDescent="0.3">
      <c r="B1449" t="s">
        <v>4556</v>
      </c>
      <c r="C1449" t="s">
        <v>4557</v>
      </c>
      <c r="D1449" t="s">
        <v>2634</v>
      </c>
      <c r="E1449" s="2">
        <v>42144</v>
      </c>
      <c r="F1449">
        <v>10</v>
      </c>
      <c r="G1449">
        <v>1</v>
      </c>
      <c r="H1449" t="s">
        <v>4558</v>
      </c>
      <c r="I1449">
        <v>10</v>
      </c>
    </row>
    <row r="1450" spans="2:9" x14ac:dyDescent="0.3">
      <c r="B1450" t="s">
        <v>1163</v>
      </c>
      <c r="C1450" t="s">
        <v>2506</v>
      </c>
      <c r="D1450" t="s">
        <v>2634</v>
      </c>
      <c r="E1450" s="2">
        <v>40781</v>
      </c>
      <c r="F1450">
        <v>10</v>
      </c>
      <c r="G1450">
        <v>1</v>
      </c>
      <c r="H1450" t="s">
        <v>4559</v>
      </c>
      <c r="I1450">
        <v>10</v>
      </c>
    </row>
    <row r="1451" spans="2:9" x14ac:dyDescent="0.3">
      <c r="B1451" t="s">
        <v>1164</v>
      </c>
      <c r="C1451" t="s">
        <v>2507</v>
      </c>
      <c r="D1451" t="s">
        <v>2634</v>
      </c>
      <c r="E1451" s="2">
        <v>38145</v>
      </c>
      <c r="F1451">
        <v>1</v>
      </c>
      <c r="G1451">
        <v>1</v>
      </c>
      <c r="H1451" t="s">
        <v>4560</v>
      </c>
      <c r="I1451">
        <v>1</v>
      </c>
    </row>
    <row r="1452" spans="2:9" x14ac:dyDescent="0.3">
      <c r="B1452" t="s">
        <v>1164</v>
      </c>
      <c r="C1452" t="s">
        <v>2507</v>
      </c>
      <c r="D1452" t="s">
        <v>3149</v>
      </c>
      <c r="E1452" s="2">
        <v>38145</v>
      </c>
      <c r="F1452">
        <v>1</v>
      </c>
      <c r="G1452">
        <v>1</v>
      </c>
      <c r="H1452" t="s">
        <v>4560</v>
      </c>
      <c r="I1452">
        <v>1</v>
      </c>
    </row>
    <row r="1453" spans="2:9" x14ac:dyDescent="0.3">
      <c r="B1453" t="s">
        <v>1165</v>
      </c>
      <c r="C1453" t="s">
        <v>2508</v>
      </c>
      <c r="D1453" t="s">
        <v>2634</v>
      </c>
      <c r="E1453" s="2">
        <v>40263</v>
      </c>
      <c r="F1453">
        <v>10</v>
      </c>
      <c r="G1453">
        <v>1</v>
      </c>
      <c r="H1453" t="s">
        <v>4561</v>
      </c>
      <c r="I1453">
        <v>10</v>
      </c>
    </row>
    <row r="1454" spans="2:9" x14ac:dyDescent="0.3">
      <c r="B1454" t="s">
        <v>107</v>
      </c>
      <c r="C1454" t="s">
        <v>2509</v>
      </c>
      <c r="D1454" t="s">
        <v>2634</v>
      </c>
      <c r="E1454" s="2">
        <v>36943</v>
      </c>
      <c r="F1454">
        <v>10</v>
      </c>
      <c r="G1454">
        <v>1</v>
      </c>
      <c r="H1454" t="s">
        <v>4562</v>
      </c>
      <c r="I1454">
        <v>10</v>
      </c>
    </row>
    <row r="1455" spans="2:9" x14ac:dyDescent="0.3">
      <c r="B1455" t="s">
        <v>1166</v>
      </c>
      <c r="C1455" t="s">
        <v>2510</v>
      </c>
      <c r="D1455" t="s">
        <v>2634</v>
      </c>
      <c r="E1455" s="2">
        <v>35894</v>
      </c>
      <c r="F1455">
        <v>10</v>
      </c>
      <c r="G1455">
        <v>1</v>
      </c>
      <c r="H1455" t="s">
        <v>4563</v>
      </c>
      <c r="I1455">
        <v>10</v>
      </c>
    </row>
    <row r="1456" spans="2:9" x14ac:dyDescent="0.3">
      <c r="B1456" t="s">
        <v>1167</v>
      </c>
      <c r="C1456" t="s">
        <v>2511</v>
      </c>
      <c r="D1456" t="s">
        <v>2634</v>
      </c>
      <c r="E1456" s="2">
        <v>39444</v>
      </c>
      <c r="F1456">
        <v>10</v>
      </c>
      <c r="G1456">
        <v>1</v>
      </c>
      <c r="H1456" t="s">
        <v>4564</v>
      </c>
      <c r="I1456">
        <v>10</v>
      </c>
    </row>
    <row r="1457" spans="2:9" x14ac:dyDescent="0.3">
      <c r="B1457" t="s">
        <v>1168</v>
      </c>
      <c r="C1457" t="s">
        <v>2512</v>
      </c>
      <c r="D1457" t="s">
        <v>2634</v>
      </c>
      <c r="E1457" s="2">
        <v>40844</v>
      </c>
      <c r="F1457">
        <v>1</v>
      </c>
      <c r="G1457">
        <v>1</v>
      </c>
      <c r="H1457" t="s">
        <v>4565</v>
      </c>
      <c r="I1457">
        <v>1</v>
      </c>
    </row>
    <row r="1458" spans="2:9" x14ac:dyDescent="0.3">
      <c r="B1458" t="s">
        <v>1169</v>
      </c>
      <c r="C1458" t="s">
        <v>2513</v>
      </c>
      <c r="D1458" t="s">
        <v>2634</v>
      </c>
      <c r="E1458" s="2">
        <v>38699</v>
      </c>
      <c r="F1458">
        <v>1</v>
      </c>
      <c r="G1458">
        <v>1</v>
      </c>
      <c r="H1458" t="s">
        <v>4566</v>
      </c>
      <c r="I1458">
        <v>1</v>
      </c>
    </row>
    <row r="1459" spans="2:9" x14ac:dyDescent="0.3">
      <c r="B1459" t="s">
        <v>4567</v>
      </c>
      <c r="C1459" t="s">
        <v>4568</v>
      </c>
      <c r="D1459" t="s">
        <v>2634</v>
      </c>
      <c r="E1459" s="2">
        <v>42340</v>
      </c>
      <c r="F1459">
        <v>10</v>
      </c>
      <c r="G1459">
        <v>1</v>
      </c>
      <c r="H1459" t="s">
        <v>4569</v>
      </c>
      <c r="I1459">
        <v>10</v>
      </c>
    </row>
    <row r="1460" spans="2:9" x14ac:dyDescent="0.3">
      <c r="B1460" t="s">
        <v>1170</v>
      </c>
      <c r="C1460" t="s">
        <v>2514</v>
      </c>
      <c r="D1460" t="s">
        <v>2634</v>
      </c>
      <c r="E1460" s="2">
        <v>36516</v>
      </c>
      <c r="F1460">
        <v>10</v>
      </c>
      <c r="G1460">
        <v>1</v>
      </c>
      <c r="H1460" t="s">
        <v>4570</v>
      </c>
      <c r="I1460">
        <v>10</v>
      </c>
    </row>
    <row r="1461" spans="2:9" x14ac:dyDescent="0.3">
      <c r="B1461" t="s">
        <v>1171</v>
      </c>
      <c r="C1461" t="s">
        <v>2515</v>
      </c>
      <c r="D1461" t="s">
        <v>2634</v>
      </c>
      <c r="E1461" s="2">
        <v>39135</v>
      </c>
      <c r="F1461">
        <v>10</v>
      </c>
      <c r="G1461">
        <v>1</v>
      </c>
      <c r="H1461" t="s">
        <v>4571</v>
      </c>
      <c r="I1461">
        <v>10</v>
      </c>
    </row>
    <row r="1462" spans="2:9" x14ac:dyDescent="0.3">
      <c r="B1462" t="s">
        <v>1172</v>
      </c>
      <c r="C1462" t="s">
        <v>2516</v>
      </c>
      <c r="D1462" t="s">
        <v>2634</v>
      </c>
      <c r="E1462" s="2">
        <v>36819</v>
      </c>
      <c r="F1462">
        <v>10</v>
      </c>
      <c r="G1462">
        <v>1</v>
      </c>
      <c r="H1462" t="s">
        <v>4572</v>
      </c>
      <c r="I1462">
        <v>10</v>
      </c>
    </row>
    <row r="1463" spans="2:9" x14ac:dyDescent="0.3">
      <c r="B1463" t="s">
        <v>1173</v>
      </c>
      <c r="C1463" t="s">
        <v>2517</v>
      </c>
      <c r="D1463" t="s">
        <v>2634</v>
      </c>
      <c r="E1463" s="2">
        <v>34829</v>
      </c>
      <c r="F1463">
        <v>2</v>
      </c>
      <c r="G1463">
        <v>1</v>
      </c>
      <c r="H1463" t="s">
        <v>4573</v>
      </c>
      <c r="I1463">
        <v>2</v>
      </c>
    </row>
    <row r="1464" spans="2:9" x14ac:dyDescent="0.3">
      <c r="B1464" t="s">
        <v>1174</v>
      </c>
      <c r="C1464" t="s">
        <v>2518</v>
      </c>
      <c r="D1464" t="s">
        <v>2634</v>
      </c>
      <c r="E1464" s="2">
        <v>39503</v>
      </c>
      <c r="F1464">
        <v>10</v>
      </c>
      <c r="G1464">
        <v>1</v>
      </c>
      <c r="H1464" t="s">
        <v>4574</v>
      </c>
      <c r="I1464">
        <v>10</v>
      </c>
    </row>
    <row r="1465" spans="2:9" x14ac:dyDescent="0.3">
      <c r="B1465" t="s">
        <v>85</v>
      </c>
      <c r="C1465" t="s">
        <v>2519</v>
      </c>
      <c r="D1465" t="s">
        <v>2634</v>
      </c>
      <c r="E1465" s="2">
        <v>39121</v>
      </c>
      <c r="F1465">
        <v>2</v>
      </c>
      <c r="G1465">
        <v>1</v>
      </c>
      <c r="H1465" t="s">
        <v>4575</v>
      </c>
      <c r="I1465">
        <v>2</v>
      </c>
    </row>
    <row r="1466" spans="2:9" x14ac:dyDescent="0.3">
      <c r="B1466" t="s">
        <v>1175</v>
      </c>
      <c r="C1466" t="s">
        <v>2520</v>
      </c>
      <c r="D1466" t="s">
        <v>2634</v>
      </c>
      <c r="E1466" s="2">
        <v>37981</v>
      </c>
      <c r="F1466">
        <v>10</v>
      </c>
      <c r="G1466">
        <v>1</v>
      </c>
      <c r="H1466" t="s">
        <v>4576</v>
      </c>
      <c r="I1466">
        <v>10</v>
      </c>
    </row>
    <row r="1467" spans="2:9" x14ac:dyDescent="0.3">
      <c r="B1467" t="s">
        <v>1176</v>
      </c>
      <c r="C1467" t="s">
        <v>2521</v>
      </c>
      <c r="D1467" t="s">
        <v>2634</v>
      </c>
      <c r="E1467" s="2">
        <v>36740</v>
      </c>
      <c r="F1467">
        <v>1</v>
      </c>
      <c r="G1467">
        <v>1</v>
      </c>
      <c r="H1467" t="s">
        <v>4577</v>
      </c>
      <c r="I1467">
        <v>1</v>
      </c>
    </row>
    <row r="1468" spans="2:9" x14ac:dyDescent="0.3">
      <c r="B1468" t="s">
        <v>1177</v>
      </c>
      <c r="C1468" t="s">
        <v>2522</v>
      </c>
      <c r="D1468" t="s">
        <v>2634</v>
      </c>
      <c r="E1468" s="2">
        <v>39126</v>
      </c>
      <c r="F1468">
        <v>10</v>
      </c>
      <c r="G1468">
        <v>1</v>
      </c>
      <c r="H1468" t="s">
        <v>4578</v>
      </c>
      <c r="I1468">
        <v>10</v>
      </c>
    </row>
    <row r="1469" spans="2:9" x14ac:dyDescent="0.3">
      <c r="B1469" t="s">
        <v>1178</v>
      </c>
      <c r="C1469" t="s">
        <v>2523</v>
      </c>
      <c r="D1469" t="s">
        <v>2634</v>
      </c>
      <c r="E1469" s="2">
        <v>38002</v>
      </c>
      <c r="F1469">
        <v>5</v>
      </c>
      <c r="G1469">
        <v>1</v>
      </c>
      <c r="H1469" t="s">
        <v>4579</v>
      </c>
      <c r="I1469">
        <v>5</v>
      </c>
    </row>
    <row r="1470" spans="2:9" x14ac:dyDescent="0.3">
      <c r="B1470" t="s">
        <v>4580</v>
      </c>
      <c r="C1470" t="s">
        <v>4581</v>
      </c>
      <c r="D1470" t="s">
        <v>2634</v>
      </c>
      <c r="E1470" s="2">
        <v>42628</v>
      </c>
      <c r="F1470">
        <v>10</v>
      </c>
      <c r="G1470">
        <v>1</v>
      </c>
      <c r="H1470" t="s">
        <v>4582</v>
      </c>
      <c r="I1470">
        <v>10</v>
      </c>
    </row>
    <row r="1471" spans="2:9" x14ac:dyDescent="0.3">
      <c r="B1471" t="s">
        <v>1179</v>
      </c>
      <c r="C1471" t="s">
        <v>2524</v>
      </c>
      <c r="D1471" t="s">
        <v>2634</v>
      </c>
      <c r="E1471" s="2">
        <v>39559</v>
      </c>
      <c r="F1471">
        <v>2</v>
      </c>
      <c r="G1471">
        <v>1</v>
      </c>
      <c r="H1471" t="s">
        <v>4583</v>
      </c>
      <c r="I1471">
        <v>2</v>
      </c>
    </row>
    <row r="1472" spans="2:9" x14ac:dyDescent="0.3">
      <c r="B1472" t="s">
        <v>1180</v>
      </c>
      <c r="C1472" t="s">
        <v>2525</v>
      </c>
      <c r="D1472" t="s">
        <v>2662</v>
      </c>
      <c r="E1472" s="2">
        <v>39589</v>
      </c>
      <c r="F1472">
        <v>10</v>
      </c>
      <c r="G1472">
        <v>1</v>
      </c>
      <c r="H1472" t="s">
        <v>4584</v>
      </c>
      <c r="I1472">
        <v>10</v>
      </c>
    </row>
    <row r="1473" spans="2:9" x14ac:dyDescent="0.3">
      <c r="B1473" t="s">
        <v>96</v>
      </c>
      <c r="C1473" t="s">
        <v>2526</v>
      </c>
      <c r="D1473" t="s">
        <v>2634</v>
      </c>
      <c r="E1473" s="2">
        <v>39657</v>
      </c>
      <c r="F1473">
        <v>1</v>
      </c>
      <c r="G1473">
        <v>1</v>
      </c>
      <c r="H1473" t="s">
        <v>4585</v>
      </c>
      <c r="I1473">
        <v>1</v>
      </c>
    </row>
    <row r="1474" spans="2:9" x14ac:dyDescent="0.3">
      <c r="B1474" t="s">
        <v>1181</v>
      </c>
      <c r="C1474" t="s">
        <v>2527</v>
      </c>
      <c r="D1474" t="s">
        <v>2634</v>
      </c>
      <c r="E1474" s="2">
        <v>34955</v>
      </c>
      <c r="F1474">
        <v>10</v>
      </c>
      <c r="G1474">
        <v>1</v>
      </c>
      <c r="H1474" t="s">
        <v>4586</v>
      </c>
      <c r="I1474">
        <v>10</v>
      </c>
    </row>
    <row r="1475" spans="2:9" x14ac:dyDescent="0.3">
      <c r="B1475" t="s">
        <v>1182</v>
      </c>
      <c r="C1475" t="s">
        <v>2528</v>
      </c>
      <c r="D1475" t="s">
        <v>2634</v>
      </c>
      <c r="E1475" s="2">
        <v>37903</v>
      </c>
      <c r="F1475">
        <v>10</v>
      </c>
      <c r="G1475">
        <v>1</v>
      </c>
      <c r="H1475" t="s">
        <v>4587</v>
      </c>
      <c r="I1475">
        <v>10</v>
      </c>
    </row>
    <row r="1476" spans="2:9" x14ac:dyDescent="0.3">
      <c r="B1476" t="s">
        <v>1183</v>
      </c>
      <c r="C1476" t="s">
        <v>2529</v>
      </c>
      <c r="D1476" t="s">
        <v>2634</v>
      </c>
      <c r="E1476" s="2">
        <v>34934</v>
      </c>
      <c r="F1476">
        <v>10</v>
      </c>
      <c r="G1476">
        <v>1</v>
      </c>
      <c r="H1476" t="s">
        <v>4588</v>
      </c>
      <c r="I1476">
        <v>10</v>
      </c>
    </row>
    <row r="1477" spans="2:9" x14ac:dyDescent="0.3">
      <c r="B1477" t="s">
        <v>4589</v>
      </c>
      <c r="C1477" t="s">
        <v>4590</v>
      </c>
      <c r="D1477" t="s">
        <v>2634</v>
      </c>
      <c r="E1477" s="2">
        <v>42138</v>
      </c>
      <c r="F1477">
        <v>10</v>
      </c>
      <c r="G1477">
        <v>1</v>
      </c>
      <c r="H1477" t="s">
        <v>4591</v>
      </c>
      <c r="I1477">
        <v>10</v>
      </c>
    </row>
    <row r="1478" spans="2:9" x14ac:dyDescent="0.3">
      <c r="B1478" t="s">
        <v>1184</v>
      </c>
      <c r="C1478" t="s">
        <v>2530</v>
      </c>
      <c r="D1478" t="s">
        <v>2634</v>
      </c>
      <c r="E1478" s="2">
        <v>40413</v>
      </c>
      <c r="F1478">
        <v>1</v>
      </c>
      <c r="G1478">
        <v>1</v>
      </c>
      <c r="H1478" t="s">
        <v>4592</v>
      </c>
      <c r="I1478">
        <v>1</v>
      </c>
    </row>
    <row r="1479" spans="2:9" x14ac:dyDescent="0.3">
      <c r="B1479" t="s">
        <v>1185</v>
      </c>
      <c r="C1479" t="s">
        <v>2531</v>
      </c>
      <c r="D1479" t="s">
        <v>2634</v>
      </c>
      <c r="E1479" s="2">
        <v>40836</v>
      </c>
      <c r="F1479">
        <v>1</v>
      </c>
      <c r="G1479">
        <v>1</v>
      </c>
      <c r="H1479" t="s">
        <v>4593</v>
      </c>
      <c r="I1479">
        <v>1</v>
      </c>
    </row>
    <row r="1480" spans="2:9" x14ac:dyDescent="0.3">
      <c r="B1480" t="s">
        <v>4594</v>
      </c>
      <c r="C1480" t="s">
        <v>4595</v>
      </c>
      <c r="D1480" t="s">
        <v>2634</v>
      </c>
      <c r="E1480" s="2">
        <v>42500</v>
      </c>
      <c r="F1480">
        <v>10</v>
      </c>
      <c r="G1480">
        <v>1</v>
      </c>
      <c r="H1480" t="s">
        <v>4596</v>
      </c>
      <c r="I1480">
        <v>10</v>
      </c>
    </row>
    <row r="1481" spans="2:9" x14ac:dyDescent="0.3">
      <c r="B1481" t="s">
        <v>4594</v>
      </c>
      <c r="C1481" t="s">
        <v>4595</v>
      </c>
      <c r="D1481" t="s">
        <v>3149</v>
      </c>
      <c r="E1481" s="2">
        <v>42500</v>
      </c>
      <c r="F1481">
        <v>10</v>
      </c>
      <c r="G1481">
        <v>1</v>
      </c>
      <c r="H1481" t="s">
        <v>4596</v>
      </c>
      <c r="I1481">
        <v>10</v>
      </c>
    </row>
    <row r="1482" spans="2:9" x14ac:dyDescent="0.3">
      <c r="B1482" t="s">
        <v>1186</v>
      </c>
      <c r="C1482" t="s">
        <v>2532</v>
      </c>
      <c r="D1482" t="s">
        <v>2634</v>
      </c>
      <c r="E1482" s="2">
        <v>38223</v>
      </c>
      <c r="F1482">
        <v>10</v>
      </c>
      <c r="G1482">
        <v>1</v>
      </c>
      <c r="H1482" t="s">
        <v>4597</v>
      </c>
      <c r="I1482">
        <v>10</v>
      </c>
    </row>
    <row r="1483" spans="2:9" x14ac:dyDescent="0.3">
      <c r="B1483" t="s">
        <v>4598</v>
      </c>
      <c r="C1483" t="s">
        <v>4599</v>
      </c>
      <c r="D1483" t="s">
        <v>2634</v>
      </c>
      <c r="E1483" s="2">
        <v>42340</v>
      </c>
      <c r="F1483">
        <v>5</v>
      </c>
      <c r="G1483">
        <v>1</v>
      </c>
      <c r="H1483" t="s">
        <v>4600</v>
      </c>
      <c r="I1483">
        <v>5</v>
      </c>
    </row>
    <row r="1484" spans="2:9" x14ac:dyDescent="0.3">
      <c r="B1484" t="s">
        <v>1187</v>
      </c>
      <c r="C1484" t="s">
        <v>2533</v>
      </c>
      <c r="D1484" t="s">
        <v>2634</v>
      </c>
      <c r="E1484" s="2">
        <v>40371</v>
      </c>
      <c r="F1484">
        <v>1</v>
      </c>
      <c r="G1484">
        <v>1</v>
      </c>
      <c r="H1484" t="s">
        <v>4601</v>
      </c>
      <c r="I1484">
        <v>1</v>
      </c>
    </row>
    <row r="1485" spans="2:9" x14ac:dyDescent="0.3">
      <c r="B1485" t="s">
        <v>1188</v>
      </c>
      <c r="C1485" t="s">
        <v>2534</v>
      </c>
      <c r="D1485" t="s">
        <v>2634</v>
      </c>
      <c r="E1485" s="2">
        <v>36929</v>
      </c>
      <c r="F1485">
        <v>2</v>
      </c>
      <c r="G1485">
        <v>1</v>
      </c>
      <c r="H1485" t="s">
        <v>4602</v>
      </c>
      <c r="I1485">
        <v>2</v>
      </c>
    </row>
    <row r="1486" spans="2:9" x14ac:dyDescent="0.3">
      <c r="B1486" t="s">
        <v>1189</v>
      </c>
      <c r="C1486" t="s">
        <v>2535</v>
      </c>
      <c r="D1486" t="s">
        <v>2634</v>
      </c>
      <c r="E1486" s="2">
        <v>38009</v>
      </c>
      <c r="F1486">
        <v>2</v>
      </c>
      <c r="G1486">
        <v>1</v>
      </c>
      <c r="H1486" t="s">
        <v>4603</v>
      </c>
      <c r="I1486">
        <v>2</v>
      </c>
    </row>
    <row r="1487" spans="2:9" x14ac:dyDescent="0.3">
      <c r="B1487" t="s">
        <v>94</v>
      </c>
      <c r="C1487" t="s">
        <v>2536</v>
      </c>
      <c r="D1487" t="s">
        <v>2634</v>
      </c>
      <c r="E1487" s="2">
        <v>37523</v>
      </c>
      <c r="F1487">
        <v>10</v>
      </c>
      <c r="G1487">
        <v>1</v>
      </c>
      <c r="H1487" t="s">
        <v>4604</v>
      </c>
      <c r="I1487">
        <v>10</v>
      </c>
    </row>
    <row r="1488" spans="2:9" x14ac:dyDescent="0.3">
      <c r="B1488" t="s">
        <v>1190</v>
      </c>
      <c r="C1488" t="s">
        <v>2537</v>
      </c>
      <c r="D1488" t="s">
        <v>2662</v>
      </c>
      <c r="E1488" s="2">
        <v>39149</v>
      </c>
      <c r="F1488">
        <v>10</v>
      </c>
      <c r="G1488">
        <v>1</v>
      </c>
      <c r="H1488" t="s">
        <v>4605</v>
      </c>
      <c r="I1488">
        <v>10</v>
      </c>
    </row>
    <row r="1489" spans="2:9" x14ac:dyDescent="0.3">
      <c r="B1489" t="s">
        <v>95</v>
      </c>
      <c r="C1489" t="s">
        <v>2538</v>
      </c>
      <c r="D1489" t="s">
        <v>2634</v>
      </c>
      <c r="E1489" s="2">
        <v>36411</v>
      </c>
      <c r="F1489">
        <v>2</v>
      </c>
      <c r="G1489">
        <v>1</v>
      </c>
      <c r="H1489" t="s">
        <v>4606</v>
      </c>
      <c r="I1489">
        <v>2</v>
      </c>
    </row>
    <row r="1490" spans="2:9" x14ac:dyDescent="0.3">
      <c r="B1490" t="s">
        <v>1191</v>
      </c>
      <c r="C1490" t="s">
        <v>2539</v>
      </c>
      <c r="D1490" t="s">
        <v>2634</v>
      </c>
      <c r="E1490" s="2">
        <v>40255</v>
      </c>
      <c r="F1490">
        <v>10</v>
      </c>
      <c r="G1490">
        <v>1</v>
      </c>
      <c r="H1490" t="s">
        <v>4607</v>
      </c>
      <c r="I1490">
        <v>10</v>
      </c>
    </row>
    <row r="1491" spans="2:9" x14ac:dyDescent="0.3">
      <c r="B1491" t="s">
        <v>4608</v>
      </c>
      <c r="C1491" t="s">
        <v>4609</v>
      </c>
      <c r="D1491" t="s">
        <v>2634</v>
      </c>
      <c r="E1491" s="2">
        <v>42032</v>
      </c>
      <c r="F1491">
        <v>10</v>
      </c>
      <c r="G1491">
        <v>1</v>
      </c>
      <c r="H1491" t="s">
        <v>4610</v>
      </c>
      <c r="I1491">
        <v>10</v>
      </c>
    </row>
    <row r="1492" spans="2:9" x14ac:dyDescent="0.3">
      <c r="B1492" t="s">
        <v>1192</v>
      </c>
      <c r="C1492" t="s">
        <v>2540</v>
      </c>
      <c r="D1492" t="s">
        <v>2634</v>
      </c>
      <c r="E1492" s="2">
        <v>38880</v>
      </c>
      <c r="F1492">
        <v>2</v>
      </c>
      <c r="G1492">
        <v>1</v>
      </c>
      <c r="H1492" t="s">
        <v>4611</v>
      </c>
      <c r="I1492">
        <v>2</v>
      </c>
    </row>
    <row r="1493" spans="2:9" x14ac:dyDescent="0.3">
      <c r="B1493" t="s">
        <v>1193</v>
      </c>
      <c r="C1493" t="s">
        <v>2541</v>
      </c>
      <c r="D1493" t="s">
        <v>2634</v>
      </c>
      <c r="E1493" s="2">
        <v>34836</v>
      </c>
      <c r="F1493">
        <v>10</v>
      </c>
      <c r="G1493">
        <v>1</v>
      </c>
      <c r="H1493" t="s">
        <v>4612</v>
      </c>
      <c r="I1493">
        <v>10</v>
      </c>
    </row>
    <row r="1494" spans="2:9" x14ac:dyDescent="0.3">
      <c r="B1494" t="s">
        <v>93</v>
      </c>
      <c r="C1494" t="s">
        <v>2542</v>
      </c>
      <c r="D1494" t="s">
        <v>2634</v>
      </c>
      <c r="E1494" s="2">
        <v>38009</v>
      </c>
      <c r="F1494">
        <v>2</v>
      </c>
      <c r="G1494">
        <v>1</v>
      </c>
      <c r="H1494" t="s">
        <v>4613</v>
      </c>
      <c r="I1494">
        <v>2</v>
      </c>
    </row>
    <row r="1495" spans="2:9" x14ac:dyDescent="0.3">
      <c r="B1495" t="s">
        <v>4614</v>
      </c>
      <c r="C1495" t="s">
        <v>4615</v>
      </c>
      <c r="D1495" t="s">
        <v>2662</v>
      </c>
      <c r="E1495" s="2">
        <v>42822</v>
      </c>
      <c r="F1495">
        <v>1</v>
      </c>
      <c r="G1495">
        <v>1</v>
      </c>
      <c r="H1495" t="s">
        <v>4616</v>
      </c>
      <c r="I1495">
        <v>1</v>
      </c>
    </row>
    <row r="1496" spans="2:9" x14ac:dyDescent="0.3">
      <c r="B1496" t="s">
        <v>1194</v>
      </c>
      <c r="C1496" t="s">
        <v>2543</v>
      </c>
      <c r="D1496" t="s">
        <v>2634</v>
      </c>
      <c r="E1496" s="2">
        <v>36810</v>
      </c>
      <c r="F1496">
        <v>1</v>
      </c>
      <c r="G1496">
        <v>1</v>
      </c>
      <c r="H1496" t="s">
        <v>4617</v>
      </c>
      <c r="I1496">
        <v>1</v>
      </c>
    </row>
    <row r="1497" spans="2:9" x14ac:dyDescent="0.3">
      <c r="B1497" t="s">
        <v>1195</v>
      </c>
      <c r="C1497" t="s">
        <v>2544</v>
      </c>
      <c r="D1497" t="s">
        <v>2634</v>
      </c>
      <c r="E1497" s="2">
        <v>40389</v>
      </c>
      <c r="F1497">
        <v>10</v>
      </c>
      <c r="G1497">
        <v>1</v>
      </c>
      <c r="H1497" t="s">
        <v>4618</v>
      </c>
      <c r="I1497">
        <v>10</v>
      </c>
    </row>
    <row r="1498" spans="2:9" x14ac:dyDescent="0.3">
      <c r="B1498" t="s">
        <v>1196</v>
      </c>
      <c r="C1498" t="s">
        <v>2545</v>
      </c>
      <c r="D1498" t="s">
        <v>2634</v>
      </c>
      <c r="E1498" s="2">
        <v>34844</v>
      </c>
      <c r="F1498">
        <v>10</v>
      </c>
      <c r="G1498">
        <v>1</v>
      </c>
      <c r="H1498" t="s">
        <v>4619</v>
      </c>
      <c r="I1498">
        <v>10</v>
      </c>
    </row>
    <row r="1499" spans="2:9" x14ac:dyDescent="0.3">
      <c r="B1499" t="s">
        <v>1197</v>
      </c>
      <c r="C1499" t="s">
        <v>2546</v>
      </c>
      <c r="D1499" t="s">
        <v>2634</v>
      </c>
      <c r="E1499" s="2">
        <v>38817</v>
      </c>
      <c r="F1499">
        <v>10</v>
      </c>
      <c r="G1499">
        <v>1</v>
      </c>
      <c r="H1499" t="s">
        <v>4620</v>
      </c>
      <c r="I1499">
        <v>10</v>
      </c>
    </row>
    <row r="1500" spans="2:9" x14ac:dyDescent="0.3">
      <c r="B1500" t="s">
        <v>4621</v>
      </c>
      <c r="C1500" t="s">
        <v>2547</v>
      </c>
      <c r="D1500" t="s">
        <v>2662</v>
      </c>
      <c r="E1500" s="2">
        <v>42545</v>
      </c>
      <c r="F1500">
        <v>1</v>
      </c>
      <c r="G1500">
        <v>1</v>
      </c>
      <c r="H1500" t="s">
        <v>4622</v>
      </c>
      <c r="I1500">
        <v>1</v>
      </c>
    </row>
    <row r="1501" spans="2:9" x14ac:dyDescent="0.3">
      <c r="B1501" t="s">
        <v>1198</v>
      </c>
      <c r="C1501" t="s">
        <v>2548</v>
      </c>
      <c r="D1501" t="s">
        <v>2634</v>
      </c>
      <c r="E1501" s="2">
        <v>39267</v>
      </c>
      <c r="F1501">
        <v>10</v>
      </c>
      <c r="G1501">
        <v>1</v>
      </c>
      <c r="H1501" t="s">
        <v>4623</v>
      </c>
      <c r="I1501">
        <v>10</v>
      </c>
    </row>
    <row r="1502" spans="2:9" x14ac:dyDescent="0.3">
      <c r="B1502" t="s">
        <v>1199</v>
      </c>
      <c r="C1502" t="s">
        <v>2549</v>
      </c>
      <c r="D1502" t="s">
        <v>2634</v>
      </c>
      <c r="E1502" s="2">
        <v>40709</v>
      </c>
      <c r="F1502">
        <v>10</v>
      </c>
      <c r="G1502">
        <v>1</v>
      </c>
      <c r="H1502" t="s">
        <v>4624</v>
      </c>
      <c r="I1502">
        <v>10</v>
      </c>
    </row>
    <row r="1503" spans="2:9" x14ac:dyDescent="0.3">
      <c r="B1503" t="s">
        <v>1200</v>
      </c>
      <c r="C1503" t="s">
        <v>2550</v>
      </c>
      <c r="D1503" t="s">
        <v>2662</v>
      </c>
      <c r="E1503" s="2">
        <v>38082</v>
      </c>
      <c r="F1503">
        <v>10</v>
      </c>
      <c r="G1503">
        <v>1</v>
      </c>
      <c r="H1503" t="s">
        <v>4625</v>
      </c>
      <c r="I1503">
        <v>10</v>
      </c>
    </row>
    <row r="1504" spans="2:9" x14ac:dyDescent="0.3">
      <c r="B1504" t="s">
        <v>1201</v>
      </c>
      <c r="C1504" t="s">
        <v>4626</v>
      </c>
      <c r="D1504" t="s">
        <v>2634</v>
      </c>
      <c r="E1504" s="2">
        <v>38810</v>
      </c>
      <c r="F1504">
        <v>1</v>
      </c>
      <c r="G1504">
        <v>1</v>
      </c>
      <c r="H1504" t="s">
        <v>4627</v>
      </c>
      <c r="I1504">
        <v>1</v>
      </c>
    </row>
    <row r="1505" spans="2:9" x14ac:dyDescent="0.3">
      <c r="B1505" t="s">
        <v>1202</v>
      </c>
      <c r="C1505" t="s">
        <v>2551</v>
      </c>
      <c r="D1505" t="s">
        <v>2634</v>
      </c>
      <c r="E1505" s="2">
        <v>35277</v>
      </c>
      <c r="F1505">
        <v>10</v>
      </c>
      <c r="G1505">
        <v>1</v>
      </c>
      <c r="H1505" t="s">
        <v>4628</v>
      </c>
      <c r="I1505">
        <v>10</v>
      </c>
    </row>
    <row r="1506" spans="2:9" x14ac:dyDescent="0.3">
      <c r="B1506" t="s">
        <v>1203</v>
      </c>
      <c r="C1506" t="s">
        <v>2552</v>
      </c>
      <c r="D1506" t="s">
        <v>2634</v>
      </c>
      <c r="E1506" s="2">
        <v>37894</v>
      </c>
      <c r="F1506">
        <v>10</v>
      </c>
      <c r="G1506">
        <v>1</v>
      </c>
      <c r="H1506" t="s">
        <v>4629</v>
      </c>
      <c r="I1506">
        <v>10</v>
      </c>
    </row>
    <row r="1507" spans="2:9" x14ac:dyDescent="0.3">
      <c r="B1507" t="s">
        <v>1204</v>
      </c>
      <c r="C1507" t="s">
        <v>2553</v>
      </c>
      <c r="D1507" t="s">
        <v>2634</v>
      </c>
      <c r="E1507" s="2">
        <v>37753</v>
      </c>
      <c r="F1507">
        <v>10</v>
      </c>
      <c r="G1507">
        <v>1</v>
      </c>
      <c r="H1507" t="s">
        <v>4630</v>
      </c>
      <c r="I1507">
        <v>10</v>
      </c>
    </row>
    <row r="1508" spans="2:9" x14ac:dyDescent="0.3">
      <c r="B1508" t="s">
        <v>1205</v>
      </c>
      <c r="C1508" t="s">
        <v>2554</v>
      </c>
      <c r="D1508" t="s">
        <v>2634</v>
      </c>
      <c r="E1508" s="2">
        <v>40224</v>
      </c>
      <c r="F1508">
        <v>10</v>
      </c>
      <c r="G1508">
        <v>1</v>
      </c>
      <c r="H1508" t="s">
        <v>4631</v>
      </c>
      <c r="I1508">
        <v>10</v>
      </c>
    </row>
    <row r="1509" spans="2:9" x14ac:dyDescent="0.3">
      <c r="B1509" t="s">
        <v>1206</v>
      </c>
      <c r="C1509" t="s">
        <v>2555</v>
      </c>
      <c r="D1509" t="s">
        <v>2634</v>
      </c>
      <c r="E1509" s="2">
        <v>40806</v>
      </c>
      <c r="F1509">
        <v>10</v>
      </c>
      <c r="G1509">
        <v>1</v>
      </c>
      <c r="H1509" t="s">
        <v>4632</v>
      </c>
      <c r="I1509">
        <v>10</v>
      </c>
    </row>
    <row r="1510" spans="2:9" x14ac:dyDescent="0.3">
      <c r="B1510" t="s">
        <v>4633</v>
      </c>
      <c r="C1510" t="s">
        <v>4634</v>
      </c>
      <c r="D1510" t="s">
        <v>2634</v>
      </c>
      <c r="E1510" s="2">
        <v>42682</v>
      </c>
      <c r="F1510">
        <v>10</v>
      </c>
      <c r="G1510">
        <v>1</v>
      </c>
      <c r="H1510" t="s">
        <v>4635</v>
      </c>
      <c r="I1510">
        <v>10</v>
      </c>
    </row>
    <row r="1511" spans="2:9" x14ac:dyDescent="0.3">
      <c r="B1511" t="s">
        <v>4636</v>
      </c>
      <c r="C1511" t="s">
        <v>4637</v>
      </c>
      <c r="D1511" t="s">
        <v>2634</v>
      </c>
      <c r="E1511" s="2">
        <v>35928</v>
      </c>
      <c r="F1511">
        <v>1</v>
      </c>
      <c r="G1511">
        <v>1</v>
      </c>
      <c r="H1511" t="s">
        <v>4638</v>
      </c>
      <c r="I1511">
        <v>1</v>
      </c>
    </row>
    <row r="1512" spans="2:9" x14ac:dyDescent="0.3">
      <c r="B1512" t="s">
        <v>1207</v>
      </c>
      <c r="C1512" t="s">
        <v>2556</v>
      </c>
      <c r="D1512" t="s">
        <v>2634</v>
      </c>
      <c r="E1512" s="2">
        <v>37830</v>
      </c>
      <c r="F1512">
        <v>10</v>
      </c>
      <c r="G1512">
        <v>1</v>
      </c>
      <c r="H1512" t="s">
        <v>4639</v>
      </c>
      <c r="I1512">
        <v>10</v>
      </c>
    </row>
    <row r="1513" spans="2:9" x14ac:dyDescent="0.3">
      <c r="B1513" t="s">
        <v>1208</v>
      </c>
      <c r="C1513" t="s">
        <v>2557</v>
      </c>
      <c r="D1513" t="s">
        <v>2634</v>
      </c>
      <c r="E1513" s="2">
        <v>39071</v>
      </c>
      <c r="F1513">
        <v>10</v>
      </c>
      <c r="G1513">
        <v>1</v>
      </c>
      <c r="H1513" t="s">
        <v>4640</v>
      </c>
      <c r="I1513">
        <v>10</v>
      </c>
    </row>
    <row r="1514" spans="2:9" x14ac:dyDescent="0.3">
      <c r="B1514" t="s">
        <v>1209</v>
      </c>
      <c r="C1514" t="s">
        <v>2558</v>
      </c>
      <c r="D1514" t="s">
        <v>2634</v>
      </c>
      <c r="E1514" s="2">
        <v>37533</v>
      </c>
      <c r="F1514">
        <v>10</v>
      </c>
      <c r="G1514">
        <v>1</v>
      </c>
      <c r="H1514" t="s">
        <v>4641</v>
      </c>
      <c r="I1514">
        <v>10</v>
      </c>
    </row>
    <row r="1515" spans="2:9" x14ac:dyDescent="0.3">
      <c r="B1515" t="s">
        <v>1321</v>
      </c>
      <c r="C1515" t="s">
        <v>2624</v>
      </c>
      <c r="D1515" t="s">
        <v>2634</v>
      </c>
      <c r="E1515" s="2">
        <v>42123</v>
      </c>
      <c r="F1515">
        <v>10</v>
      </c>
      <c r="G1515">
        <v>1</v>
      </c>
      <c r="H1515" t="s">
        <v>4642</v>
      </c>
      <c r="I1515">
        <v>10</v>
      </c>
    </row>
    <row r="1516" spans="2:9" x14ac:dyDescent="0.3">
      <c r="B1516" t="s">
        <v>1210</v>
      </c>
      <c r="C1516" t="s">
        <v>2559</v>
      </c>
      <c r="D1516" t="s">
        <v>2634</v>
      </c>
      <c r="E1516" s="2">
        <v>39520</v>
      </c>
      <c r="F1516">
        <v>1</v>
      </c>
      <c r="G1516">
        <v>1</v>
      </c>
      <c r="H1516" t="s">
        <v>4643</v>
      </c>
      <c r="I1516">
        <v>1</v>
      </c>
    </row>
    <row r="1517" spans="2:9" x14ac:dyDescent="0.3">
      <c r="B1517" t="s">
        <v>1211</v>
      </c>
      <c r="C1517" t="s">
        <v>2560</v>
      </c>
      <c r="D1517" t="s">
        <v>2634</v>
      </c>
      <c r="E1517" s="2">
        <v>38533</v>
      </c>
      <c r="F1517">
        <v>10</v>
      </c>
      <c r="G1517">
        <v>1</v>
      </c>
      <c r="H1517" t="s">
        <v>4644</v>
      </c>
      <c r="I1517">
        <v>10</v>
      </c>
    </row>
    <row r="1518" spans="2:9" x14ac:dyDescent="0.3">
      <c r="B1518" t="s">
        <v>1212</v>
      </c>
      <c r="C1518" t="s">
        <v>2561</v>
      </c>
      <c r="D1518" t="s">
        <v>2634</v>
      </c>
      <c r="E1518" s="2">
        <v>39315</v>
      </c>
      <c r="F1518">
        <v>10</v>
      </c>
      <c r="G1518">
        <v>1</v>
      </c>
      <c r="H1518" t="s">
        <v>4645</v>
      </c>
      <c r="I1518">
        <v>10</v>
      </c>
    </row>
    <row r="1519" spans="2:9" x14ac:dyDescent="0.3">
      <c r="B1519" t="s">
        <v>1213</v>
      </c>
      <c r="C1519" t="s">
        <v>2562</v>
      </c>
      <c r="D1519" t="s">
        <v>2634</v>
      </c>
      <c r="E1519" s="2">
        <v>35277</v>
      </c>
      <c r="F1519">
        <v>10</v>
      </c>
      <c r="G1519">
        <v>1</v>
      </c>
      <c r="H1519" t="s">
        <v>4646</v>
      </c>
      <c r="I1519">
        <v>10</v>
      </c>
    </row>
    <row r="1520" spans="2:9" x14ac:dyDescent="0.3">
      <c r="B1520" t="s">
        <v>4647</v>
      </c>
      <c r="C1520" t="s">
        <v>4648</v>
      </c>
      <c r="D1520" t="s">
        <v>2634</v>
      </c>
      <c r="E1520" s="2">
        <v>42431</v>
      </c>
      <c r="F1520">
        <v>1</v>
      </c>
      <c r="G1520">
        <v>1</v>
      </c>
      <c r="H1520" t="s">
        <v>4649</v>
      </c>
      <c r="I1520">
        <v>1</v>
      </c>
    </row>
    <row r="1521" spans="2:9" x14ac:dyDescent="0.3">
      <c r="B1521" t="s">
        <v>1214</v>
      </c>
      <c r="C1521" t="s">
        <v>2563</v>
      </c>
      <c r="D1521" t="s">
        <v>2634</v>
      </c>
      <c r="E1521" s="2">
        <v>36901</v>
      </c>
      <c r="F1521">
        <v>10</v>
      </c>
      <c r="G1521">
        <v>1</v>
      </c>
      <c r="H1521" t="s">
        <v>4650</v>
      </c>
      <c r="I1521">
        <v>10</v>
      </c>
    </row>
    <row r="1522" spans="2:9" x14ac:dyDescent="0.3">
      <c r="B1522" t="s">
        <v>4651</v>
      </c>
      <c r="C1522" t="s">
        <v>4652</v>
      </c>
      <c r="D1522" t="s">
        <v>2662</v>
      </c>
      <c r="E1522" s="2">
        <v>42562</v>
      </c>
      <c r="F1522">
        <v>1</v>
      </c>
      <c r="G1522">
        <v>1</v>
      </c>
      <c r="H1522" t="s">
        <v>4653</v>
      </c>
      <c r="I1522">
        <v>1</v>
      </c>
    </row>
    <row r="1523" spans="2:9" x14ac:dyDescent="0.3">
      <c r="B1523" t="s">
        <v>1215</v>
      </c>
      <c r="C1523" t="s">
        <v>2564</v>
      </c>
      <c r="D1523" t="s">
        <v>2634</v>
      </c>
      <c r="E1523" s="2">
        <v>39589</v>
      </c>
      <c r="F1523">
        <v>10</v>
      </c>
      <c r="G1523">
        <v>1</v>
      </c>
      <c r="H1523" t="s">
        <v>4654</v>
      </c>
      <c r="I1523">
        <v>10</v>
      </c>
    </row>
    <row r="1524" spans="2:9" x14ac:dyDescent="0.3">
      <c r="B1524" t="s">
        <v>4655</v>
      </c>
      <c r="C1524" t="s">
        <v>4656</v>
      </c>
      <c r="D1524" t="s">
        <v>2634</v>
      </c>
      <c r="E1524" s="2">
        <v>40889</v>
      </c>
      <c r="F1524">
        <v>1</v>
      </c>
      <c r="G1524">
        <v>1</v>
      </c>
      <c r="H1524" t="s">
        <v>4657</v>
      </c>
      <c r="I1524">
        <v>1</v>
      </c>
    </row>
    <row r="1525" spans="2:9" x14ac:dyDescent="0.3">
      <c r="B1525" t="s">
        <v>1216</v>
      </c>
      <c r="C1525" t="s">
        <v>2565</v>
      </c>
      <c r="D1525" t="s">
        <v>2662</v>
      </c>
      <c r="E1525" s="2">
        <v>41415</v>
      </c>
      <c r="F1525">
        <v>10</v>
      </c>
      <c r="G1525">
        <v>1</v>
      </c>
      <c r="H1525" t="s">
        <v>4658</v>
      </c>
      <c r="I1525">
        <v>10</v>
      </c>
    </row>
    <row r="1526" spans="2:9" x14ac:dyDescent="0.3">
      <c r="B1526" t="s">
        <v>1217</v>
      </c>
      <c r="C1526" t="s">
        <v>2566</v>
      </c>
      <c r="D1526" t="s">
        <v>2634</v>
      </c>
      <c r="E1526" s="2">
        <v>38701</v>
      </c>
      <c r="F1526">
        <v>2</v>
      </c>
      <c r="G1526">
        <v>1</v>
      </c>
      <c r="H1526" t="s">
        <v>4659</v>
      </c>
      <c r="I1526">
        <v>2</v>
      </c>
    </row>
    <row r="1527" spans="2:9" x14ac:dyDescent="0.3">
      <c r="B1527" t="s">
        <v>1218</v>
      </c>
      <c r="C1527" t="s">
        <v>2567</v>
      </c>
      <c r="D1527" t="s">
        <v>2634</v>
      </c>
      <c r="E1527" s="2">
        <v>40022</v>
      </c>
      <c r="F1527">
        <v>2</v>
      </c>
      <c r="G1527">
        <v>1</v>
      </c>
      <c r="H1527" t="s">
        <v>4660</v>
      </c>
      <c r="I1527">
        <v>2</v>
      </c>
    </row>
    <row r="1528" spans="2:9" x14ac:dyDescent="0.3">
      <c r="B1528" t="s">
        <v>1219</v>
      </c>
      <c r="C1528" t="s">
        <v>2568</v>
      </c>
      <c r="D1528" t="s">
        <v>2634</v>
      </c>
      <c r="E1528" s="2">
        <v>34738</v>
      </c>
      <c r="F1528">
        <v>10</v>
      </c>
      <c r="G1528">
        <v>1</v>
      </c>
      <c r="H1528" t="s">
        <v>4661</v>
      </c>
      <c r="I1528">
        <v>10</v>
      </c>
    </row>
    <row r="1529" spans="2:9" x14ac:dyDescent="0.3">
      <c r="B1529" t="s">
        <v>1220</v>
      </c>
      <c r="C1529" t="s">
        <v>2569</v>
      </c>
      <c r="D1529" t="s">
        <v>2634</v>
      </c>
      <c r="E1529" s="2">
        <v>39650</v>
      </c>
      <c r="F1529">
        <v>1</v>
      </c>
      <c r="G1529">
        <v>1</v>
      </c>
      <c r="H1529" t="s">
        <v>4662</v>
      </c>
      <c r="I1529">
        <v>1</v>
      </c>
    </row>
    <row r="1530" spans="2:9" x14ac:dyDescent="0.3">
      <c r="B1530" t="s">
        <v>4663</v>
      </c>
      <c r="C1530" t="s">
        <v>4664</v>
      </c>
      <c r="D1530" t="s">
        <v>2634</v>
      </c>
      <c r="E1530" s="2">
        <v>39300</v>
      </c>
      <c r="F1530">
        <v>2</v>
      </c>
      <c r="G1530">
        <v>1</v>
      </c>
      <c r="H1530" t="s">
        <v>4665</v>
      </c>
      <c r="I1530">
        <v>2</v>
      </c>
    </row>
    <row r="1531" spans="2:9" x14ac:dyDescent="0.3">
      <c r="B1531" t="s">
        <v>1221</v>
      </c>
      <c r="C1531" t="s">
        <v>2570</v>
      </c>
      <c r="D1531" t="s">
        <v>2634</v>
      </c>
      <c r="E1531" s="2">
        <v>38413</v>
      </c>
      <c r="F1531">
        <v>2</v>
      </c>
      <c r="G1531">
        <v>1</v>
      </c>
      <c r="H1531" t="s">
        <v>4666</v>
      </c>
      <c r="I1531">
        <v>2</v>
      </c>
    </row>
    <row r="1532" spans="2:9" x14ac:dyDescent="0.3">
      <c r="B1532" t="s">
        <v>4667</v>
      </c>
      <c r="C1532" t="s">
        <v>4668</v>
      </c>
      <c r="D1532" t="s">
        <v>2634</v>
      </c>
      <c r="E1532" s="2">
        <v>42117</v>
      </c>
      <c r="F1532">
        <v>1</v>
      </c>
      <c r="G1532">
        <v>1</v>
      </c>
      <c r="H1532" t="s">
        <v>4669</v>
      </c>
      <c r="I1532">
        <v>1</v>
      </c>
    </row>
    <row r="1533" spans="2:9" x14ac:dyDescent="0.3">
      <c r="B1533" t="s">
        <v>1222</v>
      </c>
      <c r="C1533" t="s">
        <v>2571</v>
      </c>
      <c r="D1533" t="s">
        <v>2634</v>
      </c>
      <c r="E1533" s="2">
        <v>35305</v>
      </c>
      <c r="F1533">
        <v>10</v>
      </c>
      <c r="G1533">
        <v>1</v>
      </c>
      <c r="H1533" t="s">
        <v>4670</v>
      </c>
      <c r="I1533">
        <v>10</v>
      </c>
    </row>
    <row r="1534" spans="2:9" x14ac:dyDescent="0.3">
      <c r="B1534" t="s">
        <v>1223</v>
      </c>
      <c r="C1534" t="s">
        <v>2572</v>
      </c>
      <c r="D1534" t="s">
        <v>2634</v>
      </c>
      <c r="E1534" s="2">
        <v>38793</v>
      </c>
      <c r="F1534">
        <v>10</v>
      </c>
      <c r="G1534">
        <v>1</v>
      </c>
      <c r="H1534" t="s">
        <v>4671</v>
      </c>
      <c r="I1534">
        <v>10</v>
      </c>
    </row>
    <row r="1535" spans="2:9" x14ac:dyDescent="0.3">
      <c r="B1535" t="s">
        <v>1224</v>
      </c>
      <c r="C1535" t="s">
        <v>2573</v>
      </c>
      <c r="D1535" t="s">
        <v>2662</v>
      </c>
      <c r="E1535" s="2">
        <v>36539</v>
      </c>
      <c r="F1535">
        <v>1</v>
      </c>
      <c r="G1535">
        <v>1</v>
      </c>
      <c r="H1535" t="s">
        <v>4672</v>
      </c>
      <c r="I1535">
        <v>1</v>
      </c>
    </row>
    <row r="1536" spans="2:9" x14ac:dyDescent="0.3">
      <c r="B1536" t="s">
        <v>4673</v>
      </c>
      <c r="C1536" t="s">
        <v>4674</v>
      </c>
      <c r="D1536" t="s">
        <v>2634</v>
      </c>
      <c r="E1536" s="2">
        <v>42068</v>
      </c>
      <c r="F1536">
        <v>10</v>
      </c>
      <c r="G1536">
        <v>1</v>
      </c>
      <c r="H1536" t="s">
        <v>4675</v>
      </c>
      <c r="I1536">
        <v>10</v>
      </c>
    </row>
    <row r="1537" spans="2:9" x14ac:dyDescent="0.3">
      <c r="B1537" t="s">
        <v>1320</v>
      </c>
      <c r="C1537" t="s">
        <v>2574</v>
      </c>
      <c r="D1537" t="s">
        <v>2662</v>
      </c>
      <c r="E1537" s="2">
        <v>39080</v>
      </c>
      <c r="F1537">
        <v>10</v>
      </c>
      <c r="G1537">
        <v>1</v>
      </c>
      <c r="H1537" t="s">
        <v>4676</v>
      </c>
      <c r="I1537">
        <v>10</v>
      </c>
    </row>
    <row r="1538" spans="2:9" x14ac:dyDescent="0.3">
      <c r="B1538" t="s">
        <v>1225</v>
      </c>
      <c r="C1538" t="s">
        <v>2575</v>
      </c>
      <c r="D1538" t="s">
        <v>2634</v>
      </c>
      <c r="E1538" s="2">
        <v>41415</v>
      </c>
      <c r="F1538">
        <v>1</v>
      </c>
      <c r="G1538">
        <v>1</v>
      </c>
      <c r="H1538" t="s">
        <v>4677</v>
      </c>
      <c r="I1538">
        <v>1</v>
      </c>
    </row>
    <row r="1539" spans="2:9" x14ac:dyDescent="0.3">
      <c r="B1539" t="s">
        <v>1226</v>
      </c>
      <c r="C1539" t="s">
        <v>2576</v>
      </c>
      <c r="D1539" t="s">
        <v>2634</v>
      </c>
      <c r="E1539" s="2">
        <v>38581</v>
      </c>
      <c r="F1539">
        <v>2</v>
      </c>
      <c r="G1539">
        <v>1</v>
      </c>
      <c r="H1539" t="s">
        <v>4678</v>
      </c>
      <c r="I1539">
        <v>2</v>
      </c>
    </row>
    <row r="1540" spans="2:9" x14ac:dyDescent="0.3">
      <c r="B1540" t="s">
        <v>1227</v>
      </c>
      <c r="C1540" t="s">
        <v>2577</v>
      </c>
      <c r="D1540" t="s">
        <v>2634</v>
      </c>
      <c r="E1540" s="2">
        <v>34844</v>
      </c>
      <c r="F1540">
        <v>10</v>
      </c>
      <c r="G1540">
        <v>1</v>
      </c>
      <c r="H1540" t="s">
        <v>4679</v>
      </c>
      <c r="I1540">
        <v>10</v>
      </c>
    </row>
    <row r="1541" spans="2:9" x14ac:dyDescent="0.3">
      <c r="B1541" t="s">
        <v>1228</v>
      </c>
      <c r="C1541" t="s">
        <v>2578</v>
      </c>
      <c r="D1541" t="s">
        <v>2634</v>
      </c>
      <c r="E1541" s="2">
        <v>41325</v>
      </c>
      <c r="F1541">
        <v>10</v>
      </c>
      <c r="G1541">
        <v>1</v>
      </c>
      <c r="H1541" t="s">
        <v>4680</v>
      </c>
      <c r="I1541">
        <v>10</v>
      </c>
    </row>
    <row r="1542" spans="2:9" x14ac:dyDescent="0.3">
      <c r="B1542" t="s">
        <v>1229</v>
      </c>
      <c r="C1542" t="s">
        <v>2579</v>
      </c>
      <c r="D1542" t="s">
        <v>2634</v>
      </c>
      <c r="E1542" s="2">
        <v>38980</v>
      </c>
      <c r="F1542">
        <v>10</v>
      </c>
      <c r="G1542">
        <v>1</v>
      </c>
      <c r="H1542" t="s">
        <v>4681</v>
      </c>
      <c r="I1542">
        <v>10</v>
      </c>
    </row>
    <row r="1543" spans="2:9" x14ac:dyDescent="0.3">
      <c r="B1543" t="s">
        <v>1229</v>
      </c>
      <c r="C1543" t="s">
        <v>2579</v>
      </c>
      <c r="D1543" t="s">
        <v>3149</v>
      </c>
      <c r="E1543" s="2">
        <v>38980</v>
      </c>
      <c r="F1543">
        <v>10</v>
      </c>
      <c r="G1543">
        <v>1</v>
      </c>
      <c r="H1543" t="s">
        <v>4681</v>
      </c>
      <c r="I1543">
        <v>10</v>
      </c>
    </row>
    <row r="1544" spans="2:9" x14ac:dyDescent="0.3">
      <c r="B1544" t="s">
        <v>97</v>
      </c>
      <c r="C1544" t="s">
        <v>2580</v>
      </c>
      <c r="D1544" t="s">
        <v>2634</v>
      </c>
      <c r="E1544" s="2">
        <v>34801</v>
      </c>
      <c r="F1544">
        <v>1</v>
      </c>
      <c r="G1544">
        <v>1</v>
      </c>
      <c r="H1544" t="s">
        <v>4682</v>
      </c>
      <c r="I1544">
        <v>1</v>
      </c>
    </row>
    <row r="1545" spans="2:9" x14ac:dyDescent="0.3">
      <c r="B1545" t="s">
        <v>4683</v>
      </c>
      <c r="C1545" t="s">
        <v>4684</v>
      </c>
      <c r="D1545" t="s">
        <v>2634</v>
      </c>
      <c r="E1545" s="2">
        <v>42124</v>
      </c>
      <c r="F1545">
        <v>10</v>
      </c>
      <c r="G1545">
        <v>1</v>
      </c>
      <c r="H1545" t="s">
        <v>4685</v>
      </c>
      <c r="I1545">
        <v>10</v>
      </c>
    </row>
    <row r="1546" spans="2:9" x14ac:dyDescent="0.3">
      <c r="B1546" t="s">
        <v>1230</v>
      </c>
      <c r="C1546" t="s">
        <v>2581</v>
      </c>
      <c r="D1546" t="s">
        <v>2634</v>
      </c>
      <c r="E1546" s="2">
        <v>41046</v>
      </c>
      <c r="F1546">
        <v>10</v>
      </c>
      <c r="G1546">
        <v>1</v>
      </c>
      <c r="H1546" t="s">
        <v>4686</v>
      </c>
      <c r="I1546">
        <v>10</v>
      </c>
    </row>
    <row r="1547" spans="2:9" x14ac:dyDescent="0.3">
      <c r="B1547" t="s">
        <v>1231</v>
      </c>
      <c r="C1547" t="s">
        <v>2582</v>
      </c>
      <c r="D1547" t="s">
        <v>2634</v>
      </c>
      <c r="E1547" s="2">
        <v>37869</v>
      </c>
      <c r="F1547">
        <v>10</v>
      </c>
      <c r="G1547">
        <v>1</v>
      </c>
      <c r="H1547" t="s">
        <v>4687</v>
      </c>
      <c r="I1547">
        <v>10</v>
      </c>
    </row>
    <row r="1548" spans="2:9" x14ac:dyDescent="0.3">
      <c r="B1548" t="s">
        <v>1232</v>
      </c>
      <c r="C1548" t="s">
        <v>2583</v>
      </c>
      <c r="D1548" t="s">
        <v>2634</v>
      </c>
      <c r="E1548" s="2">
        <v>40714</v>
      </c>
      <c r="F1548">
        <v>10</v>
      </c>
      <c r="G1548">
        <v>1</v>
      </c>
      <c r="H1548" t="s">
        <v>4688</v>
      </c>
      <c r="I1548">
        <v>10</v>
      </c>
    </row>
    <row r="1549" spans="2:9" x14ac:dyDescent="0.3">
      <c r="B1549" t="s">
        <v>1233</v>
      </c>
      <c r="C1549" t="s">
        <v>2584</v>
      </c>
      <c r="D1549" t="s">
        <v>2634</v>
      </c>
      <c r="E1549" s="2">
        <v>37635</v>
      </c>
      <c r="F1549">
        <v>10</v>
      </c>
      <c r="G1549">
        <v>1</v>
      </c>
      <c r="H1549" t="s">
        <v>4689</v>
      </c>
      <c r="I1549">
        <v>10</v>
      </c>
    </row>
    <row r="1550" spans="2:9" x14ac:dyDescent="0.3">
      <c r="B1550" t="s">
        <v>1234</v>
      </c>
      <c r="C1550" t="s">
        <v>2585</v>
      </c>
      <c r="D1550" t="s">
        <v>2634</v>
      </c>
      <c r="E1550" s="2">
        <v>40464</v>
      </c>
      <c r="F1550">
        <v>2</v>
      </c>
      <c r="G1550">
        <v>1</v>
      </c>
      <c r="H1550" t="s">
        <v>4690</v>
      </c>
      <c r="I1550">
        <v>2</v>
      </c>
    </row>
    <row r="1551" spans="2:9" x14ac:dyDescent="0.3">
      <c r="B1551" t="s">
        <v>1235</v>
      </c>
      <c r="C1551" t="s">
        <v>2586</v>
      </c>
      <c r="D1551" t="s">
        <v>2634</v>
      </c>
      <c r="E1551" s="2">
        <v>39722</v>
      </c>
      <c r="F1551">
        <v>5</v>
      </c>
      <c r="G1551">
        <v>1</v>
      </c>
      <c r="H1551" t="s">
        <v>4691</v>
      </c>
      <c r="I1551">
        <v>5</v>
      </c>
    </row>
    <row r="1552" spans="2:9" x14ac:dyDescent="0.3">
      <c r="B1552" t="s">
        <v>1236</v>
      </c>
      <c r="C1552" t="s">
        <v>2587</v>
      </c>
      <c r="D1552" t="s">
        <v>2634</v>
      </c>
      <c r="E1552" s="2">
        <v>35326</v>
      </c>
      <c r="F1552">
        <v>2</v>
      </c>
      <c r="G1552">
        <v>1</v>
      </c>
      <c r="H1552" t="s">
        <v>4692</v>
      </c>
      <c r="I1552">
        <v>2</v>
      </c>
    </row>
    <row r="1553" spans="2:9" x14ac:dyDescent="0.3">
      <c r="B1553" t="s">
        <v>1237</v>
      </c>
      <c r="C1553" t="s">
        <v>2588</v>
      </c>
      <c r="D1553" t="s">
        <v>2662</v>
      </c>
      <c r="E1553" s="2">
        <v>39111</v>
      </c>
      <c r="F1553">
        <v>10</v>
      </c>
      <c r="G1553">
        <v>1</v>
      </c>
      <c r="H1553" t="s">
        <v>4693</v>
      </c>
      <c r="I1553">
        <v>10</v>
      </c>
    </row>
    <row r="1554" spans="2:9" x14ac:dyDescent="0.3">
      <c r="B1554" t="s">
        <v>1238</v>
      </c>
      <c r="C1554" t="s">
        <v>2589</v>
      </c>
      <c r="D1554" t="s">
        <v>2662</v>
      </c>
      <c r="E1554" s="2">
        <v>39217</v>
      </c>
      <c r="F1554">
        <v>10</v>
      </c>
      <c r="G1554">
        <v>1</v>
      </c>
      <c r="H1554" t="s">
        <v>4694</v>
      </c>
      <c r="I1554">
        <v>10</v>
      </c>
    </row>
    <row r="1555" spans="2:9" x14ac:dyDescent="0.3">
      <c r="B1555" t="s">
        <v>1239</v>
      </c>
      <c r="C1555" t="s">
        <v>2590</v>
      </c>
      <c r="D1555" t="s">
        <v>2634</v>
      </c>
      <c r="E1555" s="2">
        <v>40722</v>
      </c>
      <c r="F1555">
        <v>10</v>
      </c>
      <c r="G1555">
        <v>1</v>
      </c>
      <c r="H1555" t="s">
        <v>4695</v>
      </c>
      <c r="I1555">
        <v>10</v>
      </c>
    </row>
    <row r="1556" spans="2:9" x14ac:dyDescent="0.3">
      <c r="B1556" t="s">
        <v>1240</v>
      </c>
      <c r="C1556" t="s">
        <v>2591</v>
      </c>
      <c r="D1556" t="s">
        <v>2634</v>
      </c>
      <c r="E1556" s="2">
        <v>34829</v>
      </c>
      <c r="F1556">
        <v>10</v>
      </c>
      <c r="G1556">
        <v>1</v>
      </c>
      <c r="H1556" t="s">
        <v>4696</v>
      </c>
      <c r="I1556">
        <v>10</v>
      </c>
    </row>
    <row r="1557" spans="2:9" x14ac:dyDescent="0.3">
      <c r="B1557" t="s">
        <v>1241</v>
      </c>
      <c r="C1557" t="s">
        <v>2592</v>
      </c>
      <c r="D1557" t="s">
        <v>2634</v>
      </c>
      <c r="E1557" s="2">
        <v>38496</v>
      </c>
      <c r="F1557">
        <v>5</v>
      </c>
      <c r="G1557">
        <v>1</v>
      </c>
      <c r="H1557" t="s">
        <v>4697</v>
      </c>
      <c r="I1557">
        <v>5</v>
      </c>
    </row>
    <row r="1558" spans="2:9" x14ac:dyDescent="0.3">
      <c r="B1558" t="s">
        <v>4698</v>
      </c>
      <c r="C1558" t="s">
        <v>2593</v>
      </c>
      <c r="D1558" t="s">
        <v>2634</v>
      </c>
      <c r="E1558" s="2">
        <v>38295</v>
      </c>
      <c r="F1558">
        <v>10</v>
      </c>
      <c r="G1558">
        <v>1</v>
      </c>
      <c r="H1558" t="s">
        <v>4699</v>
      </c>
      <c r="I1558">
        <v>10</v>
      </c>
    </row>
    <row r="1559" spans="2:9" x14ac:dyDescent="0.3">
      <c r="B1559" t="s">
        <v>1242</v>
      </c>
      <c r="C1559" t="s">
        <v>2594</v>
      </c>
      <c r="D1559" t="s">
        <v>2634</v>
      </c>
      <c r="E1559" s="2">
        <v>40441</v>
      </c>
      <c r="F1559">
        <v>10</v>
      </c>
      <c r="G1559">
        <v>1</v>
      </c>
      <c r="H1559" t="s">
        <v>4700</v>
      </c>
      <c r="I1559">
        <v>10</v>
      </c>
    </row>
    <row r="1560" spans="2:9" x14ac:dyDescent="0.3">
      <c r="B1560" t="s">
        <v>1243</v>
      </c>
      <c r="C1560" t="s">
        <v>2595</v>
      </c>
      <c r="D1560" t="s">
        <v>2634</v>
      </c>
      <c r="E1560" s="2">
        <v>37959</v>
      </c>
      <c r="F1560">
        <v>1</v>
      </c>
      <c r="G1560">
        <v>1</v>
      </c>
      <c r="H1560" t="s">
        <v>4701</v>
      </c>
      <c r="I1560">
        <v>1</v>
      </c>
    </row>
    <row r="1561" spans="2:9" x14ac:dyDescent="0.3">
      <c r="B1561" t="s">
        <v>1244</v>
      </c>
      <c r="C1561" t="s">
        <v>2596</v>
      </c>
      <c r="D1561" t="s">
        <v>2634</v>
      </c>
      <c r="E1561" s="2">
        <v>38936</v>
      </c>
      <c r="F1561">
        <v>10</v>
      </c>
      <c r="G1561">
        <v>1</v>
      </c>
      <c r="H1561" t="s">
        <v>4702</v>
      </c>
      <c r="I1561">
        <v>10</v>
      </c>
    </row>
    <row r="1562" spans="2:9" x14ac:dyDescent="0.3">
      <c r="B1562" t="s">
        <v>1245</v>
      </c>
      <c r="C1562" t="s">
        <v>2597</v>
      </c>
      <c r="D1562" t="s">
        <v>2634</v>
      </c>
      <c r="E1562" s="2">
        <v>36623</v>
      </c>
      <c r="F1562">
        <v>10</v>
      </c>
      <c r="G1562">
        <v>1</v>
      </c>
      <c r="H1562" t="s">
        <v>4703</v>
      </c>
      <c r="I1562">
        <v>10</v>
      </c>
    </row>
    <row r="1563" spans="2:9" x14ac:dyDescent="0.3">
      <c r="B1563" t="s">
        <v>1246</v>
      </c>
      <c r="C1563" t="s">
        <v>2598</v>
      </c>
      <c r="D1563" t="s">
        <v>2634</v>
      </c>
      <c r="E1563" s="2">
        <v>40274</v>
      </c>
      <c r="F1563">
        <v>10</v>
      </c>
      <c r="G1563">
        <v>1</v>
      </c>
      <c r="H1563" t="s">
        <v>4704</v>
      </c>
      <c r="I1563">
        <v>10</v>
      </c>
    </row>
    <row r="1564" spans="2:9" x14ac:dyDescent="0.3">
      <c r="B1564" t="s">
        <v>1247</v>
      </c>
      <c r="C1564" t="s">
        <v>2599</v>
      </c>
      <c r="D1564" t="s">
        <v>2662</v>
      </c>
      <c r="E1564" s="2">
        <v>36040</v>
      </c>
      <c r="F1564">
        <v>10</v>
      </c>
      <c r="G1564">
        <v>1</v>
      </c>
      <c r="H1564" t="s">
        <v>4705</v>
      </c>
      <c r="I1564">
        <v>10</v>
      </c>
    </row>
    <row r="1565" spans="2:9" x14ac:dyDescent="0.3">
      <c r="B1565" t="s">
        <v>1248</v>
      </c>
      <c r="C1565" t="s">
        <v>2600</v>
      </c>
      <c r="D1565" t="s">
        <v>2634</v>
      </c>
      <c r="E1565" s="2">
        <v>40772</v>
      </c>
      <c r="F1565">
        <v>2</v>
      </c>
      <c r="G1565">
        <v>1</v>
      </c>
      <c r="H1565" t="s">
        <v>4706</v>
      </c>
      <c r="I1565">
        <v>2</v>
      </c>
    </row>
    <row r="1566" spans="2:9" x14ac:dyDescent="0.3">
      <c r="B1566" t="s">
        <v>1249</v>
      </c>
      <c r="C1566" t="s">
        <v>2601</v>
      </c>
      <c r="D1566" t="s">
        <v>2634</v>
      </c>
      <c r="E1566" s="2">
        <v>40780</v>
      </c>
      <c r="F1566">
        <v>10</v>
      </c>
      <c r="G1566">
        <v>1</v>
      </c>
      <c r="H1566" t="s">
        <v>4707</v>
      </c>
      <c r="I1566">
        <v>10</v>
      </c>
    </row>
    <row r="1567" spans="2:9" x14ac:dyDescent="0.3">
      <c r="B1567" t="s">
        <v>4708</v>
      </c>
      <c r="C1567" t="s">
        <v>4709</v>
      </c>
      <c r="D1567" t="s">
        <v>2662</v>
      </c>
      <c r="E1567" s="2">
        <v>42842</v>
      </c>
      <c r="F1567">
        <v>10</v>
      </c>
      <c r="G1567">
        <v>1</v>
      </c>
      <c r="H1567" t="s">
        <v>4710</v>
      </c>
      <c r="I1567">
        <v>10</v>
      </c>
    </row>
    <row r="1568" spans="2:9" x14ac:dyDescent="0.3">
      <c r="B1568" t="s">
        <v>108</v>
      </c>
      <c r="C1568" t="s">
        <v>2602</v>
      </c>
      <c r="D1568" t="s">
        <v>2634</v>
      </c>
      <c r="E1568" s="2">
        <v>35011</v>
      </c>
      <c r="F1568">
        <v>2</v>
      </c>
      <c r="G1568">
        <v>1</v>
      </c>
      <c r="H1568" t="s">
        <v>4711</v>
      </c>
      <c r="I1568">
        <v>2</v>
      </c>
    </row>
    <row r="1569" spans="2:9" x14ac:dyDescent="0.3">
      <c r="B1569" t="s">
        <v>1250</v>
      </c>
      <c r="C1569" t="s">
        <v>2603</v>
      </c>
      <c r="D1569" t="s">
        <v>2634</v>
      </c>
      <c r="E1569" s="2">
        <v>36579</v>
      </c>
      <c r="F1569">
        <v>5</v>
      </c>
      <c r="G1569">
        <v>1</v>
      </c>
      <c r="H1569" t="s">
        <v>4712</v>
      </c>
      <c r="I1569">
        <v>5</v>
      </c>
    </row>
    <row r="1570" spans="2:9" x14ac:dyDescent="0.3">
      <c r="B1570" t="s">
        <v>1251</v>
      </c>
      <c r="C1570" t="s">
        <v>2604</v>
      </c>
      <c r="D1570" t="s">
        <v>2634</v>
      </c>
      <c r="E1570" s="2">
        <v>41768</v>
      </c>
      <c r="F1570">
        <v>10</v>
      </c>
      <c r="G1570">
        <v>1</v>
      </c>
      <c r="H1570" t="s">
        <v>4713</v>
      </c>
      <c r="I1570">
        <v>10</v>
      </c>
    </row>
    <row r="1571" spans="2:9" x14ac:dyDescent="0.3">
      <c r="B1571" t="s">
        <v>1252</v>
      </c>
      <c r="C1571" t="s">
        <v>2605</v>
      </c>
      <c r="D1571" t="s">
        <v>2634</v>
      </c>
      <c r="E1571" s="2">
        <v>39295</v>
      </c>
      <c r="F1571">
        <v>10</v>
      </c>
      <c r="G1571">
        <v>1</v>
      </c>
      <c r="H1571" t="s">
        <v>4714</v>
      </c>
      <c r="I1571">
        <v>10</v>
      </c>
    </row>
    <row r="1572" spans="2:9" x14ac:dyDescent="0.3">
      <c r="B1572" t="s">
        <v>1253</v>
      </c>
      <c r="C1572" t="s">
        <v>2606</v>
      </c>
      <c r="D1572" t="s">
        <v>2634</v>
      </c>
      <c r="E1572" s="2">
        <v>36908</v>
      </c>
      <c r="F1572">
        <v>2</v>
      </c>
      <c r="G1572">
        <v>1</v>
      </c>
      <c r="H1572" t="s">
        <v>4715</v>
      </c>
      <c r="I1572">
        <v>2</v>
      </c>
    </row>
    <row r="1573" spans="2:9" x14ac:dyDescent="0.3">
      <c r="B1573" t="s">
        <v>1254</v>
      </c>
      <c r="C1573" t="s">
        <v>2607</v>
      </c>
      <c r="D1573" t="s">
        <v>2634</v>
      </c>
      <c r="E1573" s="2">
        <v>38420</v>
      </c>
      <c r="F1573">
        <v>10</v>
      </c>
      <c r="G1573">
        <v>1</v>
      </c>
      <c r="H1573" t="s">
        <v>4716</v>
      </c>
      <c r="I1573">
        <v>10</v>
      </c>
    </row>
    <row r="1574" spans="2:9" x14ac:dyDescent="0.3">
      <c r="B1574" t="s">
        <v>1255</v>
      </c>
      <c r="C1574" t="s">
        <v>2608</v>
      </c>
      <c r="D1574" t="s">
        <v>2634</v>
      </c>
      <c r="E1574" s="2">
        <v>39079</v>
      </c>
      <c r="F1574">
        <v>10</v>
      </c>
      <c r="G1574">
        <v>1</v>
      </c>
      <c r="H1574" t="s">
        <v>4717</v>
      </c>
      <c r="I1574">
        <v>10</v>
      </c>
    </row>
    <row r="1575" spans="2:9" x14ac:dyDescent="0.3">
      <c r="B1575" t="s">
        <v>1256</v>
      </c>
      <c r="C1575" t="s">
        <v>2609</v>
      </c>
      <c r="D1575" t="s">
        <v>2634</v>
      </c>
      <c r="E1575" s="2">
        <v>38104</v>
      </c>
      <c r="F1575">
        <v>10</v>
      </c>
      <c r="G1575">
        <v>1</v>
      </c>
      <c r="H1575" t="s">
        <v>4718</v>
      </c>
      <c r="I1575">
        <v>10</v>
      </c>
    </row>
    <row r="1576" spans="2:9" x14ac:dyDescent="0.3">
      <c r="B1576" t="s">
        <v>1257</v>
      </c>
      <c r="C1576" t="s">
        <v>2610</v>
      </c>
      <c r="D1576" t="s">
        <v>2634</v>
      </c>
      <c r="E1576" s="2">
        <v>38545</v>
      </c>
      <c r="F1576">
        <v>10</v>
      </c>
      <c r="G1576">
        <v>1</v>
      </c>
      <c r="H1576" t="s">
        <v>4719</v>
      </c>
      <c r="I1576">
        <v>10</v>
      </c>
    </row>
    <row r="1577" spans="2:9" x14ac:dyDescent="0.3">
      <c r="B1577" t="s">
        <v>1258</v>
      </c>
      <c r="C1577" t="s">
        <v>2611</v>
      </c>
      <c r="D1577" t="s">
        <v>2634</v>
      </c>
      <c r="E1577" s="2">
        <v>36194</v>
      </c>
      <c r="F1577">
        <v>100</v>
      </c>
      <c r="G1577">
        <v>1</v>
      </c>
      <c r="H1577" t="s">
        <v>4720</v>
      </c>
      <c r="I1577">
        <v>100</v>
      </c>
    </row>
    <row r="1578" spans="2:9" x14ac:dyDescent="0.3">
      <c r="B1578" t="s">
        <v>1259</v>
      </c>
      <c r="C1578" t="s">
        <v>2612</v>
      </c>
      <c r="D1578" t="s">
        <v>2634</v>
      </c>
      <c r="E1578" s="2">
        <v>36047</v>
      </c>
      <c r="F1578">
        <v>1</v>
      </c>
      <c r="G1578">
        <v>1</v>
      </c>
      <c r="H1578" t="s">
        <v>4721</v>
      </c>
      <c r="I1578">
        <v>1</v>
      </c>
    </row>
    <row r="1579" spans="2:9" x14ac:dyDescent="0.3">
      <c r="B1579" t="s">
        <v>1260</v>
      </c>
      <c r="C1579" t="s">
        <v>2613</v>
      </c>
      <c r="D1579" t="s">
        <v>2634</v>
      </c>
      <c r="E1579" s="2">
        <v>40532</v>
      </c>
      <c r="F1579">
        <v>1</v>
      </c>
      <c r="G1579">
        <v>1</v>
      </c>
      <c r="H1579" t="s">
        <v>4722</v>
      </c>
      <c r="I1579">
        <v>1</v>
      </c>
    </row>
    <row r="1580" spans="2:9" x14ac:dyDescent="0.3">
      <c r="B1580" t="s">
        <v>1261</v>
      </c>
      <c r="C1580" t="s">
        <v>2614</v>
      </c>
      <c r="D1580" t="s">
        <v>2634</v>
      </c>
      <c r="E1580" s="2">
        <v>39092</v>
      </c>
      <c r="F1580">
        <v>1</v>
      </c>
      <c r="G1580">
        <v>1</v>
      </c>
      <c r="H1580" t="s">
        <v>4723</v>
      </c>
      <c r="I1580">
        <v>1</v>
      </c>
    </row>
    <row r="1581" spans="2:9" x14ac:dyDescent="0.3">
      <c r="B1581" t="s">
        <v>1262</v>
      </c>
      <c r="C1581" t="s">
        <v>2615</v>
      </c>
      <c r="D1581" t="s">
        <v>2634</v>
      </c>
      <c r="E1581" s="2">
        <v>39202</v>
      </c>
      <c r="F1581">
        <v>10</v>
      </c>
      <c r="G1581">
        <v>1</v>
      </c>
      <c r="H1581" t="s">
        <v>4724</v>
      </c>
      <c r="I1581">
        <v>10</v>
      </c>
    </row>
    <row r="1582" spans="2:9" x14ac:dyDescent="0.3">
      <c r="B1582" t="s">
        <v>1263</v>
      </c>
      <c r="C1582" t="s">
        <v>2616</v>
      </c>
      <c r="D1582" t="s">
        <v>2662</v>
      </c>
      <c r="E1582" s="2">
        <v>36796</v>
      </c>
      <c r="F1582">
        <v>10</v>
      </c>
      <c r="G1582">
        <v>1</v>
      </c>
      <c r="H1582" t="s">
        <v>4725</v>
      </c>
      <c r="I1582">
        <v>10</v>
      </c>
    </row>
    <row r="1583" spans="2:9" x14ac:dyDescent="0.3">
      <c r="B1583" t="s">
        <v>1264</v>
      </c>
      <c r="C1583" t="s">
        <v>2617</v>
      </c>
      <c r="D1583" t="s">
        <v>2634</v>
      </c>
      <c r="E1583" s="2">
        <v>37811</v>
      </c>
      <c r="F1583">
        <v>10</v>
      </c>
      <c r="G1583">
        <v>1</v>
      </c>
      <c r="H1583" t="s">
        <v>4726</v>
      </c>
      <c r="I1583">
        <v>10</v>
      </c>
    </row>
    <row r="1584" spans="2:9" x14ac:dyDescent="0.3">
      <c r="B1584" t="s">
        <v>4727</v>
      </c>
      <c r="C1584" t="s">
        <v>4728</v>
      </c>
      <c r="D1584" t="s">
        <v>2634</v>
      </c>
      <c r="E1584" s="2">
        <v>42093</v>
      </c>
      <c r="F1584">
        <v>1</v>
      </c>
      <c r="G1584">
        <v>1</v>
      </c>
      <c r="H1584" t="s">
        <v>4729</v>
      </c>
      <c r="I1584">
        <v>1</v>
      </c>
    </row>
    <row r="1585" spans="2:9" x14ac:dyDescent="0.3">
      <c r="B1585" t="s">
        <v>1265</v>
      </c>
      <c r="C1585" t="s">
        <v>2618</v>
      </c>
      <c r="D1585" t="s">
        <v>2634</v>
      </c>
      <c r="E1585" s="2">
        <v>38825</v>
      </c>
      <c r="F1585">
        <v>10</v>
      </c>
      <c r="G1585">
        <v>1</v>
      </c>
      <c r="H1585" t="s">
        <v>4730</v>
      </c>
      <c r="I1585">
        <v>10</v>
      </c>
    </row>
    <row r="1586" spans="2:9" x14ac:dyDescent="0.3">
      <c r="B1586" t="s">
        <v>1266</v>
      </c>
      <c r="C1586" t="s">
        <v>2619</v>
      </c>
      <c r="D1586" t="s">
        <v>2634</v>
      </c>
      <c r="E1586" s="2">
        <v>34969</v>
      </c>
      <c r="F1586">
        <v>10</v>
      </c>
      <c r="G1586">
        <v>1</v>
      </c>
      <c r="H1586" t="s">
        <v>4731</v>
      </c>
      <c r="I1586">
        <v>10</v>
      </c>
    </row>
    <row r="1587" spans="2:9" x14ac:dyDescent="0.3">
      <c r="B1587" t="s">
        <v>1267</v>
      </c>
      <c r="C1587" t="s">
        <v>2620</v>
      </c>
      <c r="D1587" t="s">
        <v>2634</v>
      </c>
      <c r="E1587" s="2">
        <v>34899</v>
      </c>
      <c r="F1587">
        <v>10</v>
      </c>
      <c r="G1587">
        <v>1</v>
      </c>
      <c r="H1587" t="s">
        <v>4732</v>
      </c>
      <c r="I1587">
        <v>10</v>
      </c>
    </row>
    <row r="1588" spans="2:9" x14ac:dyDescent="0.3">
      <c r="B1588" t="s">
        <v>1268</v>
      </c>
      <c r="C1588" t="s">
        <v>2621</v>
      </c>
      <c r="D1588" t="s">
        <v>2634</v>
      </c>
      <c r="E1588" s="2">
        <v>41240</v>
      </c>
      <c r="F1588">
        <v>10</v>
      </c>
      <c r="G1588">
        <v>1</v>
      </c>
      <c r="H1588" t="s">
        <v>4733</v>
      </c>
      <c r="I1588">
        <v>10</v>
      </c>
    </row>
    <row r="1589" spans="2:9" x14ac:dyDescent="0.3">
      <c r="B1589" t="s">
        <v>1269</v>
      </c>
      <c r="C1589" t="s">
        <v>4734</v>
      </c>
      <c r="D1589" t="s">
        <v>2634</v>
      </c>
      <c r="E1589" s="2">
        <v>34801</v>
      </c>
      <c r="F1589">
        <v>10</v>
      </c>
      <c r="G1589">
        <v>1</v>
      </c>
      <c r="H1589" t="s">
        <v>4735</v>
      </c>
      <c r="I1589">
        <v>10</v>
      </c>
    </row>
    <row r="1590" spans="2:9" x14ac:dyDescent="0.3">
      <c r="B1590" t="s">
        <v>1270</v>
      </c>
      <c r="C1590" t="s">
        <v>2622</v>
      </c>
      <c r="D1590" t="s">
        <v>2634</v>
      </c>
      <c r="E1590" s="2">
        <v>40130</v>
      </c>
      <c r="F1590">
        <v>10</v>
      </c>
      <c r="G1590">
        <v>1</v>
      </c>
      <c r="H1590" t="s">
        <v>4736</v>
      </c>
      <c r="I1590">
        <v>10</v>
      </c>
    </row>
    <row r="1591" spans="2:9" x14ac:dyDescent="0.3">
      <c r="B1591" t="s">
        <v>1271</v>
      </c>
      <c r="C1591" t="s">
        <v>2623</v>
      </c>
      <c r="D1591" t="s">
        <v>2634</v>
      </c>
      <c r="E1591" s="2">
        <v>39311</v>
      </c>
      <c r="F1591">
        <v>5</v>
      </c>
      <c r="G1591">
        <v>1</v>
      </c>
      <c r="H1591" t="s">
        <v>4737</v>
      </c>
      <c r="I1591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E18" sqref="E18:H19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</v>
      </c>
      <c r="C1" s="4" t="s">
        <v>95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3" customFormat="1" ht="14.4" x14ac:dyDescent="0.3">
      <c r="A14"/>
      <c r="B14"/>
      <c r="C14"/>
      <c r="D14"/>
      <c r="E14"/>
      <c r="F14"/>
      <c r="G14"/>
      <c r="H14"/>
      <c r="I14"/>
    </row>
    <row r="15" spans="1:9" s="3" customFormat="1" ht="14.4" x14ac:dyDescent="0.3">
      <c r="A15"/>
      <c r="B15"/>
      <c r="C15"/>
      <c r="D15"/>
      <c r="E15"/>
      <c r="F15"/>
      <c r="G15"/>
      <c r="H15"/>
      <c r="I15"/>
    </row>
    <row r="16" spans="1:9" s="3" customFormat="1" ht="14.4" x14ac:dyDescent="0.3">
      <c r="A16"/>
      <c r="B16"/>
      <c r="C16"/>
      <c r="D16"/>
      <c r="E16"/>
      <c r="F16"/>
      <c r="G16"/>
      <c r="H16"/>
      <c r="I16"/>
    </row>
    <row r="17" spans="1:9" s="3" customFormat="1" ht="14.4" x14ac:dyDescent="0.3">
      <c r="A17"/>
      <c r="B17"/>
      <c r="C17"/>
      <c r="D17"/>
      <c r="E17"/>
      <c r="F17"/>
      <c r="G17"/>
      <c r="H17"/>
      <c r="I17"/>
    </row>
    <row r="18" spans="1:9" s="3" customFormat="1" ht="14.4" x14ac:dyDescent="0.3">
      <c r="A18"/>
      <c r="B18"/>
      <c r="C18"/>
      <c r="D18"/>
      <c r="E18" s="5"/>
      <c r="F18"/>
      <c r="G18" s="5"/>
      <c r="H18"/>
      <c r="I18"/>
    </row>
    <row r="19" spans="1:9" s="3" customFormat="1" ht="14.4" x14ac:dyDescent="0.3">
      <c r="A19"/>
      <c r="B19"/>
      <c r="C19"/>
      <c r="D19"/>
      <c r="E19"/>
      <c r="F19"/>
      <c r="G19"/>
      <c r="H19"/>
      <c r="I19"/>
    </row>
    <row r="20" spans="1:9" s="3" customFormat="1" ht="14.4" x14ac:dyDescent="0.3">
      <c r="A20"/>
      <c r="B20"/>
      <c r="C20"/>
      <c r="D20"/>
      <c r="E20"/>
      <c r="F20"/>
      <c r="G20"/>
      <c r="H20"/>
      <c r="I20"/>
    </row>
    <row r="21" spans="1:9" s="3" customFormat="1" ht="14.4" x14ac:dyDescent="0.3">
      <c r="A21"/>
      <c r="B21"/>
      <c r="C21"/>
      <c r="D21"/>
      <c r="E21"/>
      <c r="F21"/>
      <c r="G21"/>
      <c r="H21"/>
      <c r="I21"/>
    </row>
    <row r="22" spans="1:9" s="3" customFormat="1" ht="14.4" x14ac:dyDescent="0.3">
      <c r="A22"/>
      <c r="B22"/>
      <c r="C22"/>
      <c r="D22"/>
      <c r="E22"/>
      <c r="F22"/>
      <c r="G22"/>
      <c r="H22"/>
      <c r="I22"/>
    </row>
    <row r="23" spans="1:9" s="3" customFormat="1" ht="14.4" x14ac:dyDescent="0.3">
      <c r="A23"/>
      <c r="B23"/>
      <c r="C23"/>
      <c r="D23"/>
      <c r="E23"/>
      <c r="F23"/>
      <c r="G23"/>
      <c r="H23"/>
      <c r="I23"/>
    </row>
    <row r="24" spans="1:9" s="3" customFormat="1" ht="14.4" x14ac:dyDescent="0.3">
      <c r="A24"/>
      <c r="B24"/>
      <c r="C24"/>
      <c r="D24"/>
      <c r="E24"/>
      <c r="F24"/>
      <c r="G24"/>
      <c r="H24"/>
      <c r="I24"/>
    </row>
    <row r="25" spans="1:9" s="3" customFormat="1" ht="14.4" x14ac:dyDescent="0.3">
      <c r="A25"/>
      <c r="B25"/>
      <c r="C25"/>
      <c r="D25"/>
      <c r="E25"/>
      <c r="F25"/>
      <c r="G25"/>
      <c r="H25"/>
      <c r="I25"/>
    </row>
    <row r="26" spans="1:9" s="3" customFormat="1" ht="14.4" x14ac:dyDescent="0.3">
      <c r="A26"/>
      <c r="B26"/>
      <c r="C26"/>
      <c r="D26"/>
      <c r="E26"/>
      <c r="F26"/>
      <c r="G26"/>
      <c r="H26"/>
      <c r="I26"/>
    </row>
    <row r="27" spans="1:9" s="3" customFormat="1" ht="14.4" x14ac:dyDescent="0.3">
      <c r="A27"/>
      <c r="B27"/>
      <c r="C27"/>
      <c r="D27"/>
      <c r="E27"/>
      <c r="F27"/>
      <c r="G27"/>
      <c r="H27"/>
      <c r="I27"/>
    </row>
    <row r="28" spans="1:9" s="3" customFormat="1" ht="14.4" x14ac:dyDescent="0.3">
      <c r="A28"/>
      <c r="B28"/>
      <c r="C28"/>
      <c r="D28"/>
      <c r="E28"/>
      <c r="F28"/>
      <c r="G28"/>
      <c r="H28"/>
      <c r="I28"/>
    </row>
    <row r="29" spans="1:9" s="3" customFormat="1" ht="14.4" x14ac:dyDescent="0.3">
      <c r="A29"/>
      <c r="B29"/>
      <c r="C29"/>
      <c r="D29"/>
      <c r="E29"/>
      <c r="F29"/>
      <c r="G29"/>
      <c r="H29"/>
      <c r="I29"/>
    </row>
    <row r="30" spans="1:9" s="3" customFormat="1" ht="14.4" x14ac:dyDescent="0.3">
      <c r="A30"/>
      <c r="B30"/>
      <c r="C30"/>
      <c r="D30"/>
      <c r="E30"/>
      <c r="F30"/>
      <c r="G30"/>
      <c r="H30"/>
      <c r="I30"/>
    </row>
    <row r="31" spans="1:9" s="3" customFormat="1" ht="14.4" x14ac:dyDescent="0.3">
      <c r="A31"/>
      <c r="B31"/>
      <c r="C31"/>
      <c r="D31"/>
      <c r="E31"/>
      <c r="F31"/>
      <c r="G31"/>
      <c r="H31"/>
      <c r="I31"/>
    </row>
    <row r="32" spans="1:9" s="3" customFormat="1" ht="14.4" x14ac:dyDescent="0.3">
      <c r="A32"/>
      <c r="B32"/>
      <c r="C32"/>
      <c r="D32"/>
      <c r="E32"/>
      <c r="F32"/>
      <c r="G32"/>
      <c r="H32"/>
      <c r="I32"/>
    </row>
    <row r="33" spans="1:9" s="3" customFormat="1" ht="14.4" x14ac:dyDescent="0.3">
      <c r="A33"/>
      <c r="B33"/>
      <c r="C33"/>
      <c r="D33"/>
      <c r="E33"/>
      <c r="F33"/>
      <c r="G33"/>
      <c r="H33"/>
      <c r="I33"/>
    </row>
    <row r="34" spans="1:9" s="3" customFormat="1" ht="14.4" x14ac:dyDescent="0.3">
      <c r="A34"/>
      <c r="B34"/>
      <c r="C34"/>
      <c r="D34"/>
      <c r="E34"/>
      <c r="F34"/>
      <c r="G34"/>
      <c r="H34"/>
      <c r="I34"/>
    </row>
    <row r="35" spans="1:9" s="3" customFormat="1" ht="14.4" x14ac:dyDescent="0.3">
      <c r="A35"/>
      <c r="B35"/>
      <c r="C35"/>
      <c r="D35"/>
      <c r="E35"/>
      <c r="F35"/>
      <c r="G35"/>
      <c r="H35"/>
      <c r="I35"/>
    </row>
    <row r="36" spans="1:9" s="3" customFormat="1" ht="14.4" x14ac:dyDescent="0.3">
      <c r="A36"/>
      <c r="B36"/>
      <c r="C36"/>
      <c r="D36"/>
      <c r="E36"/>
      <c r="F36"/>
      <c r="G36"/>
      <c r="H36"/>
      <c r="I36"/>
    </row>
    <row r="37" spans="1:9" s="3" customFormat="1" ht="14.4" x14ac:dyDescent="0.3">
      <c r="A37"/>
      <c r="B37"/>
      <c r="C37"/>
      <c r="D37"/>
      <c r="E37"/>
      <c r="F37"/>
      <c r="G37"/>
      <c r="H37"/>
      <c r="I37"/>
    </row>
    <row r="38" spans="1:9" s="3" customFormat="1" ht="14.4" x14ac:dyDescent="0.3">
      <c r="A38"/>
      <c r="B38"/>
      <c r="C38"/>
      <c r="D38"/>
      <c r="E38"/>
      <c r="F38"/>
      <c r="G38"/>
      <c r="H38"/>
      <c r="I38"/>
    </row>
    <row r="39" spans="1:9" s="3" customFormat="1" ht="14.4" x14ac:dyDescent="0.3">
      <c r="A39"/>
      <c r="B39"/>
      <c r="C39"/>
      <c r="D39"/>
      <c r="E39"/>
      <c r="F39"/>
      <c r="G39"/>
      <c r="H39"/>
      <c r="I39"/>
    </row>
    <row r="40" spans="1:9" s="3" customFormat="1" ht="14.4" x14ac:dyDescent="0.3">
      <c r="A40"/>
      <c r="B40"/>
      <c r="C40"/>
      <c r="D40"/>
      <c r="E40"/>
      <c r="F40"/>
      <c r="G40"/>
      <c r="H40"/>
      <c r="I40"/>
    </row>
    <row r="41" spans="1:9" s="3" customFormat="1" ht="14.4" x14ac:dyDescent="0.3">
      <c r="A41"/>
      <c r="B41"/>
      <c r="C41"/>
      <c r="D41"/>
      <c r="E41"/>
      <c r="F41"/>
      <c r="G41"/>
      <c r="H41"/>
      <c r="I41"/>
    </row>
    <row r="42" spans="1:9" s="3" customFormat="1" ht="14.4" x14ac:dyDescent="0.3">
      <c r="A42"/>
      <c r="B42"/>
      <c r="C42"/>
      <c r="D42"/>
      <c r="E42"/>
      <c r="F42"/>
      <c r="G42"/>
      <c r="H42"/>
      <c r="I42"/>
    </row>
    <row r="43" spans="1:9" s="3" customFormat="1" ht="14.4" x14ac:dyDescent="0.3">
      <c r="A43"/>
      <c r="B43"/>
      <c r="C43"/>
      <c r="D43"/>
      <c r="E43"/>
      <c r="F43"/>
      <c r="G43"/>
      <c r="H43"/>
      <c r="I43"/>
    </row>
    <row r="44" spans="1:9" s="3" customFormat="1" ht="14.4" x14ac:dyDescent="0.3">
      <c r="A44"/>
      <c r="B44"/>
      <c r="C44"/>
      <c r="D44"/>
      <c r="E44"/>
      <c r="F44"/>
      <c r="G44"/>
      <c r="H44"/>
      <c r="I44"/>
    </row>
    <row r="45" spans="1:9" s="3" customFormat="1" ht="14.4" x14ac:dyDescent="0.3">
      <c r="A45"/>
      <c r="B45"/>
      <c r="C45"/>
      <c r="D45"/>
      <c r="E45"/>
      <c r="F45"/>
      <c r="G45"/>
      <c r="H45"/>
      <c r="I45"/>
    </row>
    <row r="46" spans="1:9" s="3" customFormat="1" ht="14.4" x14ac:dyDescent="0.3">
      <c r="A46"/>
      <c r="B46"/>
      <c r="C46"/>
      <c r="D46"/>
      <c r="E46"/>
      <c r="F46"/>
      <c r="G46"/>
      <c r="H46"/>
      <c r="I46"/>
    </row>
    <row r="47" spans="1:9" s="3" customFormat="1" ht="14.4" x14ac:dyDescent="0.3">
      <c r="A47"/>
      <c r="B47"/>
      <c r="C47"/>
      <c r="D47"/>
      <c r="E47"/>
      <c r="F47"/>
      <c r="G47"/>
      <c r="H47"/>
      <c r="I47"/>
    </row>
    <row r="48" spans="1:9" s="3" customFormat="1" ht="14.4" x14ac:dyDescent="0.3">
      <c r="A48"/>
      <c r="B48"/>
      <c r="C48"/>
      <c r="D48"/>
      <c r="E48"/>
      <c r="F48"/>
      <c r="G48"/>
      <c r="H48"/>
      <c r="I48"/>
    </row>
    <row r="49" spans="1:9" s="3" customFormat="1" ht="14.4" x14ac:dyDescent="0.3">
      <c r="A49"/>
      <c r="B49"/>
      <c r="C49"/>
      <c r="D49"/>
      <c r="E49"/>
      <c r="F49"/>
      <c r="G49"/>
      <c r="H49"/>
      <c r="I49"/>
    </row>
    <row r="50" spans="1:9" s="3" customFormat="1" ht="14.4" x14ac:dyDescent="0.3">
      <c r="A50"/>
      <c r="B50"/>
      <c r="C50"/>
      <c r="D50"/>
      <c r="E50"/>
      <c r="F50"/>
      <c r="G50"/>
      <c r="H50"/>
      <c r="I50"/>
    </row>
    <row r="51" spans="1:9" s="3" customFormat="1" ht="14.4" x14ac:dyDescent="0.3">
      <c r="A51"/>
      <c r="B51"/>
      <c r="C51"/>
      <c r="D51"/>
      <c r="E51"/>
      <c r="F51"/>
      <c r="G51"/>
      <c r="H51"/>
      <c r="I51"/>
    </row>
    <row r="52" spans="1:9" s="3" customFormat="1" ht="14.4" x14ac:dyDescent="0.3">
      <c r="A52"/>
      <c r="B52"/>
      <c r="C52"/>
      <c r="D52"/>
      <c r="E52"/>
      <c r="F52"/>
      <c r="G52"/>
      <c r="H52"/>
      <c r="I52"/>
    </row>
    <row r="53" spans="1:9" s="3" customFormat="1" ht="14.4" x14ac:dyDescent="0.3">
      <c r="A53"/>
      <c r="B53"/>
      <c r="C53"/>
      <c r="D53"/>
      <c r="E53"/>
      <c r="F53"/>
      <c r="G53"/>
      <c r="H53"/>
      <c r="I53"/>
    </row>
    <row r="54" spans="1:9" s="3" customFormat="1" ht="14.4" x14ac:dyDescent="0.3">
      <c r="A54"/>
      <c r="B54"/>
      <c r="C54"/>
      <c r="D54"/>
      <c r="E54"/>
      <c r="F54"/>
      <c r="G54"/>
      <c r="H54"/>
      <c r="I54"/>
    </row>
    <row r="55" spans="1:9" s="3" customFormat="1" ht="14.4" x14ac:dyDescent="0.3">
      <c r="A55"/>
      <c r="B55"/>
      <c r="C55"/>
      <c r="D55"/>
      <c r="E55"/>
      <c r="F55"/>
      <c r="G55"/>
      <c r="H55"/>
      <c r="I55"/>
    </row>
    <row r="56" spans="1:9" s="3" customFormat="1" ht="14.4" x14ac:dyDescent="0.3">
      <c r="A56"/>
      <c r="B56"/>
      <c r="C56"/>
      <c r="D56"/>
      <c r="E56"/>
      <c r="F56"/>
      <c r="G56"/>
      <c r="H56"/>
      <c r="I56"/>
    </row>
    <row r="57" spans="1:9" s="3" customFormat="1" ht="14.4" x14ac:dyDescent="0.3">
      <c r="A57"/>
      <c r="B57"/>
      <c r="C57"/>
      <c r="D57"/>
      <c r="E57"/>
      <c r="F57"/>
      <c r="G57"/>
      <c r="H57"/>
      <c r="I57"/>
    </row>
    <row r="58" spans="1:9" s="3" customFormat="1" ht="14.4" x14ac:dyDescent="0.3">
      <c r="A58"/>
      <c r="B58"/>
      <c r="C58"/>
      <c r="D58"/>
      <c r="E58"/>
      <c r="F58"/>
      <c r="G58"/>
      <c r="H58"/>
      <c r="I58"/>
    </row>
    <row r="59" spans="1:9" s="3" customFormat="1" ht="14.4" x14ac:dyDescent="0.3">
      <c r="A59"/>
      <c r="B59"/>
      <c r="C59"/>
      <c r="D59"/>
      <c r="E59"/>
      <c r="F59"/>
      <c r="G59"/>
      <c r="H59"/>
      <c r="I59"/>
    </row>
    <row r="60" spans="1:9" s="3" customFormat="1" ht="14.4" x14ac:dyDescent="0.3">
      <c r="A60"/>
      <c r="B60"/>
      <c r="C60"/>
      <c r="D60"/>
      <c r="E60"/>
      <c r="F60"/>
      <c r="G60"/>
      <c r="H60"/>
      <c r="I60"/>
    </row>
    <row r="61" spans="1:9" s="3" customFormat="1" ht="14.4" x14ac:dyDescent="0.3">
      <c r="A61"/>
      <c r="B61"/>
      <c r="C61"/>
      <c r="D61"/>
      <c r="E61"/>
      <c r="F61"/>
      <c r="G61"/>
      <c r="H61"/>
      <c r="I61"/>
    </row>
    <row r="62" spans="1:9" s="3" customFormat="1" ht="14.4" x14ac:dyDescent="0.3">
      <c r="A62"/>
      <c r="B62"/>
      <c r="C62"/>
      <c r="D62"/>
      <c r="E62"/>
      <c r="F62"/>
      <c r="G62"/>
      <c r="H62"/>
      <c r="I62"/>
    </row>
    <row r="63" spans="1:9" s="3" customFormat="1" ht="14.4" x14ac:dyDescent="0.3">
      <c r="A63"/>
      <c r="B63"/>
      <c r="C63"/>
      <c r="D63"/>
      <c r="E63"/>
      <c r="F63"/>
      <c r="G63"/>
      <c r="H63"/>
      <c r="I63"/>
    </row>
    <row r="64" spans="1:9" s="3" customFormat="1" ht="14.4" x14ac:dyDescent="0.3">
      <c r="A64"/>
      <c r="B64"/>
      <c r="C64"/>
      <c r="D64"/>
      <c r="E64"/>
      <c r="F64"/>
      <c r="G64"/>
      <c r="H64"/>
      <c r="I64"/>
    </row>
    <row r="65" spans="1:9" s="3" customFormat="1" ht="14.4" x14ac:dyDescent="0.3">
      <c r="A65"/>
      <c r="B65"/>
      <c r="C65"/>
      <c r="D65"/>
      <c r="E65"/>
      <c r="F65"/>
      <c r="G65"/>
      <c r="H65"/>
      <c r="I65"/>
    </row>
    <row r="66" spans="1:9" s="3" customFormat="1" ht="14.4" x14ac:dyDescent="0.3">
      <c r="A66"/>
      <c r="B66"/>
      <c r="C66"/>
      <c r="D66"/>
      <c r="E66"/>
      <c r="F66"/>
      <c r="G66"/>
      <c r="H66"/>
      <c r="I66"/>
    </row>
    <row r="67" spans="1:9" s="3" customFormat="1" ht="14.4" x14ac:dyDescent="0.3">
      <c r="A67"/>
      <c r="B67"/>
      <c r="C67"/>
      <c r="D67"/>
      <c r="E67"/>
      <c r="F67"/>
      <c r="G67"/>
      <c r="H67"/>
      <c r="I67"/>
    </row>
    <row r="68" spans="1:9" s="3" customFormat="1" ht="14.4" x14ac:dyDescent="0.3">
      <c r="A68"/>
      <c r="B68"/>
      <c r="C68"/>
      <c r="D68"/>
      <c r="E68"/>
      <c r="F68"/>
      <c r="G68"/>
      <c r="H68"/>
      <c r="I68"/>
    </row>
    <row r="69" spans="1:9" s="3" customFormat="1" ht="14.4" x14ac:dyDescent="0.3">
      <c r="A69"/>
      <c r="B69"/>
      <c r="C69"/>
      <c r="D69"/>
      <c r="E69"/>
      <c r="F69"/>
      <c r="G69"/>
      <c r="H69"/>
      <c r="I69"/>
    </row>
    <row r="70" spans="1:9" s="3" customFormat="1" ht="14.4" x14ac:dyDescent="0.3">
      <c r="A70"/>
      <c r="B70"/>
      <c r="C70"/>
      <c r="D70"/>
      <c r="E70"/>
      <c r="F70"/>
      <c r="G70"/>
      <c r="H70"/>
      <c r="I70"/>
    </row>
    <row r="71" spans="1:9" s="3" customFormat="1" ht="14.4" x14ac:dyDescent="0.3">
      <c r="A71"/>
      <c r="B71"/>
      <c r="C71"/>
      <c r="D71"/>
      <c r="E71"/>
      <c r="F71"/>
      <c r="G71"/>
      <c r="H71"/>
      <c r="I71"/>
    </row>
    <row r="72" spans="1:9" s="3" customFormat="1" ht="14.4" x14ac:dyDescent="0.3">
      <c r="A72"/>
      <c r="B72"/>
      <c r="C72"/>
      <c r="D72"/>
      <c r="E72"/>
      <c r="F72"/>
      <c r="G72"/>
      <c r="H72"/>
      <c r="I72"/>
    </row>
    <row r="73" spans="1:9" s="3" customFormat="1" ht="14.4" x14ac:dyDescent="0.3">
      <c r="A73"/>
      <c r="B73"/>
      <c r="C73"/>
      <c r="D73"/>
      <c r="E73"/>
      <c r="F73"/>
      <c r="G73"/>
      <c r="H73"/>
      <c r="I73"/>
    </row>
    <row r="74" spans="1:9" s="3" customFormat="1" ht="14.4" x14ac:dyDescent="0.3">
      <c r="A74"/>
      <c r="B74"/>
      <c r="C74"/>
      <c r="D74"/>
      <c r="E74"/>
      <c r="F74"/>
      <c r="G74"/>
      <c r="H74"/>
      <c r="I74"/>
    </row>
    <row r="75" spans="1:9" s="3" customFormat="1" ht="14.4" x14ac:dyDescent="0.3">
      <c r="A75"/>
      <c r="B75"/>
      <c r="C75"/>
      <c r="D75"/>
      <c r="E75"/>
      <c r="F75"/>
      <c r="G75"/>
      <c r="H75"/>
      <c r="I75"/>
    </row>
    <row r="76" spans="1:9" s="3" customFormat="1" ht="14.4" x14ac:dyDescent="0.3">
      <c r="A76"/>
      <c r="B76"/>
      <c r="C76"/>
      <c r="D76"/>
      <c r="E76"/>
      <c r="F76"/>
      <c r="G76"/>
      <c r="H76"/>
      <c r="I76"/>
    </row>
    <row r="77" spans="1:9" s="3" customFormat="1" ht="14.4" x14ac:dyDescent="0.3">
      <c r="A77"/>
      <c r="B77"/>
      <c r="C77"/>
      <c r="D77"/>
      <c r="E77"/>
      <c r="F77"/>
      <c r="G77"/>
      <c r="H77"/>
      <c r="I77"/>
    </row>
    <row r="78" spans="1:9" s="3" customFormat="1" ht="14.4" x14ac:dyDescent="0.3">
      <c r="A78"/>
      <c r="B78"/>
      <c r="C78"/>
      <c r="D78"/>
      <c r="E78"/>
      <c r="F78"/>
      <c r="G78"/>
      <c r="H78"/>
      <c r="I78"/>
    </row>
    <row r="79" spans="1:9" s="3" customFormat="1" ht="14.4" x14ac:dyDescent="0.3">
      <c r="A79"/>
      <c r="B79"/>
      <c r="C79"/>
      <c r="D79"/>
      <c r="E79"/>
      <c r="F79"/>
      <c r="G79"/>
      <c r="H79"/>
      <c r="I79"/>
    </row>
    <row r="80" spans="1:9" s="3" customFormat="1" ht="14.4" x14ac:dyDescent="0.3">
      <c r="A80"/>
      <c r="B80"/>
      <c r="C80"/>
      <c r="D80"/>
      <c r="E80"/>
      <c r="F80"/>
      <c r="G80"/>
      <c r="H80"/>
      <c r="I80"/>
    </row>
    <row r="81" spans="1:9" s="3" customFormat="1" ht="14.4" x14ac:dyDescent="0.3">
      <c r="A81"/>
      <c r="B81"/>
      <c r="C81"/>
      <c r="D81"/>
      <c r="E81"/>
      <c r="F81"/>
      <c r="G81"/>
      <c r="H81"/>
      <c r="I81"/>
    </row>
    <row r="82" spans="1:9" s="3" customFormat="1" ht="14.4" x14ac:dyDescent="0.3">
      <c r="A82"/>
      <c r="B82"/>
      <c r="C82"/>
      <c r="D82"/>
      <c r="E82"/>
      <c r="F82"/>
      <c r="G82"/>
      <c r="H82"/>
      <c r="I82"/>
    </row>
    <row r="83" spans="1:9" s="3" customFormat="1" ht="14.4" x14ac:dyDescent="0.3">
      <c r="A83"/>
      <c r="B83"/>
      <c r="C83"/>
      <c r="D83"/>
      <c r="E83"/>
      <c r="F83"/>
      <c r="G83"/>
      <c r="H83"/>
      <c r="I83"/>
    </row>
    <row r="84" spans="1:9" s="3" customFormat="1" ht="14.4" x14ac:dyDescent="0.3">
      <c r="A84"/>
      <c r="B84"/>
      <c r="C84"/>
      <c r="D84"/>
      <c r="E84"/>
      <c r="F84"/>
      <c r="G84"/>
      <c r="H84"/>
      <c r="I84"/>
    </row>
    <row r="85" spans="1:9" s="3" customFormat="1" ht="14.4" x14ac:dyDescent="0.3">
      <c r="A85"/>
      <c r="B85"/>
      <c r="C85"/>
      <c r="D85"/>
      <c r="E85"/>
      <c r="F85"/>
      <c r="G85"/>
      <c r="H85"/>
      <c r="I85"/>
    </row>
    <row r="86" spans="1:9" s="3" customFormat="1" ht="14.4" x14ac:dyDescent="0.3">
      <c r="A86"/>
      <c r="B86"/>
      <c r="C86"/>
      <c r="D86"/>
      <c r="E86"/>
      <c r="F86"/>
      <c r="G86"/>
      <c r="H86"/>
      <c r="I86"/>
    </row>
    <row r="87" spans="1:9" s="3" customFormat="1" ht="14.4" x14ac:dyDescent="0.3">
      <c r="A87"/>
      <c r="B87"/>
      <c r="C87"/>
      <c r="D87"/>
      <c r="E87"/>
      <c r="F87"/>
      <c r="G87"/>
      <c r="H87"/>
      <c r="I87"/>
    </row>
    <row r="88" spans="1:9" s="3" customFormat="1" ht="14.4" x14ac:dyDescent="0.3">
      <c r="A88"/>
      <c r="B88"/>
      <c r="C88"/>
      <c r="D88"/>
      <c r="E88"/>
      <c r="F88"/>
      <c r="G88"/>
      <c r="H88"/>
      <c r="I88"/>
    </row>
    <row r="89" spans="1:9" s="3" customFormat="1" ht="14.4" x14ac:dyDescent="0.3">
      <c r="A89"/>
      <c r="B89"/>
      <c r="C89"/>
      <c r="D89"/>
      <c r="E89"/>
      <c r="F89"/>
      <c r="G89"/>
      <c r="H89"/>
      <c r="I89"/>
    </row>
    <row r="90" spans="1:9" s="3" customFormat="1" ht="14.4" x14ac:dyDescent="0.3">
      <c r="A90"/>
      <c r="B90"/>
      <c r="C90"/>
      <c r="D90"/>
      <c r="E90"/>
      <c r="F90"/>
      <c r="G90"/>
      <c r="H90"/>
      <c r="I90"/>
    </row>
    <row r="91" spans="1:9" s="3" customFormat="1" ht="14.4" x14ac:dyDescent="0.3">
      <c r="A91"/>
      <c r="B91"/>
      <c r="C91"/>
      <c r="D91"/>
      <c r="E91"/>
      <c r="F91"/>
      <c r="G91"/>
      <c r="H91"/>
      <c r="I91"/>
    </row>
    <row r="92" spans="1:9" s="3" customFormat="1" ht="14.4" x14ac:dyDescent="0.3">
      <c r="A92"/>
      <c r="B92"/>
      <c r="C92"/>
      <c r="D92"/>
      <c r="E92"/>
      <c r="F92"/>
      <c r="G92"/>
      <c r="H92"/>
      <c r="I92"/>
    </row>
    <row r="93" spans="1:9" s="3" customFormat="1" ht="14.4" x14ac:dyDescent="0.3">
      <c r="A93"/>
      <c r="B93"/>
      <c r="C93"/>
      <c r="D93"/>
      <c r="E93"/>
      <c r="F93"/>
      <c r="G93"/>
      <c r="H93"/>
      <c r="I93"/>
    </row>
    <row r="94" spans="1:9" s="3" customFormat="1" ht="14.4" x14ac:dyDescent="0.3">
      <c r="A94"/>
      <c r="B94"/>
      <c r="C94"/>
      <c r="D94"/>
      <c r="E94"/>
      <c r="F94"/>
      <c r="G94"/>
      <c r="H94"/>
      <c r="I94"/>
    </row>
    <row r="95" spans="1:9" s="3" customFormat="1" ht="14.4" x14ac:dyDescent="0.3">
      <c r="A95"/>
      <c r="B95"/>
      <c r="C95"/>
      <c r="D95"/>
      <c r="E95"/>
      <c r="F95"/>
      <c r="G95"/>
      <c r="H95"/>
      <c r="I95"/>
    </row>
    <row r="96" spans="1:9" s="3" customFormat="1" ht="14.4" x14ac:dyDescent="0.3">
      <c r="A96"/>
      <c r="B96"/>
      <c r="C96"/>
      <c r="D96"/>
      <c r="E96"/>
      <c r="F96"/>
      <c r="G96"/>
      <c r="H96"/>
      <c r="I96"/>
    </row>
    <row r="97" spans="1:9" s="3" customFormat="1" ht="14.4" x14ac:dyDescent="0.3">
      <c r="A97"/>
      <c r="B97"/>
      <c r="C97"/>
      <c r="D97"/>
      <c r="E97"/>
      <c r="F97"/>
      <c r="G97"/>
      <c r="H97"/>
      <c r="I97"/>
    </row>
    <row r="98" spans="1:9" s="3" customFormat="1" ht="14.4" x14ac:dyDescent="0.3">
      <c r="A98"/>
      <c r="B98"/>
      <c r="C98"/>
      <c r="D98"/>
      <c r="E98"/>
      <c r="F98"/>
      <c r="G98"/>
      <c r="H98"/>
      <c r="I98"/>
    </row>
    <row r="99" spans="1:9" s="3" customFormat="1" ht="14.4" x14ac:dyDescent="0.3">
      <c r="A99"/>
      <c r="B99"/>
      <c r="C99"/>
      <c r="D99"/>
      <c r="E99"/>
      <c r="F99"/>
      <c r="G99"/>
      <c r="H99"/>
      <c r="I99"/>
    </row>
    <row r="100" spans="1:9" s="3" customFormat="1" ht="14.4" x14ac:dyDescent="0.3">
      <c r="A100"/>
      <c r="B100"/>
      <c r="C100"/>
      <c r="D100"/>
      <c r="E100"/>
      <c r="F100"/>
      <c r="G100"/>
      <c r="H100"/>
      <c r="I100"/>
    </row>
    <row r="101" spans="1:9" s="3" customFormat="1" ht="14.4" x14ac:dyDescent="0.3">
      <c r="A101"/>
      <c r="B101"/>
      <c r="C101"/>
      <c r="D101"/>
      <c r="E101"/>
      <c r="F101"/>
      <c r="G101"/>
      <c r="H101"/>
      <c r="I101"/>
    </row>
    <row r="102" spans="1:9" s="3" customFormat="1" ht="14.4" x14ac:dyDescent="0.3">
      <c r="A102"/>
      <c r="B102"/>
      <c r="C102"/>
      <c r="D102"/>
      <c r="E102"/>
      <c r="F102"/>
      <c r="G102"/>
      <c r="H102"/>
      <c r="I102"/>
    </row>
    <row r="103" spans="1:9" s="3" customFormat="1" ht="14.4" x14ac:dyDescent="0.3">
      <c r="A103"/>
      <c r="B103"/>
      <c r="C103"/>
      <c r="D103"/>
      <c r="E103"/>
      <c r="F103"/>
      <c r="G103"/>
      <c r="H103"/>
      <c r="I103"/>
    </row>
    <row r="104" spans="1:9" s="3" customFormat="1" ht="14.4" x14ac:dyDescent="0.3">
      <c r="A104"/>
      <c r="B104"/>
      <c r="C104"/>
      <c r="D104"/>
      <c r="E104"/>
      <c r="F104"/>
      <c r="G104"/>
      <c r="H104"/>
      <c r="I104"/>
    </row>
    <row r="105" spans="1:9" s="3" customFormat="1" ht="14.4" x14ac:dyDescent="0.3">
      <c r="A105"/>
      <c r="B105"/>
      <c r="C105"/>
      <c r="D105"/>
      <c r="E105"/>
      <c r="F105"/>
      <c r="G105"/>
      <c r="H105"/>
      <c r="I105"/>
    </row>
    <row r="106" spans="1:9" s="3" customFormat="1" ht="14.4" x14ac:dyDescent="0.3">
      <c r="A106"/>
      <c r="B106"/>
      <c r="C106"/>
      <c r="D106"/>
      <c r="E106"/>
      <c r="F106"/>
      <c r="G106"/>
      <c r="H106"/>
      <c r="I106"/>
    </row>
    <row r="107" spans="1:9" s="3" customFormat="1" ht="14.4" x14ac:dyDescent="0.3">
      <c r="A107"/>
      <c r="B107"/>
      <c r="C107"/>
      <c r="D107"/>
      <c r="E107"/>
      <c r="F107"/>
      <c r="G107"/>
      <c r="H107"/>
      <c r="I107"/>
    </row>
    <row r="108" spans="1:9" s="3" customFormat="1" ht="14.4" x14ac:dyDescent="0.3">
      <c r="A108"/>
      <c r="B108"/>
      <c r="C108"/>
      <c r="D108"/>
      <c r="E108"/>
      <c r="F108"/>
      <c r="G108"/>
      <c r="H108"/>
      <c r="I108"/>
    </row>
    <row r="109" spans="1:9" s="3" customFormat="1" ht="14.4" x14ac:dyDescent="0.3">
      <c r="A109"/>
      <c r="B109"/>
      <c r="C109"/>
      <c r="D109"/>
      <c r="E109"/>
      <c r="F109"/>
      <c r="G109"/>
      <c r="H109"/>
      <c r="I109"/>
    </row>
    <row r="110" spans="1:9" s="3" customFormat="1" ht="14.4" x14ac:dyDescent="0.3">
      <c r="A110"/>
      <c r="B110"/>
      <c r="C110"/>
      <c r="D110"/>
      <c r="E110"/>
      <c r="F110"/>
      <c r="G110"/>
      <c r="H110"/>
      <c r="I110"/>
    </row>
    <row r="111" spans="1:9" s="3" customFormat="1" ht="14.4" x14ac:dyDescent="0.3">
      <c r="A111"/>
      <c r="B111"/>
      <c r="C111"/>
      <c r="D111"/>
      <c r="E111"/>
      <c r="F111"/>
      <c r="G111"/>
      <c r="H111"/>
      <c r="I111"/>
    </row>
    <row r="112" spans="1:9" s="3" customFormat="1" ht="14.4" x14ac:dyDescent="0.3">
      <c r="A112"/>
      <c r="B112"/>
      <c r="C112"/>
      <c r="D112"/>
      <c r="E112"/>
      <c r="F112"/>
      <c r="G112"/>
      <c r="H112"/>
      <c r="I112"/>
    </row>
    <row r="113" spans="1:9" s="3" customFormat="1" ht="14.4" x14ac:dyDescent="0.3">
      <c r="A113"/>
      <c r="B113"/>
      <c r="C113"/>
      <c r="D113"/>
      <c r="E113"/>
      <c r="F113"/>
      <c r="G113"/>
      <c r="H113"/>
      <c r="I113"/>
    </row>
    <row r="114" spans="1:9" s="3" customFormat="1" ht="14.4" x14ac:dyDescent="0.3">
      <c r="A114"/>
      <c r="B114"/>
      <c r="C114"/>
      <c r="D114"/>
      <c r="E114"/>
      <c r="F114"/>
      <c r="G114"/>
      <c r="H114"/>
      <c r="I114"/>
    </row>
    <row r="115" spans="1:9" s="3" customFormat="1" ht="14.4" x14ac:dyDescent="0.3">
      <c r="A115"/>
      <c r="B115"/>
      <c r="C115"/>
      <c r="D115"/>
      <c r="E115"/>
      <c r="F115"/>
      <c r="G115"/>
      <c r="H115"/>
      <c r="I115"/>
    </row>
    <row r="116" spans="1:9" s="3" customFormat="1" ht="14.4" x14ac:dyDescent="0.3">
      <c r="A116"/>
      <c r="B116"/>
      <c r="C116"/>
      <c r="D116"/>
      <c r="E116"/>
      <c r="F116"/>
      <c r="G116"/>
      <c r="H116"/>
      <c r="I116"/>
    </row>
    <row r="117" spans="1:9" s="3" customFormat="1" ht="14.4" x14ac:dyDescent="0.3">
      <c r="A117"/>
      <c r="B117"/>
      <c r="C117"/>
      <c r="D117"/>
      <c r="E117"/>
      <c r="F117"/>
      <c r="G117"/>
      <c r="H117"/>
      <c r="I117"/>
    </row>
    <row r="118" spans="1:9" s="3" customFormat="1" ht="14.4" x14ac:dyDescent="0.3">
      <c r="A118"/>
      <c r="B118"/>
      <c r="C118"/>
      <c r="D118"/>
      <c r="E118"/>
      <c r="F118"/>
      <c r="G118"/>
      <c r="H118"/>
      <c r="I118"/>
    </row>
    <row r="119" spans="1:9" s="3" customFormat="1" ht="14.4" x14ac:dyDescent="0.3">
      <c r="A119"/>
      <c r="B119"/>
      <c r="C119"/>
      <c r="D119"/>
      <c r="E119"/>
      <c r="F119"/>
      <c r="G119"/>
      <c r="H119"/>
      <c r="I119"/>
    </row>
    <row r="120" spans="1:9" s="3" customFormat="1" ht="14.4" x14ac:dyDescent="0.3">
      <c r="A120"/>
      <c r="B120"/>
      <c r="C120"/>
      <c r="D120"/>
      <c r="E120"/>
      <c r="F120"/>
      <c r="G120"/>
      <c r="H120"/>
      <c r="I120"/>
    </row>
    <row r="121" spans="1:9" s="3" customFormat="1" ht="14.4" x14ac:dyDescent="0.3">
      <c r="A121"/>
      <c r="B121"/>
      <c r="C121"/>
      <c r="D121"/>
      <c r="E121"/>
      <c r="F121"/>
      <c r="G121"/>
      <c r="H121"/>
      <c r="I121"/>
    </row>
    <row r="122" spans="1:9" s="3" customFormat="1" ht="14.4" x14ac:dyDescent="0.3">
      <c r="A122"/>
      <c r="B122"/>
      <c r="C122"/>
      <c r="D122"/>
      <c r="E122"/>
      <c r="F122"/>
      <c r="G122"/>
      <c r="H122"/>
      <c r="I122"/>
    </row>
    <row r="123" spans="1:9" s="3" customFormat="1" ht="14.4" x14ac:dyDescent="0.3">
      <c r="A123"/>
      <c r="B123"/>
      <c r="C123"/>
      <c r="D123"/>
      <c r="E123"/>
      <c r="F123"/>
      <c r="G123"/>
      <c r="H123"/>
      <c r="I123"/>
    </row>
    <row r="124" spans="1:9" s="3" customFormat="1" ht="14.4" x14ac:dyDescent="0.3">
      <c r="A124"/>
      <c r="B124"/>
      <c r="C124"/>
      <c r="D124"/>
      <c r="E124"/>
      <c r="F124"/>
      <c r="G124"/>
      <c r="H124"/>
      <c r="I124"/>
    </row>
    <row r="125" spans="1:9" s="3" customFormat="1" ht="14.4" x14ac:dyDescent="0.3">
      <c r="A125"/>
      <c r="B125"/>
      <c r="C125"/>
      <c r="D125"/>
      <c r="E125"/>
      <c r="F125"/>
      <c r="G125"/>
      <c r="H125"/>
      <c r="I125"/>
    </row>
    <row r="126" spans="1:9" s="3" customFormat="1" ht="14.4" x14ac:dyDescent="0.3">
      <c r="A126"/>
      <c r="B126"/>
      <c r="C126"/>
      <c r="D126"/>
      <c r="E126"/>
      <c r="F126"/>
      <c r="G126"/>
      <c r="H126"/>
      <c r="I126"/>
    </row>
    <row r="127" spans="1:9" s="3" customFormat="1" ht="14.4" x14ac:dyDescent="0.3">
      <c r="A127"/>
      <c r="B127"/>
      <c r="C127"/>
      <c r="D127"/>
      <c r="E127"/>
      <c r="F127"/>
      <c r="G127"/>
      <c r="H127"/>
      <c r="I127"/>
    </row>
    <row r="128" spans="1:9" s="3" customFormat="1" ht="14.4" x14ac:dyDescent="0.3">
      <c r="A128"/>
      <c r="B128"/>
      <c r="C128"/>
      <c r="D128"/>
      <c r="E128"/>
      <c r="F128"/>
      <c r="G128"/>
      <c r="H128"/>
      <c r="I128"/>
    </row>
    <row r="129" spans="1:9" s="3" customFormat="1" ht="14.4" x14ac:dyDescent="0.3">
      <c r="A129"/>
      <c r="B129"/>
      <c r="C129"/>
      <c r="D129"/>
      <c r="E129"/>
      <c r="F129"/>
      <c r="G129"/>
      <c r="H129"/>
      <c r="I129"/>
    </row>
    <row r="130" spans="1:9" s="3" customFormat="1" ht="14.4" x14ac:dyDescent="0.3">
      <c r="A130"/>
      <c r="B130"/>
      <c r="C130"/>
      <c r="D130"/>
      <c r="E130"/>
      <c r="F130"/>
      <c r="G130"/>
      <c r="H130"/>
      <c r="I130"/>
    </row>
    <row r="131" spans="1:9" s="3" customFormat="1" ht="14.4" x14ac:dyDescent="0.3">
      <c r="A131"/>
      <c r="B131"/>
      <c r="C131"/>
      <c r="D131"/>
      <c r="E131"/>
      <c r="F131"/>
      <c r="G131"/>
      <c r="H131"/>
      <c r="I131"/>
    </row>
    <row r="132" spans="1:9" s="3" customFormat="1" ht="14.4" x14ac:dyDescent="0.3">
      <c r="A132"/>
      <c r="B132"/>
      <c r="C132"/>
      <c r="D132"/>
      <c r="E132"/>
      <c r="F132"/>
      <c r="G132"/>
      <c r="H132"/>
      <c r="I132"/>
    </row>
    <row r="133" spans="1:9" s="3" customFormat="1" ht="14.4" x14ac:dyDescent="0.3">
      <c r="A133"/>
      <c r="B133"/>
      <c r="C133"/>
      <c r="D133"/>
      <c r="E133"/>
      <c r="F133"/>
      <c r="G133"/>
      <c r="H133"/>
      <c r="I133"/>
    </row>
    <row r="134" spans="1:9" s="3" customFormat="1" ht="14.4" x14ac:dyDescent="0.3">
      <c r="A134"/>
      <c r="B134"/>
      <c r="C134"/>
      <c r="D134"/>
      <c r="E134"/>
      <c r="F134"/>
      <c r="G134"/>
      <c r="H134"/>
      <c r="I134"/>
    </row>
    <row r="135" spans="1:9" s="3" customFormat="1" ht="14.4" x14ac:dyDescent="0.3">
      <c r="A135"/>
      <c r="B135"/>
      <c r="C135"/>
      <c r="D135"/>
      <c r="E135"/>
      <c r="F135"/>
      <c r="G135"/>
      <c r="H135"/>
      <c r="I135"/>
    </row>
    <row r="136" spans="1:9" s="3" customFormat="1" ht="14.4" x14ac:dyDescent="0.3">
      <c r="A136"/>
      <c r="B136"/>
      <c r="C136"/>
      <c r="D136"/>
      <c r="E136"/>
      <c r="F136"/>
      <c r="G136"/>
      <c r="H136"/>
      <c r="I136"/>
    </row>
    <row r="137" spans="1:9" s="3" customFormat="1" ht="14.4" x14ac:dyDescent="0.3">
      <c r="A137"/>
      <c r="B137"/>
      <c r="C137"/>
      <c r="D137"/>
      <c r="E137"/>
      <c r="F137"/>
      <c r="G137"/>
      <c r="H137"/>
      <c r="I137"/>
    </row>
    <row r="138" spans="1:9" s="3" customFormat="1" ht="14.4" x14ac:dyDescent="0.3">
      <c r="A138"/>
      <c r="B138"/>
      <c r="C138"/>
      <c r="D138"/>
      <c r="E138"/>
      <c r="F138"/>
      <c r="G138"/>
      <c r="H138"/>
      <c r="I138"/>
    </row>
    <row r="139" spans="1:9" s="3" customFormat="1" ht="14.4" x14ac:dyDescent="0.3">
      <c r="A139"/>
      <c r="B139"/>
      <c r="C139"/>
      <c r="D139"/>
      <c r="E139"/>
      <c r="F139"/>
      <c r="G139"/>
      <c r="H139"/>
      <c r="I139"/>
    </row>
    <row r="140" spans="1:9" s="3" customFormat="1" ht="14.4" x14ac:dyDescent="0.3">
      <c r="A140"/>
      <c r="B140"/>
      <c r="C140"/>
      <c r="D140"/>
      <c r="E140"/>
      <c r="F140"/>
      <c r="G140"/>
      <c r="H140"/>
      <c r="I140"/>
    </row>
    <row r="141" spans="1:9" s="3" customFormat="1" ht="14.4" x14ac:dyDescent="0.3">
      <c r="A141"/>
      <c r="B141"/>
      <c r="C141"/>
      <c r="D141"/>
      <c r="E141"/>
      <c r="F141"/>
      <c r="G141"/>
      <c r="H141"/>
      <c r="I141"/>
    </row>
    <row r="142" spans="1:9" s="3" customFormat="1" ht="14.4" x14ac:dyDescent="0.3">
      <c r="A142"/>
      <c r="B142"/>
      <c r="C142"/>
      <c r="D142"/>
      <c r="E142"/>
      <c r="F142"/>
      <c r="G142"/>
      <c r="H142"/>
      <c r="I142"/>
    </row>
    <row r="143" spans="1:9" s="3" customFormat="1" ht="14.4" x14ac:dyDescent="0.3">
      <c r="A143"/>
      <c r="B143"/>
      <c r="C143"/>
      <c r="D143"/>
      <c r="E143"/>
      <c r="F143"/>
      <c r="G143"/>
      <c r="H143"/>
      <c r="I143"/>
    </row>
    <row r="144" spans="1:9" s="3" customFormat="1" ht="14.4" x14ac:dyDescent="0.3">
      <c r="A144"/>
      <c r="B144"/>
      <c r="C144"/>
      <c r="D144"/>
      <c r="E144"/>
      <c r="F144"/>
      <c r="G144"/>
      <c r="H144"/>
      <c r="I144"/>
    </row>
    <row r="145" spans="1:9" s="3" customFormat="1" ht="14.4" x14ac:dyDescent="0.3">
      <c r="A145"/>
      <c r="B145"/>
      <c r="C145"/>
      <c r="D145"/>
      <c r="E145"/>
      <c r="F145"/>
      <c r="G145"/>
      <c r="H145"/>
      <c r="I145"/>
    </row>
    <row r="146" spans="1:9" s="3" customFormat="1" ht="14.4" x14ac:dyDescent="0.3">
      <c r="A146"/>
      <c r="B146"/>
      <c r="C146"/>
      <c r="D146"/>
      <c r="E146"/>
      <c r="F146"/>
      <c r="G146"/>
      <c r="H146"/>
      <c r="I146"/>
    </row>
    <row r="147" spans="1:9" s="3" customFormat="1" ht="14.4" x14ac:dyDescent="0.3">
      <c r="A147"/>
      <c r="B147"/>
      <c r="C147"/>
      <c r="D147"/>
      <c r="E147"/>
      <c r="F147"/>
      <c r="G147"/>
      <c r="H147"/>
      <c r="I147"/>
    </row>
    <row r="148" spans="1:9" s="3" customFormat="1" ht="14.4" x14ac:dyDescent="0.3">
      <c r="A148"/>
      <c r="B148"/>
      <c r="C148"/>
      <c r="D148"/>
      <c r="E148"/>
      <c r="F148"/>
      <c r="G148"/>
      <c r="H148"/>
      <c r="I148"/>
    </row>
    <row r="149" spans="1:9" s="3" customFormat="1" ht="14.4" x14ac:dyDescent="0.3">
      <c r="A149"/>
      <c r="B149"/>
      <c r="C149"/>
      <c r="D149"/>
      <c r="E149"/>
      <c r="F149"/>
      <c r="G149"/>
      <c r="H149"/>
      <c r="I149"/>
    </row>
    <row r="150" spans="1:9" s="3" customFormat="1" ht="14.4" x14ac:dyDescent="0.3">
      <c r="A150"/>
      <c r="B150"/>
      <c r="C150"/>
      <c r="D150"/>
      <c r="E150"/>
      <c r="F150"/>
      <c r="G150"/>
      <c r="H150"/>
      <c r="I150"/>
    </row>
    <row r="151" spans="1:9" s="3" customFormat="1" ht="14.4" x14ac:dyDescent="0.3">
      <c r="A151"/>
      <c r="B151"/>
      <c r="C151"/>
      <c r="D151"/>
      <c r="E151"/>
      <c r="F151"/>
      <c r="G151"/>
      <c r="H151"/>
      <c r="I151"/>
    </row>
    <row r="152" spans="1:9" s="3" customFormat="1" ht="14.4" x14ac:dyDescent="0.3">
      <c r="A152"/>
      <c r="B152"/>
      <c r="C152"/>
      <c r="D152"/>
      <c r="E152"/>
      <c r="F152"/>
      <c r="G152"/>
      <c r="H152"/>
      <c r="I152"/>
    </row>
    <row r="153" spans="1:9" s="3" customFormat="1" ht="14.4" x14ac:dyDescent="0.3">
      <c r="A153"/>
      <c r="B153"/>
      <c r="C153"/>
      <c r="D153"/>
      <c r="E153"/>
      <c r="F153"/>
      <c r="G153"/>
      <c r="H153"/>
      <c r="I153"/>
    </row>
    <row r="154" spans="1:9" s="3" customFormat="1" ht="14.4" x14ac:dyDescent="0.3">
      <c r="A154"/>
      <c r="B154"/>
      <c r="C154"/>
      <c r="D154"/>
      <c r="E154"/>
      <c r="F154"/>
      <c r="G154"/>
      <c r="H154"/>
      <c r="I154"/>
    </row>
    <row r="155" spans="1:9" s="3" customFormat="1" ht="14.4" x14ac:dyDescent="0.3">
      <c r="A155"/>
      <c r="B155"/>
      <c r="C155"/>
      <c r="D155"/>
      <c r="E155"/>
      <c r="F155"/>
      <c r="G155"/>
      <c r="H155"/>
      <c r="I155"/>
    </row>
    <row r="156" spans="1:9" s="3" customFormat="1" ht="14.4" x14ac:dyDescent="0.3">
      <c r="A156"/>
      <c r="B156"/>
      <c r="C156"/>
      <c r="D156"/>
      <c r="E156"/>
      <c r="F156"/>
      <c r="G156"/>
      <c r="H156"/>
      <c r="I156"/>
    </row>
    <row r="157" spans="1:9" s="3" customFormat="1" ht="14.4" x14ac:dyDescent="0.3">
      <c r="A157"/>
      <c r="B157"/>
      <c r="C157"/>
      <c r="D157"/>
      <c r="E157"/>
      <c r="F157"/>
      <c r="G157"/>
      <c r="H157"/>
      <c r="I157"/>
    </row>
    <row r="158" spans="1:9" s="3" customFormat="1" ht="14.4" x14ac:dyDescent="0.3">
      <c r="A158"/>
      <c r="B158"/>
      <c r="C158"/>
      <c r="D158"/>
      <c r="E158"/>
      <c r="F158"/>
      <c r="G158"/>
      <c r="H158"/>
      <c r="I158"/>
    </row>
    <row r="159" spans="1:9" s="3" customFormat="1" ht="14.4" x14ac:dyDescent="0.3">
      <c r="A159"/>
      <c r="B159"/>
      <c r="C159"/>
      <c r="D159"/>
      <c r="E159"/>
      <c r="F159"/>
      <c r="G159"/>
      <c r="H159"/>
      <c r="I159"/>
    </row>
    <row r="160" spans="1:9" s="3" customFormat="1" ht="14.4" x14ac:dyDescent="0.3">
      <c r="A160"/>
      <c r="B160"/>
      <c r="C160"/>
      <c r="D160"/>
      <c r="E160"/>
      <c r="F160"/>
      <c r="G160"/>
      <c r="H160"/>
      <c r="I160"/>
    </row>
    <row r="161" spans="1:9" s="3" customFormat="1" ht="14.4" x14ac:dyDescent="0.3">
      <c r="A161"/>
      <c r="B161"/>
      <c r="C161"/>
      <c r="D161"/>
      <c r="E161"/>
      <c r="F161"/>
      <c r="G161"/>
      <c r="H161"/>
      <c r="I161"/>
    </row>
    <row r="162" spans="1:9" s="3" customFormat="1" ht="14.4" x14ac:dyDescent="0.3">
      <c r="A162"/>
      <c r="B162"/>
      <c r="C162"/>
      <c r="D162"/>
      <c r="E162"/>
      <c r="F162"/>
      <c r="G162"/>
      <c r="H162"/>
      <c r="I162"/>
    </row>
    <row r="163" spans="1:9" s="3" customFormat="1" ht="14.4" x14ac:dyDescent="0.3">
      <c r="A163"/>
      <c r="B163"/>
      <c r="C163"/>
      <c r="D163"/>
      <c r="E163"/>
      <c r="F163"/>
      <c r="G163"/>
      <c r="H163"/>
      <c r="I163"/>
    </row>
    <row r="164" spans="1:9" s="3" customFormat="1" ht="14.4" x14ac:dyDescent="0.3">
      <c r="A164"/>
      <c r="B164"/>
      <c r="C164"/>
      <c r="D164"/>
      <c r="E164"/>
      <c r="F164"/>
      <c r="G164"/>
      <c r="H164"/>
      <c r="I164"/>
    </row>
    <row r="165" spans="1:9" s="3" customFormat="1" ht="14.4" x14ac:dyDescent="0.3">
      <c r="A165"/>
      <c r="B165"/>
      <c r="C165"/>
      <c r="D165"/>
      <c r="E165"/>
      <c r="F165"/>
      <c r="G165"/>
      <c r="H165"/>
      <c r="I165"/>
    </row>
    <row r="166" spans="1:9" s="3" customFormat="1" ht="14.4" x14ac:dyDescent="0.3">
      <c r="A166"/>
      <c r="B166"/>
      <c r="C166"/>
      <c r="D166"/>
      <c r="E166"/>
      <c r="F166"/>
      <c r="G166"/>
      <c r="H166"/>
      <c r="I166"/>
    </row>
    <row r="167" spans="1:9" s="3" customFormat="1" ht="14.4" x14ac:dyDescent="0.3">
      <c r="A167"/>
      <c r="B167"/>
      <c r="C167"/>
      <c r="D167"/>
      <c r="E167"/>
      <c r="F167"/>
      <c r="G167"/>
      <c r="H167"/>
      <c r="I167"/>
    </row>
    <row r="168" spans="1:9" s="3" customFormat="1" ht="14.4" x14ac:dyDescent="0.3">
      <c r="A168"/>
      <c r="B168"/>
      <c r="C168"/>
      <c r="D168"/>
      <c r="E168"/>
      <c r="F168"/>
      <c r="G168"/>
      <c r="H168"/>
      <c r="I168"/>
    </row>
    <row r="169" spans="1:9" s="3" customFormat="1" ht="14.4" x14ac:dyDescent="0.3">
      <c r="A169"/>
      <c r="B169"/>
      <c r="C169"/>
      <c r="D169"/>
      <c r="E169"/>
      <c r="F169"/>
      <c r="G169"/>
      <c r="H169"/>
      <c r="I169"/>
    </row>
    <row r="170" spans="1:9" s="3" customFormat="1" ht="14.4" x14ac:dyDescent="0.3">
      <c r="A170"/>
      <c r="B170"/>
      <c r="C170"/>
      <c r="D170"/>
      <c r="E170"/>
      <c r="F170"/>
      <c r="G170"/>
      <c r="H170"/>
      <c r="I170"/>
    </row>
    <row r="171" spans="1:9" s="3" customFormat="1" ht="14.4" x14ac:dyDescent="0.3">
      <c r="A171"/>
      <c r="B171"/>
      <c r="C171"/>
      <c r="D171"/>
      <c r="E171"/>
      <c r="F171"/>
      <c r="G171"/>
      <c r="H171"/>
      <c r="I171"/>
    </row>
    <row r="172" spans="1:9" s="3" customFormat="1" ht="14.4" x14ac:dyDescent="0.3">
      <c r="A172"/>
      <c r="B172"/>
      <c r="C172"/>
      <c r="D172"/>
      <c r="E172"/>
      <c r="F172"/>
      <c r="G172"/>
      <c r="H172"/>
      <c r="I172"/>
    </row>
    <row r="173" spans="1:9" s="3" customFormat="1" ht="14.4" x14ac:dyDescent="0.3">
      <c r="A173"/>
      <c r="B173"/>
      <c r="C173"/>
      <c r="D173"/>
      <c r="E173"/>
      <c r="F173"/>
      <c r="G173"/>
      <c r="H173"/>
      <c r="I173"/>
    </row>
    <row r="174" spans="1:9" s="3" customFormat="1" ht="14.4" x14ac:dyDescent="0.3">
      <c r="A174"/>
      <c r="B174"/>
      <c r="C174"/>
      <c r="D174"/>
      <c r="E174"/>
      <c r="F174"/>
      <c r="G174"/>
      <c r="H174"/>
      <c r="I174"/>
    </row>
    <row r="175" spans="1:9" s="3" customFormat="1" ht="14.4" x14ac:dyDescent="0.3">
      <c r="A175"/>
      <c r="B175"/>
      <c r="C175"/>
      <c r="D175"/>
      <c r="E175"/>
      <c r="F175"/>
      <c r="G175"/>
      <c r="H175"/>
      <c r="I175"/>
    </row>
    <row r="176" spans="1:9" s="3" customFormat="1" ht="14.4" x14ac:dyDescent="0.3">
      <c r="A176"/>
      <c r="B176"/>
      <c r="C176"/>
      <c r="D176"/>
      <c r="E176"/>
      <c r="F176"/>
      <c r="G176"/>
      <c r="H176"/>
      <c r="I176"/>
    </row>
    <row r="177" spans="1:9" s="3" customFormat="1" ht="14.4" x14ac:dyDescent="0.3">
      <c r="A177"/>
      <c r="B177"/>
      <c r="C177"/>
      <c r="D177"/>
      <c r="E177"/>
      <c r="F177"/>
      <c r="G177"/>
      <c r="H177"/>
      <c r="I177"/>
    </row>
    <row r="178" spans="1:9" s="3" customFormat="1" ht="14.4" x14ac:dyDescent="0.3">
      <c r="A178"/>
      <c r="B178"/>
      <c r="C178"/>
      <c r="D178"/>
      <c r="E178"/>
      <c r="F178"/>
      <c r="G178"/>
      <c r="H178"/>
      <c r="I178"/>
    </row>
    <row r="179" spans="1:9" s="3" customFormat="1" ht="14.4" x14ac:dyDescent="0.3">
      <c r="A179"/>
      <c r="B179"/>
      <c r="C179"/>
      <c r="D179"/>
      <c r="E179"/>
      <c r="F179"/>
      <c r="G179"/>
      <c r="H179"/>
      <c r="I179"/>
    </row>
    <row r="180" spans="1:9" s="3" customFormat="1" ht="14.4" x14ac:dyDescent="0.3">
      <c r="A180"/>
      <c r="B180"/>
      <c r="C180"/>
      <c r="D180"/>
      <c r="E180"/>
      <c r="F180"/>
      <c r="G180"/>
      <c r="H180"/>
      <c r="I180"/>
    </row>
    <row r="181" spans="1:9" s="3" customFormat="1" ht="14.4" x14ac:dyDescent="0.3">
      <c r="A181"/>
      <c r="B181"/>
      <c r="C181"/>
      <c r="D181"/>
      <c r="E181"/>
      <c r="F181"/>
      <c r="G181"/>
      <c r="H181"/>
      <c r="I181"/>
    </row>
    <row r="182" spans="1:9" s="3" customFormat="1" ht="14.4" x14ac:dyDescent="0.3">
      <c r="A182"/>
      <c r="B182"/>
      <c r="C182"/>
      <c r="D182"/>
      <c r="E182"/>
      <c r="F182"/>
      <c r="G182"/>
      <c r="H182"/>
      <c r="I182"/>
    </row>
    <row r="183" spans="1:9" s="3" customFormat="1" ht="14.4" x14ac:dyDescent="0.3">
      <c r="A183"/>
      <c r="B183"/>
      <c r="C183"/>
      <c r="D183"/>
      <c r="E183"/>
      <c r="F183"/>
      <c r="G183"/>
      <c r="H183"/>
      <c r="I183"/>
    </row>
    <row r="184" spans="1:9" s="3" customFormat="1" ht="14.4" x14ac:dyDescent="0.3">
      <c r="A184"/>
      <c r="B184"/>
      <c r="C184"/>
      <c r="D184"/>
      <c r="E184"/>
      <c r="F184"/>
      <c r="G184"/>
      <c r="H184"/>
      <c r="I184"/>
    </row>
    <row r="185" spans="1:9" s="3" customFormat="1" ht="14.4" x14ac:dyDescent="0.3">
      <c r="A185"/>
      <c r="B185"/>
      <c r="C185"/>
      <c r="D185"/>
      <c r="E185"/>
      <c r="F185"/>
      <c r="G185"/>
      <c r="H185"/>
      <c r="I185"/>
    </row>
    <row r="186" spans="1:9" s="3" customFormat="1" ht="14.4" x14ac:dyDescent="0.3">
      <c r="A186"/>
      <c r="B186"/>
      <c r="C186"/>
      <c r="D186"/>
      <c r="E186"/>
      <c r="F186"/>
      <c r="G186"/>
      <c r="H186"/>
      <c r="I186"/>
    </row>
    <row r="187" spans="1:9" s="3" customFormat="1" ht="14.4" x14ac:dyDescent="0.3">
      <c r="A187"/>
      <c r="B187"/>
      <c r="C187"/>
      <c r="D187"/>
      <c r="E187"/>
      <c r="F187"/>
      <c r="G187"/>
      <c r="H187"/>
      <c r="I187"/>
    </row>
    <row r="188" spans="1:9" s="3" customFormat="1" ht="14.4" x14ac:dyDescent="0.3">
      <c r="A188"/>
      <c r="B188"/>
      <c r="C188"/>
      <c r="D188"/>
      <c r="E188"/>
      <c r="F188"/>
      <c r="G188"/>
      <c r="H188"/>
      <c r="I188"/>
    </row>
    <row r="189" spans="1:9" s="3" customFormat="1" ht="14.4" x14ac:dyDescent="0.3">
      <c r="A189"/>
      <c r="B189"/>
      <c r="C189"/>
      <c r="D189"/>
      <c r="E189"/>
      <c r="F189"/>
      <c r="G189"/>
      <c r="H189"/>
      <c r="I189"/>
    </row>
    <row r="190" spans="1:9" s="3" customFormat="1" ht="14.4" x14ac:dyDescent="0.3">
      <c r="A190"/>
      <c r="B190"/>
      <c r="C190"/>
      <c r="D190"/>
      <c r="E190"/>
      <c r="F190"/>
      <c r="G190"/>
      <c r="H190"/>
      <c r="I190"/>
    </row>
    <row r="191" spans="1:9" s="3" customFormat="1" ht="14.4" x14ac:dyDescent="0.3">
      <c r="A191"/>
      <c r="B191"/>
      <c r="C191"/>
      <c r="D191"/>
      <c r="E191"/>
      <c r="F191"/>
      <c r="G191"/>
      <c r="H191"/>
      <c r="I191"/>
    </row>
    <row r="192" spans="1:9" s="3" customFormat="1" ht="14.4" x14ac:dyDescent="0.3">
      <c r="A192"/>
      <c r="B192"/>
      <c r="C192"/>
      <c r="D192"/>
      <c r="E192"/>
      <c r="F192"/>
      <c r="G192"/>
      <c r="H192"/>
      <c r="I192"/>
    </row>
    <row r="193" spans="1:9" s="3" customFormat="1" ht="14.4" x14ac:dyDescent="0.3">
      <c r="A193"/>
      <c r="B193"/>
      <c r="C193"/>
      <c r="D193"/>
      <c r="E193"/>
      <c r="F193"/>
      <c r="G193"/>
      <c r="H193"/>
      <c r="I193"/>
    </row>
    <row r="194" spans="1:9" s="3" customFormat="1" ht="14.4" x14ac:dyDescent="0.3">
      <c r="A194"/>
      <c r="B194"/>
      <c r="C194"/>
      <c r="D194"/>
      <c r="E194"/>
      <c r="F194"/>
      <c r="G194"/>
      <c r="H194"/>
      <c r="I194"/>
    </row>
    <row r="195" spans="1:9" s="3" customFormat="1" ht="14.4" x14ac:dyDescent="0.3">
      <c r="A195"/>
      <c r="B195"/>
      <c r="C195"/>
      <c r="D195"/>
      <c r="E195"/>
      <c r="F195"/>
      <c r="G195"/>
      <c r="H195"/>
      <c r="I195"/>
    </row>
    <row r="196" spans="1:9" s="3" customFormat="1" ht="14.4" x14ac:dyDescent="0.3">
      <c r="A196"/>
      <c r="B196"/>
      <c r="C196"/>
      <c r="D196"/>
      <c r="E196"/>
      <c r="F196"/>
      <c r="G196"/>
      <c r="H196"/>
      <c r="I196"/>
    </row>
    <row r="197" spans="1:9" s="3" customFormat="1" ht="14.4" x14ac:dyDescent="0.3">
      <c r="A197"/>
      <c r="B197"/>
      <c r="C197"/>
      <c r="D197"/>
      <c r="E197"/>
      <c r="F197"/>
      <c r="G197"/>
      <c r="H197"/>
      <c r="I197"/>
    </row>
    <row r="198" spans="1:9" s="3" customFormat="1" ht="14.4" x14ac:dyDescent="0.3">
      <c r="A198"/>
      <c r="B198"/>
      <c r="C198"/>
      <c r="D198"/>
      <c r="E198"/>
      <c r="F198"/>
      <c r="G198"/>
      <c r="H198"/>
      <c r="I198"/>
    </row>
    <row r="199" spans="1:9" s="3" customFormat="1" ht="14.4" x14ac:dyDescent="0.3">
      <c r="A199"/>
      <c r="B199"/>
      <c r="C199"/>
      <c r="D199"/>
      <c r="E199"/>
      <c r="F199"/>
      <c r="G199"/>
      <c r="H199"/>
      <c r="I199"/>
    </row>
    <row r="200" spans="1:9" s="3" customFormat="1" ht="14.4" x14ac:dyDescent="0.3">
      <c r="A200"/>
      <c r="B200"/>
      <c r="C200"/>
      <c r="D200"/>
      <c r="E200"/>
      <c r="F200"/>
      <c r="G200"/>
      <c r="H200"/>
      <c r="I200"/>
    </row>
    <row r="201" spans="1:9" s="3" customFormat="1" ht="14.4" x14ac:dyDescent="0.3">
      <c r="A201"/>
      <c r="B201"/>
      <c r="C201"/>
      <c r="D201"/>
      <c r="E201"/>
      <c r="F201"/>
      <c r="G201"/>
      <c r="H201"/>
      <c r="I201"/>
    </row>
    <row r="202" spans="1:9" s="3" customFormat="1" ht="14.4" x14ac:dyDescent="0.3">
      <c r="A202"/>
      <c r="B202"/>
      <c r="C202"/>
      <c r="D202"/>
      <c r="E202"/>
      <c r="F202"/>
      <c r="G202"/>
      <c r="H202"/>
      <c r="I202"/>
    </row>
    <row r="203" spans="1:9" s="3" customFormat="1" ht="14.4" x14ac:dyDescent="0.3">
      <c r="A203"/>
      <c r="B203"/>
      <c r="C203"/>
      <c r="D203"/>
      <c r="E203"/>
      <c r="F203"/>
      <c r="G203"/>
      <c r="H203"/>
      <c r="I203"/>
    </row>
    <row r="204" spans="1:9" s="3" customFormat="1" ht="14.4" x14ac:dyDescent="0.3">
      <c r="A204"/>
      <c r="B204"/>
      <c r="C204"/>
      <c r="D204"/>
      <c r="E204"/>
      <c r="F204"/>
      <c r="G204"/>
      <c r="H204"/>
      <c r="I204"/>
    </row>
    <row r="205" spans="1:9" s="3" customFormat="1" ht="14.4" x14ac:dyDescent="0.3">
      <c r="A205"/>
      <c r="B205"/>
      <c r="C205"/>
      <c r="D205"/>
      <c r="E205"/>
      <c r="F205"/>
      <c r="G205"/>
      <c r="H205"/>
      <c r="I205"/>
    </row>
    <row r="206" spans="1:9" s="3" customFormat="1" ht="14.4" x14ac:dyDescent="0.3">
      <c r="A206"/>
      <c r="B206"/>
      <c r="C206"/>
      <c r="D206"/>
      <c r="E206"/>
      <c r="F206"/>
      <c r="G206"/>
      <c r="H206"/>
      <c r="I206"/>
    </row>
    <row r="207" spans="1:9" s="3" customFormat="1" ht="14.4" x14ac:dyDescent="0.3">
      <c r="A207"/>
      <c r="B207"/>
      <c r="C207"/>
      <c r="D207"/>
      <c r="E207"/>
      <c r="F207"/>
      <c r="G207"/>
      <c r="H207"/>
      <c r="I207"/>
    </row>
    <row r="208" spans="1:9" s="3" customFormat="1" ht="14.4" x14ac:dyDescent="0.3">
      <c r="A208"/>
      <c r="B208"/>
      <c r="C208"/>
      <c r="D208"/>
      <c r="E208"/>
      <c r="F208"/>
      <c r="G208"/>
      <c r="H208"/>
      <c r="I208"/>
    </row>
    <row r="209" spans="1:9" s="3" customFormat="1" ht="14.4" x14ac:dyDescent="0.3">
      <c r="A209"/>
      <c r="B209"/>
      <c r="C209"/>
      <c r="D209"/>
      <c r="E209"/>
      <c r="F209"/>
      <c r="G209"/>
      <c r="H209"/>
      <c r="I209"/>
    </row>
    <row r="210" spans="1:9" s="3" customFormat="1" ht="14.4" x14ac:dyDescent="0.3">
      <c r="A210"/>
      <c r="B210"/>
      <c r="C210"/>
      <c r="D210"/>
      <c r="E210"/>
      <c r="F210"/>
      <c r="G210"/>
      <c r="H210"/>
      <c r="I210"/>
    </row>
    <row r="211" spans="1:9" s="3" customFormat="1" ht="14.4" x14ac:dyDescent="0.3">
      <c r="A211"/>
      <c r="B211"/>
      <c r="C211"/>
      <c r="D211"/>
      <c r="E211"/>
      <c r="F211"/>
      <c r="G211"/>
      <c r="H211"/>
      <c r="I211"/>
    </row>
    <row r="212" spans="1:9" s="3" customFormat="1" ht="14.4" x14ac:dyDescent="0.3">
      <c r="A212"/>
      <c r="B212"/>
      <c r="C212"/>
      <c r="D212"/>
      <c r="E212"/>
      <c r="F212"/>
      <c r="G212"/>
      <c r="H212"/>
      <c r="I212"/>
    </row>
    <row r="213" spans="1:9" s="3" customFormat="1" ht="14.4" x14ac:dyDescent="0.3">
      <c r="A213"/>
      <c r="B213"/>
      <c r="C213"/>
      <c r="D213"/>
      <c r="E213"/>
      <c r="F213"/>
      <c r="G213"/>
      <c r="H213"/>
      <c r="I213"/>
    </row>
    <row r="214" spans="1:9" s="3" customFormat="1" ht="14.4" x14ac:dyDescent="0.3">
      <c r="A214"/>
      <c r="B214"/>
      <c r="C214"/>
      <c r="D214"/>
      <c r="E214"/>
      <c r="F214"/>
      <c r="G214"/>
      <c r="H214"/>
      <c r="I214"/>
    </row>
    <row r="215" spans="1:9" s="3" customFormat="1" ht="14.4" x14ac:dyDescent="0.3">
      <c r="A215"/>
      <c r="B215"/>
      <c r="C215"/>
      <c r="D215"/>
      <c r="E215"/>
      <c r="F215"/>
      <c r="G215"/>
      <c r="H215"/>
      <c r="I215"/>
    </row>
    <row r="216" spans="1:9" s="3" customFormat="1" ht="14.4" x14ac:dyDescent="0.3">
      <c r="A216"/>
      <c r="B216"/>
      <c r="C216"/>
      <c r="D216"/>
      <c r="E216"/>
      <c r="F216"/>
      <c r="G216"/>
      <c r="H216"/>
      <c r="I216"/>
    </row>
    <row r="217" spans="1:9" s="3" customFormat="1" ht="14.4" x14ac:dyDescent="0.3">
      <c r="A217"/>
      <c r="B217"/>
      <c r="C217"/>
      <c r="D217"/>
      <c r="E217"/>
      <c r="F217"/>
      <c r="G217"/>
      <c r="H217"/>
      <c r="I217"/>
    </row>
    <row r="218" spans="1:9" s="3" customFormat="1" ht="14.4" x14ac:dyDescent="0.3">
      <c r="A218"/>
      <c r="B218"/>
      <c r="C218"/>
      <c r="D218"/>
      <c r="E218"/>
      <c r="F218"/>
      <c r="G218"/>
      <c r="H218"/>
      <c r="I218"/>
    </row>
    <row r="219" spans="1:9" s="3" customFormat="1" ht="14.4" x14ac:dyDescent="0.3">
      <c r="A219"/>
      <c r="B219"/>
      <c r="C219"/>
      <c r="D219"/>
      <c r="E219"/>
      <c r="F219"/>
      <c r="G219"/>
      <c r="H219"/>
      <c r="I219"/>
    </row>
    <row r="220" spans="1:9" s="3" customFormat="1" ht="14.4" x14ac:dyDescent="0.3">
      <c r="A220"/>
      <c r="B220"/>
      <c r="C220"/>
      <c r="D220"/>
      <c r="E220"/>
      <c r="F220"/>
      <c r="G220"/>
      <c r="H220"/>
      <c r="I220"/>
    </row>
    <row r="221" spans="1:9" s="3" customFormat="1" ht="14.4" x14ac:dyDescent="0.3">
      <c r="A221"/>
      <c r="B221"/>
      <c r="C221"/>
      <c r="D221"/>
      <c r="E221"/>
      <c r="F221"/>
      <c r="G221"/>
      <c r="H221"/>
      <c r="I221"/>
    </row>
    <row r="222" spans="1:9" s="3" customFormat="1" ht="14.4" x14ac:dyDescent="0.3">
      <c r="A222"/>
      <c r="B222"/>
      <c r="C222"/>
      <c r="D222"/>
      <c r="E222"/>
      <c r="F222"/>
      <c r="G222"/>
      <c r="H222"/>
      <c r="I222"/>
    </row>
    <row r="223" spans="1:9" s="3" customFormat="1" ht="14.4" x14ac:dyDescent="0.3">
      <c r="A223"/>
      <c r="B223"/>
      <c r="C223"/>
      <c r="D223"/>
      <c r="E223"/>
      <c r="F223"/>
      <c r="G223"/>
      <c r="H223"/>
      <c r="I223"/>
    </row>
    <row r="224" spans="1:9" s="3" customFormat="1" ht="14.4" x14ac:dyDescent="0.3">
      <c r="A224"/>
      <c r="B224"/>
      <c r="C224"/>
      <c r="D224"/>
      <c r="E224"/>
      <c r="F224"/>
      <c r="G224"/>
      <c r="H224"/>
      <c r="I224"/>
    </row>
    <row r="225" spans="1:9" s="3" customFormat="1" ht="14.4" x14ac:dyDescent="0.3">
      <c r="A225"/>
      <c r="B225"/>
      <c r="C225"/>
      <c r="D225"/>
      <c r="E225"/>
      <c r="F225"/>
      <c r="G225"/>
      <c r="H225"/>
      <c r="I225"/>
    </row>
    <row r="226" spans="1:9" s="3" customFormat="1" ht="14.4" x14ac:dyDescent="0.3">
      <c r="A226"/>
      <c r="B226"/>
      <c r="C226"/>
      <c r="D226"/>
      <c r="E226"/>
      <c r="F226"/>
      <c r="G226"/>
      <c r="H226"/>
      <c r="I226"/>
    </row>
    <row r="227" spans="1:9" s="3" customFormat="1" ht="14.4" x14ac:dyDescent="0.3">
      <c r="A227"/>
      <c r="B227"/>
      <c r="C227"/>
      <c r="D227"/>
      <c r="E227"/>
      <c r="F227"/>
      <c r="G227"/>
      <c r="H227"/>
      <c r="I227"/>
    </row>
    <row r="228" spans="1:9" s="3" customFormat="1" ht="14.4" x14ac:dyDescent="0.3">
      <c r="A228"/>
      <c r="B228"/>
      <c r="C228"/>
      <c r="D228"/>
      <c r="E228"/>
      <c r="F228"/>
      <c r="G228"/>
      <c r="H228"/>
      <c r="I228"/>
    </row>
    <row r="229" spans="1:9" s="3" customFormat="1" ht="14.4" x14ac:dyDescent="0.3">
      <c r="A229"/>
      <c r="B229"/>
      <c r="C229"/>
      <c r="D229"/>
      <c r="E229"/>
      <c r="F229"/>
      <c r="G229"/>
      <c r="H229"/>
      <c r="I229"/>
    </row>
    <row r="230" spans="1:9" s="3" customFormat="1" ht="14.4" x14ac:dyDescent="0.3">
      <c r="A230"/>
      <c r="B230"/>
      <c r="C230"/>
      <c r="D230"/>
      <c r="E230"/>
      <c r="F230"/>
      <c r="G230"/>
      <c r="H230"/>
      <c r="I230"/>
    </row>
    <row r="231" spans="1:9" s="3" customFormat="1" ht="14.4" x14ac:dyDescent="0.3">
      <c r="A231"/>
      <c r="B231"/>
      <c r="C231"/>
      <c r="D231"/>
      <c r="E231"/>
      <c r="F231"/>
      <c r="G231"/>
      <c r="H231"/>
      <c r="I231"/>
    </row>
    <row r="232" spans="1:9" s="3" customFormat="1" ht="14.4" x14ac:dyDescent="0.3">
      <c r="A232"/>
      <c r="B232"/>
      <c r="C232"/>
      <c r="D232"/>
      <c r="E232"/>
      <c r="F232"/>
      <c r="G232"/>
      <c r="H232"/>
      <c r="I232"/>
    </row>
    <row r="233" spans="1:9" s="3" customFormat="1" ht="14.4" x14ac:dyDescent="0.3">
      <c r="A233"/>
      <c r="B233"/>
      <c r="C233"/>
      <c r="D233"/>
      <c r="E233"/>
      <c r="F233"/>
      <c r="G233"/>
      <c r="H233"/>
      <c r="I233"/>
    </row>
    <row r="234" spans="1:9" s="3" customFormat="1" ht="14.4" x14ac:dyDescent="0.3">
      <c r="A234"/>
      <c r="B234"/>
      <c r="C234"/>
      <c r="D234"/>
      <c r="E234"/>
      <c r="F234"/>
      <c r="G234"/>
      <c r="H234"/>
      <c r="I234"/>
    </row>
    <row r="235" spans="1:9" s="3" customFormat="1" ht="14.4" x14ac:dyDescent="0.3">
      <c r="A235"/>
      <c r="B235"/>
      <c r="C235"/>
      <c r="D235"/>
      <c r="E235"/>
      <c r="F235"/>
      <c r="G235"/>
      <c r="H235"/>
      <c r="I235"/>
    </row>
    <row r="236" spans="1:9" s="3" customFormat="1" ht="14.4" x14ac:dyDescent="0.3">
      <c r="A236"/>
      <c r="B236"/>
      <c r="C236"/>
      <c r="D236"/>
      <c r="E236"/>
      <c r="F236"/>
      <c r="G236"/>
      <c r="H236"/>
      <c r="I236"/>
    </row>
    <row r="237" spans="1:9" s="3" customFormat="1" ht="14.4" x14ac:dyDescent="0.3">
      <c r="A237"/>
      <c r="B237"/>
      <c r="C237"/>
      <c r="D237"/>
      <c r="E237"/>
      <c r="F237"/>
      <c r="G237"/>
      <c r="H237"/>
      <c r="I237"/>
    </row>
    <row r="238" spans="1:9" s="3" customFormat="1" ht="14.4" x14ac:dyDescent="0.3">
      <c r="A238"/>
      <c r="B238"/>
      <c r="C238"/>
      <c r="D238"/>
      <c r="E238"/>
      <c r="F238"/>
      <c r="G238"/>
      <c r="H238"/>
      <c r="I238"/>
    </row>
    <row r="239" spans="1:9" s="3" customFormat="1" ht="14.4" x14ac:dyDescent="0.3">
      <c r="A239"/>
      <c r="B239"/>
      <c r="C239"/>
      <c r="D239"/>
      <c r="E239"/>
      <c r="F239"/>
      <c r="G239"/>
      <c r="H239"/>
      <c r="I239"/>
    </row>
    <row r="240" spans="1:9" s="3" customFormat="1" ht="14.4" x14ac:dyDescent="0.3">
      <c r="A240"/>
      <c r="B240"/>
      <c r="C240"/>
      <c r="D240"/>
      <c r="E240"/>
      <c r="F240"/>
      <c r="G240"/>
      <c r="H240"/>
      <c r="I240"/>
    </row>
    <row r="241" spans="1:9" s="3" customFormat="1" ht="14.4" x14ac:dyDescent="0.3">
      <c r="A241"/>
      <c r="B241"/>
      <c r="C241"/>
      <c r="D241"/>
      <c r="E241"/>
      <c r="F241"/>
      <c r="G241"/>
      <c r="H241"/>
      <c r="I241"/>
    </row>
    <row r="242" spans="1:9" s="3" customFormat="1" ht="14.4" x14ac:dyDescent="0.3">
      <c r="A242"/>
      <c r="B242"/>
      <c r="C242"/>
      <c r="D242"/>
      <c r="E242"/>
      <c r="F242"/>
      <c r="G242"/>
      <c r="H242"/>
      <c r="I242"/>
    </row>
    <row r="243" spans="1:9" s="3" customFormat="1" ht="14.4" x14ac:dyDescent="0.3">
      <c r="A243"/>
      <c r="B243"/>
      <c r="C243"/>
      <c r="D243"/>
      <c r="E243"/>
      <c r="F243"/>
      <c r="G243"/>
      <c r="H243"/>
      <c r="I243"/>
    </row>
    <row r="244" spans="1:9" s="3" customFormat="1" ht="14.4" x14ac:dyDescent="0.3">
      <c r="A244"/>
      <c r="B244"/>
      <c r="C244"/>
      <c r="D244"/>
      <c r="E244"/>
      <c r="F244"/>
      <c r="G244"/>
      <c r="H244"/>
      <c r="I244"/>
    </row>
    <row r="245" spans="1:9" s="3" customFormat="1" ht="14.4" x14ac:dyDescent="0.3">
      <c r="A245"/>
      <c r="B245"/>
      <c r="C245"/>
      <c r="D245"/>
      <c r="E245"/>
      <c r="F245"/>
      <c r="G245"/>
      <c r="H245"/>
      <c r="I245"/>
    </row>
    <row r="246" spans="1:9" s="3" customFormat="1" ht="14.4" x14ac:dyDescent="0.3">
      <c r="A246"/>
      <c r="B246"/>
      <c r="C246"/>
      <c r="D246"/>
      <c r="E246"/>
      <c r="F246"/>
      <c r="G246"/>
      <c r="H246"/>
      <c r="I246"/>
    </row>
    <row r="247" spans="1:9" s="3" customFormat="1" ht="14.4" x14ac:dyDescent="0.3">
      <c r="A247"/>
      <c r="B247"/>
      <c r="C247"/>
      <c r="D247"/>
      <c r="E247"/>
      <c r="F247"/>
      <c r="G247"/>
      <c r="H247"/>
      <c r="I247"/>
    </row>
    <row r="248" spans="1:9" s="3" customFormat="1" ht="14.4" x14ac:dyDescent="0.3">
      <c r="A248"/>
      <c r="B248"/>
      <c r="C248"/>
      <c r="D248"/>
      <c r="E248"/>
      <c r="F248"/>
      <c r="G248"/>
      <c r="H248"/>
      <c r="I248"/>
    </row>
    <row r="249" spans="1:9" s="3" customFormat="1" ht="14.4" x14ac:dyDescent="0.3">
      <c r="A249"/>
      <c r="B249"/>
      <c r="C249"/>
      <c r="D249"/>
      <c r="E249"/>
      <c r="F249"/>
      <c r="G249"/>
      <c r="H249"/>
      <c r="I249"/>
    </row>
    <row r="250" spans="1:9" s="3" customFormat="1" ht="14.4" x14ac:dyDescent="0.3">
      <c r="A250"/>
      <c r="B250"/>
      <c r="C250"/>
      <c r="D250"/>
      <c r="E250"/>
      <c r="F250"/>
      <c r="G250"/>
      <c r="H250"/>
      <c r="I250"/>
    </row>
    <row r="251" spans="1:9" s="3" customFormat="1" ht="14.4" x14ac:dyDescent="0.3">
      <c r="A251"/>
      <c r="B251"/>
      <c r="C251"/>
      <c r="D251"/>
      <c r="E251"/>
      <c r="F251"/>
      <c r="G251"/>
      <c r="H251"/>
      <c r="I251"/>
    </row>
    <row r="252" spans="1:9" s="3" customFormat="1" ht="14.4" x14ac:dyDescent="0.3">
      <c r="A252"/>
      <c r="B252"/>
      <c r="C252"/>
      <c r="D252"/>
      <c r="E252"/>
      <c r="F252"/>
      <c r="G252"/>
      <c r="H252"/>
      <c r="I252"/>
    </row>
    <row r="253" spans="1:9" s="3" customFormat="1" ht="14.4" x14ac:dyDescent="0.3">
      <c r="A253"/>
      <c r="B253"/>
      <c r="C253"/>
      <c r="D253"/>
      <c r="E253"/>
      <c r="F253"/>
      <c r="G253"/>
      <c r="H253"/>
      <c r="I253"/>
    </row>
    <row r="254" spans="1:9" s="3" customFormat="1" ht="14.4" x14ac:dyDescent="0.3">
      <c r="A254"/>
      <c r="B254"/>
      <c r="C254"/>
      <c r="D254"/>
      <c r="E254"/>
      <c r="F254"/>
      <c r="G254"/>
      <c r="H254"/>
      <c r="I254"/>
    </row>
    <row r="255" spans="1:9" s="3" customFormat="1" ht="14.4" x14ac:dyDescent="0.3">
      <c r="A255"/>
      <c r="B255"/>
      <c r="C255"/>
      <c r="D255"/>
      <c r="E255"/>
      <c r="F255"/>
      <c r="G255"/>
      <c r="H255"/>
      <c r="I255"/>
    </row>
    <row r="256" spans="1:9" s="3" customFormat="1" ht="14.4" x14ac:dyDescent="0.3">
      <c r="A256"/>
      <c r="B256"/>
      <c r="C256"/>
      <c r="D256"/>
      <c r="E256"/>
      <c r="F256"/>
      <c r="G256"/>
      <c r="H256"/>
      <c r="I256"/>
    </row>
    <row r="257" spans="1:9" s="3" customFormat="1" ht="14.4" x14ac:dyDescent="0.3">
      <c r="A257"/>
      <c r="B257"/>
      <c r="C257"/>
      <c r="D257"/>
      <c r="E257"/>
      <c r="F257"/>
      <c r="G257"/>
      <c r="H257"/>
      <c r="I257"/>
    </row>
    <row r="258" spans="1:9" s="3" customFormat="1" ht="14.4" x14ac:dyDescent="0.3">
      <c r="A258"/>
      <c r="B258"/>
      <c r="C258"/>
      <c r="D258"/>
      <c r="E258"/>
      <c r="F258"/>
      <c r="G258"/>
      <c r="H258"/>
      <c r="I258"/>
    </row>
    <row r="259" spans="1:9" s="3" customFormat="1" ht="14.4" x14ac:dyDescent="0.3">
      <c r="A259"/>
      <c r="B259"/>
      <c r="C259"/>
      <c r="D259"/>
      <c r="E259"/>
      <c r="F259"/>
      <c r="G259"/>
      <c r="H259"/>
      <c r="I259"/>
    </row>
    <row r="260" spans="1:9" s="3" customFormat="1" ht="14.4" x14ac:dyDescent="0.3">
      <c r="A260"/>
      <c r="B260"/>
      <c r="C260"/>
      <c r="D260"/>
      <c r="E260"/>
      <c r="F260"/>
      <c r="G260"/>
      <c r="H260"/>
      <c r="I260"/>
    </row>
    <row r="261" spans="1:9" s="3" customFormat="1" ht="14.4" x14ac:dyDescent="0.3">
      <c r="A261"/>
      <c r="B261"/>
      <c r="C261"/>
      <c r="D261"/>
      <c r="E261"/>
      <c r="F261"/>
      <c r="G261"/>
      <c r="H261"/>
      <c r="I261"/>
    </row>
    <row r="262" spans="1:9" s="3" customFormat="1" ht="14.4" x14ac:dyDescent="0.3">
      <c r="A262"/>
      <c r="B262"/>
      <c r="C262"/>
      <c r="D262"/>
      <c r="E262"/>
      <c r="F262"/>
      <c r="G262"/>
      <c r="H262"/>
      <c r="I262"/>
    </row>
    <row r="263" spans="1:9" s="3" customFormat="1" ht="14.4" x14ac:dyDescent="0.3">
      <c r="A263"/>
      <c r="B263"/>
      <c r="C263"/>
      <c r="D263"/>
      <c r="E263"/>
      <c r="F263"/>
      <c r="G263"/>
      <c r="H263"/>
      <c r="I263"/>
    </row>
    <row r="264" spans="1:9" s="3" customFormat="1" ht="14.4" x14ac:dyDescent="0.3">
      <c r="A264"/>
      <c r="B264"/>
      <c r="C264"/>
      <c r="D264"/>
      <c r="E264"/>
      <c r="F264"/>
      <c r="G264"/>
      <c r="H264"/>
      <c r="I264"/>
    </row>
    <row r="265" spans="1:9" s="3" customFormat="1" ht="14.4" x14ac:dyDescent="0.3">
      <c r="A265"/>
      <c r="B265"/>
      <c r="C265"/>
      <c r="D265"/>
      <c r="E265"/>
      <c r="F265"/>
      <c r="G265"/>
      <c r="H265"/>
      <c r="I265"/>
    </row>
    <row r="266" spans="1:9" s="3" customFormat="1" ht="14.4" x14ac:dyDescent="0.3">
      <c r="A266"/>
      <c r="B266"/>
      <c r="C266"/>
      <c r="D266"/>
      <c r="E266"/>
      <c r="F266"/>
      <c r="G266"/>
      <c r="H266"/>
      <c r="I266"/>
    </row>
    <row r="267" spans="1:9" s="3" customFormat="1" ht="14.4" x14ac:dyDescent="0.3">
      <c r="A267"/>
      <c r="B267"/>
      <c r="C267"/>
      <c r="D267"/>
      <c r="E267"/>
      <c r="F267"/>
      <c r="G267"/>
      <c r="H267"/>
      <c r="I267"/>
    </row>
    <row r="268" spans="1:9" s="3" customFormat="1" ht="14.4" x14ac:dyDescent="0.3">
      <c r="A268"/>
      <c r="B268"/>
      <c r="C268"/>
      <c r="D268"/>
      <c r="E268"/>
      <c r="F268"/>
      <c r="G268"/>
      <c r="H268"/>
      <c r="I268"/>
    </row>
    <row r="269" spans="1:9" s="3" customFormat="1" ht="14.4" x14ac:dyDescent="0.3">
      <c r="A269"/>
      <c r="B269"/>
      <c r="C269"/>
      <c r="D269"/>
      <c r="E269"/>
      <c r="F269"/>
      <c r="G269"/>
      <c r="H269"/>
      <c r="I269"/>
    </row>
    <row r="270" spans="1:9" s="3" customFormat="1" ht="14.4" x14ac:dyDescent="0.3">
      <c r="A270"/>
      <c r="B270"/>
      <c r="C270"/>
      <c r="D270"/>
      <c r="E270"/>
      <c r="F270"/>
      <c r="G270"/>
      <c r="H270"/>
      <c r="I270"/>
    </row>
    <row r="271" spans="1:9" s="3" customFormat="1" ht="14.4" x14ac:dyDescent="0.3">
      <c r="A271"/>
      <c r="B271"/>
      <c r="C271"/>
      <c r="D271"/>
      <c r="E271"/>
      <c r="F271"/>
      <c r="G271"/>
      <c r="H271"/>
      <c r="I271"/>
    </row>
    <row r="272" spans="1:9" s="3" customFormat="1" ht="14.4" x14ac:dyDescent="0.3">
      <c r="A272"/>
      <c r="B272"/>
      <c r="C272"/>
      <c r="D272"/>
      <c r="E272"/>
      <c r="F272"/>
      <c r="G272"/>
      <c r="H272"/>
      <c r="I272"/>
    </row>
    <row r="273" spans="1:9" s="3" customFormat="1" ht="14.4" x14ac:dyDescent="0.3">
      <c r="A273"/>
      <c r="B273"/>
      <c r="C273"/>
      <c r="D273"/>
      <c r="E273"/>
      <c r="F273"/>
      <c r="G273"/>
      <c r="H273"/>
      <c r="I273"/>
    </row>
    <row r="274" spans="1:9" s="3" customFormat="1" ht="14.4" x14ac:dyDescent="0.3">
      <c r="A274"/>
      <c r="B274"/>
      <c r="C274"/>
      <c r="D274"/>
      <c r="E274"/>
      <c r="F274"/>
      <c r="G274"/>
      <c r="H274"/>
      <c r="I274"/>
    </row>
    <row r="275" spans="1:9" s="3" customFormat="1" ht="14.4" x14ac:dyDescent="0.3">
      <c r="A275"/>
      <c r="B275"/>
      <c r="C275"/>
      <c r="D275"/>
      <c r="E275"/>
      <c r="F275"/>
      <c r="G275"/>
      <c r="H275"/>
      <c r="I275"/>
    </row>
    <row r="276" spans="1:9" s="3" customFormat="1" ht="14.4" x14ac:dyDescent="0.3">
      <c r="A276"/>
      <c r="B276"/>
      <c r="C276"/>
      <c r="D276"/>
      <c r="E276"/>
      <c r="F276"/>
      <c r="G276"/>
      <c r="H276"/>
      <c r="I276"/>
    </row>
    <row r="277" spans="1:9" s="3" customFormat="1" ht="14.4" x14ac:dyDescent="0.3">
      <c r="A277"/>
      <c r="B277"/>
      <c r="C277"/>
      <c r="D277"/>
      <c r="E277"/>
      <c r="F277"/>
      <c r="G277"/>
      <c r="H277"/>
      <c r="I277"/>
    </row>
    <row r="278" spans="1:9" s="3" customFormat="1" ht="14.4" x14ac:dyDescent="0.3">
      <c r="A278"/>
      <c r="B278"/>
      <c r="C278"/>
      <c r="D278"/>
      <c r="E278"/>
      <c r="F278"/>
      <c r="G278"/>
      <c r="H278"/>
      <c r="I278"/>
    </row>
    <row r="279" spans="1:9" s="3" customFormat="1" ht="14.4" x14ac:dyDescent="0.3">
      <c r="A279"/>
      <c r="B279"/>
      <c r="C279"/>
      <c r="D279"/>
      <c r="E279"/>
      <c r="F279"/>
      <c r="G279"/>
      <c r="H279"/>
      <c r="I279"/>
    </row>
    <row r="280" spans="1:9" s="3" customFormat="1" ht="14.4" x14ac:dyDescent="0.3">
      <c r="A280"/>
      <c r="B280"/>
      <c r="C280"/>
      <c r="D280"/>
      <c r="E280"/>
      <c r="F280"/>
      <c r="G280"/>
      <c r="H280"/>
      <c r="I280"/>
    </row>
    <row r="281" spans="1:9" s="3" customFormat="1" ht="14.4" x14ac:dyDescent="0.3">
      <c r="A281"/>
      <c r="B281"/>
      <c r="C281"/>
      <c r="D281"/>
      <c r="E281"/>
      <c r="F281"/>
      <c r="G281"/>
      <c r="H281"/>
      <c r="I281"/>
    </row>
    <row r="282" spans="1:9" s="3" customFormat="1" ht="14.4" x14ac:dyDescent="0.3">
      <c r="A282"/>
      <c r="B282"/>
      <c r="C282"/>
      <c r="D282"/>
      <c r="E282"/>
      <c r="F282"/>
      <c r="G282"/>
      <c r="H282"/>
      <c r="I282"/>
    </row>
    <row r="283" spans="1:9" s="3" customFormat="1" ht="14.4" x14ac:dyDescent="0.3">
      <c r="A283"/>
      <c r="B283"/>
      <c r="C283"/>
      <c r="D283"/>
      <c r="E283"/>
      <c r="F283"/>
      <c r="G283"/>
      <c r="H283"/>
      <c r="I283"/>
    </row>
    <row r="284" spans="1:9" s="3" customFormat="1" ht="14.4" x14ac:dyDescent="0.3">
      <c r="A284"/>
      <c r="B284"/>
      <c r="C284"/>
      <c r="D284"/>
      <c r="E284"/>
      <c r="F284"/>
      <c r="G284"/>
      <c r="H284"/>
      <c r="I284"/>
    </row>
    <row r="285" spans="1:9" s="3" customFormat="1" ht="14.4" x14ac:dyDescent="0.3">
      <c r="A285"/>
      <c r="B285"/>
      <c r="C285"/>
      <c r="D285"/>
      <c r="E285"/>
      <c r="F285"/>
      <c r="G285"/>
      <c r="H285"/>
      <c r="I285"/>
    </row>
    <row r="286" spans="1:9" s="3" customFormat="1" ht="14.4" x14ac:dyDescent="0.3">
      <c r="A286"/>
      <c r="B286"/>
      <c r="C286"/>
      <c r="D286"/>
      <c r="E286"/>
      <c r="F286"/>
      <c r="G286"/>
      <c r="H286"/>
      <c r="I286"/>
    </row>
    <row r="287" spans="1:9" s="3" customFormat="1" ht="14.4" x14ac:dyDescent="0.3">
      <c r="A287"/>
      <c r="B287"/>
      <c r="C287"/>
      <c r="D287"/>
      <c r="E287"/>
      <c r="F287"/>
      <c r="G287"/>
      <c r="H287"/>
      <c r="I287"/>
    </row>
    <row r="288" spans="1:9" s="3" customFormat="1" ht="14.4" x14ac:dyDescent="0.3">
      <c r="A288"/>
      <c r="B288"/>
      <c r="C288"/>
      <c r="D288"/>
      <c r="E288"/>
      <c r="F288"/>
      <c r="G288"/>
      <c r="H288"/>
      <c r="I288"/>
    </row>
    <row r="289" spans="1:9" s="3" customFormat="1" ht="14.4" x14ac:dyDescent="0.3">
      <c r="A289"/>
      <c r="B289"/>
      <c r="C289"/>
      <c r="D289"/>
      <c r="E289"/>
      <c r="F289"/>
      <c r="G289"/>
      <c r="H289"/>
      <c r="I289"/>
    </row>
    <row r="290" spans="1:9" s="3" customFormat="1" ht="14.4" x14ac:dyDescent="0.3">
      <c r="A290"/>
      <c r="B290"/>
      <c r="C290"/>
      <c r="D290"/>
      <c r="E290"/>
      <c r="F290"/>
      <c r="G290"/>
      <c r="H290"/>
      <c r="I290"/>
    </row>
    <row r="291" spans="1:9" s="3" customFormat="1" ht="14.4" x14ac:dyDescent="0.3">
      <c r="A291"/>
      <c r="B291"/>
      <c r="C291"/>
      <c r="D291"/>
      <c r="E291"/>
      <c r="F291"/>
      <c r="G291"/>
      <c r="H291"/>
      <c r="I291"/>
    </row>
    <row r="292" spans="1:9" s="3" customFormat="1" ht="14.4" x14ac:dyDescent="0.3">
      <c r="A292"/>
      <c r="B292"/>
      <c r="C292"/>
      <c r="D292"/>
      <c r="E292"/>
      <c r="F292"/>
      <c r="G292"/>
      <c r="H292"/>
      <c r="I292"/>
    </row>
    <row r="293" spans="1:9" s="3" customFormat="1" ht="14.4" x14ac:dyDescent="0.3">
      <c r="A293"/>
      <c r="B293"/>
      <c r="C293"/>
      <c r="D293"/>
      <c r="E293"/>
      <c r="F293"/>
      <c r="G293"/>
      <c r="H293"/>
      <c r="I293"/>
    </row>
    <row r="294" spans="1:9" s="3" customFormat="1" ht="14.4" x14ac:dyDescent="0.3">
      <c r="A294"/>
      <c r="B294"/>
      <c r="C294"/>
      <c r="D294"/>
      <c r="E294"/>
      <c r="F294"/>
      <c r="G294"/>
      <c r="H294"/>
      <c r="I294"/>
    </row>
    <row r="295" spans="1:9" s="3" customFormat="1" ht="14.4" x14ac:dyDescent="0.3">
      <c r="A295"/>
      <c r="B295"/>
      <c r="C295"/>
      <c r="D295"/>
      <c r="E295"/>
      <c r="F295"/>
      <c r="G295"/>
      <c r="H295"/>
      <c r="I295"/>
    </row>
    <row r="296" spans="1:9" s="3" customFormat="1" ht="14.4" x14ac:dyDescent="0.3">
      <c r="A296"/>
      <c r="B296"/>
      <c r="C296"/>
      <c r="D296"/>
      <c r="E296"/>
      <c r="F296"/>
      <c r="G296"/>
      <c r="H296"/>
      <c r="I296"/>
    </row>
    <row r="297" spans="1:9" s="3" customFormat="1" ht="14.4" x14ac:dyDescent="0.3">
      <c r="A297"/>
      <c r="B297"/>
      <c r="C297"/>
      <c r="D297"/>
      <c r="E297"/>
      <c r="F297"/>
      <c r="G297"/>
      <c r="H297"/>
      <c r="I297"/>
    </row>
    <row r="298" spans="1:9" s="3" customFormat="1" ht="14.4" x14ac:dyDescent="0.3">
      <c r="A298"/>
      <c r="B298"/>
      <c r="C298"/>
      <c r="D298"/>
      <c r="E298"/>
      <c r="F298"/>
      <c r="G298"/>
      <c r="H298"/>
      <c r="I298"/>
    </row>
    <row r="299" spans="1:9" s="3" customFormat="1" ht="14.4" x14ac:dyDescent="0.3">
      <c r="A299"/>
      <c r="B299"/>
      <c r="C299"/>
      <c r="D299"/>
      <c r="E299"/>
      <c r="F299"/>
      <c r="G299"/>
      <c r="H299"/>
      <c r="I299"/>
    </row>
    <row r="300" spans="1:9" s="3" customFormat="1" ht="14.4" x14ac:dyDescent="0.3">
      <c r="A300"/>
      <c r="B300"/>
      <c r="C300"/>
      <c r="D300"/>
      <c r="E300"/>
      <c r="F300"/>
      <c r="G300"/>
      <c r="H300"/>
      <c r="I300"/>
    </row>
    <row r="301" spans="1:9" s="3" customFormat="1" ht="14.4" x14ac:dyDescent="0.3">
      <c r="A301"/>
      <c r="B301"/>
      <c r="C301"/>
      <c r="D301"/>
      <c r="E301"/>
      <c r="F301"/>
      <c r="G301"/>
      <c r="H301"/>
      <c r="I301"/>
    </row>
    <row r="302" spans="1:9" s="3" customFormat="1" ht="14.4" x14ac:dyDescent="0.3">
      <c r="A302"/>
      <c r="B302"/>
      <c r="C302"/>
      <c r="D302"/>
      <c r="E302"/>
      <c r="F302"/>
      <c r="G302"/>
      <c r="H302"/>
      <c r="I302"/>
    </row>
    <row r="303" spans="1:9" s="3" customFormat="1" ht="14.4" x14ac:dyDescent="0.3">
      <c r="A303"/>
      <c r="B303"/>
      <c r="C303"/>
      <c r="D303"/>
      <c r="E303"/>
      <c r="F303"/>
      <c r="G303"/>
      <c r="H303"/>
      <c r="I303"/>
    </row>
    <row r="304" spans="1:9" s="3" customFormat="1" ht="14.4" x14ac:dyDescent="0.3">
      <c r="A304"/>
      <c r="B304"/>
      <c r="C304"/>
      <c r="D304"/>
      <c r="E304"/>
      <c r="F304"/>
      <c r="G304"/>
      <c r="H304"/>
      <c r="I304"/>
    </row>
    <row r="305" spans="1:9" s="3" customFormat="1" ht="14.4" x14ac:dyDescent="0.3">
      <c r="A305"/>
      <c r="B305"/>
      <c r="C305"/>
      <c r="D305"/>
      <c r="E305"/>
      <c r="F305"/>
      <c r="G305"/>
      <c r="H305"/>
      <c r="I305"/>
    </row>
    <row r="306" spans="1:9" s="3" customFormat="1" ht="14.4" x14ac:dyDescent="0.3">
      <c r="A306"/>
      <c r="B306"/>
      <c r="C306"/>
      <c r="D306"/>
      <c r="E306"/>
      <c r="F306"/>
      <c r="G306"/>
      <c r="H306"/>
      <c r="I306"/>
    </row>
    <row r="307" spans="1:9" s="3" customFormat="1" ht="14.4" x14ac:dyDescent="0.3">
      <c r="A307"/>
      <c r="B307"/>
      <c r="C307"/>
      <c r="D307"/>
      <c r="E307"/>
      <c r="F307"/>
      <c r="G307"/>
      <c r="H307"/>
      <c r="I307"/>
    </row>
    <row r="308" spans="1:9" s="3" customFormat="1" ht="14.4" x14ac:dyDescent="0.3">
      <c r="A308"/>
      <c r="B308"/>
      <c r="C308"/>
      <c r="D308"/>
      <c r="E308"/>
      <c r="F308"/>
      <c r="G308"/>
      <c r="H308"/>
      <c r="I308"/>
    </row>
    <row r="309" spans="1:9" s="3" customFormat="1" ht="14.4" x14ac:dyDescent="0.3">
      <c r="A309"/>
      <c r="B309"/>
      <c r="C309"/>
      <c r="D309"/>
      <c r="E309"/>
      <c r="F309"/>
      <c r="G309"/>
      <c r="H309"/>
      <c r="I309"/>
    </row>
    <row r="310" spans="1:9" s="3" customFormat="1" ht="14.4" x14ac:dyDescent="0.3">
      <c r="A310"/>
      <c r="B310"/>
      <c r="C310"/>
      <c r="D310"/>
      <c r="E310"/>
      <c r="F310"/>
      <c r="G310"/>
      <c r="H310"/>
      <c r="I310"/>
    </row>
    <row r="311" spans="1:9" s="3" customFormat="1" ht="14.4" x14ac:dyDescent="0.3">
      <c r="A311"/>
      <c r="B311"/>
      <c r="C311"/>
      <c r="D311"/>
      <c r="E311"/>
      <c r="F311"/>
      <c r="G311"/>
      <c r="H311"/>
      <c r="I311"/>
    </row>
    <row r="312" spans="1:9" s="3" customFormat="1" ht="14.4" x14ac:dyDescent="0.3">
      <c r="A312"/>
      <c r="B312"/>
      <c r="C312"/>
      <c r="D312"/>
      <c r="E312"/>
      <c r="F312"/>
      <c r="G312"/>
      <c r="H312"/>
      <c r="I312"/>
    </row>
    <row r="313" spans="1:9" s="3" customFormat="1" ht="14.4" x14ac:dyDescent="0.3">
      <c r="A313"/>
      <c r="B313"/>
      <c r="C313"/>
      <c r="D313"/>
      <c r="E313"/>
      <c r="F313"/>
      <c r="G313"/>
      <c r="H313"/>
      <c r="I313"/>
    </row>
    <row r="314" spans="1:9" s="3" customFormat="1" ht="14.4" x14ac:dyDescent="0.3">
      <c r="A314"/>
      <c r="B314"/>
      <c r="C314"/>
      <c r="D314"/>
      <c r="E314"/>
      <c r="F314"/>
      <c r="G314"/>
      <c r="H314"/>
      <c r="I314"/>
    </row>
    <row r="315" spans="1:9" s="3" customFormat="1" ht="14.4" x14ac:dyDescent="0.3">
      <c r="A315"/>
      <c r="B315"/>
      <c r="C315"/>
      <c r="D315"/>
      <c r="E315"/>
      <c r="F315"/>
      <c r="G315"/>
      <c r="H315"/>
      <c r="I315"/>
    </row>
    <row r="316" spans="1:9" s="3" customFormat="1" ht="14.4" x14ac:dyDescent="0.3">
      <c r="A316"/>
      <c r="B316"/>
      <c r="C316"/>
      <c r="D316"/>
      <c r="E316"/>
      <c r="F316"/>
      <c r="G316"/>
      <c r="H316"/>
      <c r="I316"/>
    </row>
    <row r="317" spans="1:9" s="3" customFormat="1" ht="14.4" x14ac:dyDescent="0.3">
      <c r="A317"/>
      <c r="B317"/>
      <c r="C317"/>
      <c r="D317"/>
      <c r="E317"/>
      <c r="F317"/>
      <c r="G317"/>
      <c r="H317"/>
      <c r="I317"/>
    </row>
    <row r="318" spans="1:9" s="3" customFormat="1" ht="14.4" x14ac:dyDescent="0.3">
      <c r="A318"/>
      <c r="B318"/>
      <c r="C318"/>
      <c r="D318"/>
      <c r="E318"/>
      <c r="F318"/>
      <c r="G318"/>
      <c r="H318"/>
      <c r="I318"/>
    </row>
    <row r="319" spans="1:9" s="3" customFormat="1" ht="14.4" x14ac:dyDescent="0.3">
      <c r="A319"/>
      <c r="B319"/>
      <c r="C319"/>
      <c r="D319"/>
      <c r="E319"/>
      <c r="F319"/>
      <c r="G319"/>
      <c r="H319"/>
      <c r="I319"/>
    </row>
    <row r="320" spans="1:9" s="3" customFormat="1" ht="14.4" x14ac:dyDescent="0.3">
      <c r="A320"/>
      <c r="B320"/>
      <c r="C320"/>
      <c r="D320"/>
      <c r="E320"/>
      <c r="F320"/>
      <c r="G320"/>
      <c r="H320"/>
      <c r="I320"/>
    </row>
    <row r="321" spans="1:9" s="3" customFormat="1" ht="14.4" x14ac:dyDescent="0.3">
      <c r="A321"/>
      <c r="B321"/>
      <c r="C321"/>
      <c r="D321"/>
      <c r="E321"/>
      <c r="F321"/>
      <c r="G321"/>
      <c r="H321"/>
      <c r="I321"/>
    </row>
    <row r="322" spans="1:9" s="3" customFormat="1" ht="14.4" x14ac:dyDescent="0.3">
      <c r="A322"/>
      <c r="B322"/>
      <c r="C322"/>
      <c r="D322"/>
      <c r="E322"/>
      <c r="F322"/>
      <c r="G322"/>
      <c r="H322"/>
      <c r="I322"/>
    </row>
    <row r="323" spans="1:9" s="3" customFormat="1" ht="14.4" x14ac:dyDescent="0.3">
      <c r="A323"/>
      <c r="B323"/>
      <c r="C323"/>
      <c r="D323"/>
      <c r="E323"/>
      <c r="F323"/>
      <c r="G323"/>
      <c r="H323"/>
      <c r="I323"/>
    </row>
    <row r="324" spans="1:9" s="3" customFormat="1" ht="14.4" x14ac:dyDescent="0.3">
      <c r="A324"/>
      <c r="B324"/>
      <c r="C324"/>
      <c r="D324"/>
      <c r="E324"/>
      <c r="F324"/>
      <c r="G324"/>
      <c r="H324"/>
      <c r="I324"/>
    </row>
    <row r="325" spans="1:9" s="3" customFormat="1" ht="14.4" x14ac:dyDescent="0.3">
      <c r="A325"/>
      <c r="B325"/>
      <c r="C325"/>
      <c r="D325"/>
      <c r="E325"/>
      <c r="F325"/>
      <c r="G325"/>
      <c r="H325"/>
      <c r="I325"/>
    </row>
    <row r="326" spans="1:9" s="3" customFormat="1" ht="14.4" x14ac:dyDescent="0.3">
      <c r="A326"/>
      <c r="B326"/>
      <c r="C326"/>
      <c r="D326"/>
      <c r="E326"/>
      <c r="F326"/>
      <c r="G326"/>
      <c r="H326"/>
      <c r="I326"/>
    </row>
    <row r="327" spans="1:9" s="3" customFormat="1" ht="14.4" x14ac:dyDescent="0.3">
      <c r="A327"/>
      <c r="B327"/>
      <c r="C327"/>
      <c r="D327"/>
      <c r="E327"/>
      <c r="F327"/>
      <c r="G327"/>
      <c r="H327"/>
      <c r="I327"/>
    </row>
    <row r="328" spans="1:9" s="3" customFormat="1" ht="14.4" x14ac:dyDescent="0.3">
      <c r="A328"/>
      <c r="B328"/>
      <c r="C328"/>
      <c r="D328"/>
      <c r="E328"/>
      <c r="F328"/>
      <c r="G328"/>
      <c r="H328"/>
      <c r="I328"/>
    </row>
    <row r="329" spans="1:9" s="3" customFormat="1" ht="14.4" x14ac:dyDescent="0.3">
      <c r="A329"/>
      <c r="B329"/>
      <c r="C329"/>
      <c r="D329"/>
      <c r="E329"/>
      <c r="F329"/>
      <c r="G329"/>
      <c r="H329"/>
      <c r="I329"/>
    </row>
    <row r="330" spans="1:9" s="3" customFormat="1" ht="14.4" x14ac:dyDescent="0.3">
      <c r="A330"/>
      <c r="B330"/>
      <c r="C330"/>
      <c r="D330"/>
      <c r="E330"/>
      <c r="F330"/>
      <c r="G330"/>
      <c r="H330"/>
      <c r="I330"/>
    </row>
    <row r="331" spans="1:9" s="3" customFormat="1" ht="14.4" x14ac:dyDescent="0.3">
      <c r="A331"/>
      <c r="B331"/>
      <c r="C331"/>
      <c r="D331"/>
      <c r="E331"/>
      <c r="F331"/>
      <c r="G331"/>
      <c r="H331"/>
      <c r="I331"/>
    </row>
    <row r="332" spans="1:9" s="3" customFormat="1" ht="14.4" x14ac:dyDescent="0.3">
      <c r="A332"/>
      <c r="B332"/>
      <c r="C332"/>
      <c r="D332"/>
      <c r="E332"/>
      <c r="F332"/>
      <c r="G332"/>
      <c r="H332"/>
      <c r="I332"/>
    </row>
    <row r="333" spans="1:9" s="3" customFormat="1" ht="14.4" x14ac:dyDescent="0.3">
      <c r="A333"/>
      <c r="B333"/>
      <c r="C333"/>
      <c r="D333"/>
      <c r="E333"/>
      <c r="F333"/>
      <c r="G333"/>
      <c r="H333"/>
      <c r="I333"/>
    </row>
    <row r="334" spans="1:9" s="3" customFormat="1" ht="14.4" x14ac:dyDescent="0.3">
      <c r="A334"/>
      <c r="B334"/>
      <c r="C334"/>
      <c r="D334"/>
      <c r="E334"/>
      <c r="F334"/>
      <c r="G334"/>
      <c r="H334"/>
      <c r="I334"/>
    </row>
    <row r="335" spans="1:9" s="3" customFormat="1" ht="14.4" x14ac:dyDescent="0.3">
      <c r="A335"/>
      <c r="B335"/>
      <c r="C335"/>
      <c r="D335"/>
      <c r="E335"/>
      <c r="F335"/>
      <c r="G335"/>
      <c r="H335"/>
      <c r="I335"/>
    </row>
    <row r="336" spans="1:9" s="3" customFormat="1" ht="14.4" x14ac:dyDescent="0.3">
      <c r="A336"/>
      <c r="B336"/>
      <c r="C336"/>
      <c r="D336"/>
      <c r="E336"/>
      <c r="F336"/>
      <c r="G336"/>
      <c r="H336"/>
      <c r="I336"/>
    </row>
    <row r="337" spans="1:9" s="3" customFormat="1" ht="14.4" x14ac:dyDescent="0.3">
      <c r="A337"/>
      <c r="B337"/>
      <c r="C337"/>
      <c r="D337"/>
      <c r="E337"/>
      <c r="F337"/>
      <c r="G337"/>
      <c r="H337"/>
      <c r="I337"/>
    </row>
    <row r="338" spans="1:9" s="3" customFormat="1" ht="14.4" x14ac:dyDescent="0.3">
      <c r="A338"/>
      <c r="B338"/>
      <c r="C338"/>
      <c r="D338"/>
      <c r="E338"/>
      <c r="F338"/>
      <c r="G338"/>
      <c r="H338"/>
      <c r="I338"/>
    </row>
    <row r="339" spans="1:9" s="3" customFormat="1" ht="14.4" x14ac:dyDescent="0.3">
      <c r="A339"/>
      <c r="B339"/>
      <c r="C339"/>
      <c r="D339"/>
      <c r="E339"/>
      <c r="F339"/>
      <c r="G339"/>
      <c r="H339"/>
      <c r="I339"/>
    </row>
    <row r="340" spans="1:9" s="3" customFormat="1" ht="14.4" x14ac:dyDescent="0.3">
      <c r="A340"/>
      <c r="B340"/>
      <c r="C340"/>
      <c r="D340"/>
      <c r="E340"/>
      <c r="F340"/>
      <c r="G340"/>
      <c r="H340"/>
      <c r="I340"/>
    </row>
    <row r="341" spans="1:9" s="3" customFormat="1" ht="14.4" x14ac:dyDescent="0.3">
      <c r="A341"/>
      <c r="B341"/>
      <c r="C341"/>
      <c r="D341"/>
      <c r="E341"/>
      <c r="F341"/>
      <c r="G341"/>
      <c r="H341"/>
      <c r="I341"/>
    </row>
    <row r="342" spans="1:9" s="3" customFormat="1" ht="14.4" x14ac:dyDescent="0.3">
      <c r="A342"/>
      <c r="B342"/>
      <c r="C342"/>
      <c r="D342"/>
      <c r="E342"/>
      <c r="F342"/>
      <c r="G342"/>
      <c r="H342"/>
      <c r="I342"/>
    </row>
    <row r="343" spans="1:9" s="3" customFormat="1" ht="14.4" x14ac:dyDescent="0.3">
      <c r="A343"/>
      <c r="B343"/>
      <c r="C343"/>
      <c r="D343"/>
      <c r="E343"/>
      <c r="F343"/>
      <c r="G343"/>
      <c r="H343"/>
      <c r="I343"/>
    </row>
    <row r="344" spans="1:9" s="3" customFormat="1" ht="14.4" x14ac:dyDescent="0.3">
      <c r="A344"/>
      <c r="B344"/>
      <c r="C344"/>
      <c r="D344"/>
      <c r="E344"/>
      <c r="F344"/>
      <c r="G344"/>
      <c r="H344"/>
      <c r="I344"/>
    </row>
    <row r="345" spans="1:9" s="3" customFormat="1" ht="14.4" x14ac:dyDescent="0.3">
      <c r="A345"/>
      <c r="B345"/>
      <c r="C345"/>
      <c r="D345"/>
      <c r="E345"/>
      <c r="F345"/>
      <c r="G345"/>
      <c r="H345"/>
      <c r="I345"/>
    </row>
    <row r="346" spans="1:9" s="3" customFormat="1" ht="14.4" x14ac:dyDescent="0.3">
      <c r="A346"/>
      <c r="B346"/>
      <c r="C346"/>
      <c r="D346"/>
      <c r="E346"/>
      <c r="F346"/>
      <c r="G346"/>
      <c r="H346"/>
      <c r="I346"/>
    </row>
    <row r="347" spans="1:9" s="3" customFormat="1" ht="14.4" x14ac:dyDescent="0.3">
      <c r="A347"/>
      <c r="B347"/>
      <c r="C347"/>
      <c r="D347"/>
      <c r="E347"/>
      <c r="F347"/>
      <c r="G347"/>
      <c r="H347"/>
      <c r="I347"/>
    </row>
    <row r="348" spans="1:9" s="3" customFormat="1" ht="14.4" x14ac:dyDescent="0.3">
      <c r="A348"/>
      <c r="B348"/>
      <c r="C348"/>
      <c r="D348"/>
      <c r="E348"/>
      <c r="F348"/>
      <c r="G348"/>
      <c r="H348"/>
      <c r="I348"/>
    </row>
    <row r="349" spans="1:9" s="3" customFormat="1" ht="14.4" x14ac:dyDescent="0.3">
      <c r="A349"/>
      <c r="B349"/>
      <c r="C349"/>
      <c r="D349"/>
      <c r="E349"/>
      <c r="F349"/>
      <c r="G349"/>
      <c r="H349"/>
      <c r="I349"/>
    </row>
    <row r="350" spans="1:9" s="3" customFormat="1" ht="14.4" x14ac:dyDescent="0.3">
      <c r="A350"/>
      <c r="B350"/>
      <c r="C350"/>
      <c r="D350"/>
      <c r="E350"/>
      <c r="F350"/>
      <c r="G350"/>
      <c r="H350"/>
      <c r="I350"/>
    </row>
    <row r="351" spans="1:9" s="3" customFormat="1" ht="14.4" x14ac:dyDescent="0.3">
      <c r="A351"/>
      <c r="B351"/>
      <c r="C351"/>
      <c r="D351"/>
      <c r="E351"/>
      <c r="F351"/>
      <c r="G351"/>
      <c r="H351"/>
      <c r="I351"/>
    </row>
    <row r="352" spans="1:9" s="3" customFormat="1" ht="14.4" x14ac:dyDescent="0.3">
      <c r="A352"/>
      <c r="B352"/>
      <c r="C352"/>
      <c r="D352"/>
      <c r="E352"/>
      <c r="F352"/>
      <c r="G352"/>
      <c r="H352"/>
      <c r="I352"/>
    </row>
    <row r="353" spans="1:9" s="3" customFormat="1" ht="14.4" x14ac:dyDescent="0.3">
      <c r="A353"/>
      <c r="B353"/>
      <c r="C353"/>
      <c r="D353"/>
      <c r="E353"/>
      <c r="F353"/>
      <c r="G353"/>
      <c r="H353"/>
      <c r="I353"/>
    </row>
    <row r="354" spans="1:9" s="3" customFormat="1" ht="14.4" x14ac:dyDescent="0.3">
      <c r="A354"/>
      <c r="B354"/>
      <c r="C354"/>
      <c r="D354"/>
      <c r="E354"/>
      <c r="F354"/>
      <c r="G354"/>
      <c r="H354"/>
      <c r="I354"/>
    </row>
    <row r="355" spans="1:9" s="3" customFormat="1" ht="14.4" x14ac:dyDescent="0.3">
      <c r="A355"/>
      <c r="B355"/>
      <c r="C355"/>
      <c r="D355"/>
      <c r="E355"/>
      <c r="F355"/>
      <c r="G355"/>
      <c r="H355"/>
      <c r="I355"/>
    </row>
    <row r="356" spans="1:9" s="3" customFormat="1" ht="14.4" x14ac:dyDescent="0.3">
      <c r="A356"/>
      <c r="B356"/>
      <c r="C356"/>
      <c r="D356"/>
      <c r="E356"/>
      <c r="F356"/>
      <c r="G356"/>
      <c r="H356"/>
      <c r="I356"/>
    </row>
    <row r="357" spans="1:9" s="3" customFormat="1" ht="14.4" x14ac:dyDescent="0.3">
      <c r="A357"/>
      <c r="B357"/>
      <c r="C357"/>
      <c r="D357"/>
      <c r="E357"/>
      <c r="F357"/>
      <c r="G357"/>
      <c r="H357"/>
      <c r="I357"/>
    </row>
    <row r="358" spans="1:9" s="3" customFormat="1" ht="14.4" x14ac:dyDescent="0.3">
      <c r="A358"/>
      <c r="B358"/>
      <c r="C358"/>
      <c r="D358"/>
      <c r="E358"/>
      <c r="F358"/>
      <c r="G358"/>
      <c r="H358"/>
      <c r="I358"/>
    </row>
    <row r="359" spans="1:9" s="3" customFormat="1" ht="14.4" x14ac:dyDescent="0.3">
      <c r="A359"/>
      <c r="B359"/>
      <c r="C359"/>
      <c r="D359"/>
      <c r="E359"/>
      <c r="F359"/>
      <c r="G359"/>
      <c r="H359"/>
      <c r="I359"/>
    </row>
    <row r="360" spans="1:9" s="3" customFormat="1" ht="14.4" x14ac:dyDescent="0.3">
      <c r="A360"/>
      <c r="B360"/>
      <c r="C360"/>
      <c r="D360"/>
      <c r="E360"/>
      <c r="F360"/>
      <c r="G360"/>
      <c r="H360"/>
      <c r="I360"/>
    </row>
    <row r="361" spans="1:9" s="3" customFormat="1" ht="14.4" x14ac:dyDescent="0.3">
      <c r="A361"/>
      <c r="B361"/>
      <c r="C361"/>
      <c r="D361"/>
      <c r="E361"/>
      <c r="F361"/>
      <c r="G361"/>
      <c r="H361"/>
      <c r="I361"/>
    </row>
    <row r="362" spans="1:9" s="3" customFormat="1" ht="14.4" x14ac:dyDescent="0.3">
      <c r="A362"/>
      <c r="B362"/>
      <c r="C362"/>
      <c r="D362"/>
      <c r="E362"/>
      <c r="F362"/>
      <c r="G362"/>
      <c r="H362"/>
      <c r="I362"/>
    </row>
    <row r="363" spans="1:9" s="3" customFormat="1" ht="14.4" x14ac:dyDescent="0.3">
      <c r="A363"/>
      <c r="B363"/>
      <c r="C363"/>
      <c r="D363"/>
      <c r="E363"/>
      <c r="F363"/>
      <c r="G363"/>
      <c r="H363"/>
      <c r="I363"/>
    </row>
    <row r="364" spans="1:9" s="3" customFormat="1" ht="14.4" x14ac:dyDescent="0.3">
      <c r="A364"/>
      <c r="B364"/>
      <c r="C364"/>
      <c r="D364"/>
      <c r="E364"/>
      <c r="F364"/>
      <c r="G364"/>
      <c r="H364"/>
      <c r="I364"/>
    </row>
    <row r="365" spans="1:9" s="3" customFormat="1" ht="14.4" x14ac:dyDescent="0.3">
      <c r="A365"/>
      <c r="B365"/>
      <c r="C365"/>
      <c r="D365"/>
      <c r="E365"/>
      <c r="F365"/>
      <c r="G365"/>
      <c r="H365"/>
      <c r="I365"/>
    </row>
    <row r="366" spans="1:9" s="3" customFormat="1" ht="14.4" x14ac:dyDescent="0.3">
      <c r="A366"/>
      <c r="B366"/>
      <c r="C366"/>
      <c r="D366"/>
      <c r="E366"/>
      <c r="F366"/>
      <c r="G366"/>
      <c r="H366"/>
      <c r="I366"/>
    </row>
    <row r="367" spans="1:9" s="3" customFormat="1" ht="14.4" x14ac:dyDescent="0.3">
      <c r="A367"/>
      <c r="B367"/>
      <c r="C367"/>
      <c r="D367"/>
      <c r="E367"/>
      <c r="F367"/>
      <c r="G367"/>
      <c r="H367"/>
      <c r="I367"/>
    </row>
    <row r="368" spans="1:9" s="3" customFormat="1" ht="14.4" x14ac:dyDescent="0.3">
      <c r="A368"/>
      <c r="B368"/>
      <c r="C368"/>
      <c r="D368"/>
      <c r="E368"/>
      <c r="F368"/>
      <c r="G368"/>
      <c r="H368"/>
      <c r="I368"/>
    </row>
    <row r="369" spans="1:9" s="3" customFormat="1" ht="14.4" x14ac:dyDescent="0.3">
      <c r="A369"/>
      <c r="B369"/>
      <c r="C369"/>
      <c r="D369"/>
      <c r="E369"/>
      <c r="F369"/>
      <c r="G369"/>
      <c r="H369"/>
      <c r="I369"/>
    </row>
    <row r="370" spans="1:9" s="3" customFormat="1" ht="14.4" x14ac:dyDescent="0.3">
      <c r="A370"/>
      <c r="B370"/>
      <c r="C370"/>
      <c r="D370"/>
      <c r="E370"/>
      <c r="F370"/>
      <c r="G370"/>
      <c r="H370"/>
      <c r="I370"/>
    </row>
    <row r="371" spans="1:9" s="3" customFormat="1" ht="14.4" x14ac:dyDescent="0.3">
      <c r="A371"/>
      <c r="B371"/>
      <c r="C371"/>
      <c r="D371"/>
      <c r="E371"/>
      <c r="F371"/>
      <c r="G371"/>
      <c r="H371"/>
      <c r="I371"/>
    </row>
    <row r="372" spans="1:9" s="3" customFormat="1" ht="14.4" x14ac:dyDescent="0.3">
      <c r="A372"/>
      <c r="B372"/>
      <c r="C372"/>
      <c r="D372"/>
      <c r="E372"/>
      <c r="F372"/>
      <c r="G372"/>
      <c r="H372"/>
      <c r="I372"/>
    </row>
    <row r="373" spans="1:9" s="3" customFormat="1" ht="14.4" x14ac:dyDescent="0.3">
      <c r="A373"/>
      <c r="B373"/>
      <c r="C373"/>
      <c r="D373"/>
      <c r="E373"/>
      <c r="F373"/>
      <c r="G373"/>
      <c r="H373"/>
      <c r="I373"/>
    </row>
    <row r="374" spans="1:9" s="3" customFormat="1" ht="14.4" x14ac:dyDescent="0.3">
      <c r="A374"/>
      <c r="B374"/>
      <c r="C374"/>
      <c r="D374"/>
      <c r="E374"/>
      <c r="F374"/>
      <c r="G374"/>
      <c r="H374"/>
      <c r="I374"/>
    </row>
    <row r="375" spans="1:9" s="3" customFormat="1" ht="14.4" x14ac:dyDescent="0.3">
      <c r="A375"/>
      <c r="B375"/>
      <c r="C375"/>
      <c r="D375"/>
      <c r="E375"/>
      <c r="F375"/>
      <c r="G375"/>
      <c r="H375"/>
      <c r="I375"/>
    </row>
    <row r="376" spans="1:9" s="3" customFormat="1" ht="14.4" x14ac:dyDescent="0.3">
      <c r="A376"/>
      <c r="B376"/>
      <c r="C376"/>
      <c r="D376"/>
      <c r="E376"/>
      <c r="F376"/>
      <c r="G376"/>
      <c r="H376"/>
      <c r="I376"/>
    </row>
    <row r="377" spans="1:9" s="3" customFormat="1" ht="14.4" x14ac:dyDescent="0.3">
      <c r="A377"/>
      <c r="B377"/>
      <c r="C377"/>
      <c r="D377"/>
      <c r="E377"/>
      <c r="F377"/>
      <c r="G377"/>
      <c r="H377"/>
      <c r="I377"/>
    </row>
    <row r="378" spans="1:9" s="3" customFormat="1" ht="14.4" x14ac:dyDescent="0.3">
      <c r="A378"/>
      <c r="B378"/>
      <c r="C378"/>
      <c r="D378"/>
      <c r="E378"/>
      <c r="F378"/>
      <c r="G378"/>
      <c r="H378"/>
      <c r="I378"/>
    </row>
    <row r="379" spans="1:9" s="3" customFormat="1" ht="14.4" x14ac:dyDescent="0.3">
      <c r="A379"/>
      <c r="B379"/>
      <c r="C379"/>
      <c r="D379"/>
      <c r="E379"/>
      <c r="F379"/>
      <c r="G379"/>
      <c r="H379"/>
      <c r="I379"/>
    </row>
    <row r="380" spans="1:9" s="3" customFormat="1" ht="14.4" x14ac:dyDescent="0.3">
      <c r="A380"/>
      <c r="B380"/>
      <c r="C380"/>
      <c r="D380"/>
      <c r="E380"/>
      <c r="F380"/>
      <c r="G380"/>
      <c r="H380"/>
      <c r="I380"/>
    </row>
    <row r="381" spans="1:9" s="3" customFormat="1" ht="14.4" x14ac:dyDescent="0.3">
      <c r="A381"/>
      <c r="B381"/>
      <c r="C381"/>
      <c r="D381"/>
      <c r="E381"/>
      <c r="F381"/>
      <c r="G381"/>
      <c r="H381"/>
      <c r="I381"/>
    </row>
    <row r="382" spans="1:9" s="3" customFormat="1" ht="14.4" x14ac:dyDescent="0.3">
      <c r="A382"/>
      <c r="B382"/>
      <c r="C382"/>
      <c r="D382"/>
      <c r="E382"/>
      <c r="F382"/>
      <c r="G382"/>
      <c r="H382"/>
      <c r="I382"/>
    </row>
    <row r="383" spans="1:9" s="3" customFormat="1" ht="14.4" x14ac:dyDescent="0.3">
      <c r="A383"/>
      <c r="B383"/>
      <c r="C383"/>
      <c r="D383"/>
      <c r="E383"/>
      <c r="F383"/>
      <c r="G383"/>
      <c r="H383"/>
      <c r="I383"/>
    </row>
    <row r="384" spans="1:9" s="3" customFormat="1" ht="14.4" x14ac:dyDescent="0.3">
      <c r="A384"/>
      <c r="B384"/>
      <c r="C384"/>
      <c r="D384"/>
      <c r="E384"/>
      <c r="F384"/>
      <c r="G384"/>
      <c r="H384"/>
      <c r="I384"/>
    </row>
    <row r="385" spans="1:9" s="3" customFormat="1" ht="14.4" x14ac:dyDescent="0.3">
      <c r="A385"/>
      <c r="B385"/>
      <c r="C385"/>
      <c r="D385"/>
      <c r="E385"/>
      <c r="F385"/>
      <c r="G385"/>
      <c r="H385"/>
      <c r="I385"/>
    </row>
    <row r="386" spans="1:9" s="3" customFormat="1" ht="14.4" x14ac:dyDescent="0.3">
      <c r="A386"/>
      <c r="B386"/>
      <c r="C386"/>
      <c r="D386"/>
      <c r="E386"/>
      <c r="F386"/>
      <c r="G386"/>
      <c r="H386"/>
      <c r="I386"/>
    </row>
    <row r="387" spans="1:9" s="3" customFormat="1" ht="14.4" x14ac:dyDescent="0.3">
      <c r="A387"/>
      <c r="B387"/>
      <c r="C387"/>
      <c r="D387"/>
      <c r="E387"/>
      <c r="F387"/>
      <c r="G387"/>
      <c r="H387"/>
      <c r="I387"/>
    </row>
    <row r="388" spans="1:9" s="3" customFormat="1" ht="14.4" x14ac:dyDescent="0.3">
      <c r="A388"/>
      <c r="B388"/>
      <c r="C388"/>
      <c r="D388"/>
      <c r="E388"/>
      <c r="F388"/>
      <c r="G388"/>
      <c r="H388"/>
      <c r="I388"/>
    </row>
    <row r="389" spans="1:9" s="3" customFormat="1" ht="14.4" x14ac:dyDescent="0.3">
      <c r="A389"/>
      <c r="B389"/>
      <c r="C389"/>
      <c r="D389"/>
      <c r="E389"/>
      <c r="F389"/>
      <c r="G389"/>
      <c r="H389"/>
      <c r="I389"/>
    </row>
    <row r="390" spans="1:9" s="3" customFormat="1" ht="14.4" x14ac:dyDescent="0.3">
      <c r="A390"/>
      <c r="B390"/>
      <c r="C390"/>
      <c r="D390"/>
      <c r="E390"/>
      <c r="F390"/>
      <c r="G390"/>
      <c r="H390"/>
      <c r="I390"/>
    </row>
    <row r="391" spans="1:9" s="3" customFormat="1" ht="14.4" x14ac:dyDescent="0.3">
      <c r="A391"/>
      <c r="B391"/>
      <c r="C391"/>
      <c r="D391"/>
      <c r="E391"/>
      <c r="F391"/>
      <c r="G391"/>
      <c r="H391"/>
      <c r="I391"/>
    </row>
    <row r="392" spans="1:9" s="3" customFormat="1" ht="14.4" x14ac:dyDescent="0.3">
      <c r="A392"/>
      <c r="B392"/>
      <c r="C392"/>
      <c r="D392"/>
      <c r="E392"/>
      <c r="F392"/>
      <c r="G392"/>
      <c r="H392"/>
      <c r="I392"/>
    </row>
    <row r="393" spans="1:9" s="3" customFormat="1" ht="14.4" x14ac:dyDescent="0.3">
      <c r="A393"/>
      <c r="B393"/>
      <c r="C393"/>
      <c r="D393"/>
      <c r="E393"/>
      <c r="F393"/>
      <c r="G393"/>
      <c r="H393"/>
      <c r="I393"/>
    </row>
    <row r="394" spans="1:9" s="3" customFormat="1" ht="14.4" x14ac:dyDescent="0.3">
      <c r="A394"/>
      <c r="B394"/>
      <c r="C394"/>
      <c r="D394"/>
      <c r="E394"/>
      <c r="F394"/>
      <c r="G394"/>
      <c r="H394"/>
      <c r="I394"/>
    </row>
    <row r="395" spans="1:9" s="3" customFormat="1" ht="14.4" x14ac:dyDescent="0.3">
      <c r="A395"/>
      <c r="B395"/>
      <c r="C395"/>
      <c r="D395"/>
      <c r="E395"/>
      <c r="F395"/>
      <c r="G395"/>
      <c r="H395"/>
      <c r="I395"/>
    </row>
    <row r="396" spans="1:9" s="3" customFormat="1" ht="14.4" x14ac:dyDescent="0.3">
      <c r="A396"/>
      <c r="B396"/>
      <c r="C396"/>
      <c r="D396"/>
      <c r="E396"/>
      <c r="F396"/>
      <c r="G396"/>
      <c r="H396"/>
      <c r="I396"/>
    </row>
    <row r="397" spans="1:9" s="3" customFormat="1" ht="14.4" x14ac:dyDescent="0.3">
      <c r="A397"/>
      <c r="B397"/>
      <c r="C397"/>
      <c r="D397"/>
      <c r="E397"/>
      <c r="F397"/>
      <c r="G397"/>
      <c r="H397"/>
      <c r="I397"/>
    </row>
    <row r="398" spans="1:9" s="3" customFormat="1" ht="14.4" x14ac:dyDescent="0.3">
      <c r="A398"/>
      <c r="B398"/>
      <c r="C398"/>
      <c r="D398"/>
      <c r="E398"/>
      <c r="F398"/>
      <c r="G398"/>
      <c r="H398"/>
      <c r="I398"/>
    </row>
    <row r="399" spans="1:9" s="3" customFormat="1" ht="14.4" x14ac:dyDescent="0.3">
      <c r="A399"/>
      <c r="B399"/>
      <c r="C399"/>
      <c r="D399"/>
      <c r="E399"/>
      <c r="F399"/>
      <c r="G399"/>
      <c r="H399"/>
      <c r="I399"/>
    </row>
    <row r="400" spans="1:9" s="3" customFormat="1" ht="14.4" x14ac:dyDescent="0.3">
      <c r="A400"/>
      <c r="B400"/>
      <c r="C400"/>
      <c r="D400"/>
      <c r="E400"/>
      <c r="F400"/>
      <c r="G400"/>
      <c r="H400"/>
      <c r="I400"/>
    </row>
    <row r="401" spans="1:9" s="3" customFormat="1" ht="14.4" x14ac:dyDescent="0.3">
      <c r="A401"/>
      <c r="B401"/>
      <c r="C401"/>
      <c r="D401"/>
      <c r="E401"/>
      <c r="F401"/>
      <c r="G401"/>
      <c r="H401"/>
      <c r="I401"/>
    </row>
    <row r="402" spans="1:9" s="3" customFormat="1" ht="14.4" x14ac:dyDescent="0.3">
      <c r="A402"/>
      <c r="B402"/>
      <c r="C402"/>
      <c r="D402"/>
      <c r="E402"/>
      <c r="F402"/>
      <c r="G402"/>
      <c r="H402"/>
      <c r="I402"/>
    </row>
    <row r="403" spans="1:9" s="3" customFormat="1" ht="14.4" x14ac:dyDescent="0.3">
      <c r="A403"/>
      <c r="B403"/>
      <c r="C403"/>
      <c r="D403"/>
      <c r="E403"/>
      <c r="F403"/>
      <c r="G403"/>
      <c r="H403"/>
      <c r="I403"/>
    </row>
    <row r="404" spans="1:9" s="3" customFormat="1" ht="14.4" x14ac:dyDescent="0.3">
      <c r="A404"/>
      <c r="B404"/>
      <c r="C404"/>
      <c r="D404"/>
      <c r="E404"/>
      <c r="F404"/>
      <c r="G404"/>
      <c r="H404"/>
      <c r="I404"/>
    </row>
    <row r="405" spans="1:9" s="3" customFormat="1" ht="14.4" x14ac:dyDescent="0.3">
      <c r="A405"/>
      <c r="B405"/>
      <c r="C405"/>
      <c r="D405"/>
      <c r="E405"/>
      <c r="F405"/>
      <c r="G405"/>
      <c r="H405"/>
      <c r="I405"/>
    </row>
    <row r="406" spans="1:9" s="3" customFormat="1" ht="14.4" x14ac:dyDescent="0.3">
      <c r="A406"/>
      <c r="B406"/>
      <c r="C406"/>
      <c r="D406"/>
      <c r="E406"/>
      <c r="F406"/>
      <c r="G406"/>
      <c r="H406"/>
      <c r="I406"/>
    </row>
    <row r="407" spans="1:9" s="3" customFormat="1" ht="14.4" x14ac:dyDescent="0.3">
      <c r="A407"/>
      <c r="B407"/>
      <c r="C407"/>
      <c r="D407"/>
      <c r="E407"/>
      <c r="F407"/>
      <c r="G407"/>
      <c r="H407"/>
      <c r="I407"/>
    </row>
    <row r="408" spans="1:9" s="3" customFormat="1" ht="14.4" x14ac:dyDescent="0.3">
      <c r="A408"/>
      <c r="B408"/>
      <c r="C408"/>
      <c r="D408"/>
      <c r="E408"/>
      <c r="F408"/>
      <c r="G408"/>
      <c r="H408"/>
      <c r="I408"/>
    </row>
    <row r="409" spans="1:9" s="3" customFormat="1" ht="14.4" x14ac:dyDescent="0.3">
      <c r="A409"/>
      <c r="B409"/>
      <c r="C409"/>
      <c r="D409"/>
      <c r="E409"/>
      <c r="F409"/>
      <c r="G409"/>
      <c r="H409"/>
      <c r="I409"/>
    </row>
    <row r="410" spans="1:9" s="3" customFormat="1" ht="14.4" x14ac:dyDescent="0.3">
      <c r="A410"/>
      <c r="B410"/>
      <c r="C410"/>
      <c r="D410"/>
      <c r="E410"/>
      <c r="F410"/>
      <c r="G410"/>
      <c r="H410"/>
      <c r="I410"/>
    </row>
    <row r="411" spans="1:9" s="3" customFormat="1" ht="14.4" x14ac:dyDescent="0.3">
      <c r="A411"/>
      <c r="B411"/>
      <c r="C411"/>
      <c r="D411"/>
      <c r="E411"/>
      <c r="F411"/>
      <c r="G411"/>
      <c r="H411"/>
      <c r="I411"/>
    </row>
    <row r="412" spans="1:9" s="3" customFormat="1" ht="14.4" x14ac:dyDescent="0.3">
      <c r="A412"/>
      <c r="B412"/>
      <c r="C412"/>
      <c r="D412"/>
      <c r="E412"/>
      <c r="F412"/>
      <c r="G412"/>
      <c r="H412"/>
      <c r="I412"/>
    </row>
    <row r="413" spans="1:9" s="3" customFormat="1" ht="14.4" x14ac:dyDescent="0.3">
      <c r="A413"/>
      <c r="B413"/>
      <c r="C413"/>
      <c r="D413"/>
      <c r="E413"/>
      <c r="F413"/>
      <c r="G413"/>
      <c r="H413"/>
      <c r="I413"/>
    </row>
    <row r="414" spans="1:9" s="3" customFormat="1" ht="14.4" x14ac:dyDescent="0.3">
      <c r="A414"/>
      <c r="B414"/>
      <c r="C414"/>
      <c r="D414"/>
      <c r="E414"/>
      <c r="F414"/>
      <c r="G414"/>
      <c r="H414"/>
      <c r="I414"/>
    </row>
    <row r="415" spans="1:9" s="3" customFormat="1" ht="14.4" x14ac:dyDescent="0.3">
      <c r="A415"/>
      <c r="B415"/>
      <c r="C415"/>
      <c r="D415"/>
      <c r="E415"/>
      <c r="F415"/>
      <c r="G415"/>
      <c r="H415"/>
      <c r="I415"/>
    </row>
    <row r="416" spans="1:9" s="3" customFormat="1" ht="14.4" x14ac:dyDescent="0.3">
      <c r="A416"/>
      <c r="B416"/>
      <c r="C416"/>
      <c r="D416"/>
      <c r="E416"/>
      <c r="F416"/>
      <c r="G416"/>
      <c r="H416"/>
      <c r="I416"/>
    </row>
    <row r="417" spans="1:9" s="3" customFormat="1" ht="14.4" x14ac:dyDescent="0.3">
      <c r="A417"/>
      <c r="B417"/>
      <c r="C417"/>
      <c r="D417"/>
      <c r="E417"/>
      <c r="F417"/>
      <c r="G417"/>
      <c r="H417"/>
      <c r="I417"/>
    </row>
    <row r="418" spans="1:9" s="3" customFormat="1" ht="14.4" x14ac:dyDescent="0.3">
      <c r="A418"/>
      <c r="B418"/>
      <c r="C418"/>
      <c r="D418"/>
      <c r="E418"/>
      <c r="F418"/>
      <c r="G418"/>
      <c r="H418"/>
      <c r="I418"/>
    </row>
    <row r="419" spans="1:9" s="3" customFormat="1" ht="14.4" x14ac:dyDescent="0.3">
      <c r="A419"/>
      <c r="B419"/>
      <c r="C419"/>
      <c r="D419"/>
      <c r="E419"/>
      <c r="F419"/>
      <c r="G419"/>
      <c r="H419"/>
      <c r="I419"/>
    </row>
    <row r="420" spans="1:9" s="3" customFormat="1" ht="14.4" x14ac:dyDescent="0.3">
      <c r="A420"/>
      <c r="B420"/>
      <c r="C420"/>
      <c r="D420"/>
      <c r="E420"/>
      <c r="F420"/>
      <c r="G420"/>
      <c r="H420"/>
      <c r="I420"/>
    </row>
    <row r="421" spans="1:9" s="3" customFormat="1" ht="14.4" x14ac:dyDescent="0.3">
      <c r="A421"/>
      <c r="B421"/>
      <c r="C421"/>
      <c r="D421"/>
      <c r="E421"/>
      <c r="F421"/>
      <c r="G421"/>
      <c r="H421"/>
      <c r="I421"/>
    </row>
    <row r="422" spans="1:9" s="3" customFormat="1" ht="14.4" x14ac:dyDescent="0.3">
      <c r="A422"/>
      <c r="B422"/>
      <c r="C422"/>
      <c r="D422"/>
      <c r="E422"/>
      <c r="F422"/>
      <c r="G422"/>
      <c r="H422"/>
      <c r="I422"/>
    </row>
    <row r="423" spans="1:9" s="3" customFormat="1" ht="14.4" x14ac:dyDescent="0.3">
      <c r="A423"/>
      <c r="B423"/>
      <c r="C423"/>
      <c r="D423"/>
      <c r="E423"/>
      <c r="F423"/>
      <c r="G423"/>
      <c r="H423"/>
      <c r="I423"/>
    </row>
    <row r="424" spans="1:9" s="3" customFormat="1" ht="14.4" x14ac:dyDescent="0.3">
      <c r="A424"/>
      <c r="B424"/>
      <c r="C424"/>
      <c r="D424"/>
      <c r="E424"/>
      <c r="F424"/>
      <c r="G424"/>
      <c r="H424"/>
      <c r="I424"/>
    </row>
    <row r="425" spans="1:9" s="3" customFormat="1" ht="14.4" x14ac:dyDescent="0.3">
      <c r="A425"/>
      <c r="B425"/>
      <c r="C425"/>
      <c r="D425"/>
      <c r="E425"/>
      <c r="F425"/>
      <c r="G425"/>
      <c r="H425"/>
      <c r="I425"/>
    </row>
    <row r="426" spans="1:9" s="3" customFormat="1" ht="14.4" x14ac:dyDescent="0.3">
      <c r="A426"/>
      <c r="B426"/>
      <c r="C426"/>
      <c r="D426"/>
      <c r="E426"/>
      <c r="F426"/>
      <c r="G426"/>
      <c r="H426"/>
      <c r="I426"/>
    </row>
    <row r="427" spans="1:9" s="3" customFormat="1" ht="14.4" x14ac:dyDescent="0.3">
      <c r="A427"/>
      <c r="B427"/>
      <c r="C427"/>
      <c r="D427"/>
      <c r="E427"/>
      <c r="F427"/>
      <c r="G427"/>
      <c r="H427"/>
      <c r="I427"/>
    </row>
    <row r="428" spans="1:9" s="3" customFormat="1" ht="14.4" x14ac:dyDescent="0.3">
      <c r="A428"/>
      <c r="B428"/>
      <c r="C428"/>
      <c r="D428"/>
      <c r="E428"/>
      <c r="F428"/>
      <c r="G428"/>
      <c r="H428"/>
      <c r="I428"/>
    </row>
    <row r="429" spans="1:9" s="3" customFormat="1" ht="14.4" x14ac:dyDescent="0.3">
      <c r="A429"/>
      <c r="B429"/>
      <c r="C429"/>
      <c r="D429"/>
      <c r="E429"/>
      <c r="F429"/>
      <c r="G429"/>
      <c r="H429"/>
      <c r="I429"/>
    </row>
    <row r="430" spans="1:9" s="3" customFormat="1" ht="14.4" x14ac:dyDescent="0.3">
      <c r="A430"/>
      <c r="B430"/>
      <c r="C430"/>
      <c r="D430"/>
      <c r="E430"/>
      <c r="F430"/>
      <c r="G430"/>
      <c r="H430"/>
      <c r="I430"/>
    </row>
    <row r="431" spans="1:9" s="3" customFormat="1" ht="14.4" x14ac:dyDescent="0.3">
      <c r="A431"/>
      <c r="B431"/>
      <c r="C431"/>
      <c r="D431"/>
      <c r="E431"/>
      <c r="F431"/>
      <c r="G431"/>
      <c r="H431"/>
      <c r="I431"/>
    </row>
    <row r="432" spans="1:9" s="3" customFormat="1" ht="14.4" x14ac:dyDescent="0.3">
      <c r="A432"/>
      <c r="B432"/>
      <c r="C432"/>
      <c r="D432"/>
      <c r="E432"/>
      <c r="F432"/>
      <c r="G432"/>
      <c r="H432"/>
      <c r="I432"/>
    </row>
    <row r="433" spans="1:9" s="3" customFormat="1" ht="14.4" x14ac:dyDescent="0.3">
      <c r="A433"/>
      <c r="B433"/>
      <c r="C433"/>
      <c r="D433"/>
      <c r="E433"/>
      <c r="F433"/>
      <c r="G433"/>
      <c r="H433"/>
      <c r="I433"/>
    </row>
    <row r="434" spans="1:9" s="3" customFormat="1" ht="14.4" x14ac:dyDescent="0.3">
      <c r="A434"/>
      <c r="B434"/>
      <c r="C434"/>
      <c r="D434"/>
      <c r="E434"/>
      <c r="F434"/>
      <c r="G434"/>
      <c r="H434"/>
      <c r="I434"/>
    </row>
    <row r="435" spans="1:9" s="3" customFormat="1" ht="14.4" x14ac:dyDescent="0.3">
      <c r="A435"/>
      <c r="B435"/>
      <c r="C435"/>
      <c r="D435"/>
      <c r="E435"/>
      <c r="F435"/>
      <c r="G435"/>
      <c r="H435"/>
      <c r="I435"/>
    </row>
    <row r="436" spans="1:9" s="3" customFormat="1" ht="14.4" x14ac:dyDescent="0.3">
      <c r="A436"/>
      <c r="B436"/>
      <c r="C436"/>
      <c r="D436"/>
      <c r="E436"/>
      <c r="F436"/>
      <c r="G436"/>
      <c r="H436"/>
      <c r="I436"/>
    </row>
    <row r="437" spans="1:9" s="3" customFormat="1" ht="14.4" x14ac:dyDescent="0.3">
      <c r="A437"/>
      <c r="B437"/>
      <c r="C437"/>
      <c r="D437"/>
      <c r="E437"/>
      <c r="F437"/>
      <c r="G437"/>
      <c r="H437"/>
      <c r="I437"/>
    </row>
    <row r="438" spans="1:9" s="3" customFormat="1" ht="14.4" x14ac:dyDescent="0.3">
      <c r="A438"/>
      <c r="B438"/>
      <c r="C438"/>
      <c r="D438"/>
      <c r="E438"/>
      <c r="F438"/>
      <c r="G438"/>
      <c r="H438"/>
      <c r="I438"/>
    </row>
    <row r="439" spans="1:9" s="3" customFormat="1" ht="14.4" x14ac:dyDescent="0.3">
      <c r="A439"/>
      <c r="B439"/>
      <c r="C439"/>
      <c r="D439"/>
      <c r="E439"/>
      <c r="F439"/>
      <c r="G439"/>
      <c r="H439"/>
      <c r="I439"/>
    </row>
    <row r="440" spans="1:9" s="3" customFormat="1" ht="14.4" x14ac:dyDescent="0.3">
      <c r="A440"/>
      <c r="B440"/>
      <c r="C440"/>
      <c r="D440"/>
      <c r="E440"/>
      <c r="F440"/>
      <c r="G440"/>
      <c r="H440"/>
      <c r="I440"/>
    </row>
    <row r="441" spans="1:9" s="3" customFormat="1" ht="14.4" x14ac:dyDescent="0.3">
      <c r="A441"/>
      <c r="B441"/>
      <c r="C441"/>
      <c r="D441"/>
      <c r="E441"/>
      <c r="F441"/>
      <c r="G441"/>
      <c r="H441"/>
      <c r="I441"/>
    </row>
    <row r="442" spans="1:9" s="3" customFormat="1" ht="14.4" x14ac:dyDescent="0.3">
      <c r="A442"/>
      <c r="B442"/>
      <c r="C442"/>
      <c r="D442"/>
      <c r="E442"/>
      <c r="F442"/>
      <c r="G442"/>
      <c r="H442"/>
      <c r="I442"/>
    </row>
    <row r="443" spans="1:9" s="3" customFormat="1" ht="14.4" x14ac:dyDescent="0.3">
      <c r="A443"/>
      <c r="B443"/>
      <c r="C443"/>
      <c r="D443"/>
      <c r="E443"/>
      <c r="F443"/>
      <c r="G443"/>
      <c r="H443"/>
      <c r="I443"/>
    </row>
    <row r="444" spans="1:9" s="3" customFormat="1" ht="14.4" x14ac:dyDescent="0.3">
      <c r="A444"/>
      <c r="B444"/>
      <c r="C444"/>
      <c r="D444"/>
      <c r="E444"/>
      <c r="F444"/>
      <c r="G444"/>
      <c r="H444"/>
      <c r="I444"/>
    </row>
    <row r="445" spans="1:9" s="3" customFormat="1" ht="14.4" x14ac:dyDescent="0.3">
      <c r="A445"/>
      <c r="B445"/>
      <c r="C445"/>
      <c r="D445"/>
      <c r="E445"/>
      <c r="F445"/>
      <c r="G445"/>
      <c r="H445"/>
      <c r="I445"/>
    </row>
    <row r="446" spans="1:9" s="3" customFormat="1" ht="14.4" x14ac:dyDescent="0.3">
      <c r="A446"/>
      <c r="B446"/>
      <c r="C446"/>
      <c r="D446"/>
      <c r="E446"/>
      <c r="F446"/>
      <c r="G446"/>
      <c r="H446"/>
      <c r="I446"/>
    </row>
    <row r="447" spans="1:9" s="3" customFormat="1" ht="14.4" x14ac:dyDescent="0.3">
      <c r="A447"/>
      <c r="B447"/>
      <c r="C447"/>
      <c r="D447"/>
      <c r="E447"/>
      <c r="F447"/>
      <c r="G447"/>
      <c r="H447"/>
      <c r="I447"/>
    </row>
    <row r="448" spans="1:9" s="3" customFormat="1" ht="14.4" x14ac:dyDescent="0.3">
      <c r="A448"/>
      <c r="B448"/>
      <c r="C448"/>
      <c r="D448"/>
      <c r="E448"/>
      <c r="F448"/>
      <c r="G448"/>
      <c r="H448"/>
      <c r="I448"/>
    </row>
    <row r="449" spans="1:9" s="3" customFormat="1" ht="14.4" x14ac:dyDescent="0.3">
      <c r="A449"/>
      <c r="B449"/>
      <c r="C449"/>
      <c r="D449"/>
      <c r="E449"/>
      <c r="F449"/>
      <c r="G449"/>
      <c r="H449"/>
      <c r="I449"/>
    </row>
    <row r="450" spans="1:9" s="3" customFormat="1" ht="14.4" x14ac:dyDescent="0.3">
      <c r="A450"/>
      <c r="B450"/>
      <c r="C450"/>
      <c r="D450"/>
      <c r="E450"/>
      <c r="F450"/>
      <c r="G450"/>
      <c r="H450"/>
      <c r="I450"/>
    </row>
    <row r="451" spans="1:9" s="3" customFormat="1" ht="14.4" x14ac:dyDescent="0.3">
      <c r="A451"/>
      <c r="B451"/>
      <c r="C451"/>
      <c r="D451"/>
      <c r="E451"/>
      <c r="F451"/>
      <c r="G451"/>
      <c r="H451"/>
      <c r="I451"/>
    </row>
    <row r="452" spans="1:9" s="3" customFormat="1" ht="14.4" x14ac:dyDescent="0.3">
      <c r="A452"/>
      <c r="B452"/>
      <c r="C452"/>
      <c r="D452"/>
      <c r="E452"/>
      <c r="F452"/>
      <c r="G452"/>
      <c r="H452"/>
      <c r="I452"/>
    </row>
    <row r="453" spans="1:9" s="3" customFormat="1" ht="14.4" x14ac:dyDescent="0.3">
      <c r="A453"/>
      <c r="B453"/>
      <c r="C453"/>
      <c r="D453"/>
      <c r="E453"/>
      <c r="F453"/>
      <c r="G453"/>
      <c r="H453"/>
      <c r="I453"/>
    </row>
    <row r="454" spans="1:9" s="3" customFormat="1" ht="14.4" x14ac:dyDescent="0.3">
      <c r="A454"/>
      <c r="B454"/>
      <c r="C454"/>
      <c r="D454"/>
      <c r="E454"/>
      <c r="F454"/>
      <c r="G454"/>
      <c r="H454"/>
      <c r="I454"/>
    </row>
    <row r="455" spans="1:9" s="3" customFormat="1" ht="14.4" x14ac:dyDescent="0.3">
      <c r="A455"/>
      <c r="B455"/>
      <c r="C455"/>
      <c r="D455"/>
      <c r="E455"/>
      <c r="F455"/>
      <c r="G455"/>
      <c r="H455"/>
      <c r="I455"/>
    </row>
    <row r="456" spans="1:9" s="3" customFormat="1" ht="14.4" x14ac:dyDescent="0.3">
      <c r="A456"/>
      <c r="B456"/>
      <c r="C456"/>
      <c r="D456"/>
      <c r="E456"/>
      <c r="F456"/>
      <c r="G456"/>
      <c r="H456"/>
      <c r="I456"/>
    </row>
    <row r="457" spans="1:9" s="3" customFormat="1" ht="14.4" x14ac:dyDescent="0.3">
      <c r="A457"/>
      <c r="B457"/>
      <c r="C457"/>
      <c r="D457"/>
      <c r="E457"/>
      <c r="F457"/>
      <c r="G457"/>
      <c r="H457"/>
      <c r="I457"/>
    </row>
    <row r="458" spans="1:9" s="3" customFormat="1" ht="14.4" x14ac:dyDescent="0.3">
      <c r="A458"/>
      <c r="B458"/>
      <c r="C458"/>
      <c r="D458"/>
      <c r="E458"/>
      <c r="F458"/>
      <c r="G458"/>
      <c r="H458"/>
      <c r="I458"/>
    </row>
    <row r="459" spans="1:9" s="3" customFormat="1" ht="14.4" x14ac:dyDescent="0.3">
      <c r="A459"/>
      <c r="B459"/>
      <c r="C459"/>
      <c r="D459"/>
      <c r="E459"/>
      <c r="F459"/>
      <c r="G459"/>
      <c r="H459"/>
      <c r="I459"/>
    </row>
    <row r="460" spans="1:9" s="3" customFormat="1" ht="14.4" x14ac:dyDescent="0.3">
      <c r="A460"/>
      <c r="B460"/>
      <c r="C460"/>
      <c r="D460"/>
      <c r="E460"/>
      <c r="F460"/>
      <c r="G460"/>
      <c r="H460"/>
      <c r="I460"/>
    </row>
    <row r="461" spans="1:9" s="3" customFormat="1" ht="14.4" x14ac:dyDescent="0.3">
      <c r="A461"/>
      <c r="B461"/>
      <c r="C461"/>
      <c r="D461"/>
      <c r="E461"/>
      <c r="F461"/>
      <c r="G461"/>
      <c r="H461"/>
      <c r="I461"/>
    </row>
    <row r="462" spans="1:9" s="3" customFormat="1" ht="14.4" x14ac:dyDescent="0.3">
      <c r="A462"/>
      <c r="B462"/>
      <c r="C462"/>
      <c r="D462"/>
      <c r="E462"/>
      <c r="F462"/>
      <c r="G462"/>
      <c r="H462"/>
      <c r="I462"/>
    </row>
    <row r="463" spans="1:9" s="3" customFormat="1" ht="14.4" x14ac:dyDescent="0.3">
      <c r="A463"/>
      <c r="B463"/>
      <c r="C463"/>
      <c r="D463"/>
      <c r="E463"/>
      <c r="F463"/>
      <c r="G463"/>
      <c r="H463"/>
      <c r="I463"/>
    </row>
    <row r="464" spans="1:9" s="3" customFormat="1" ht="14.4" x14ac:dyDescent="0.3">
      <c r="A464"/>
      <c r="B464"/>
      <c r="C464"/>
      <c r="D464"/>
      <c r="E464"/>
      <c r="F464"/>
      <c r="G464"/>
      <c r="H464"/>
      <c r="I464"/>
    </row>
    <row r="465" spans="1:9" s="3" customFormat="1" ht="14.4" x14ac:dyDescent="0.3">
      <c r="A465"/>
      <c r="B465"/>
      <c r="C465"/>
      <c r="D465"/>
      <c r="E465"/>
      <c r="F465"/>
      <c r="G465"/>
      <c r="H465"/>
      <c r="I465"/>
    </row>
    <row r="466" spans="1:9" s="3" customFormat="1" ht="14.4" x14ac:dyDescent="0.3">
      <c r="A466"/>
      <c r="B466"/>
      <c r="C466"/>
      <c r="D466"/>
      <c r="E466"/>
      <c r="F466"/>
      <c r="G466"/>
      <c r="H466"/>
      <c r="I466"/>
    </row>
    <row r="467" spans="1:9" s="3" customFormat="1" ht="14.4" x14ac:dyDescent="0.3">
      <c r="A467"/>
      <c r="B467"/>
      <c r="C467"/>
      <c r="D467"/>
      <c r="E467"/>
      <c r="F467"/>
      <c r="G467"/>
      <c r="H467"/>
      <c r="I467"/>
    </row>
    <row r="468" spans="1:9" s="3" customFormat="1" ht="14.4" x14ac:dyDescent="0.3">
      <c r="A468"/>
      <c r="B468"/>
      <c r="C468"/>
      <c r="D468"/>
      <c r="E468"/>
      <c r="F468"/>
      <c r="G468"/>
      <c r="H468"/>
      <c r="I468"/>
    </row>
    <row r="469" spans="1:9" s="3" customFormat="1" ht="14.4" x14ac:dyDescent="0.3">
      <c r="A469"/>
      <c r="B469"/>
      <c r="C469"/>
      <c r="D469"/>
      <c r="E469"/>
      <c r="F469"/>
      <c r="G469"/>
      <c r="H469"/>
      <c r="I469"/>
    </row>
    <row r="470" spans="1:9" s="3" customFormat="1" ht="14.4" x14ac:dyDescent="0.3">
      <c r="A470"/>
      <c r="B470"/>
      <c r="C470"/>
      <c r="D470"/>
      <c r="E470"/>
      <c r="F470"/>
      <c r="G470"/>
      <c r="H470"/>
      <c r="I470"/>
    </row>
    <row r="471" spans="1:9" s="3" customFormat="1" ht="14.4" x14ac:dyDescent="0.3">
      <c r="A471"/>
      <c r="B471"/>
      <c r="C471"/>
      <c r="D471"/>
      <c r="E471"/>
      <c r="F471"/>
      <c r="G471"/>
      <c r="H471"/>
      <c r="I471"/>
    </row>
    <row r="472" spans="1:9" s="3" customFormat="1" ht="14.4" x14ac:dyDescent="0.3">
      <c r="A472"/>
      <c r="B472"/>
      <c r="C472"/>
      <c r="D472"/>
      <c r="E472"/>
      <c r="F472"/>
      <c r="G472"/>
      <c r="H472"/>
      <c r="I472"/>
    </row>
    <row r="473" spans="1:9" s="3" customFormat="1" ht="14.4" x14ac:dyDescent="0.3">
      <c r="A473"/>
      <c r="B473"/>
      <c r="C473"/>
      <c r="D473"/>
      <c r="E473"/>
      <c r="F473"/>
      <c r="G473"/>
      <c r="H473"/>
      <c r="I473"/>
    </row>
    <row r="474" spans="1:9" s="3" customFormat="1" ht="14.4" x14ac:dyDescent="0.3">
      <c r="A474"/>
      <c r="B474"/>
      <c r="C474"/>
      <c r="D474"/>
      <c r="E474"/>
      <c r="F474"/>
      <c r="G474"/>
      <c r="H474"/>
      <c r="I474"/>
    </row>
    <row r="475" spans="1:9" s="3" customFormat="1" ht="14.4" x14ac:dyDescent="0.3">
      <c r="A475"/>
      <c r="B475"/>
      <c r="C475"/>
      <c r="D475"/>
      <c r="E475"/>
      <c r="F475"/>
      <c r="G475"/>
      <c r="H475"/>
      <c r="I475"/>
    </row>
    <row r="476" spans="1:9" s="3" customFormat="1" ht="14.4" x14ac:dyDescent="0.3">
      <c r="A476"/>
      <c r="B476"/>
      <c r="C476"/>
      <c r="D476"/>
      <c r="E476"/>
      <c r="F476"/>
      <c r="G476"/>
      <c r="H476"/>
      <c r="I476"/>
    </row>
    <row r="477" spans="1:9" s="3" customFormat="1" ht="14.4" x14ac:dyDescent="0.3">
      <c r="A477"/>
      <c r="B477"/>
      <c r="C477"/>
      <c r="D477"/>
      <c r="E477"/>
      <c r="F477"/>
      <c r="G477"/>
      <c r="H477"/>
      <c r="I477"/>
    </row>
    <row r="478" spans="1:9" s="3" customFormat="1" ht="14.4" x14ac:dyDescent="0.3">
      <c r="A478"/>
      <c r="B478"/>
      <c r="C478"/>
      <c r="D478"/>
      <c r="E478"/>
      <c r="F478"/>
      <c r="G478"/>
      <c r="H478"/>
      <c r="I478"/>
    </row>
    <row r="479" spans="1:9" s="3" customFormat="1" ht="14.4" x14ac:dyDescent="0.3">
      <c r="A479"/>
      <c r="B479"/>
      <c r="C479"/>
      <c r="D479"/>
      <c r="E479"/>
      <c r="F479"/>
      <c r="G479"/>
      <c r="H479"/>
      <c r="I479"/>
    </row>
    <row r="480" spans="1:9" s="3" customFormat="1" ht="14.4" x14ac:dyDescent="0.3">
      <c r="A480"/>
      <c r="B480"/>
      <c r="C480"/>
      <c r="D480"/>
      <c r="E480"/>
      <c r="F480"/>
      <c r="G480"/>
      <c r="H480"/>
      <c r="I480"/>
    </row>
    <row r="481" spans="1:9" s="3" customFormat="1" ht="14.4" x14ac:dyDescent="0.3">
      <c r="A481"/>
      <c r="B481"/>
      <c r="C481"/>
      <c r="D481"/>
      <c r="E481"/>
      <c r="F481"/>
      <c r="G481"/>
      <c r="H481"/>
      <c r="I481"/>
    </row>
    <row r="482" spans="1:9" s="3" customFormat="1" ht="14.4" x14ac:dyDescent="0.3">
      <c r="A482"/>
      <c r="B482"/>
      <c r="C482"/>
      <c r="D482"/>
      <c r="E482"/>
      <c r="F482"/>
      <c r="G482"/>
      <c r="H482"/>
      <c r="I482"/>
    </row>
    <row r="483" spans="1:9" s="3" customFormat="1" ht="14.4" x14ac:dyDescent="0.3">
      <c r="A483"/>
      <c r="B483"/>
      <c r="C483"/>
      <c r="D483"/>
      <c r="E483"/>
      <c r="F483"/>
      <c r="G483"/>
      <c r="H483"/>
      <c r="I483"/>
    </row>
    <row r="484" spans="1:9" s="3" customFormat="1" ht="14.4" x14ac:dyDescent="0.3">
      <c r="A484"/>
      <c r="B484"/>
      <c r="C484"/>
      <c r="D484"/>
      <c r="E484"/>
      <c r="F484"/>
      <c r="G484"/>
      <c r="H484"/>
      <c r="I484"/>
    </row>
    <row r="485" spans="1:9" s="3" customFormat="1" ht="14.4" x14ac:dyDescent="0.3">
      <c r="A485"/>
      <c r="B485"/>
      <c r="C485"/>
      <c r="D485"/>
      <c r="E485"/>
      <c r="F485"/>
      <c r="G485"/>
      <c r="H485"/>
      <c r="I485"/>
    </row>
    <row r="486" spans="1:9" s="3" customFormat="1" ht="14.4" x14ac:dyDescent="0.3">
      <c r="A486"/>
      <c r="B486"/>
      <c r="C486"/>
      <c r="D486"/>
      <c r="E486"/>
      <c r="F486"/>
      <c r="G486"/>
      <c r="H486"/>
      <c r="I486"/>
    </row>
    <row r="487" spans="1:9" s="3" customFormat="1" ht="14.4" x14ac:dyDescent="0.3">
      <c r="A487"/>
      <c r="B487"/>
      <c r="C487"/>
      <c r="D487"/>
      <c r="E487"/>
      <c r="F487"/>
      <c r="G487"/>
      <c r="H487"/>
      <c r="I487"/>
    </row>
    <row r="488" spans="1:9" s="3" customFormat="1" ht="14.4" x14ac:dyDescent="0.3">
      <c r="A488"/>
      <c r="B488"/>
      <c r="C488"/>
      <c r="D488"/>
      <c r="E488"/>
      <c r="F488"/>
      <c r="G488"/>
      <c r="H488"/>
      <c r="I488"/>
    </row>
    <row r="489" spans="1:9" s="3" customFormat="1" ht="14.4" x14ac:dyDescent="0.3">
      <c r="A489"/>
      <c r="B489"/>
      <c r="C489"/>
      <c r="D489"/>
      <c r="E489"/>
      <c r="F489"/>
      <c r="G489"/>
      <c r="H489"/>
      <c r="I489"/>
    </row>
    <row r="490" spans="1:9" s="3" customFormat="1" ht="14.4" x14ac:dyDescent="0.3">
      <c r="A490"/>
      <c r="B490"/>
      <c r="C490"/>
      <c r="D490"/>
      <c r="E490"/>
      <c r="F490"/>
      <c r="G490"/>
      <c r="H490"/>
      <c r="I490"/>
    </row>
    <row r="491" spans="1:9" s="3" customFormat="1" ht="14.4" x14ac:dyDescent="0.3">
      <c r="A491"/>
      <c r="B491"/>
      <c r="C491"/>
      <c r="D491"/>
      <c r="E491"/>
      <c r="F491"/>
      <c r="G491"/>
      <c r="H491"/>
      <c r="I491"/>
    </row>
    <row r="492" spans="1:9" s="3" customFormat="1" ht="14.4" x14ac:dyDescent="0.3">
      <c r="A492"/>
      <c r="B492"/>
      <c r="C492"/>
      <c r="D492"/>
      <c r="E492"/>
      <c r="F492"/>
      <c r="G492"/>
      <c r="H492"/>
      <c r="I492"/>
    </row>
    <row r="493" spans="1:9" s="3" customFormat="1" ht="14.4" x14ac:dyDescent="0.3">
      <c r="A493"/>
      <c r="B493"/>
      <c r="C493"/>
      <c r="D493"/>
      <c r="E493"/>
      <c r="F493"/>
      <c r="G493"/>
      <c r="H493"/>
      <c r="I493"/>
    </row>
    <row r="494" spans="1:9" s="3" customFormat="1" ht="14.4" x14ac:dyDescent="0.3">
      <c r="A494"/>
      <c r="B494"/>
      <c r="C494"/>
      <c r="D494"/>
      <c r="E494"/>
      <c r="F494"/>
      <c r="G494"/>
      <c r="H494"/>
      <c r="I494"/>
    </row>
    <row r="495" spans="1:9" s="3" customFormat="1" ht="14.4" x14ac:dyDescent="0.3">
      <c r="A495"/>
      <c r="B495"/>
      <c r="C495"/>
      <c r="D495"/>
      <c r="E495"/>
      <c r="F495"/>
      <c r="G495"/>
      <c r="H495"/>
      <c r="I495"/>
    </row>
    <row r="496" spans="1:9" s="3" customFormat="1" ht="14.4" x14ac:dyDescent="0.3">
      <c r="A496"/>
      <c r="B496"/>
      <c r="C496"/>
      <c r="D496"/>
      <c r="E496"/>
      <c r="F496"/>
      <c r="G496"/>
      <c r="H496"/>
      <c r="I496"/>
    </row>
    <row r="497" spans="1:9" s="3" customFormat="1" ht="14.4" x14ac:dyDescent="0.3">
      <c r="A497"/>
      <c r="B497"/>
      <c r="C497"/>
      <c r="D497"/>
      <c r="E497"/>
      <c r="F497"/>
      <c r="G497"/>
      <c r="H497"/>
      <c r="I497"/>
    </row>
    <row r="498" spans="1:9" s="3" customFormat="1" ht="14.4" x14ac:dyDescent="0.3">
      <c r="A498"/>
      <c r="B498"/>
      <c r="C498"/>
      <c r="D498"/>
      <c r="E498"/>
      <c r="F498"/>
      <c r="G498"/>
      <c r="H498"/>
      <c r="I498"/>
    </row>
    <row r="499" spans="1:9" s="3" customFormat="1" ht="14.4" x14ac:dyDescent="0.3">
      <c r="A499"/>
      <c r="B499"/>
      <c r="C499"/>
      <c r="D499"/>
      <c r="E499"/>
      <c r="F499"/>
      <c r="G499"/>
      <c r="H499"/>
      <c r="I499"/>
    </row>
    <row r="500" spans="1:9" s="3" customFormat="1" ht="14.4" x14ac:dyDescent="0.3">
      <c r="A500"/>
      <c r="B500"/>
      <c r="C500"/>
      <c r="D500"/>
      <c r="E500"/>
      <c r="F500"/>
      <c r="G500"/>
      <c r="H500"/>
      <c r="I500"/>
    </row>
    <row r="501" spans="1:9" s="3" customFormat="1" ht="14.4" x14ac:dyDescent="0.3">
      <c r="A501"/>
      <c r="B501"/>
      <c r="C501"/>
      <c r="D501"/>
      <c r="E501"/>
      <c r="F501"/>
      <c r="G501"/>
      <c r="H501"/>
      <c r="I501"/>
    </row>
    <row r="502" spans="1:9" s="3" customFormat="1" ht="14.4" x14ac:dyDescent="0.3">
      <c r="A502"/>
      <c r="B502"/>
      <c r="C502"/>
      <c r="D502"/>
      <c r="E502"/>
      <c r="F502"/>
      <c r="G502"/>
      <c r="H502"/>
      <c r="I502"/>
    </row>
    <row r="503" spans="1:9" s="3" customFormat="1" ht="14.4" x14ac:dyDescent="0.3">
      <c r="A503"/>
      <c r="B503"/>
      <c r="C503"/>
      <c r="D503"/>
      <c r="E503"/>
      <c r="F503"/>
      <c r="G503"/>
      <c r="H503"/>
      <c r="I503"/>
    </row>
    <row r="504" spans="1:9" s="3" customFormat="1" ht="14.4" x14ac:dyDescent="0.3">
      <c r="A504"/>
      <c r="B504"/>
      <c r="C504"/>
      <c r="D504"/>
      <c r="E504"/>
      <c r="F504"/>
      <c r="G504"/>
      <c r="H504"/>
      <c r="I504"/>
    </row>
    <row r="505" spans="1:9" s="3" customFormat="1" ht="14.4" x14ac:dyDescent="0.3">
      <c r="A505"/>
      <c r="B505"/>
      <c r="C505"/>
      <c r="D505"/>
      <c r="E505"/>
      <c r="F505"/>
      <c r="G505"/>
      <c r="H505"/>
      <c r="I505"/>
    </row>
    <row r="506" spans="1:9" s="3" customFormat="1" ht="14.4" x14ac:dyDescent="0.3">
      <c r="A506"/>
      <c r="B506"/>
      <c r="C506"/>
      <c r="D506"/>
      <c r="E506"/>
      <c r="F506"/>
      <c r="G506"/>
      <c r="H506"/>
      <c r="I506"/>
    </row>
    <row r="507" spans="1:9" s="3" customFormat="1" ht="14.4" x14ac:dyDescent="0.3">
      <c r="A507"/>
      <c r="B507"/>
      <c r="C507"/>
      <c r="D507"/>
      <c r="E507"/>
      <c r="F507"/>
      <c r="G507"/>
      <c r="H507"/>
      <c r="I507"/>
    </row>
    <row r="508" spans="1:9" s="3" customFormat="1" ht="14.4" x14ac:dyDescent="0.3">
      <c r="A508"/>
      <c r="B508"/>
      <c r="C508"/>
      <c r="D508"/>
      <c r="E508"/>
      <c r="F508"/>
      <c r="G508"/>
      <c r="H508"/>
      <c r="I508"/>
    </row>
    <row r="509" spans="1:9" s="3" customFormat="1" ht="14.4" x14ac:dyDescent="0.3">
      <c r="A509"/>
      <c r="B509"/>
      <c r="C509"/>
      <c r="D509"/>
      <c r="E509"/>
      <c r="F509"/>
      <c r="G509"/>
      <c r="H509"/>
      <c r="I509"/>
    </row>
    <row r="510" spans="1:9" s="3" customFormat="1" ht="14.4" x14ac:dyDescent="0.3">
      <c r="A510"/>
      <c r="B510"/>
      <c r="C510"/>
      <c r="D510"/>
      <c r="E510"/>
      <c r="F510"/>
      <c r="G510"/>
      <c r="H510"/>
      <c r="I510"/>
    </row>
    <row r="511" spans="1:9" s="3" customFormat="1" ht="14.4" x14ac:dyDescent="0.3">
      <c r="A511"/>
      <c r="B511"/>
      <c r="C511"/>
      <c r="D511"/>
      <c r="E511"/>
      <c r="F511"/>
      <c r="G511"/>
      <c r="H511"/>
      <c r="I511"/>
    </row>
    <row r="512" spans="1:9" s="3" customFormat="1" ht="14.4" x14ac:dyDescent="0.3">
      <c r="A512"/>
      <c r="B512"/>
      <c r="C512"/>
      <c r="D512"/>
      <c r="E512"/>
      <c r="F512"/>
      <c r="G512"/>
      <c r="H512"/>
      <c r="I512"/>
    </row>
    <row r="513" spans="1:9" s="3" customFormat="1" ht="14.4" x14ac:dyDescent="0.3">
      <c r="A513"/>
      <c r="B513"/>
      <c r="C513"/>
      <c r="D513"/>
      <c r="E513"/>
      <c r="F513"/>
      <c r="G513"/>
      <c r="H513"/>
      <c r="I513"/>
    </row>
    <row r="514" spans="1:9" s="3" customFormat="1" ht="14.4" x14ac:dyDescent="0.3">
      <c r="A514"/>
      <c r="B514"/>
      <c r="C514"/>
      <c r="D514"/>
      <c r="E514"/>
      <c r="F514"/>
      <c r="G514"/>
      <c r="H514"/>
      <c r="I514"/>
    </row>
    <row r="515" spans="1:9" s="3" customFormat="1" ht="14.4" x14ac:dyDescent="0.3">
      <c r="A515"/>
      <c r="B515"/>
      <c r="C515"/>
      <c r="D515"/>
      <c r="E515"/>
      <c r="F515"/>
      <c r="G515"/>
      <c r="H515"/>
      <c r="I515"/>
    </row>
    <row r="516" spans="1:9" s="3" customFormat="1" ht="14.4" x14ac:dyDescent="0.3">
      <c r="A516"/>
      <c r="B516"/>
      <c r="C516"/>
      <c r="D516"/>
      <c r="E516"/>
      <c r="F516"/>
      <c r="G516"/>
      <c r="H516"/>
      <c r="I516"/>
    </row>
    <row r="517" spans="1:9" s="3" customFormat="1" ht="14.4" x14ac:dyDescent="0.3">
      <c r="A517"/>
      <c r="B517"/>
      <c r="C517"/>
      <c r="D517"/>
      <c r="E517"/>
      <c r="F517"/>
      <c r="G517"/>
      <c r="H517"/>
      <c r="I517"/>
    </row>
    <row r="518" spans="1:9" s="3" customFormat="1" ht="14.4" x14ac:dyDescent="0.3">
      <c r="A518"/>
      <c r="B518"/>
      <c r="C518"/>
      <c r="D518"/>
      <c r="E518"/>
      <c r="F518"/>
      <c r="G518"/>
      <c r="H518"/>
      <c r="I518"/>
    </row>
    <row r="519" spans="1:9" s="3" customFormat="1" ht="14.4" x14ac:dyDescent="0.3">
      <c r="A519"/>
      <c r="B519"/>
      <c r="C519"/>
      <c r="D519"/>
      <c r="E519"/>
      <c r="F519"/>
      <c r="G519"/>
      <c r="H519"/>
      <c r="I519"/>
    </row>
    <row r="520" spans="1:9" s="3" customFormat="1" ht="14.4" x14ac:dyDescent="0.3">
      <c r="A520"/>
      <c r="B520"/>
      <c r="C520"/>
      <c r="D520"/>
      <c r="E520"/>
      <c r="F520"/>
      <c r="G520"/>
      <c r="H520"/>
      <c r="I520"/>
    </row>
    <row r="521" spans="1:9" s="3" customFormat="1" ht="14.4" x14ac:dyDescent="0.3">
      <c r="A521"/>
      <c r="B521"/>
      <c r="C521"/>
      <c r="D521"/>
      <c r="E521"/>
      <c r="F521"/>
      <c r="G521"/>
      <c r="H521"/>
      <c r="I521"/>
    </row>
    <row r="522" spans="1:9" s="3" customFormat="1" ht="14.4" x14ac:dyDescent="0.3">
      <c r="A522"/>
      <c r="B522"/>
      <c r="C522"/>
      <c r="D522"/>
      <c r="E522"/>
      <c r="F522"/>
      <c r="G522"/>
      <c r="H522"/>
      <c r="I522"/>
    </row>
    <row r="523" spans="1:9" s="3" customFormat="1" ht="14.4" x14ac:dyDescent="0.3">
      <c r="A523"/>
      <c r="B523"/>
      <c r="C523"/>
      <c r="D523"/>
      <c r="E523"/>
      <c r="F523"/>
      <c r="G523"/>
      <c r="H523"/>
      <c r="I523"/>
    </row>
    <row r="524" spans="1:9" s="3" customFormat="1" ht="14.4" x14ac:dyDescent="0.3">
      <c r="A524"/>
      <c r="B524"/>
      <c r="C524"/>
      <c r="D524"/>
      <c r="E524"/>
      <c r="F524"/>
      <c r="G524"/>
      <c r="H524"/>
      <c r="I524"/>
    </row>
    <row r="525" spans="1:9" s="3" customFormat="1" ht="14.4" x14ac:dyDescent="0.3">
      <c r="A525"/>
      <c r="B525"/>
      <c r="C525"/>
      <c r="D525"/>
      <c r="E525"/>
      <c r="F525"/>
      <c r="G525"/>
      <c r="H525"/>
      <c r="I525"/>
    </row>
    <row r="526" spans="1:9" s="3" customFormat="1" ht="14.4" x14ac:dyDescent="0.3">
      <c r="A526"/>
      <c r="B526"/>
      <c r="C526"/>
      <c r="D526"/>
      <c r="E526"/>
      <c r="F526"/>
      <c r="G526"/>
      <c r="H526"/>
      <c r="I526"/>
    </row>
    <row r="527" spans="1:9" s="3" customFormat="1" ht="14.4" x14ac:dyDescent="0.3">
      <c r="A527"/>
      <c r="B527"/>
      <c r="C527"/>
      <c r="D527"/>
      <c r="E527"/>
      <c r="F527"/>
      <c r="G527"/>
      <c r="H527"/>
      <c r="I527"/>
    </row>
    <row r="528" spans="1:9" s="3" customFormat="1" ht="14.4" x14ac:dyDescent="0.3">
      <c r="A528"/>
      <c r="B528"/>
      <c r="C528"/>
      <c r="D528"/>
      <c r="E528"/>
      <c r="F528"/>
      <c r="G528"/>
      <c r="H528"/>
      <c r="I528"/>
    </row>
    <row r="529" spans="1:9" s="3" customFormat="1" ht="14.4" x14ac:dyDescent="0.3">
      <c r="A529"/>
      <c r="B529"/>
      <c r="C529"/>
      <c r="D529"/>
      <c r="E529"/>
      <c r="F529"/>
      <c r="G529"/>
      <c r="H529"/>
      <c r="I529"/>
    </row>
    <row r="530" spans="1:9" s="3" customFormat="1" ht="14.4" x14ac:dyDescent="0.3">
      <c r="A530"/>
      <c r="B530"/>
      <c r="C530"/>
      <c r="D530"/>
      <c r="E530"/>
      <c r="F530"/>
      <c r="G530"/>
      <c r="H530"/>
      <c r="I530"/>
    </row>
    <row r="531" spans="1:9" s="3" customFormat="1" ht="14.4" x14ac:dyDescent="0.3">
      <c r="A531"/>
      <c r="B531"/>
      <c r="C531"/>
      <c r="D531"/>
      <c r="E531"/>
      <c r="F531"/>
      <c r="G531"/>
      <c r="H531"/>
      <c r="I531"/>
    </row>
    <row r="532" spans="1:9" s="3" customFormat="1" ht="14.4" x14ac:dyDescent="0.3">
      <c r="A532"/>
      <c r="B532"/>
      <c r="C532"/>
      <c r="D532"/>
      <c r="E532"/>
      <c r="F532"/>
      <c r="G532"/>
      <c r="H532"/>
      <c r="I532"/>
    </row>
    <row r="533" spans="1:9" s="3" customFormat="1" ht="14.4" x14ac:dyDescent="0.3">
      <c r="A533"/>
      <c r="B533"/>
      <c r="C533"/>
      <c r="D533"/>
      <c r="E533"/>
      <c r="F533"/>
      <c r="G533"/>
      <c r="H533"/>
      <c r="I533"/>
    </row>
    <row r="534" spans="1:9" s="3" customFormat="1" ht="14.4" x14ac:dyDescent="0.3">
      <c r="A534"/>
      <c r="B534"/>
      <c r="C534"/>
      <c r="D534"/>
      <c r="E534"/>
      <c r="F534"/>
      <c r="G534"/>
      <c r="H534"/>
      <c r="I534"/>
    </row>
    <row r="535" spans="1:9" s="3" customFormat="1" ht="14.4" x14ac:dyDescent="0.3">
      <c r="A535"/>
      <c r="B535"/>
      <c r="C535"/>
      <c r="D535"/>
      <c r="E535"/>
      <c r="F535"/>
      <c r="G535"/>
      <c r="H535"/>
      <c r="I535"/>
    </row>
    <row r="536" spans="1:9" s="3" customFormat="1" ht="14.4" x14ac:dyDescent="0.3">
      <c r="A536"/>
      <c r="B536"/>
      <c r="C536"/>
      <c r="D536"/>
      <c r="E536"/>
      <c r="F536"/>
      <c r="G536"/>
      <c r="H536"/>
      <c r="I536"/>
    </row>
    <row r="537" spans="1:9" s="3" customFormat="1" ht="14.4" x14ac:dyDescent="0.3">
      <c r="A537"/>
      <c r="B537"/>
      <c r="C537"/>
      <c r="D537"/>
      <c r="E537"/>
      <c r="F537"/>
      <c r="G537"/>
      <c r="H537"/>
      <c r="I537"/>
    </row>
    <row r="538" spans="1:9" s="3" customFormat="1" ht="14.4" x14ac:dyDescent="0.3">
      <c r="A538"/>
      <c r="B538"/>
      <c r="C538"/>
      <c r="D538"/>
      <c r="E538"/>
      <c r="F538"/>
      <c r="G538"/>
      <c r="H538"/>
      <c r="I538"/>
    </row>
    <row r="539" spans="1:9" s="3" customFormat="1" ht="14.4" x14ac:dyDescent="0.3">
      <c r="A539"/>
      <c r="B539"/>
      <c r="C539"/>
      <c r="D539"/>
      <c r="E539"/>
      <c r="F539"/>
      <c r="G539"/>
      <c r="H539"/>
      <c r="I539"/>
    </row>
    <row r="540" spans="1:9" s="3" customFormat="1" ht="14.4" x14ac:dyDescent="0.3">
      <c r="A540"/>
      <c r="B540"/>
      <c r="C540"/>
      <c r="D540"/>
      <c r="E540"/>
      <c r="F540"/>
      <c r="G540"/>
      <c r="H540"/>
      <c r="I540"/>
    </row>
    <row r="541" spans="1:9" s="3" customFormat="1" ht="14.4" x14ac:dyDescent="0.3">
      <c r="A541"/>
      <c r="B541"/>
      <c r="C541"/>
      <c r="D541"/>
      <c r="E541"/>
      <c r="F541"/>
      <c r="G541"/>
      <c r="H541"/>
      <c r="I541"/>
    </row>
    <row r="542" spans="1:9" s="3" customFormat="1" ht="14.4" x14ac:dyDescent="0.3">
      <c r="A542"/>
      <c r="B542"/>
      <c r="C542"/>
      <c r="D542"/>
      <c r="E542"/>
      <c r="F542"/>
      <c r="G542"/>
      <c r="H542"/>
      <c r="I542"/>
    </row>
    <row r="543" spans="1:9" s="3" customFormat="1" ht="14.4" x14ac:dyDescent="0.3">
      <c r="A543"/>
      <c r="B543"/>
      <c r="C543"/>
      <c r="D543"/>
      <c r="E543"/>
      <c r="F543"/>
      <c r="G543"/>
      <c r="H543"/>
      <c r="I543"/>
    </row>
    <row r="544" spans="1:9" s="3" customFormat="1" ht="14.4" x14ac:dyDescent="0.3">
      <c r="A544"/>
      <c r="B544"/>
      <c r="C544"/>
      <c r="D544"/>
      <c r="E544"/>
      <c r="F544"/>
      <c r="G544"/>
      <c r="H544"/>
      <c r="I544"/>
    </row>
    <row r="545" spans="1:9" s="3" customFormat="1" ht="14.4" x14ac:dyDescent="0.3">
      <c r="A545"/>
      <c r="B545"/>
      <c r="C545"/>
      <c r="D545"/>
      <c r="E545"/>
      <c r="F545"/>
      <c r="G545"/>
      <c r="H545"/>
      <c r="I545"/>
    </row>
    <row r="546" spans="1:9" s="3" customFormat="1" ht="14.4" x14ac:dyDescent="0.3">
      <c r="A546"/>
      <c r="B546"/>
      <c r="C546"/>
      <c r="D546"/>
      <c r="E546"/>
      <c r="F546"/>
      <c r="G546"/>
      <c r="H546"/>
      <c r="I546"/>
    </row>
    <row r="547" spans="1:9" s="3" customFormat="1" ht="14.4" x14ac:dyDescent="0.3">
      <c r="A547"/>
      <c r="B547"/>
      <c r="C547"/>
      <c r="D547"/>
      <c r="E547"/>
      <c r="F547"/>
      <c r="G547"/>
      <c r="H547"/>
      <c r="I547"/>
    </row>
    <row r="548" spans="1:9" s="3" customFormat="1" ht="14.4" x14ac:dyDescent="0.3">
      <c r="A548"/>
      <c r="B548"/>
      <c r="C548"/>
      <c r="D548"/>
      <c r="E548"/>
      <c r="F548"/>
      <c r="G548"/>
      <c r="H548"/>
      <c r="I548"/>
    </row>
    <row r="549" spans="1:9" s="3" customFormat="1" ht="14.4" x14ac:dyDescent="0.3">
      <c r="A549"/>
      <c r="B549"/>
      <c r="C549"/>
      <c r="D549"/>
      <c r="E549"/>
      <c r="F549"/>
      <c r="G549"/>
      <c r="H549"/>
      <c r="I549"/>
    </row>
    <row r="550" spans="1:9" s="3" customFormat="1" ht="14.4" x14ac:dyDescent="0.3">
      <c r="A550"/>
      <c r="B550"/>
      <c r="C550"/>
      <c r="D550"/>
      <c r="E550"/>
      <c r="F550"/>
      <c r="G550"/>
      <c r="H550"/>
      <c r="I550"/>
    </row>
    <row r="551" spans="1:9" s="3" customFormat="1" ht="14.4" x14ac:dyDescent="0.3">
      <c r="A551"/>
      <c r="B551"/>
      <c r="C551"/>
      <c r="D551"/>
      <c r="E551"/>
      <c r="F551"/>
      <c r="G551"/>
      <c r="H551"/>
      <c r="I551"/>
    </row>
    <row r="552" spans="1:9" s="3" customFormat="1" ht="14.4" x14ac:dyDescent="0.3">
      <c r="A552"/>
      <c r="B552"/>
      <c r="C552"/>
      <c r="D552"/>
      <c r="E552"/>
      <c r="F552"/>
      <c r="G552"/>
      <c r="H552"/>
      <c r="I552"/>
    </row>
    <row r="553" spans="1:9" s="3" customFormat="1" ht="14.4" x14ac:dyDescent="0.3">
      <c r="A553"/>
      <c r="B553"/>
      <c r="C553"/>
      <c r="D553"/>
      <c r="E553"/>
      <c r="F553"/>
      <c r="G553"/>
      <c r="H553"/>
      <c r="I553"/>
    </row>
    <row r="554" spans="1:9" s="3" customFormat="1" ht="14.4" x14ac:dyDescent="0.3">
      <c r="A554"/>
      <c r="B554"/>
      <c r="C554"/>
      <c r="D554"/>
      <c r="E554"/>
      <c r="F554"/>
      <c r="G554"/>
      <c r="H554"/>
      <c r="I554"/>
    </row>
    <row r="555" spans="1:9" s="3" customFormat="1" ht="14.4" x14ac:dyDescent="0.3">
      <c r="A555"/>
      <c r="B555"/>
      <c r="C555"/>
      <c r="D555"/>
      <c r="E555"/>
      <c r="F555"/>
      <c r="G555"/>
      <c r="H555"/>
      <c r="I555"/>
    </row>
    <row r="556" spans="1:9" s="3" customFormat="1" ht="14.4" x14ac:dyDescent="0.3">
      <c r="A556"/>
      <c r="B556"/>
      <c r="C556"/>
      <c r="D556"/>
      <c r="E556"/>
      <c r="F556"/>
      <c r="G556"/>
      <c r="H556"/>
      <c r="I556"/>
    </row>
    <row r="557" spans="1:9" s="3" customFormat="1" ht="14.4" x14ac:dyDescent="0.3">
      <c r="A557"/>
      <c r="B557"/>
      <c r="C557"/>
      <c r="D557"/>
      <c r="E557"/>
      <c r="F557"/>
      <c r="G557"/>
      <c r="H557"/>
      <c r="I557"/>
    </row>
    <row r="558" spans="1:9" s="3" customFormat="1" ht="14.4" x14ac:dyDescent="0.3">
      <c r="A558"/>
      <c r="B558"/>
      <c r="C558"/>
      <c r="D558"/>
      <c r="E558"/>
      <c r="F558"/>
      <c r="G558"/>
      <c r="H558"/>
      <c r="I558"/>
    </row>
    <row r="559" spans="1:9" s="3" customFormat="1" ht="14.4" x14ac:dyDescent="0.3">
      <c r="A559"/>
      <c r="B559"/>
      <c r="C559"/>
      <c r="D559"/>
      <c r="E559"/>
      <c r="F559"/>
      <c r="G559"/>
      <c r="H559"/>
      <c r="I559"/>
    </row>
    <row r="560" spans="1:9" s="3" customFormat="1" ht="14.4" x14ac:dyDescent="0.3">
      <c r="A560"/>
      <c r="B560"/>
      <c r="C560"/>
      <c r="D560"/>
      <c r="E560"/>
      <c r="F560"/>
      <c r="G560"/>
      <c r="H560"/>
      <c r="I560"/>
    </row>
    <row r="561" spans="1:9" s="3" customFormat="1" ht="14.4" x14ac:dyDescent="0.3">
      <c r="A561"/>
      <c r="B561"/>
      <c r="C561"/>
      <c r="D561"/>
      <c r="E561"/>
      <c r="F561"/>
      <c r="G561"/>
      <c r="H561"/>
      <c r="I561"/>
    </row>
    <row r="562" spans="1:9" s="3" customFormat="1" ht="14.4" x14ac:dyDescent="0.3">
      <c r="A562"/>
      <c r="B562"/>
      <c r="C562"/>
      <c r="D562"/>
      <c r="E562"/>
      <c r="F562"/>
      <c r="G562"/>
      <c r="H562"/>
      <c r="I562"/>
    </row>
    <row r="563" spans="1:9" s="3" customFormat="1" ht="14.4" x14ac:dyDescent="0.3">
      <c r="A563"/>
      <c r="B563"/>
      <c r="C563"/>
      <c r="D563"/>
      <c r="E563"/>
      <c r="F563"/>
      <c r="G563"/>
      <c r="H563"/>
      <c r="I563"/>
    </row>
    <row r="564" spans="1:9" s="3" customFormat="1" ht="14.4" x14ac:dyDescent="0.3">
      <c r="A564"/>
      <c r="B564"/>
      <c r="C564"/>
      <c r="D564"/>
      <c r="E564"/>
      <c r="F564"/>
      <c r="G564"/>
      <c r="H564"/>
      <c r="I564"/>
    </row>
    <row r="565" spans="1:9" s="3" customFormat="1" ht="14.4" x14ac:dyDescent="0.3">
      <c r="A565"/>
      <c r="B565"/>
      <c r="C565"/>
      <c r="D565"/>
      <c r="E565"/>
      <c r="F565"/>
      <c r="G565"/>
      <c r="H565"/>
      <c r="I565"/>
    </row>
    <row r="566" spans="1:9" s="3" customFormat="1" ht="14.4" x14ac:dyDescent="0.3">
      <c r="A566"/>
      <c r="B566"/>
      <c r="C566"/>
      <c r="D566"/>
      <c r="E566"/>
      <c r="F566"/>
      <c r="G566"/>
      <c r="H566"/>
      <c r="I566"/>
    </row>
    <row r="567" spans="1:9" s="3" customFormat="1" ht="14.4" x14ac:dyDescent="0.3">
      <c r="A567"/>
      <c r="B567"/>
      <c r="C567"/>
      <c r="D567"/>
      <c r="E567"/>
      <c r="F567"/>
      <c r="G567"/>
      <c r="H567"/>
      <c r="I567"/>
    </row>
    <row r="568" spans="1:9" s="3" customFormat="1" ht="14.4" x14ac:dyDescent="0.3">
      <c r="A568"/>
      <c r="B568"/>
      <c r="C568"/>
      <c r="D568"/>
      <c r="E568"/>
      <c r="F568"/>
      <c r="G568"/>
      <c r="H568"/>
      <c r="I568"/>
    </row>
    <row r="569" spans="1:9" s="3" customFormat="1" ht="14.4" x14ac:dyDescent="0.3">
      <c r="A569"/>
      <c r="B569"/>
      <c r="C569"/>
      <c r="D569"/>
      <c r="E569"/>
      <c r="F569"/>
      <c r="G569"/>
      <c r="H569"/>
      <c r="I569"/>
    </row>
    <row r="570" spans="1:9" s="3" customFormat="1" ht="14.4" x14ac:dyDescent="0.3">
      <c r="A570"/>
      <c r="B570"/>
      <c r="C570"/>
      <c r="D570"/>
      <c r="E570"/>
      <c r="F570"/>
      <c r="G570"/>
      <c r="H570"/>
      <c r="I570"/>
    </row>
    <row r="571" spans="1:9" s="3" customFormat="1" ht="14.4" x14ac:dyDescent="0.3">
      <c r="A571"/>
      <c r="B571"/>
      <c r="C571"/>
      <c r="D571"/>
      <c r="E571"/>
      <c r="F571"/>
      <c r="G571"/>
      <c r="H571"/>
      <c r="I571"/>
    </row>
    <row r="572" spans="1:9" s="3" customFormat="1" ht="14.4" x14ac:dyDescent="0.3">
      <c r="A572"/>
      <c r="B572"/>
      <c r="C572"/>
      <c r="D572"/>
      <c r="E572"/>
      <c r="F572"/>
      <c r="G572"/>
      <c r="H572"/>
      <c r="I572"/>
    </row>
    <row r="573" spans="1:9" s="3" customFormat="1" ht="14.4" x14ac:dyDescent="0.3">
      <c r="A573"/>
      <c r="B573"/>
      <c r="C573"/>
      <c r="D573"/>
      <c r="E573"/>
      <c r="F573"/>
      <c r="G573"/>
      <c r="H573"/>
      <c r="I573"/>
    </row>
    <row r="574" spans="1:9" s="3" customFormat="1" ht="14.4" x14ac:dyDescent="0.3">
      <c r="A574"/>
      <c r="B574"/>
      <c r="C574"/>
      <c r="D574"/>
      <c r="E574"/>
      <c r="F574"/>
      <c r="G574"/>
      <c r="H574"/>
      <c r="I574"/>
    </row>
    <row r="575" spans="1:9" s="3" customFormat="1" ht="14.4" x14ac:dyDescent="0.3">
      <c r="A575"/>
      <c r="B575"/>
      <c r="C575"/>
      <c r="D575"/>
      <c r="E575"/>
      <c r="F575"/>
      <c r="G575"/>
      <c r="H575"/>
      <c r="I575"/>
    </row>
    <row r="576" spans="1:9" s="3" customFormat="1" ht="14.4" x14ac:dyDescent="0.3">
      <c r="A576"/>
      <c r="B576"/>
      <c r="C576"/>
      <c r="D576"/>
      <c r="E576"/>
      <c r="F576"/>
      <c r="G576"/>
      <c r="H576"/>
      <c r="I576"/>
    </row>
    <row r="577" spans="1:9" s="3" customFormat="1" ht="14.4" x14ac:dyDescent="0.3">
      <c r="A577"/>
      <c r="B577"/>
      <c r="C577"/>
      <c r="D577"/>
      <c r="E577"/>
      <c r="F577"/>
      <c r="G577"/>
      <c r="H577"/>
      <c r="I577"/>
    </row>
    <row r="578" spans="1:9" s="3" customFormat="1" ht="14.4" x14ac:dyDescent="0.3">
      <c r="A578"/>
      <c r="B578"/>
      <c r="C578"/>
      <c r="D578"/>
      <c r="E578"/>
      <c r="F578"/>
      <c r="G578"/>
      <c r="H578"/>
      <c r="I578"/>
    </row>
    <row r="579" spans="1:9" s="3" customFormat="1" ht="14.4" x14ac:dyDescent="0.3">
      <c r="A579"/>
      <c r="B579"/>
      <c r="C579"/>
      <c r="D579"/>
      <c r="E579"/>
      <c r="F579"/>
      <c r="G579"/>
      <c r="H579"/>
      <c r="I579"/>
    </row>
    <row r="580" spans="1:9" s="3" customFormat="1" ht="14.4" x14ac:dyDescent="0.3">
      <c r="A580"/>
      <c r="B580"/>
      <c r="C580"/>
      <c r="D580"/>
      <c r="E580"/>
      <c r="F580"/>
      <c r="G580"/>
      <c r="H580"/>
      <c r="I580"/>
    </row>
    <row r="581" spans="1:9" s="3" customFormat="1" ht="14.4" x14ac:dyDescent="0.3">
      <c r="A581"/>
      <c r="B581"/>
      <c r="C581"/>
      <c r="D581"/>
      <c r="E581"/>
      <c r="F581"/>
      <c r="G581"/>
      <c r="H581"/>
      <c r="I581"/>
    </row>
    <row r="582" spans="1:9" s="3" customFormat="1" ht="14.4" x14ac:dyDescent="0.3">
      <c r="A582"/>
      <c r="B582"/>
      <c r="C582"/>
      <c r="D582"/>
      <c r="E582"/>
      <c r="F582"/>
      <c r="G582"/>
      <c r="H582"/>
      <c r="I582"/>
    </row>
    <row r="583" spans="1:9" s="3" customFormat="1" ht="14.4" x14ac:dyDescent="0.3">
      <c r="A583"/>
      <c r="B583"/>
      <c r="C583"/>
      <c r="D583"/>
      <c r="E583"/>
      <c r="F583"/>
      <c r="G583"/>
      <c r="H583"/>
      <c r="I583"/>
    </row>
    <row r="584" spans="1:9" s="3" customFormat="1" ht="14.4" x14ac:dyDescent="0.3">
      <c r="A584"/>
      <c r="B584"/>
      <c r="C584"/>
      <c r="D584"/>
      <c r="E584"/>
      <c r="F584"/>
      <c r="G584"/>
      <c r="H584"/>
      <c r="I584"/>
    </row>
    <row r="585" spans="1:9" s="3" customFormat="1" ht="14.4" x14ac:dyDescent="0.3">
      <c r="A585"/>
      <c r="B585"/>
      <c r="C585"/>
      <c r="D585"/>
      <c r="E585"/>
      <c r="F585"/>
      <c r="G585"/>
      <c r="H585"/>
      <c r="I585"/>
    </row>
    <row r="586" spans="1:9" s="3" customFormat="1" ht="14.4" x14ac:dyDescent="0.3">
      <c r="A586"/>
      <c r="B586"/>
      <c r="C586"/>
      <c r="D586"/>
      <c r="E586"/>
      <c r="F586"/>
      <c r="G586"/>
      <c r="H586"/>
      <c r="I586"/>
    </row>
    <row r="587" spans="1:9" s="3" customFormat="1" ht="14.4" x14ac:dyDescent="0.3">
      <c r="A587"/>
      <c r="B587"/>
      <c r="C587"/>
      <c r="D587"/>
      <c r="E587"/>
      <c r="F587"/>
      <c r="G587"/>
      <c r="H587"/>
      <c r="I587"/>
    </row>
    <row r="588" spans="1:9" s="3" customFormat="1" ht="14.4" x14ac:dyDescent="0.3">
      <c r="A588"/>
      <c r="B588"/>
      <c r="C588"/>
      <c r="D588"/>
      <c r="E588"/>
      <c r="F588"/>
      <c r="G588"/>
      <c r="H588"/>
      <c r="I588"/>
    </row>
    <row r="589" spans="1:9" s="3" customFormat="1" ht="14.4" x14ac:dyDescent="0.3">
      <c r="A589"/>
      <c r="B589"/>
      <c r="C589"/>
      <c r="D589"/>
      <c r="E589"/>
      <c r="F589"/>
      <c r="G589"/>
      <c r="H589"/>
      <c r="I589"/>
    </row>
    <row r="590" spans="1:9" s="3" customFormat="1" ht="14.4" x14ac:dyDescent="0.3">
      <c r="A590"/>
      <c r="B590"/>
      <c r="C590"/>
      <c r="D590"/>
      <c r="E590"/>
      <c r="F590"/>
      <c r="G590"/>
      <c r="H590"/>
      <c r="I590"/>
    </row>
    <row r="591" spans="1:9" s="3" customFormat="1" ht="14.4" x14ac:dyDescent="0.3">
      <c r="A591"/>
      <c r="B591"/>
      <c r="C591"/>
      <c r="D591"/>
      <c r="E591"/>
      <c r="F591"/>
      <c r="G591"/>
      <c r="H591"/>
      <c r="I591"/>
    </row>
    <row r="592" spans="1:9" s="3" customFormat="1" ht="14.4" x14ac:dyDescent="0.3">
      <c r="A592"/>
      <c r="B592"/>
      <c r="C592"/>
      <c r="D592"/>
      <c r="E592"/>
      <c r="F592"/>
      <c r="G592"/>
      <c r="H592"/>
      <c r="I592"/>
    </row>
    <row r="593" spans="1:9" s="3" customFormat="1" ht="14.4" x14ac:dyDescent="0.3">
      <c r="A593"/>
      <c r="B593"/>
      <c r="C593"/>
      <c r="D593"/>
      <c r="E593"/>
      <c r="F593"/>
      <c r="G593"/>
      <c r="H593"/>
      <c r="I593"/>
    </row>
    <row r="594" spans="1:9" s="3" customFormat="1" ht="14.4" x14ac:dyDescent="0.3">
      <c r="A594"/>
      <c r="B594"/>
      <c r="C594"/>
      <c r="D594"/>
      <c r="E594"/>
      <c r="F594"/>
      <c r="G594"/>
      <c r="H594"/>
      <c r="I594"/>
    </row>
    <row r="595" spans="1:9" s="3" customFormat="1" ht="14.4" x14ac:dyDescent="0.3">
      <c r="A595"/>
      <c r="B595"/>
      <c r="C595"/>
      <c r="D595"/>
      <c r="E595"/>
      <c r="F595"/>
      <c r="G595"/>
      <c r="H595"/>
      <c r="I595"/>
    </row>
    <row r="596" spans="1:9" s="3" customFormat="1" ht="14.4" x14ac:dyDescent="0.3">
      <c r="A596"/>
      <c r="B596"/>
      <c r="C596"/>
      <c r="D596"/>
      <c r="E596"/>
      <c r="F596"/>
      <c r="G596"/>
      <c r="H596"/>
      <c r="I596"/>
    </row>
    <row r="597" spans="1:9" s="3" customFormat="1" ht="14.4" x14ac:dyDescent="0.3">
      <c r="A597"/>
      <c r="B597"/>
      <c r="C597"/>
      <c r="D597"/>
      <c r="E597"/>
      <c r="F597"/>
      <c r="G597"/>
      <c r="H597"/>
      <c r="I597"/>
    </row>
    <row r="598" spans="1:9" s="3" customFormat="1" ht="14.4" x14ac:dyDescent="0.3">
      <c r="A598"/>
      <c r="B598"/>
      <c r="C598"/>
      <c r="D598"/>
      <c r="E598"/>
      <c r="F598"/>
      <c r="G598"/>
      <c r="H598"/>
      <c r="I598"/>
    </row>
    <row r="599" spans="1:9" s="3" customFormat="1" ht="14.4" x14ac:dyDescent="0.3">
      <c r="A599"/>
      <c r="B599"/>
      <c r="C599"/>
      <c r="D599"/>
      <c r="E599"/>
      <c r="F599"/>
      <c r="G599"/>
      <c r="H599"/>
      <c r="I599"/>
    </row>
    <row r="600" spans="1:9" s="3" customFormat="1" ht="14.4" x14ac:dyDescent="0.3">
      <c r="A600"/>
      <c r="B600"/>
      <c r="C600"/>
      <c r="D600"/>
      <c r="E600"/>
      <c r="F600"/>
      <c r="G600"/>
      <c r="H600"/>
      <c r="I600"/>
    </row>
    <row r="601" spans="1:9" s="3" customFormat="1" ht="14.4" x14ac:dyDescent="0.3">
      <c r="A601"/>
      <c r="B601"/>
      <c r="C601"/>
      <c r="D601"/>
      <c r="E601"/>
      <c r="F601"/>
      <c r="G601"/>
      <c r="H601"/>
      <c r="I601"/>
    </row>
    <row r="602" spans="1:9" s="3" customFormat="1" ht="14.4" x14ac:dyDescent="0.3">
      <c r="A602"/>
      <c r="B602"/>
      <c r="C602"/>
      <c r="D602"/>
      <c r="E602"/>
      <c r="F602"/>
      <c r="G602"/>
      <c r="H602"/>
      <c r="I602"/>
    </row>
    <row r="603" spans="1:9" s="3" customFormat="1" ht="14.4" x14ac:dyDescent="0.3">
      <c r="A603"/>
      <c r="B603"/>
      <c r="C603"/>
      <c r="D603"/>
      <c r="E603"/>
      <c r="F603"/>
      <c r="G603"/>
      <c r="H603"/>
      <c r="I603"/>
    </row>
    <row r="604" spans="1:9" s="3" customFormat="1" ht="14.4" x14ac:dyDescent="0.3">
      <c r="A604"/>
      <c r="B604"/>
      <c r="C604"/>
      <c r="D604"/>
      <c r="E604"/>
      <c r="F604"/>
      <c r="G604"/>
      <c r="H604"/>
      <c r="I604"/>
    </row>
    <row r="605" spans="1:9" s="3" customFormat="1" ht="14.4" x14ac:dyDescent="0.3">
      <c r="A605"/>
      <c r="B605"/>
      <c r="C605"/>
      <c r="D605"/>
      <c r="E605"/>
      <c r="F605"/>
      <c r="G605"/>
      <c r="H605"/>
      <c r="I605"/>
    </row>
    <row r="606" spans="1:9" s="3" customFormat="1" ht="14.4" x14ac:dyDescent="0.3">
      <c r="A606"/>
      <c r="B606"/>
      <c r="C606"/>
      <c r="D606"/>
      <c r="E606"/>
      <c r="F606"/>
      <c r="G606"/>
      <c r="H606"/>
      <c r="I606"/>
    </row>
    <row r="607" spans="1:9" s="3" customFormat="1" ht="14.4" x14ac:dyDescent="0.3">
      <c r="A607"/>
      <c r="B607"/>
      <c r="C607"/>
      <c r="D607"/>
      <c r="E607"/>
      <c r="F607"/>
      <c r="G607"/>
      <c r="H607"/>
      <c r="I607"/>
    </row>
    <row r="608" spans="1:9" s="3" customFormat="1" ht="14.4" x14ac:dyDescent="0.3">
      <c r="A608"/>
      <c r="B608"/>
      <c r="C608"/>
      <c r="D608"/>
      <c r="E608"/>
      <c r="F608"/>
      <c r="G608"/>
      <c r="H608"/>
      <c r="I608"/>
    </row>
    <row r="609" spans="1:9" s="3" customFormat="1" ht="14.4" x14ac:dyDescent="0.3">
      <c r="A609"/>
      <c r="B609"/>
      <c r="C609"/>
      <c r="D609"/>
      <c r="E609"/>
      <c r="F609"/>
      <c r="G609"/>
      <c r="H609"/>
      <c r="I609"/>
    </row>
    <row r="610" spans="1:9" s="3" customFormat="1" ht="14.4" x14ac:dyDescent="0.3">
      <c r="A610"/>
      <c r="B610"/>
      <c r="C610"/>
      <c r="D610"/>
      <c r="E610"/>
      <c r="F610"/>
      <c r="G610"/>
      <c r="H610"/>
      <c r="I610"/>
    </row>
    <row r="611" spans="1:9" s="3" customFormat="1" ht="14.4" x14ac:dyDescent="0.3">
      <c r="A611"/>
      <c r="B611"/>
      <c r="C611"/>
      <c r="D611"/>
      <c r="E611"/>
      <c r="F611"/>
      <c r="G611"/>
      <c r="H611"/>
      <c r="I611"/>
    </row>
    <row r="612" spans="1:9" s="3" customFormat="1" ht="14.4" x14ac:dyDescent="0.3">
      <c r="A612"/>
      <c r="B612"/>
      <c r="C612"/>
      <c r="D612"/>
      <c r="E612"/>
      <c r="F612"/>
      <c r="G612"/>
      <c r="H612"/>
      <c r="I612"/>
    </row>
    <row r="613" spans="1:9" s="3" customFormat="1" ht="14.4" x14ac:dyDescent="0.3">
      <c r="A613"/>
      <c r="B613"/>
      <c r="C613"/>
      <c r="D613"/>
      <c r="E613"/>
      <c r="F613"/>
      <c r="G613"/>
      <c r="H613"/>
      <c r="I613"/>
    </row>
    <row r="614" spans="1:9" s="3" customFormat="1" ht="14.4" x14ac:dyDescent="0.3">
      <c r="A614"/>
      <c r="B614"/>
      <c r="C614"/>
      <c r="D614"/>
      <c r="E614"/>
      <c r="F614"/>
      <c r="G614"/>
      <c r="H614"/>
      <c r="I614"/>
    </row>
    <row r="615" spans="1:9" s="3" customFormat="1" ht="14.4" x14ac:dyDescent="0.3">
      <c r="A615"/>
      <c r="B615"/>
      <c r="C615"/>
      <c r="D615"/>
      <c r="E615"/>
      <c r="F615"/>
      <c r="G615"/>
      <c r="H615"/>
      <c r="I615"/>
    </row>
    <row r="616" spans="1:9" s="3" customFormat="1" ht="14.4" x14ac:dyDescent="0.3">
      <c r="A616"/>
      <c r="B616"/>
      <c r="C616"/>
      <c r="D616"/>
      <c r="E616"/>
      <c r="F616"/>
      <c r="G616"/>
      <c r="H616"/>
      <c r="I616"/>
    </row>
    <row r="617" spans="1:9" s="3" customFormat="1" ht="14.4" x14ac:dyDescent="0.3">
      <c r="A617"/>
      <c r="B617"/>
      <c r="C617"/>
      <c r="D617"/>
      <c r="E617"/>
      <c r="F617"/>
      <c r="G617"/>
      <c r="H617"/>
      <c r="I617"/>
    </row>
    <row r="618" spans="1:9" s="3" customFormat="1" ht="14.4" x14ac:dyDescent="0.3">
      <c r="A618"/>
      <c r="B618"/>
      <c r="C618"/>
      <c r="D618"/>
      <c r="E618"/>
      <c r="F618"/>
      <c r="G618"/>
      <c r="H618"/>
      <c r="I618"/>
    </row>
    <row r="619" spans="1:9" s="3" customFormat="1" ht="14.4" x14ac:dyDescent="0.3">
      <c r="A619"/>
      <c r="B619"/>
      <c r="C619"/>
      <c r="D619"/>
      <c r="E619"/>
      <c r="F619"/>
      <c r="G619"/>
      <c r="H619"/>
      <c r="I619"/>
    </row>
    <row r="620" spans="1:9" s="3" customFormat="1" ht="14.4" x14ac:dyDescent="0.3">
      <c r="A620"/>
      <c r="B620"/>
      <c r="C620"/>
      <c r="D620"/>
      <c r="E620"/>
      <c r="F620"/>
      <c r="G620"/>
      <c r="H620"/>
      <c r="I620"/>
    </row>
    <row r="621" spans="1:9" s="3" customFormat="1" ht="14.4" x14ac:dyDescent="0.3">
      <c r="A621"/>
      <c r="B621"/>
      <c r="C621"/>
      <c r="D621"/>
      <c r="E621"/>
      <c r="F621"/>
      <c r="G621"/>
      <c r="H621"/>
      <c r="I621"/>
    </row>
    <row r="622" spans="1:9" s="3" customFormat="1" ht="14.4" x14ac:dyDescent="0.3">
      <c r="A622"/>
      <c r="B622"/>
      <c r="C622"/>
      <c r="D622"/>
      <c r="E622"/>
      <c r="F622"/>
      <c r="G622"/>
      <c r="H622"/>
      <c r="I622"/>
    </row>
    <row r="623" spans="1:9" s="3" customFormat="1" ht="14.4" x14ac:dyDescent="0.3">
      <c r="A623"/>
      <c r="B623"/>
      <c r="C623"/>
      <c r="D623"/>
      <c r="E623"/>
      <c r="F623"/>
      <c r="G623"/>
      <c r="H623"/>
      <c r="I623"/>
    </row>
    <row r="624" spans="1:9" s="3" customFormat="1" ht="14.4" x14ac:dyDescent="0.3">
      <c r="A624"/>
      <c r="B624"/>
      <c r="C624"/>
      <c r="D624"/>
      <c r="E624"/>
      <c r="F624"/>
      <c r="G624"/>
      <c r="H624"/>
      <c r="I624"/>
    </row>
    <row r="625" spans="1:9" s="3" customFormat="1" ht="14.4" x14ac:dyDescent="0.3">
      <c r="A625"/>
      <c r="B625"/>
      <c r="C625"/>
      <c r="D625"/>
      <c r="E625"/>
      <c r="F625"/>
      <c r="G625"/>
      <c r="H625"/>
      <c r="I625"/>
    </row>
    <row r="626" spans="1:9" s="3" customFormat="1" ht="14.4" x14ac:dyDescent="0.3">
      <c r="A626"/>
      <c r="B626"/>
      <c r="C626"/>
      <c r="D626"/>
      <c r="E626"/>
      <c r="F626"/>
      <c r="G626"/>
      <c r="H626"/>
      <c r="I626"/>
    </row>
    <row r="627" spans="1:9" s="3" customFormat="1" ht="14.4" x14ac:dyDescent="0.3">
      <c r="A627"/>
      <c r="B627"/>
      <c r="C627"/>
      <c r="D627"/>
      <c r="E627"/>
      <c r="F627"/>
      <c r="G627"/>
      <c r="H627"/>
      <c r="I627"/>
    </row>
    <row r="628" spans="1:9" s="3" customFormat="1" ht="14.4" x14ac:dyDescent="0.3">
      <c r="A628"/>
      <c r="B628"/>
      <c r="C628"/>
      <c r="D628"/>
      <c r="E628"/>
      <c r="F628"/>
      <c r="G628"/>
      <c r="H628"/>
      <c r="I628"/>
    </row>
    <row r="629" spans="1:9" s="3" customFormat="1" ht="14.4" x14ac:dyDescent="0.3">
      <c r="A629"/>
      <c r="B629"/>
      <c r="C629"/>
      <c r="D629"/>
      <c r="E629"/>
      <c r="F629"/>
      <c r="G629"/>
      <c r="H629"/>
      <c r="I629"/>
    </row>
    <row r="630" spans="1:9" s="3" customFormat="1" ht="14.4" x14ac:dyDescent="0.3">
      <c r="A630"/>
      <c r="B630"/>
      <c r="C630"/>
      <c r="D630"/>
      <c r="E630"/>
      <c r="F630"/>
      <c r="G630"/>
      <c r="H630"/>
      <c r="I630"/>
    </row>
    <row r="631" spans="1:9" s="3" customFormat="1" ht="14.4" x14ac:dyDescent="0.3">
      <c r="A631"/>
      <c r="B631"/>
      <c r="C631"/>
      <c r="D631"/>
      <c r="E631"/>
      <c r="F631"/>
      <c r="G631"/>
      <c r="H631"/>
      <c r="I631"/>
    </row>
    <row r="632" spans="1:9" s="3" customFormat="1" ht="14.4" x14ac:dyDescent="0.3">
      <c r="A632"/>
      <c r="B632"/>
      <c r="C632"/>
      <c r="D632"/>
      <c r="E632"/>
      <c r="F632"/>
      <c r="G632"/>
      <c r="H632"/>
      <c r="I632"/>
    </row>
    <row r="633" spans="1:9" s="3" customFormat="1" ht="14.4" x14ac:dyDescent="0.3">
      <c r="A633"/>
      <c r="B633"/>
      <c r="C633"/>
      <c r="D633"/>
      <c r="E633"/>
      <c r="F633"/>
      <c r="G633"/>
      <c r="H633"/>
      <c r="I633"/>
    </row>
    <row r="634" spans="1:9" s="3" customFormat="1" ht="14.4" x14ac:dyDescent="0.3">
      <c r="A634"/>
      <c r="B634"/>
      <c r="C634"/>
      <c r="D634"/>
      <c r="E634"/>
      <c r="F634"/>
      <c r="G634"/>
      <c r="H634"/>
      <c r="I634"/>
    </row>
    <row r="635" spans="1:9" s="3" customFormat="1" ht="14.4" x14ac:dyDescent="0.3">
      <c r="A635"/>
      <c r="B635"/>
      <c r="C635"/>
      <c r="D635"/>
      <c r="E635"/>
      <c r="F635"/>
      <c r="G635"/>
      <c r="H635"/>
      <c r="I635"/>
    </row>
    <row r="636" spans="1:9" s="3" customFormat="1" ht="14.4" x14ac:dyDescent="0.3">
      <c r="A636"/>
      <c r="B636"/>
      <c r="C636"/>
      <c r="D636"/>
      <c r="E636"/>
      <c r="F636"/>
      <c r="G636"/>
      <c r="H636"/>
      <c r="I636"/>
    </row>
    <row r="637" spans="1:9" s="3" customFormat="1" ht="14.4" x14ac:dyDescent="0.3">
      <c r="A637"/>
      <c r="B637"/>
      <c r="C637"/>
      <c r="D637"/>
      <c r="E637"/>
      <c r="F637"/>
      <c r="G637"/>
      <c r="H637"/>
      <c r="I637"/>
    </row>
    <row r="638" spans="1:9" s="3" customFormat="1" ht="14.4" x14ac:dyDescent="0.3">
      <c r="A638"/>
      <c r="B638"/>
      <c r="C638"/>
      <c r="D638"/>
      <c r="E638"/>
      <c r="F638"/>
      <c r="G638"/>
      <c r="H638"/>
      <c r="I638"/>
    </row>
    <row r="639" spans="1:9" s="3" customFormat="1" ht="14.4" x14ac:dyDescent="0.3">
      <c r="A639"/>
      <c r="B639"/>
      <c r="C639"/>
      <c r="D639"/>
      <c r="E639"/>
      <c r="F639"/>
      <c r="G639"/>
      <c r="H639"/>
      <c r="I639"/>
    </row>
    <row r="640" spans="1:9" s="3" customFormat="1" ht="14.4" x14ac:dyDescent="0.3">
      <c r="A640"/>
      <c r="B640"/>
      <c r="C640"/>
      <c r="D640"/>
      <c r="E640"/>
      <c r="F640"/>
      <c r="G640"/>
      <c r="H640"/>
      <c r="I640"/>
    </row>
    <row r="641" spans="1:9" s="3" customFormat="1" ht="14.4" x14ac:dyDescent="0.3">
      <c r="A641"/>
      <c r="B641"/>
      <c r="C641"/>
      <c r="D641"/>
      <c r="E641"/>
      <c r="F641"/>
      <c r="G641"/>
      <c r="H641"/>
      <c r="I641"/>
    </row>
    <row r="642" spans="1:9" s="3" customFormat="1" ht="14.4" x14ac:dyDescent="0.3">
      <c r="A642"/>
      <c r="B642"/>
      <c r="C642"/>
      <c r="D642"/>
      <c r="E642"/>
      <c r="F642"/>
      <c r="G642"/>
      <c r="H642"/>
      <c r="I642"/>
    </row>
    <row r="643" spans="1:9" s="3" customFormat="1" ht="14.4" x14ac:dyDescent="0.3">
      <c r="A643"/>
      <c r="B643"/>
      <c r="C643"/>
      <c r="D643"/>
      <c r="E643"/>
      <c r="F643"/>
      <c r="G643"/>
      <c r="H643"/>
      <c r="I643"/>
    </row>
    <row r="644" spans="1:9" s="3" customFormat="1" ht="14.4" x14ac:dyDescent="0.3">
      <c r="A644"/>
      <c r="B644"/>
      <c r="C644"/>
      <c r="D644"/>
      <c r="E644"/>
      <c r="F644"/>
      <c r="G644"/>
      <c r="H644"/>
      <c r="I644"/>
    </row>
    <row r="645" spans="1:9" s="3" customFormat="1" ht="14.4" x14ac:dyDescent="0.3">
      <c r="A645"/>
      <c r="B645"/>
      <c r="C645"/>
      <c r="D645"/>
      <c r="E645"/>
      <c r="F645"/>
      <c r="G645"/>
      <c r="H645"/>
      <c r="I645"/>
    </row>
    <row r="646" spans="1:9" s="3" customFormat="1" ht="14.4" x14ac:dyDescent="0.3">
      <c r="A646"/>
      <c r="B646"/>
      <c r="C646"/>
      <c r="D646"/>
      <c r="E646"/>
      <c r="F646"/>
      <c r="G646"/>
      <c r="H646"/>
      <c r="I646"/>
    </row>
    <row r="647" spans="1:9" s="3" customFormat="1" ht="14.4" x14ac:dyDescent="0.3">
      <c r="A647"/>
      <c r="B647"/>
      <c r="C647"/>
      <c r="D647"/>
      <c r="E647"/>
      <c r="F647"/>
      <c r="G647"/>
      <c r="H647"/>
      <c r="I647"/>
    </row>
    <row r="648" spans="1:9" s="3" customFormat="1" ht="14.4" x14ac:dyDescent="0.3">
      <c r="A648"/>
      <c r="B648"/>
      <c r="C648"/>
      <c r="D648"/>
      <c r="E648"/>
      <c r="F648"/>
      <c r="G648"/>
      <c r="H648"/>
      <c r="I648"/>
    </row>
    <row r="649" spans="1:9" s="3" customFormat="1" ht="14.4" x14ac:dyDescent="0.3">
      <c r="A649"/>
      <c r="B649"/>
      <c r="C649"/>
      <c r="D649"/>
      <c r="E649"/>
      <c r="F649"/>
      <c r="G649"/>
      <c r="H649"/>
      <c r="I649"/>
    </row>
    <row r="650" spans="1:9" s="3" customFormat="1" ht="14.4" x14ac:dyDescent="0.3">
      <c r="A650"/>
      <c r="B650"/>
      <c r="C650"/>
      <c r="D650"/>
      <c r="E650"/>
      <c r="F650"/>
      <c r="G650"/>
      <c r="H650"/>
      <c r="I650"/>
    </row>
    <row r="651" spans="1:9" s="3" customFormat="1" ht="14.4" x14ac:dyDescent="0.3">
      <c r="A651"/>
      <c r="B651"/>
      <c r="C651"/>
      <c r="D651"/>
      <c r="E651"/>
      <c r="F651"/>
      <c r="G651"/>
      <c r="H651"/>
      <c r="I651"/>
    </row>
    <row r="652" spans="1:9" s="3" customFormat="1" ht="14.4" x14ac:dyDescent="0.3">
      <c r="A652"/>
      <c r="B652"/>
      <c r="C652"/>
      <c r="D652"/>
      <c r="E652"/>
      <c r="F652"/>
      <c r="G652"/>
      <c r="H652"/>
      <c r="I652"/>
    </row>
    <row r="653" spans="1:9" s="3" customFormat="1" ht="14.4" x14ac:dyDescent="0.3">
      <c r="A653"/>
      <c r="B653"/>
      <c r="C653"/>
      <c r="D653"/>
      <c r="E653"/>
      <c r="F653"/>
      <c r="G653"/>
      <c r="H653"/>
      <c r="I653"/>
    </row>
    <row r="654" spans="1:9" s="3" customFormat="1" ht="14.4" x14ac:dyDescent="0.3">
      <c r="A654"/>
      <c r="B654"/>
      <c r="C654"/>
      <c r="D654"/>
      <c r="E654"/>
      <c r="F654"/>
      <c r="G654"/>
      <c r="H654"/>
      <c r="I654"/>
    </row>
    <row r="655" spans="1:9" s="3" customFormat="1" ht="14.4" x14ac:dyDescent="0.3">
      <c r="A655"/>
      <c r="B655"/>
      <c r="C655"/>
      <c r="D655"/>
      <c r="E655"/>
      <c r="F655"/>
      <c r="G655"/>
      <c r="H655"/>
      <c r="I655"/>
    </row>
    <row r="656" spans="1:9" s="3" customFormat="1" ht="14.4" x14ac:dyDescent="0.3">
      <c r="A656"/>
      <c r="B656"/>
      <c r="C656"/>
      <c r="D656"/>
      <c r="E656"/>
      <c r="F656"/>
      <c r="G656"/>
      <c r="H656"/>
      <c r="I656"/>
    </row>
    <row r="657" spans="1:9" s="3" customFormat="1" ht="14.4" x14ac:dyDescent="0.3">
      <c r="A657"/>
      <c r="B657"/>
      <c r="C657"/>
      <c r="D657"/>
      <c r="E657"/>
      <c r="F657"/>
      <c r="G657"/>
      <c r="H657"/>
      <c r="I657"/>
    </row>
    <row r="658" spans="1:9" s="3" customFormat="1" ht="14.4" x14ac:dyDescent="0.3">
      <c r="A658"/>
      <c r="B658"/>
      <c r="C658"/>
      <c r="D658"/>
      <c r="E658"/>
      <c r="F658"/>
      <c r="G658"/>
      <c r="H658"/>
      <c r="I658"/>
    </row>
    <row r="659" spans="1:9" s="3" customFormat="1" ht="14.4" x14ac:dyDescent="0.3">
      <c r="A659"/>
      <c r="B659"/>
      <c r="C659"/>
      <c r="D659"/>
      <c r="E659"/>
      <c r="F659"/>
      <c r="G659"/>
      <c r="H659"/>
      <c r="I659"/>
    </row>
    <row r="660" spans="1:9" s="3" customFormat="1" ht="14.4" x14ac:dyDescent="0.3">
      <c r="A660"/>
      <c r="B660"/>
      <c r="C660"/>
      <c r="D660"/>
      <c r="E660"/>
      <c r="F660"/>
      <c r="G660"/>
      <c r="H660"/>
      <c r="I660"/>
    </row>
    <row r="661" spans="1:9" s="3" customFormat="1" ht="14.4" x14ac:dyDescent="0.3">
      <c r="A661"/>
      <c r="B661"/>
      <c r="C661"/>
      <c r="D661"/>
      <c r="E661"/>
      <c r="F661"/>
      <c r="G661"/>
      <c r="H661"/>
      <c r="I661"/>
    </row>
    <row r="662" spans="1:9" s="3" customFormat="1" ht="14.4" x14ac:dyDescent="0.3">
      <c r="A662"/>
      <c r="B662"/>
      <c r="C662"/>
      <c r="D662"/>
      <c r="E662"/>
      <c r="F662"/>
      <c r="G662"/>
      <c r="H662"/>
      <c r="I662"/>
    </row>
    <row r="663" spans="1:9" s="3" customFormat="1" ht="14.4" x14ac:dyDescent="0.3">
      <c r="A663"/>
      <c r="B663"/>
      <c r="C663"/>
      <c r="D663"/>
      <c r="E663"/>
      <c r="F663"/>
      <c r="G663"/>
      <c r="H663"/>
      <c r="I663"/>
    </row>
    <row r="664" spans="1:9" s="3" customFormat="1" ht="14.4" x14ac:dyDescent="0.3">
      <c r="A664"/>
      <c r="B664"/>
      <c r="C664"/>
      <c r="D664"/>
      <c r="E664"/>
      <c r="F664"/>
      <c r="G664"/>
      <c r="H664"/>
      <c r="I664"/>
    </row>
    <row r="665" spans="1:9" s="3" customFormat="1" ht="14.4" x14ac:dyDescent="0.3">
      <c r="A665"/>
      <c r="B665"/>
      <c r="C665"/>
      <c r="D665"/>
      <c r="E665"/>
      <c r="F665"/>
      <c r="G665"/>
      <c r="H665"/>
      <c r="I665"/>
    </row>
    <row r="666" spans="1:9" s="3" customFormat="1" ht="14.4" x14ac:dyDescent="0.3">
      <c r="A666"/>
      <c r="B666"/>
      <c r="C666"/>
      <c r="D666"/>
      <c r="E666"/>
      <c r="F666"/>
      <c r="G666"/>
      <c r="H666"/>
      <c r="I666"/>
    </row>
    <row r="667" spans="1:9" s="3" customFormat="1" ht="14.4" x14ac:dyDescent="0.3">
      <c r="A667"/>
      <c r="B667"/>
      <c r="C667"/>
      <c r="D667"/>
      <c r="E667"/>
      <c r="F667"/>
      <c r="G667"/>
      <c r="H667"/>
      <c r="I667"/>
    </row>
    <row r="668" spans="1:9" s="3" customFormat="1" ht="14.4" x14ac:dyDescent="0.3">
      <c r="A668"/>
      <c r="B668"/>
      <c r="C668"/>
      <c r="D668"/>
      <c r="E668"/>
      <c r="F668"/>
      <c r="G668"/>
      <c r="H668"/>
      <c r="I668"/>
    </row>
    <row r="669" spans="1:9" s="3" customFormat="1" ht="14.4" x14ac:dyDescent="0.3">
      <c r="A669"/>
      <c r="B669"/>
      <c r="C669"/>
      <c r="D669"/>
      <c r="E669"/>
      <c r="F669"/>
      <c r="G669"/>
      <c r="H669"/>
      <c r="I669"/>
    </row>
    <row r="670" spans="1:9" s="3" customFormat="1" ht="14.4" x14ac:dyDescent="0.3">
      <c r="A670"/>
      <c r="B670"/>
      <c r="C670"/>
      <c r="D670"/>
      <c r="E670"/>
      <c r="F670"/>
      <c r="G670"/>
      <c r="H670"/>
      <c r="I670"/>
    </row>
    <row r="671" spans="1:9" s="3" customFormat="1" ht="14.4" x14ac:dyDescent="0.3">
      <c r="A671"/>
      <c r="B671"/>
      <c r="C671"/>
      <c r="D671"/>
      <c r="E671"/>
      <c r="F671"/>
      <c r="G671"/>
      <c r="H671"/>
      <c r="I671"/>
    </row>
    <row r="672" spans="1:9" s="3" customFormat="1" ht="14.4" x14ac:dyDescent="0.3">
      <c r="A672"/>
      <c r="B672"/>
      <c r="C672"/>
      <c r="D672"/>
      <c r="E672"/>
      <c r="F672"/>
      <c r="G672"/>
      <c r="H672"/>
      <c r="I672"/>
    </row>
    <row r="673" spans="1:9" s="3" customFormat="1" ht="14.4" x14ac:dyDescent="0.3">
      <c r="A673"/>
      <c r="B673"/>
      <c r="C673"/>
      <c r="D673"/>
      <c r="E673"/>
      <c r="F673"/>
      <c r="G673"/>
      <c r="H673"/>
      <c r="I673"/>
    </row>
    <row r="674" spans="1:9" s="3" customFormat="1" ht="14.4" x14ac:dyDescent="0.3">
      <c r="A674"/>
      <c r="B674"/>
      <c r="C674"/>
      <c r="D674"/>
      <c r="E674"/>
      <c r="F674"/>
      <c r="G674"/>
      <c r="H674"/>
      <c r="I674"/>
    </row>
    <row r="675" spans="1:9" s="3" customFormat="1" ht="14.4" x14ac:dyDescent="0.3">
      <c r="A675"/>
      <c r="B675"/>
      <c r="C675"/>
      <c r="D675"/>
      <c r="E675"/>
      <c r="F675"/>
      <c r="G675"/>
      <c r="H675"/>
      <c r="I675"/>
    </row>
    <row r="676" spans="1:9" s="3" customFormat="1" ht="14.4" x14ac:dyDescent="0.3">
      <c r="A676"/>
      <c r="B676"/>
      <c r="C676"/>
      <c r="D676"/>
      <c r="E676"/>
      <c r="F676"/>
      <c r="G676"/>
      <c r="H676"/>
      <c r="I676"/>
    </row>
    <row r="677" spans="1:9" s="3" customFormat="1" ht="14.4" x14ac:dyDescent="0.3">
      <c r="A677"/>
      <c r="B677"/>
      <c r="C677"/>
      <c r="D677"/>
      <c r="E677"/>
      <c r="F677"/>
      <c r="G677"/>
      <c r="H677"/>
      <c r="I677"/>
    </row>
    <row r="678" spans="1:9" s="3" customFormat="1" ht="14.4" x14ac:dyDescent="0.3">
      <c r="A678"/>
      <c r="B678"/>
      <c r="C678"/>
      <c r="D678"/>
      <c r="E678"/>
      <c r="F678"/>
      <c r="G678"/>
      <c r="H678"/>
      <c r="I678"/>
    </row>
    <row r="679" spans="1:9" s="3" customFormat="1" ht="14.4" x14ac:dyDescent="0.3">
      <c r="A679"/>
      <c r="B679"/>
      <c r="C679"/>
      <c r="D679"/>
      <c r="E679"/>
      <c r="F679"/>
      <c r="G679"/>
      <c r="H679"/>
      <c r="I679"/>
    </row>
    <row r="680" spans="1:9" s="3" customFormat="1" ht="14.4" x14ac:dyDescent="0.3">
      <c r="A680"/>
      <c r="B680"/>
      <c r="C680"/>
      <c r="D680"/>
      <c r="E680"/>
      <c r="F680"/>
      <c r="G680"/>
      <c r="H680"/>
      <c r="I680"/>
    </row>
    <row r="681" spans="1:9" s="3" customFormat="1" ht="14.4" x14ac:dyDescent="0.3">
      <c r="A681"/>
      <c r="B681"/>
      <c r="C681"/>
      <c r="D681"/>
      <c r="E681"/>
      <c r="F681"/>
      <c r="G681"/>
      <c r="H681"/>
      <c r="I681"/>
    </row>
    <row r="682" spans="1:9" s="3" customFormat="1" ht="14.4" x14ac:dyDescent="0.3">
      <c r="A682"/>
      <c r="B682"/>
      <c r="C682"/>
      <c r="D682"/>
      <c r="E682"/>
      <c r="F682"/>
      <c r="G682"/>
      <c r="H682"/>
      <c r="I682"/>
    </row>
    <row r="683" spans="1:9" s="3" customFormat="1" ht="14.4" x14ac:dyDescent="0.3">
      <c r="A683"/>
      <c r="B683"/>
      <c r="C683"/>
      <c r="D683"/>
      <c r="E683"/>
      <c r="F683"/>
      <c r="G683"/>
      <c r="H683"/>
      <c r="I683"/>
    </row>
    <row r="684" spans="1:9" s="3" customFormat="1" ht="14.4" x14ac:dyDescent="0.3">
      <c r="A684"/>
      <c r="B684"/>
      <c r="C684"/>
      <c r="D684"/>
      <c r="E684"/>
      <c r="F684"/>
      <c r="G684"/>
      <c r="H684"/>
      <c r="I684"/>
    </row>
    <row r="685" spans="1:9" s="3" customFormat="1" ht="14.4" x14ac:dyDescent="0.3">
      <c r="A685"/>
      <c r="B685"/>
      <c r="C685"/>
      <c r="D685"/>
      <c r="E685"/>
      <c r="F685"/>
      <c r="G685"/>
      <c r="H685"/>
      <c r="I685"/>
    </row>
    <row r="686" spans="1:9" s="3" customFormat="1" ht="14.4" x14ac:dyDescent="0.3">
      <c r="A686"/>
      <c r="B686"/>
      <c r="C686"/>
      <c r="D686"/>
      <c r="E686"/>
      <c r="F686"/>
      <c r="G686"/>
      <c r="H686"/>
      <c r="I686"/>
    </row>
    <row r="687" spans="1:9" s="3" customFormat="1" ht="14.4" x14ac:dyDescent="0.3">
      <c r="A687"/>
      <c r="B687"/>
      <c r="C687"/>
      <c r="D687"/>
      <c r="E687"/>
      <c r="F687"/>
      <c r="G687"/>
      <c r="H687"/>
      <c r="I687"/>
    </row>
    <row r="688" spans="1:9" s="3" customFormat="1" ht="14.4" x14ac:dyDescent="0.3">
      <c r="A688"/>
      <c r="B688"/>
      <c r="C688"/>
      <c r="D688"/>
      <c r="E688"/>
      <c r="F688"/>
      <c r="G688"/>
      <c r="H688"/>
      <c r="I688"/>
    </row>
    <row r="689" spans="1:9" s="3" customFormat="1" ht="14.4" x14ac:dyDescent="0.3">
      <c r="A689"/>
      <c r="B689"/>
      <c r="C689"/>
      <c r="D689"/>
      <c r="E689"/>
      <c r="F689"/>
      <c r="G689"/>
      <c r="H689"/>
      <c r="I689"/>
    </row>
    <row r="690" spans="1:9" s="3" customFormat="1" ht="14.4" x14ac:dyDescent="0.3">
      <c r="A690"/>
      <c r="B690"/>
      <c r="C690"/>
      <c r="D690"/>
      <c r="E690"/>
      <c r="F690"/>
      <c r="G690"/>
      <c r="H690"/>
      <c r="I690"/>
    </row>
    <row r="691" spans="1:9" s="3" customFormat="1" ht="14.4" x14ac:dyDescent="0.3">
      <c r="A691"/>
      <c r="B691"/>
      <c r="C691"/>
      <c r="D691"/>
      <c r="E691"/>
      <c r="F691"/>
      <c r="G691"/>
      <c r="H691"/>
      <c r="I691"/>
    </row>
    <row r="692" spans="1:9" s="3" customFormat="1" ht="14.4" x14ac:dyDescent="0.3">
      <c r="A692"/>
      <c r="B692"/>
      <c r="C692"/>
      <c r="D692"/>
      <c r="E692"/>
      <c r="F692"/>
      <c r="G692"/>
      <c r="H692"/>
      <c r="I692"/>
    </row>
    <row r="693" spans="1:9" s="3" customFormat="1" ht="14.4" x14ac:dyDescent="0.3">
      <c r="A693"/>
      <c r="B693"/>
      <c r="C693"/>
      <c r="D693"/>
      <c r="E693"/>
      <c r="F693"/>
      <c r="G693"/>
      <c r="H693"/>
      <c r="I693"/>
    </row>
    <row r="694" spans="1:9" s="3" customFormat="1" ht="14.4" x14ac:dyDescent="0.3">
      <c r="A694"/>
      <c r="B694"/>
      <c r="C694"/>
      <c r="D694"/>
      <c r="E694"/>
      <c r="F694"/>
      <c r="G694"/>
      <c r="H694"/>
      <c r="I694"/>
    </row>
    <row r="695" spans="1:9" s="3" customFormat="1" ht="14.4" x14ac:dyDescent="0.3">
      <c r="A695"/>
      <c r="B695"/>
      <c r="C695"/>
      <c r="D695"/>
      <c r="E695"/>
      <c r="F695"/>
      <c r="G695"/>
      <c r="H695"/>
      <c r="I695"/>
    </row>
    <row r="696" spans="1:9" s="3" customFormat="1" ht="14.4" x14ac:dyDescent="0.3">
      <c r="A696"/>
      <c r="B696"/>
      <c r="C696"/>
      <c r="D696"/>
      <c r="E696"/>
      <c r="F696"/>
      <c r="G696"/>
      <c r="H696"/>
      <c r="I696"/>
    </row>
    <row r="697" spans="1:9" s="3" customFormat="1" ht="14.4" x14ac:dyDescent="0.3">
      <c r="A697"/>
      <c r="B697"/>
      <c r="C697"/>
      <c r="D697"/>
      <c r="E697"/>
      <c r="F697"/>
      <c r="G697"/>
      <c r="H697"/>
      <c r="I697"/>
    </row>
    <row r="698" spans="1:9" s="3" customFormat="1" ht="14.4" x14ac:dyDescent="0.3">
      <c r="A698"/>
      <c r="B698"/>
      <c r="C698"/>
      <c r="D698"/>
      <c r="E698"/>
      <c r="F698"/>
      <c r="G698"/>
      <c r="H698"/>
      <c r="I698"/>
    </row>
    <row r="699" spans="1:9" s="3" customFormat="1" ht="14.4" x14ac:dyDescent="0.3">
      <c r="A699"/>
      <c r="B699"/>
      <c r="C699"/>
      <c r="D699"/>
      <c r="E699"/>
      <c r="F699"/>
      <c r="G699"/>
      <c r="H699"/>
      <c r="I699"/>
    </row>
    <row r="700" spans="1:9" s="3" customFormat="1" ht="14.4" x14ac:dyDescent="0.3">
      <c r="A700"/>
      <c r="B700"/>
      <c r="C700"/>
      <c r="D700"/>
      <c r="E700"/>
      <c r="F700"/>
      <c r="G700"/>
      <c r="H700"/>
      <c r="I700"/>
    </row>
    <row r="701" spans="1:9" s="3" customFormat="1" ht="14.4" x14ac:dyDescent="0.3">
      <c r="A701"/>
      <c r="B701"/>
      <c r="C701"/>
      <c r="D701"/>
      <c r="E701"/>
      <c r="F701"/>
      <c r="G701"/>
      <c r="H701"/>
      <c r="I701"/>
    </row>
    <row r="702" spans="1:9" s="3" customFormat="1" ht="14.4" x14ac:dyDescent="0.3">
      <c r="A702"/>
      <c r="B702"/>
      <c r="C702"/>
      <c r="D702"/>
      <c r="E702"/>
      <c r="F702"/>
      <c r="G702"/>
      <c r="H702"/>
      <c r="I702"/>
    </row>
    <row r="703" spans="1:9" s="3" customFormat="1" ht="14.4" x14ac:dyDescent="0.3">
      <c r="A703"/>
      <c r="B703"/>
      <c r="C703"/>
      <c r="D703"/>
      <c r="E703"/>
      <c r="F703"/>
      <c r="G703"/>
      <c r="H703"/>
      <c r="I703"/>
    </row>
    <row r="704" spans="1:9" s="3" customFormat="1" ht="14.4" x14ac:dyDescent="0.3">
      <c r="A704"/>
      <c r="B704"/>
      <c r="C704"/>
      <c r="D704"/>
      <c r="E704"/>
      <c r="F704"/>
      <c r="G704"/>
      <c r="H704"/>
      <c r="I704"/>
    </row>
    <row r="705" spans="1:9" s="3" customFormat="1" ht="14.4" x14ac:dyDescent="0.3">
      <c r="A705"/>
      <c r="B705"/>
      <c r="C705"/>
      <c r="D705"/>
      <c r="E705"/>
      <c r="F705"/>
      <c r="G705"/>
      <c r="H705"/>
      <c r="I705"/>
    </row>
    <row r="706" spans="1:9" s="3" customFormat="1" ht="14.4" x14ac:dyDescent="0.3">
      <c r="A706"/>
      <c r="B706"/>
      <c r="C706"/>
      <c r="D706"/>
      <c r="E706"/>
      <c r="F706"/>
      <c r="G706"/>
      <c r="H706"/>
      <c r="I706"/>
    </row>
    <row r="707" spans="1:9" s="3" customFormat="1" ht="14.4" x14ac:dyDescent="0.3">
      <c r="A707"/>
      <c r="B707"/>
      <c r="C707"/>
      <c r="D707"/>
      <c r="E707"/>
      <c r="F707"/>
      <c r="G707"/>
      <c r="H707"/>
      <c r="I707"/>
    </row>
    <row r="708" spans="1:9" s="3" customFormat="1" ht="14.4" x14ac:dyDescent="0.3">
      <c r="A708"/>
      <c r="B708"/>
      <c r="C708"/>
      <c r="D708"/>
      <c r="E708"/>
      <c r="F708"/>
      <c r="G708"/>
      <c r="H708"/>
      <c r="I708"/>
    </row>
    <row r="709" spans="1:9" s="3" customFormat="1" ht="14.4" x14ac:dyDescent="0.3">
      <c r="A709"/>
      <c r="B709"/>
      <c r="C709"/>
      <c r="D709"/>
      <c r="E709"/>
      <c r="F709"/>
      <c r="G709"/>
      <c r="H709"/>
      <c r="I709"/>
    </row>
    <row r="710" spans="1:9" s="3" customFormat="1" ht="14.4" x14ac:dyDescent="0.3">
      <c r="A710"/>
      <c r="B710"/>
      <c r="C710"/>
      <c r="D710"/>
      <c r="E710"/>
      <c r="F710"/>
      <c r="G710"/>
      <c r="H710"/>
      <c r="I710"/>
    </row>
    <row r="711" spans="1:9" s="3" customFormat="1" ht="14.4" x14ac:dyDescent="0.3">
      <c r="A711"/>
      <c r="B711"/>
      <c r="C711"/>
      <c r="D711"/>
      <c r="E711"/>
      <c r="F711"/>
      <c r="G711"/>
      <c r="H711"/>
      <c r="I711"/>
    </row>
    <row r="712" spans="1:9" s="3" customFormat="1" ht="14.4" x14ac:dyDescent="0.3">
      <c r="A712"/>
      <c r="B712"/>
      <c r="C712"/>
      <c r="D712"/>
      <c r="E712"/>
      <c r="F712"/>
      <c r="G712"/>
      <c r="H712"/>
      <c r="I712"/>
    </row>
    <row r="713" spans="1:9" s="3" customFormat="1" ht="14.4" x14ac:dyDescent="0.3">
      <c r="A713"/>
      <c r="B713"/>
      <c r="C713"/>
      <c r="D713"/>
      <c r="E713"/>
      <c r="F713"/>
      <c r="G713"/>
      <c r="H713"/>
      <c r="I713"/>
    </row>
    <row r="714" spans="1:9" s="3" customFormat="1" ht="14.4" x14ac:dyDescent="0.3">
      <c r="A714"/>
      <c r="B714"/>
      <c r="C714"/>
      <c r="D714"/>
      <c r="E714"/>
      <c r="F714"/>
      <c r="G714"/>
      <c r="H714"/>
      <c r="I714"/>
    </row>
    <row r="715" spans="1:9" s="3" customFormat="1" ht="14.4" x14ac:dyDescent="0.3">
      <c r="A715"/>
      <c r="B715"/>
      <c r="C715"/>
      <c r="D715"/>
      <c r="E715"/>
      <c r="F715"/>
      <c r="G715"/>
      <c r="H715"/>
      <c r="I715"/>
    </row>
    <row r="716" spans="1:9" s="3" customFormat="1" ht="14.4" x14ac:dyDescent="0.3">
      <c r="A716"/>
      <c r="B716"/>
      <c r="C716"/>
      <c r="D716"/>
      <c r="E716"/>
      <c r="F716"/>
      <c r="G716"/>
      <c r="H716"/>
      <c r="I716"/>
    </row>
    <row r="717" spans="1:9" s="3" customFormat="1" ht="14.4" x14ac:dyDescent="0.3">
      <c r="A717"/>
      <c r="B717"/>
      <c r="C717"/>
      <c r="D717"/>
      <c r="E717"/>
      <c r="F717"/>
      <c r="G717"/>
      <c r="H717"/>
      <c r="I717"/>
    </row>
    <row r="718" spans="1:9" s="3" customFormat="1" ht="14.4" x14ac:dyDescent="0.3">
      <c r="A718"/>
      <c r="B718"/>
      <c r="C718"/>
      <c r="D718"/>
      <c r="E718"/>
      <c r="F718"/>
      <c r="G718"/>
      <c r="H718"/>
      <c r="I718"/>
    </row>
    <row r="719" spans="1:9" s="3" customFormat="1" ht="14.4" x14ac:dyDescent="0.3">
      <c r="A719"/>
      <c r="B719"/>
      <c r="C719"/>
      <c r="D719"/>
      <c r="E719"/>
      <c r="F719"/>
      <c r="G719"/>
      <c r="H719"/>
      <c r="I719"/>
    </row>
    <row r="720" spans="1:9" s="3" customFormat="1" ht="14.4" x14ac:dyDescent="0.3">
      <c r="A720"/>
      <c r="B720"/>
      <c r="C720"/>
      <c r="D720"/>
      <c r="E720"/>
      <c r="F720"/>
      <c r="G720"/>
      <c r="H720"/>
      <c r="I720"/>
    </row>
    <row r="721" spans="1:9" s="3" customFormat="1" ht="14.4" x14ac:dyDescent="0.3">
      <c r="A721"/>
      <c r="B721"/>
      <c r="C721"/>
      <c r="D721"/>
      <c r="E721"/>
      <c r="F721"/>
      <c r="G721"/>
      <c r="H721"/>
      <c r="I721"/>
    </row>
    <row r="722" spans="1:9" s="3" customFormat="1" ht="14.4" x14ac:dyDescent="0.3">
      <c r="A722"/>
      <c r="B722"/>
      <c r="C722"/>
      <c r="D722"/>
      <c r="E722"/>
      <c r="F722"/>
      <c r="G722"/>
      <c r="H722"/>
      <c r="I722"/>
    </row>
    <row r="723" spans="1:9" s="3" customFormat="1" ht="14.4" x14ac:dyDescent="0.3">
      <c r="A723"/>
      <c r="B723"/>
      <c r="C723"/>
      <c r="D723"/>
      <c r="E723"/>
      <c r="F723"/>
      <c r="G723"/>
      <c r="H723"/>
      <c r="I723"/>
    </row>
    <row r="724" spans="1:9" s="3" customFormat="1" ht="14.4" x14ac:dyDescent="0.3">
      <c r="A724"/>
      <c r="B724"/>
      <c r="C724"/>
      <c r="D724"/>
      <c r="E724"/>
      <c r="F724"/>
      <c r="G724"/>
      <c r="H724"/>
      <c r="I724"/>
    </row>
    <row r="725" spans="1:9" s="3" customFormat="1" ht="14.4" x14ac:dyDescent="0.3">
      <c r="A725"/>
      <c r="B725"/>
      <c r="C725"/>
      <c r="D725"/>
      <c r="E725"/>
      <c r="F725"/>
      <c r="G725"/>
      <c r="H725"/>
      <c r="I725"/>
    </row>
    <row r="726" spans="1:9" s="3" customFormat="1" ht="14.4" x14ac:dyDescent="0.3">
      <c r="A726"/>
      <c r="B726"/>
      <c r="C726"/>
      <c r="D726"/>
      <c r="E726"/>
      <c r="F726"/>
      <c r="G726"/>
      <c r="H726"/>
      <c r="I726"/>
    </row>
    <row r="727" spans="1:9" s="3" customFormat="1" ht="14.4" x14ac:dyDescent="0.3">
      <c r="A727"/>
      <c r="B727"/>
      <c r="C727"/>
      <c r="D727"/>
      <c r="E727"/>
      <c r="F727"/>
      <c r="G727"/>
      <c r="H727"/>
      <c r="I727"/>
    </row>
    <row r="728" spans="1:9" s="3" customFormat="1" ht="14.4" x14ac:dyDescent="0.3">
      <c r="A728"/>
      <c r="B728"/>
      <c r="C728"/>
      <c r="D728"/>
      <c r="E728"/>
      <c r="F728"/>
      <c r="G728"/>
      <c r="H728"/>
      <c r="I728"/>
    </row>
    <row r="729" spans="1:9" s="3" customFormat="1" ht="14.4" x14ac:dyDescent="0.3">
      <c r="A729"/>
      <c r="B729"/>
      <c r="C729"/>
      <c r="D729"/>
      <c r="E729"/>
      <c r="F729"/>
      <c r="G729"/>
      <c r="H729"/>
      <c r="I729"/>
    </row>
    <row r="730" spans="1:9" s="3" customFormat="1" ht="14.4" x14ac:dyDescent="0.3">
      <c r="A730"/>
      <c r="B730"/>
      <c r="C730"/>
      <c r="D730"/>
      <c r="E730"/>
      <c r="F730"/>
      <c r="G730"/>
      <c r="H730"/>
      <c r="I730"/>
    </row>
    <row r="731" spans="1:9" s="3" customFormat="1" ht="14.4" x14ac:dyDescent="0.3">
      <c r="A731"/>
      <c r="B731"/>
      <c r="C731"/>
      <c r="D731"/>
      <c r="E731"/>
      <c r="F731"/>
      <c r="G731"/>
      <c r="H731"/>
      <c r="I731"/>
    </row>
    <row r="732" spans="1:9" s="3" customFormat="1" ht="14.4" x14ac:dyDescent="0.3">
      <c r="A732"/>
      <c r="B732"/>
      <c r="C732"/>
      <c r="D732"/>
      <c r="E732"/>
      <c r="F732"/>
      <c r="G732"/>
      <c r="H732"/>
      <c r="I732"/>
    </row>
    <row r="733" spans="1:9" s="3" customFormat="1" ht="14.4" x14ac:dyDescent="0.3">
      <c r="A733"/>
      <c r="B733"/>
      <c r="C733"/>
      <c r="D733"/>
      <c r="E733"/>
      <c r="F733"/>
      <c r="G733"/>
      <c r="H733"/>
      <c r="I733"/>
    </row>
    <row r="734" spans="1:9" s="3" customFormat="1" ht="14.4" x14ac:dyDescent="0.3">
      <c r="A734"/>
      <c r="B734"/>
      <c r="C734"/>
      <c r="D734"/>
      <c r="E734"/>
      <c r="F734"/>
      <c r="G734"/>
      <c r="H734"/>
      <c r="I734"/>
    </row>
    <row r="735" spans="1:9" s="3" customFormat="1" ht="14.4" x14ac:dyDescent="0.3">
      <c r="A735"/>
      <c r="B735"/>
      <c r="C735"/>
      <c r="D735"/>
      <c r="E735"/>
      <c r="F735"/>
      <c r="G735"/>
      <c r="H735"/>
      <c r="I735"/>
    </row>
    <row r="736" spans="1:9" s="3" customFormat="1" ht="14.4" x14ac:dyDescent="0.3">
      <c r="A736"/>
      <c r="B736"/>
      <c r="C736"/>
      <c r="D736"/>
      <c r="E736"/>
      <c r="F736"/>
      <c r="G736"/>
      <c r="H736"/>
      <c r="I736"/>
    </row>
    <row r="737" spans="1:9" s="3" customFormat="1" ht="14.4" x14ac:dyDescent="0.3">
      <c r="A737"/>
      <c r="B737"/>
      <c r="C737"/>
      <c r="D737"/>
      <c r="E737"/>
      <c r="F737"/>
      <c r="G737"/>
      <c r="H737"/>
      <c r="I737"/>
    </row>
    <row r="738" spans="1:9" s="3" customFormat="1" ht="14.4" x14ac:dyDescent="0.3">
      <c r="A738"/>
      <c r="B738"/>
      <c r="C738"/>
      <c r="D738"/>
      <c r="E738"/>
      <c r="F738"/>
      <c r="G738"/>
      <c r="H738"/>
      <c r="I738"/>
    </row>
    <row r="739" spans="1:9" s="3" customFormat="1" ht="14.4" x14ac:dyDescent="0.3">
      <c r="A739"/>
      <c r="B739"/>
      <c r="C739"/>
      <c r="D739"/>
      <c r="E739"/>
      <c r="F739"/>
      <c r="G739"/>
      <c r="H739"/>
      <c r="I739"/>
    </row>
    <row r="740" spans="1:9" s="3" customFormat="1" ht="14.4" x14ac:dyDescent="0.3">
      <c r="A740"/>
      <c r="B740"/>
      <c r="C740"/>
      <c r="D740"/>
      <c r="E740"/>
      <c r="F740"/>
      <c r="G740"/>
      <c r="H740"/>
      <c r="I740"/>
    </row>
    <row r="741" spans="1:9" s="3" customFormat="1" ht="14.4" x14ac:dyDescent="0.3">
      <c r="A741"/>
      <c r="B741"/>
      <c r="C741"/>
      <c r="D741"/>
      <c r="E741"/>
      <c r="F741"/>
      <c r="G741"/>
      <c r="H741"/>
      <c r="I741"/>
    </row>
    <row r="742" spans="1:9" s="3" customFormat="1" ht="14.4" x14ac:dyDescent="0.3">
      <c r="A742"/>
      <c r="B742"/>
      <c r="C742"/>
      <c r="D742"/>
      <c r="E742"/>
      <c r="F742"/>
      <c r="G742"/>
      <c r="H742"/>
      <c r="I742"/>
    </row>
    <row r="743" spans="1:9" s="3" customFormat="1" ht="14.4" x14ac:dyDescent="0.3">
      <c r="A743"/>
      <c r="B743"/>
      <c r="C743"/>
      <c r="D743"/>
      <c r="E743"/>
      <c r="F743"/>
      <c r="G743"/>
      <c r="H743"/>
      <c r="I743"/>
    </row>
    <row r="744" spans="1:9" s="3" customFormat="1" ht="14.4" x14ac:dyDescent="0.3">
      <c r="A744"/>
      <c r="B744"/>
      <c r="C744"/>
      <c r="D744"/>
      <c r="E744"/>
      <c r="F744"/>
      <c r="G744"/>
      <c r="H744"/>
      <c r="I744"/>
    </row>
    <row r="745" spans="1:9" s="3" customFormat="1" ht="14.4" x14ac:dyDescent="0.3">
      <c r="A745"/>
      <c r="B745"/>
      <c r="C745"/>
      <c r="D745"/>
      <c r="E745"/>
      <c r="F745"/>
      <c r="G745"/>
      <c r="H745"/>
      <c r="I745"/>
    </row>
    <row r="746" spans="1:9" s="3" customFormat="1" ht="14.4" x14ac:dyDescent="0.3">
      <c r="A746"/>
      <c r="B746"/>
      <c r="C746"/>
      <c r="D746"/>
      <c r="E746"/>
      <c r="F746"/>
      <c r="G746"/>
      <c r="H746"/>
      <c r="I746"/>
    </row>
    <row r="747" spans="1:9" s="3" customFormat="1" ht="14.4" x14ac:dyDescent="0.3">
      <c r="A747"/>
      <c r="B747"/>
      <c r="C747"/>
      <c r="D747"/>
      <c r="E747"/>
      <c r="F747"/>
      <c r="G747"/>
      <c r="H747"/>
      <c r="I747"/>
    </row>
    <row r="748" spans="1:9" s="3" customFormat="1" ht="14.4" x14ac:dyDescent="0.3">
      <c r="A748"/>
      <c r="B748"/>
      <c r="C748"/>
      <c r="D748"/>
      <c r="E748"/>
      <c r="F748"/>
      <c r="G748"/>
      <c r="H748"/>
      <c r="I748"/>
    </row>
    <row r="749" spans="1:9" s="3" customFormat="1" ht="14.4" x14ac:dyDescent="0.3">
      <c r="A749"/>
      <c r="B749"/>
      <c r="C749"/>
      <c r="D749"/>
      <c r="E749"/>
      <c r="F749"/>
      <c r="G749"/>
      <c r="H749"/>
      <c r="I749"/>
    </row>
    <row r="750" spans="1:9" s="3" customFormat="1" ht="14.4" x14ac:dyDescent="0.3">
      <c r="A750"/>
      <c r="B750"/>
      <c r="C750"/>
      <c r="D750"/>
      <c r="E750"/>
      <c r="F750"/>
      <c r="G750"/>
      <c r="H750"/>
      <c r="I750"/>
    </row>
    <row r="751" spans="1:9" s="3" customFormat="1" ht="14.4" x14ac:dyDescent="0.3">
      <c r="A751"/>
      <c r="B751"/>
      <c r="C751"/>
      <c r="D751"/>
      <c r="E751"/>
      <c r="F751"/>
      <c r="G751"/>
      <c r="H751"/>
      <c r="I751"/>
    </row>
    <row r="752" spans="1:9" s="3" customFormat="1" ht="14.4" x14ac:dyDescent="0.3">
      <c r="A752"/>
      <c r="B752"/>
      <c r="C752"/>
      <c r="D752"/>
      <c r="E752"/>
      <c r="F752"/>
      <c r="G752"/>
      <c r="H752"/>
      <c r="I752"/>
    </row>
    <row r="753" spans="1:9" s="3" customFormat="1" ht="14.4" x14ac:dyDescent="0.3">
      <c r="A753"/>
      <c r="B753"/>
      <c r="C753"/>
      <c r="D753"/>
      <c r="E753"/>
      <c r="F753"/>
      <c r="G753"/>
      <c r="H753"/>
      <c r="I753"/>
    </row>
    <row r="754" spans="1:9" s="3" customFormat="1" ht="14.4" x14ac:dyDescent="0.3">
      <c r="A754"/>
      <c r="B754"/>
      <c r="C754"/>
      <c r="D754"/>
      <c r="E754"/>
      <c r="F754"/>
      <c r="G754"/>
      <c r="H754"/>
      <c r="I754"/>
    </row>
    <row r="755" spans="1:9" s="3" customFormat="1" ht="14.4" x14ac:dyDescent="0.3">
      <c r="A755"/>
      <c r="B755"/>
      <c r="C755"/>
      <c r="D755"/>
      <c r="E755"/>
      <c r="F755"/>
      <c r="G755"/>
      <c r="H755"/>
      <c r="I755"/>
    </row>
    <row r="756" spans="1:9" s="3" customFormat="1" ht="14.4" x14ac:dyDescent="0.3">
      <c r="A756"/>
      <c r="B756"/>
      <c r="C756"/>
      <c r="D756"/>
      <c r="E756"/>
      <c r="F756"/>
      <c r="G756"/>
      <c r="H756"/>
      <c r="I756"/>
    </row>
    <row r="757" spans="1:9" s="3" customFormat="1" ht="14.4" x14ac:dyDescent="0.3">
      <c r="A757"/>
      <c r="B757"/>
      <c r="C757"/>
      <c r="D757"/>
      <c r="E757"/>
      <c r="F757"/>
      <c r="G757"/>
      <c r="H757"/>
      <c r="I757"/>
    </row>
    <row r="758" spans="1:9" s="3" customFormat="1" ht="14.4" x14ac:dyDescent="0.3">
      <c r="A758"/>
      <c r="B758"/>
      <c r="C758"/>
      <c r="D758"/>
      <c r="E758"/>
      <c r="F758"/>
      <c r="G758"/>
      <c r="H758"/>
      <c r="I758"/>
    </row>
    <row r="759" spans="1:9" s="3" customFormat="1" ht="14.4" x14ac:dyDescent="0.3">
      <c r="A759"/>
      <c r="B759"/>
      <c r="C759"/>
      <c r="D759"/>
      <c r="E759"/>
      <c r="F759"/>
      <c r="G759"/>
      <c r="H759"/>
      <c r="I759"/>
    </row>
    <row r="760" spans="1:9" s="3" customFormat="1" ht="14.4" x14ac:dyDescent="0.3">
      <c r="A760"/>
      <c r="B760"/>
      <c r="C760"/>
      <c r="D760"/>
      <c r="E760"/>
      <c r="F760"/>
      <c r="G760"/>
      <c r="H760"/>
      <c r="I760"/>
    </row>
    <row r="761" spans="1:9" s="3" customFormat="1" ht="14.4" x14ac:dyDescent="0.3">
      <c r="A761"/>
      <c r="B761"/>
      <c r="C761"/>
      <c r="D761"/>
      <c r="E761"/>
      <c r="F761"/>
      <c r="G761"/>
      <c r="H761"/>
      <c r="I761"/>
    </row>
    <row r="762" spans="1:9" s="3" customFormat="1" ht="14.4" x14ac:dyDescent="0.3">
      <c r="A762"/>
      <c r="B762"/>
      <c r="C762"/>
      <c r="D762"/>
      <c r="E762"/>
      <c r="F762"/>
      <c r="G762"/>
      <c r="H762"/>
      <c r="I762"/>
    </row>
    <row r="763" spans="1:9" s="3" customFormat="1" ht="14.4" x14ac:dyDescent="0.3">
      <c r="A763"/>
      <c r="B763"/>
      <c r="C763"/>
      <c r="D763"/>
      <c r="E763"/>
      <c r="F763"/>
      <c r="G763"/>
      <c r="H763"/>
      <c r="I763"/>
    </row>
    <row r="764" spans="1:9" s="3" customFormat="1" ht="14.4" x14ac:dyDescent="0.3">
      <c r="A764"/>
      <c r="B764"/>
      <c r="C764"/>
      <c r="D764"/>
      <c r="E764"/>
      <c r="F764"/>
      <c r="G764"/>
      <c r="H764"/>
      <c r="I764"/>
    </row>
    <row r="765" spans="1:9" s="3" customFormat="1" ht="14.4" x14ac:dyDescent="0.3">
      <c r="A765"/>
      <c r="B765"/>
      <c r="C765"/>
      <c r="D765"/>
      <c r="E765"/>
      <c r="F765"/>
      <c r="G765"/>
      <c r="H765"/>
      <c r="I765"/>
    </row>
    <row r="766" spans="1:9" s="3" customFormat="1" ht="14.4" x14ac:dyDescent="0.3">
      <c r="A766"/>
      <c r="B766"/>
      <c r="C766"/>
      <c r="D766"/>
      <c r="E766"/>
      <c r="F766"/>
      <c r="G766"/>
      <c r="H766"/>
      <c r="I766"/>
    </row>
    <row r="767" spans="1:9" s="3" customFormat="1" ht="14.4" x14ac:dyDescent="0.3">
      <c r="A767"/>
      <c r="B767"/>
      <c r="C767"/>
      <c r="D767"/>
      <c r="E767"/>
      <c r="F767"/>
      <c r="G767"/>
      <c r="H767"/>
      <c r="I767"/>
    </row>
    <row r="768" spans="1:9" s="3" customFormat="1" ht="14.4" x14ac:dyDescent="0.3">
      <c r="A768"/>
      <c r="B768"/>
      <c r="C768"/>
      <c r="D768"/>
      <c r="E768"/>
      <c r="F768"/>
      <c r="G768"/>
      <c r="H768"/>
      <c r="I768"/>
    </row>
    <row r="769" spans="1:9" s="3" customFormat="1" ht="14.4" x14ac:dyDescent="0.3">
      <c r="A769"/>
      <c r="B769"/>
      <c r="C769"/>
      <c r="D769"/>
      <c r="E769"/>
      <c r="F769"/>
      <c r="G769"/>
      <c r="H769"/>
      <c r="I769"/>
    </row>
    <row r="770" spans="1:9" s="3" customFormat="1" ht="14.4" x14ac:dyDescent="0.3">
      <c r="A770"/>
      <c r="B770"/>
      <c r="C770"/>
      <c r="D770"/>
      <c r="E770"/>
      <c r="F770"/>
      <c r="G770"/>
      <c r="H770"/>
      <c r="I770"/>
    </row>
    <row r="771" spans="1:9" s="3" customFormat="1" ht="14.4" x14ac:dyDescent="0.3">
      <c r="A771"/>
      <c r="B771"/>
      <c r="C771"/>
      <c r="D771"/>
      <c r="E771"/>
      <c r="F771"/>
      <c r="G771"/>
      <c r="H771"/>
      <c r="I771"/>
    </row>
    <row r="772" spans="1:9" s="3" customFormat="1" ht="14.4" x14ac:dyDescent="0.3">
      <c r="A772"/>
      <c r="B772"/>
      <c r="C772"/>
      <c r="D772"/>
      <c r="E772"/>
      <c r="F772"/>
      <c r="G772"/>
      <c r="H772"/>
      <c r="I772"/>
    </row>
    <row r="773" spans="1:9" s="3" customFormat="1" ht="14.4" x14ac:dyDescent="0.3">
      <c r="A773"/>
      <c r="B773"/>
      <c r="C773"/>
      <c r="D773"/>
      <c r="E773"/>
      <c r="F773"/>
      <c r="G773"/>
      <c r="H773"/>
      <c r="I773"/>
    </row>
    <row r="774" spans="1:9" s="3" customFormat="1" ht="14.4" x14ac:dyDescent="0.3">
      <c r="A774"/>
      <c r="B774"/>
      <c r="C774"/>
      <c r="D774"/>
      <c r="E774"/>
      <c r="F774"/>
      <c r="G774"/>
      <c r="H774"/>
      <c r="I774"/>
    </row>
    <row r="775" spans="1:9" s="3" customFormat="1" ht="14.4" x14ac:dyDescent="0.3">
      <c r="A775"/>
      <c r="B775"/>
      <c r="C775"/>
      <c r="D775"/>
      <c r="E775"/>
      <c r="F775"/>
      <c r="G775"/>
      <c r="H775"/>
      <c r="I775"/>
    </row>
    <row r="776" spans="1:9" s="3" customFormat="1" ht="14.4" x14ac:dyDescent="0.3">
      <c r="A776"/>
      <c r="B776"/>
      <c r="C776"/>
      <c r="D776"/>
      <c r="E776"/>
      <c r="F776"/>
      <c r="G776"/>
      <c r="H776"/>
      <c r="I776"/>
    </row>
    <row r="777" spans="1:9" s="3" customFormat="1" ht="14.4" x14ac:dyDescent="0.3">
      <c r="A777"/>
      <c r="B777"/>
      <c r="C777"/>
      <c r="D777"/>
      <c r="E777"/>
      <c r="F777"/>
      <c r="G777"/>
      <c r="H777"/>
      <c r="I777"/>
    </row>
    <row r="778" spans="1:9" s="3" customFormat="1" ht="14.4" x14ac:dyDescent="0.3">
      <c r="A778"/>
      <c r="B778"/>
      <c r="C778"/>
      <c r="D778"/>
      <c r="E778"/>
      <c r="F778"/>
      <c r="G778"/>
      <c r="H778"/>
      <c r="I778"/>
    </row>
    <row r="779" spans="1:9" s="3" customFormat="1" ht="14.4" x14ac:dyDescent="0.3">
      <c r="A779"/>
      <c r="B779"/>
      <c r="C779"/>
      <c r="D779"/>
      <c r="E779"/>
      <c r="F779"/>
      <c r="G779"/>
      <c r="H779"/>
      <c r="I779"/>
    </row>
    <row r="780" spans="1:9" s="3" customFormat="1" ht="14.4" x14ac:dyDescent="0.3">
      <c r="A780"/>
      <c r="B780"/>
      <c r="C780"/>
      <c r="D780"/>
      <c r="E780"/>
      <c r="F780"/>
      <c r="G780"/>
      <c r="H780"/>
      <c r="I780"/>
    </row>
    <row r="781" spans="1:9" s="3" customFormat="1" ht="14.4" x14ac:dyDescent="0.3">
      <c r="A781"/>
      <c r="B781"/>
      <c r="C781"/>
      <c r="D781"/>
      <c r="E781"/>
      <c r="F781"/>
      <c r="G781"/>
      <c r="H781"/>
      <c r="I781"/>
    </row>
    <row r="782" spans="1:9" s="3" customFormat="1" ht="14.4" x14ac:dyDescent="0.3">
      <c r="A782"/>
      <c r="B782"/>
      <c r="C782"/>
      <c r="D782"/>
      <c r="E782"/>
      <c r="F782"/>
      <c r="G782"/>
      <c r="H782"/>
      <c r="I782"/>
    </row>
    <row r="783" spans="1:9" s="3" customFormat="1" ht="14.4" x14ac:dyDescent="0.3">
      <c r="A783"/>
      <c r="B783"/>
      <c r="C783"/>
      <c r="D783"/>
      <c r="E783"/>
      <c r="F783"/>
      <c r="G783"/>
      <c r="H783"/>
      <c r="I783"/>
    </row>
    <row r="784" spans="1:9" s="3" customFormat="1" ht="14.4" x14ac:dyDescent="0.3">
      <c r="A784"/>
      <c r="B784"/>
      <c r="C784"/>
      <c r="D784"/>
      <c r="E784"/>
      <c r="F784"/>
      <c r="G784"/>
      <c r="H784"/>
      <c r="I784"/>
    </row>
    <row r="785" spans="1:9" s="3" customFormat="1" ht="14.4" x14ac:dyDescent="0.3">
      <c r="A785"/>
      <c r="B785"/>
      <c r="C785"/>
      <c r="D785"/>
      <c r="E785"/>
      <c r="F785"/>
      <c r="G785"/>
      <c r="H785"/>
      <c r="I785"/>
    </row>
    <row r="786" spans="1:9" s="3" customFormat="1" ht="14.4" x14ac:dyDescent="0.3">
      <c r="A786"/>
      <c r="B786"/>
      <c r="C786"/>
      <c r="D786"/>
      <c r="E786"/>
      <c r="F786"/>
      <c r="G786"/>
      <c r="H786"/>
      <c r="I786"/>
    </row>
    <row r="787" spans="1:9" s="3" customFormat="1" ht="14.4" x14ac:dyDescent="0.3">
      <c r="A787"/>
      <c r="B787"/>
      <c r="C787"/>
      <c r="D787"/>
      <c r="E787"/>
      <c r="F787"/>
      <c r="G787"/>
      <c r="H787"/>
      <c r="I787"/>
    </row>
    <row r="788" spans="1:9" s="3" customFormat="1" ht="14.4" x14ac:dyDescent="0.3">
      <c r="A788"/>
      <c r="B788"/>
      <c r="C788"/>
      <c r="D788"/>
      <c r="E788"/>
      <c r="F788"/>
      <c r="G788"/>
      <c r="H788"/>
      <c r="I788"/>
    </row>
    <row r="789" spans="1:9" s="3" customFormat="1" ht="14.4" x14ac:dyDescent="0.3">
      <c r="A789"/>
      <c r="B789"/>
      <c r="C789"/>
      <c r="D789"/>
      <c r="E789"/>
      <c r="F789"/>
      <c r="G789"/>
      <c r="H789"/>
      <c r="I789"/>
    </row>
    <row r="790" spans="1:9" s="3" customFormat="1" ht="14.4" x14ac:dyDescent="0.3">
      <c r="A790"/>
      <c r="B790"/>
      <c r="C790"/>
      <c r="D790"/>
      <c r="E790"/>
      <c r="F790"/>
      <c r="G790"/>
      <c r="H790"/>
      <c r="I790"/>
    </row>
    <row r="791" spans="1:9" s="3" customFormat="1" ht="14.4" x14ac:dyDescent="0.3">
      <c r="A791"/>
      <c r="B791"/>
      <c r="C791"/>
      <c r="D791"/>
      <c r="E791"/>
      <c r="F791"/>
      <c r="G791"/>
      <c r="H791"/>
      <c r="I791"/>
    </row>
    <row r="792" spans="1:9" s="3" customFormat="1" ht="14.4" x14ac:dyDescent="0.3">
      <c r="A792"/>
      <c r="B792"/>
      <c r="C792"/>
      <c r="D792"/>
      <c r="E792"/>
      <c r="F792"/>
      <c r="G792"/>
      <c r="H792"/>
      <c r="I792"/>
    </row>
    <row r="793" spans="1:9" s="3" customFormat="1" ht="14.4" x14ac:dyDescent="0.3">
      <c r="A793"/>
      <c r="B793"/>
      <c r="C793"/>
      <c r="D793"/>
      <c r="E793"/>
      <c r="F793"/>
      <c r="G793"/>
      <c r="H793"/>
      <c r="I793"/>
    </row>
    <row r="794" spans="1:9" s="3" customFormat="1" ht="14.4" x14ac:dyDescent="0.3">
      <c r="A794"/>
      <c r="B794"/>
      <c r="C794"/>
      <c r="D794"/>
      <c r="E794"/>
      <c r="F794"/>
      <c r="G794"/>
      <c r="H794"/>
      <c r="I794"/>
    </row>
    <row r="795" spans="1:9" s="3" customFormat="1" ht="14.4" x14ac:dyDescent="0.3">
      <c r="A795"/>
      <c r="B795"/>
      <c r="C795"/>
      <c r="D795"/>
      <c r="E795"/>
      <c r="F795"/>
      <c r="G795"/>
      <c r="H795"/>
      <c r="I795"/>
    </row>
    <row r="796" spans="1:9" s="3" customFormat="1" ht="14.4" x14ac:dyDescent="0.3">
      <c r="A796"/>
      <c r="B796"/>
      <c r="C796"/>
      <c r="D796"/>
      <c r="E796"/>
      <c r="F796"/>
      <c r="G796"/>
      <c r="H796"/>
      <c r="I796"/>
    </row>
    <row r="797" spans="1:9" s="3" customFormat="1" ht="14.4" x14ac:dyDescent="0.3">
      <c r="A797"/>
      <c r="B797"/>
      <c r="C797"/>
      <c r="D797"/>
      <c r="E797"/>
      <c r="F797"/>
      <c r="G797"/>
      <c r="H797"/>
      <c r="I797"/>
    </row>
    <row r="798" spans="1:9" s="3" customFormat="1" ht="14.4" x14ac:dyDescent="0.3">
      <c r="A798"/>
      <c r="B798"/>
      <c r="C798"/>
      <c r="D798"/>
      <c r="E798"/>
      <c r="F798"/>
      <c r="G798"/>
      <c r="H798"/>
      <c r="I798"/>
    </row>
    <row r="799" spans="1:9" s="3" customFormat="1" ht="14.4" x14ac:dyDescent="0.3">
      <c r="A799"/>
      <c r="B799"/>
      <c r="C799"/>
      <c r="D799"/>
      <c r="E799"/>
      <c r="F799"/>
      <c r="G799"/>
      <c r="H799"/>
      <c r="I799"/>
    </row>
    <row r="800" spans="1:9" s="3" customFormat="1" ht="14.4" x14ac:dyDescent="0.3">
      <c r="A800"/>
      <c r="B800"/>
      <c r="C800"/>
      <c r="D800"/>
      <c r="E800"/>
      <c r="F800"/>
      <c r="G800"/>
      <c r="H800"/>
      <c r="I800"/>
    </row>
    <row r="801" spans="1:9" s="3" customFormat="1" ht="14.4" x14ac:dyDescent="0.3">
      <c r="A801"/>
      <c r="B801"/>
      <c r="C801"/>
      <c r="D801"/>
      <c r="E801"/>
      <c r="F801"/>
      <c r="G801"/>
      <c r="H801"/>
      <c r="I801"/>
    </row>
    <row r="802" spans="1:9" s="3" customFormat="1" ht="14.4" x14ac:dyDescent="0.3">
      <c r="A802"/>
      <c r="B802"/>
      <c r="C802"/>
      <c r="D802"/>
      <c r="E802"/>
      <c r="F802"/>
      <c r="G802"/>
      <c r="H802"/>
      <c r="I802"/>
    </row>
    <row r="803" spans="1:9" s="3" customFormat="1" ht="14.4" x14ac:dyDescent="0.3">
      <c r="A803"/>
      <c r="B803"/>
      <c r="C803"/>
      <c r="D803"/>
      <c r="E803"/>
      <c r="F803"/>
      <c r="G803"/>
      <c r="H803"/>
      <c r="I803"/>
    </row>
    <row r="804" spans="1:9" s="3" customFormat="1" ht="14.4" x14ac:dyDescent="0.3">
      <c r="A804"/>
      <c r="B804"/>
      <c r="C804"/>
      <c r="D804"/>
      <c r="E804"/>
      <c r="F804"/>
      <c r="G804"/>
      <c r="H804"/>
      <c r="I804"/>
    </row>
    <row r="805" spans="1:9" s="3" customFormat="1" ht="14.4" x14ac:dyDescent="0.3">
      <c r="A805"/>
      <c r="B805"/>
      <c r="C805"/>
      <c r="D805"/>
      <c r="E805"/>
      <c r="F805"/>
      <c r="G805"/>
      <c r="H805"/>
      <c r="I805"/>
    </row>
    <row r="806" spans="1:9" s="3" customFormat="1" ht="14.4" x14ac:dyDescent="0.3">
      <c r="A806"/>
      <c r="B806"/>
      <c r="C806"/>
      <c r="D806"/>
      <c r="E806"/>
      <c r="F806"/>
      <c r="G806"/>
      <c r="H806"/>
      <c r="I806"/>
    </row>
    <row r="807" spans="1:9" s="3" customFormat="1" ht="14.4" x14ac:dyDescent="0.3">
      <c r="A807"/>
      <c r="B807"/>
      <c r="C807"/>
      <c r="D807"/>
      <c r="E807"/>
      <c r="F807"/>
      <c r="G807"/>
      <c r="H807"/>
      <c r="I807"/>
    </row>
    <row r="808" spans="1:9" s="3" customFormat="1" ht="14.4" x14ac:dyDescent="0.3">
      <c r="A808"/>
      <c r="B808"/>
      <c r="C808"/>
      <c r="D808"/>
      <c r="E808"/>
      <c r="F808"/>
      <c r="G808"/>
      <c r="H808"/>
      <c r="I808"/>
    </row>
    <row r="809" spans="1:9" s="3" customFormat="1" ht="14.4" x14ac:dyDescent="0.3">
      <c r="A809"/>
      <c r="B809"/>
      <c r="C809"/>
      <c r="D809"/>
      <c r="E809"/>
      <c r="F809"/>
      <c r="G809"/>
      <c r="H809"/>
      <c r="I809"/>
    </row>
    <row r="810" spans="1:9" s="3" customFormat="1" ht="14.4" x14ac:dyDescent="0.3">
      <c r="A810"/>
      <c r="B810"/>
      <c r="C810"/>
      <c r="D810"/>
      <c r="E810"/>
      <c r="F810"/>
      <c r="G810"/>
      <c r="H810"/>
      <c r="I810"/>
    </row>
    <row r="811" spans="1:9" s="3" customFormat="1" ht="14.4" x14ac:dyDescent="0.3">
      <c r="A811"/>
      <c r="B811"/>
      <c r="C811"/>
      <c r="D811"/>
      <c r="E811"/>
      <c r="F811"/>
      <c r="G811"/>
      <c r="H811"/>
      <c r="I811"/>
    </row>
    <row r="812" spans="1:9" s="3" customFormat="1" ht="14.4" x14ac:dyDescent="0.3">
      <c r="A812"/>
      <c r="B812"/>
      <c r="C812"/>
      <c r="D812"/>
      <c r="E812"/>
      <c r="F812"/>
      <c r="G812"/>
      <c r="H812"/>
      <c r="I812"/>
    </row>
    <row r="813" spans="1:9" s="3" customFormat="1" ht="14.4" x14ac:dyDescent="0.3">
      <c r="A813"/>
      <c r="B813"/>
      <c r="C813"/>
      <c r="D813"/>
      <c r="E813"/>
      <c r="F813"/>
      <c r="G813"/>
      <c r="H813"/>
      <c r="I813"/>
    </row>
    <row r="814" spans="1:9" s="3" customFormat="1" ht="14.4" x14ac:dyDescent="0.3">
      <c r="A814"/>
      <c r="B814"/>
      <c r="C814"/>
      <c r="D814"/>
      <c r="E814"/>
      <c r="F814"/>
      <c r="G814"/>
      <c r="H814"/>
      <c r="I814"/>
    </row>
    <row r="815" spans="1:9" s="3" customFormat="1" ht="14.4" x14ac:dyDescent="0.3">
      <c r="A815"/>
      <c r="B815"/>
      <c r="C815"/>
      <c r="D815"/>
      <c r="E815"/>
      <c r="F815"/>
      <c r="G815"/>
      <c r="H815"/>
      <c r="I815"/>
    </row>
    <row r="816" spans="1:9" s="3" customFormat="1" ht="14.4" x14ac:dyDescent="0.3">
      <c r="A816"/>
      <c r="B816"/>
      <c r="C816"/>
      <c r="D816"/>
      <c r="E816"/>
      <c r="F816"/>
      <c r="G816"/>
      <c r="H816"/>
      <c r="I816"/>
    </row>
    <row r="817" spans="1:9" s="3" customFormat="1" ht="14.4" x14ac:dyDescent="0.3">
      <c r="A817"/>
      <c r="B817"/>
      <c r="C817"/>
      <c r="D817"/>
      <c r="E817"/>
      <c r="F817"/>
      <c r="G817"/>
      <c r="H817"/>
      <c r="I817"/>
    </row>
    <row r="818" spans="1:9" s="3" customFormat="1" ht="14.4" x14ac:dyDescent="0.3">
      <c r="A818"/>
      <c r="B818"/>
      <c r="C818"/>
      <c r="D818"/>
      <c r="E818"/>
      <c r="F818"/>
      <c r="G818"/>
      <c r="H818"/>
      <c r="I818"/>
    </row>
    <row r="819" spans="1:9" s="3" customFormat="1" ht="14.4" x14ac:dyDescent="0.3">
      <c r="A819"/>
      <c r="B819"/>
      <c r="C819"/>
      <c r="D819"/>
      <c r="E819"/>
      <c r="F819"/>
      <c r="G819"/>
      <c r="H819"/>
      <c r="I819"/>
    </row>
    <row r="820" spans="1:9" s="3" customFormat="1" ht="14.4" x14ac:dyDescent="0.3">
      <c r="A820"/>
      <c r="B820"/>
      <c r="C820"/>
      <c r="D820"/>
      <c r="E820"/>
      <c r="F820"/>
      <c r="G820"/>
      <c r="H820"/>
      <c r="I820"/>
    </row>
    <row r="821" spans="1:9" s="3" customFormat="1" ht="14.4" x14ac:dyDescent="0.3">
      <c r="A821"/>
      <c r="B821"/>
      <c r="C821"/>
      <c r="D821"/>
      <c r="E821"/>
      <c r="F821"/>
      <c r="G821"/>
      <c r="H821"/>
      <c r="I821"/>
    </row>
    <row r="822" spans="1:9" s="3" customFormat="1" ht="14.4" x14ac:dyDescent="0.3">
      <c r="A822"/>
      <c r="B822"/>
      <c r="C822"/>
      <c r="D822"/>
      <c r="E822"/>
      <c r="F822"/>
      <c r="G822"/>
      <c r="H822"/>
      <c r="I822"/>
    </row>
    <row r="823" spans="1:9" s="3" customFormat="1" ht="14.4" x14ac:dyDescent="0.3">
      <c r="A823"/>
      <c r="B823"/>
      <c r="C823"/>
      <c r="D823"/>
      <c r="E823"/>
      <c r="F823"/>
      <c r="G823"/>
      <c r="H823"/>
      <c r="I823"/>
    </row>
    <row r="824" spans="1:9" s="3" customFormat="1" ht="14.4" x14ac:dyDescent="0.3">
      <c r="A824"/>
      <c r="B824"/>
      <c r="C824"/>
      <c r="D824"/>
      <c r="E824"/>
      <c r="F824"/>
      <c r="G824"/>
      <c r="H824"/>
      <c r="I824"/>
    </row>
    <row r="825" spans="1:9" s="3" customFormat="1" ht="14.4" x14ac:dyDescent="0.3">
      <c r="A825"/>
      <c r="B825"/>
      <c r="C825"/>
      <c r="D825"/>
      <c r="E825"/>
      <c r="F825"/>
      <c r="G825"/>
      <c r="H825"/>
      <c r="I825"/>
    </row>
    <row r="826" spans="1:9" s="3" customFormat="1" ht="14.4" x14ac:dyDescent="0.3">
      <c r="A826"/>
      <c r="B826"/>
      <c r="C826"/>
      <c r="D826"/>
      <c r="E826"/>
      <c r="F826"/>
      <c r="G826"/>
      <c r="H826"/>
      <c r="I826"/>
    </row>
    <row r="827" spans="1:9" s="3" customFormat="1" ht="14.4" x14ac:dyDescent="0.3">
      <c r="A827"/>
      <c r="B827"/>
      <c r="C827"/>
      <c r="D827"/>
      <c r="E827"/>
      <c r="F827"/>
      <c r="G827"/>
      <c r="H827"/>
      <c r="I827"/>
    </row>
    <row r="828" spans="1:9" s="3" customFormat="1" ht="14.4" x14ac:dyDescent="0.3">
      <c r="A828"/>
      <c r="B828"/>
      <c r="C828"/>
      <c r="D828"/>
      <c r="E828"/>
      <c r="F828"/>
      <c r="G828"/>
      <c r="H828"/>
      <c r="I828"/>
    </row>
    <row r="829" spans="1:9" s="3" customFormat="1" ht="14.4" x14ac:dyDescent="0.3">
      <c r="A829"/>
      <c r="B829"/>
      <c r="C829"/>
      <c r="D829"/>
      <c r="E829"/>
      <c r="F829"/>
      <c r="G829"/>
      <c r="H829"/>
      <c r="I829"/>
    </row>
    <row r="830" spans="1:9" s="3" customFormat="1" ht="14.4" x14ac:dyDescent="0.3">
      <c r="A830"/>
      <c r="B830"/>
      <c r="C830"/>
      <c r="D830"/>
      <c r="E830"/>
      <c r="F830"/>
      <c r="G830"/>
      <c r="H830"/>
      <c r="I830"/>
    </row>
    <row r="831" spans="1:9" s="3" customFormat="1" ht="14.4" x14ac:dyDescent="0.3">
      <c r="A831"/>
      <c r="B831"/>
      <c r="C831"/>
      <c r="D831"/>
      <c r="E831"/>
      <c r="F831"/>
      <c r="G831"/>
      <c r="H831"/>
      <c r="I831"/>
    </row>
    <row r="832" spans="1:9" s="3" customFormat="1" ht="14.4" x14ac:dyDescent="0.3">
      <c r="A832"/>
      <c r="B832"/>
      <c r="C832"/>
      <c r="D832"/>
      <c r="E832"/>
      <c r="F832"/>
      <c r="G832"/>
      <c r="H832"/>
      <c r="I832"/>
    </row>
    <row r="833" spans="1:9" s="3" customFormat="1" ht="14.4" x14ac:dyDescent="0.3">
      <c r="A833"/>
      <c r="B833"/>
      <c r="C833"/>
      <c r="D833"/>
      <c r="E833"/>
      <c r="F833"/>
      <c r="G833"/>
      <c r="H833"/>
      <c r="I833"/>
    </row>
    <row r="834" spans="1:9" s="3" customFormat="1" ht="14.4" x14ac:dyDescent="0.3">
      <c r="A834"/>
      <c r="B834"/>
      <c r="C834"/>
      <c r="D834"/>
      <c r="E834"/>
      <c r="F834"/>
      <c r="G834"/>
      <c r="H834"/>
      <c r="I834"/>
    </row>
    <row r="835" spans="1:9" s="3" customFormat="1" ht="14.4" x14ac:dyDescent="0.3">
      <c r="A835"/>
      <c r="B835"/>
      <c r="C835"/>
      <c r="D835"/>
      <c r="E835"/>
      <c r="F835"/>
      <c r="G835"/>
      <c r="H835"/>
      <c r="I835"/>
    </row>
    <row r="836" spans="1:9" s="3" customFormat="1" ht="14.4" x14ac:dyDescent="0.3">
      <c r="A836"/>
      <c r="B836"/>
      <c r="C836"/>
      <c r="D836"/>
      <c r="E836"/>
      <c r="F836"/>
      <c r="G836"/>
      <c r="H836"/>
      <c r="I836"/>
    </row>
    <row r="837" spans="1:9" s="3" customFormat="1" ht="14.4" x14ac:dyDescent="0.3">
      <c r="A837"/>
      <c r="B837"/>
      <c r="C837"/>
      <c r="D837"/>
      <c r="E837"/>
      <c r="F837"/>
      <c r="G837"/>
      <c r="H837"/>
      <c r="I837"/>
    </row>
    <row r="838" spans="1:9" s="3" customFormat="1" ht="14.4" x14ac:dyDescent="0.3">
      <c r="A838"/>
      <c r="B838"/>
      <c r="C838"/>
      <c r="D838"/>
      <c r="E838"/>
      <c r="F838"/>
      <c r="G838"/>
      <c r="H838"/>
      <c r="I838"/>
    </row>
    <row r="839" spans="1:9" s="3" customFormat="1" ht="14.4" x14ac:dyDescent="0.3">
      <c r="A839"/>
      <c r="B839"/>
      <c r="C839"/>
      <c r="D839"/>
      <c r="E839"/>
      <c r="F839"/>
      <c r="G839"/>
      <c r="H839"/>
      <c r="I839"/>
    </row>
    <row r="840" spans="1:9" s="3" customFormat="1" ht="14.4" x14ac:dyDescent="0.3">
      <c r="A840"/>
      <c r="B840"/>
      <c r="C840"/>
      <c r="D840"/>
      <c r="E840"/>
      <c r="F840"/>
      <c r="G840"/>
      <c r="H840"/>
      <c r="I840"/>
    </row>
    <row r="841" spans="1:9" s="3" customFormat="1" ht="14.4" x14ac:dyDescent="0.3">
      <c r="A841"/>
      <c r="B841"/>
      <c r="C841"/>
      <c r="D841"/>
      <c r="E841"/>
      <c r="F841"/>
      <c r="G841"/>
      <c r="H841"/>
      <c r="I841"/>
    </row>
    <row r="842" spans="1:9" s="3" customFormat="1" ht="14.4" x14ac:dyDescent="0.3">
      <c r="A842"/>
      <c r="B842"/>
      <c r="C842"/>
      <c r="D842"/>
      <c r="E842"/>
      <c r="F842"/>
      <c r="G842"/>
      <c r="H842"/>
      <c r="I842"/>
    </row>
    <row r="843" spans="1:9" s="3" customFormat="1" ht="14.4" x14ac:dyDescent="0.3">
      <c r="A843"/>
      <c r="B843"/>
      <c r="C843"/>
      <c r="D843"/>
      <c r="E843"/>
      <c r="F843"/>
      <c r="G843"/>
      <c r="H843"/>
      <c r="I843"/>
    </row>
    <row r="844" spans="1:9" s="3" customFormat="1" ht="14.4" x14ac:dyDescent="0.3">
      <c r="A844"/>
      <c r="B844"/>
      <c r="C844"/>
      <c r="D844"/>
      <c r="E844"/>
      <c r="F844"/>
      <c r="G844"/>
      <c r="H844"/>
      <c r="I844"/>
    </row>
    <row r="845" spans="1:9" s="3" customFormat="1" ht="14.4" x14ac:dyDescent="0.3">
      <c r="A845"/>
      <c r="B845"/>
      <c r="C845"/>
      <c r="D845"/>
      <c r="E845"/>
      <c r="F845"/>
      <c r="G845"/>
      <c r="H845"/>
      <c r="I845"/>
    </row>
    <row r="846" spans="1:9" s="3" customFormat="1" ht="14.4" x14ac:dyDescent="0.3">
      <c r="A846"/>
      <c r="B846"/>
      <c r="C846"/>
      <c r="D846"/>
      <c r="E846"/>
      <c r="F846"/>
      <c r="G846"/>
      <c r="H846"/>
      <c r="I846"/>
    </row>
    <row r="847" spans="1:9" s="3" customFormat="1" ht="14.4" x14ac:dyDescent="0.3">
      <c r="A847"/>
      <c r="B847"/>
      <c r="C847"/>
      <c r="D847"/>
      <c r="E847"/>
      <c r="F847"/>
      <c r="G847"/>
      <c r="H847"/>
      <c r="I847"/>
    </row>
    <row r="848" spans="1:9" s="3" customFormat="1" ht="14.4" x14ac:dyDescent="0.3">
      <c r="A848"/>
      <c r="B848"/>
      <c r="C848"/>
      <c r="D848"/>
      <c r="E848"/>
      <c r="F848"/>
      <c r="G848"/>
      <c r="H848"/>
      <c r="I848"/>
    </row>
    <row r="849" spans="1:9" s="3" customFormat="1" ht="14.4" x14ac:dyDescent="0.3">
      <c r="A849"/>
      <c r="B849"/>
      <c r="C849"/>
      <c r="D849"/>
      <c r="E849"/>
      <c r="F849"/>
      <c r="G849"/>
      <c r="H849"/>
      <c r="I849"/>
    </row>
    <row r="850" spans="1:9" s="3" customFormat="1" ht="14.4" x14ac:dyDescent="0.3">
      <c r="A850"/>
      <c r="B850"/>
      <c r="C850"/>
      <c r="D850"/>
      <c r="E850"/>
      <c r="F850"/>
      <c r="G850"/>
      <c r="H850"/>
      <c r="I850"/>
    </row>
    <row r="851" spans="1:9" s="3" customFormat="1" ht="14.4" x14ac:dyDescent="0.3">
      <c r="A851"/>
      <c r="B851"/>
      <c r="C851"/>
      <c r="D851"/>
      <c r="E851"/>
      <c r="F851"/>
      <c r="G851"/>
      <c r="H851"/>
      <c r="I851"/>
    </row>
    <row r="852" spans="1:9" s="3" customFormat="1" ht="14.4" x14ac:dyDescent="0.3">
      <c r="A852"/>
      <c r="B852"/>
      <c r="C852"/>
      <c r="D852"/>
      <c r="E852"/>
      <c r="F852"/>
      <c r="G852"/>
      <c r="H852"/>
      <c r="I852"/>
    </row>
    <row r="853" spans="1:9" s="3" customFormat="1" ht="14.4" x14ac:dyDescent="0.3">
      <c r="A853"/>
      <c r="B853"/>
      <c r="C853"/>
      <c r="D853"/>
      <c r="E853"/>
      <c r="F853"/>
      <c r="G853"/>
      <c r="H853"/>
      <c r="I853"/>
    </row>
    <row r="854" spans="1:9" s="3" customFormat="1" ht="14.4" x14ac:dyDescent="0.3">
      <c r="A854"/>
      <c r="B854"/>
      <c r="C854"/>
      <c r="D854"/>
      <c r="E854"/>
      <c r="F854"/>
      <c r="G854"/>
      <c r="H854"/>
      <c r="I854"/>
    </row>
    <row r="855" spans="1:9" s="3" customFormat="1" ht="14.4" x14ac:dyDescent="0.3">
      <c r="A855"/>
      <c r="B855"/>
      <c r="C855"/>
      <c r="D855"/>
      <c r="E855"/>
      <c r="F855"/>
      <c r="G855"/>
      <c r="H855"/>
      <c r="I855"/>
    </row>
    <row r="856" spans="1:9" s="3" customFormat="1" ht="14.4" x14ac:dyDescent="0.3">
      <c r="A856"/>
      <c r="B856"/>
      <c r="C856"/>
      <c r="D856"/>
      <c r="E856"/>
      <c r="F856"/>
      <c r="G856"/>
      <c r="H856"/>
      <c r="I856"/>
    </row>
    <row r="857" spans="1:9" s="3" customFormat="1" ht="14.4" x14ac:dyDescent="0.3">
      <c r="A857"/>
      <c r="B857"/>
      <c r="C857"/>
      <c r="D857"/>
      <c r="E857"/>
      <c r="F857"/>
      <c r="G857"/>
      <c r="H857"/>
      <c r="I857"/>
    </row>
    <row r="858" spans="1:9" s="3" customFormat="1" ht="14.4" x14ac:dyDescent="0.3">
      <c r="A858"/>
      <c r="B858"/>
      <c r="C858"/>
      <c r="D858"/>
      <c r="E858"/>
      <c r="F858"/>
      <c r="G858"/>
      <c r="H858"/>
      <c r="I858"/>
    </row>
    <row r="859" spans="1:9" s="3" customFormat="1" ht="14.4" x14ac:dyDescent="0.3">
      <c r="A859"/>
      <c r="B859"/>
      <c r="C859"/>
      <c r="D859"/>
      <c r="E859"/>
      <c r="F859"/>
      <c r="G859"/>
      <c r="H859"/>
      <c r="I859"/>
    </row>
    <row r="860" spans="1:9" s="3" customFormat="1" ht="14.4" x14ac:dyDescent="0.3">
      <c r="A860"/>
      <c r="B860"/>
      <c r="C860"/>
      <c r="D860"/>
      <c r="E860"/>
      <c r="F860"/>
      <c r="G860"/>
      <c r="H860"/>
      <c r="I860"/>
    </row>
    <row r="861" spans="1:9" s="3" customFormat="1" ht="14.4" x14ac:dyDescent="0.3">
      <c r="A861"/>
      <c r="B861"/>
      <c r="C861"/>
      <c r="D861"/>
      <c r="E861"/>
      <c r="F861"/>
      <c r="G861"/>
      <c r="H861"/>
      <c r="I861"/>
    </row>
    <row r="862" spans="1:9" s="3" customFormat="1" ht="14.4" x14ac:dyDescent="0.3">
      <c r="A862"/>
      <c r="B862"/>
      <c r="C862"/>
      <c r="D862"/>
      <c r="E862"/>
      <c r="F862"/>
      <c r="G862"/>
      <c r="H862"/>
      <c r="I862"/>
    </row>
    <row r="863" spans="1:9" s="3" customFormat="1" ht="14.4" x14ac:dyDescent="0.3">
      <c r="A863"/>
      <c r="B863"/>
      <c r="C863"/>
      <c r="D863"/>
      <c r="E863"/>
      <c r="F863"/>
      <c r="G863"/>
      <c r="H863"/>
      <c r="I863"/>
    </row>
    <row r="864" spans="1:9" s="3" customFormat="1" ht="14.4" x14ac:dyDescent="0.3">
      <c r="A864"/>
      <c r="B864"/>
      <c r="C864"/>
      <c r="D864"/>
      <c r="E864"/>
      <c r="F864"/>
      <c r="G864"/>
      <c r="H864"/>
      <c r="I864"/>
    </row>
    <row r="865" spans="1:9" s="3" customFormat="1" ht="14.4" x14ac:dyDescent="0.3">
      <c r="A865"/>
      <c r="B865"/>
      <c r="C865"/>
      <c r="D865"/>
      <c r="E865"/>
      <c r="F865"/>
      <c r="G865"/>
      <c r="H865"/>
      <c r="I865"/>
    </row>
    <row r="866" spans="1:9" s="3" customFormat="1" ht="14.4" x14ac:dyDescent="0.3">
      <c r="A866"/>
      <c r="B866"/>
      <c r="C866"/>
      <c r="D866"/>
      <c r="E866"/>
      <c r="F866"/>
      <c r="G866"/>
      <c r="H866"/>
      <c r="I866"/>
    </row>
    <row r="867" spans="1:9" s="3" customFormat="1" ht="14.4" x14ac:dyDescent="0.3">
      <c r="A867"/>
      <c r="B867"/>
      <c r="C867"/>
      <c r="D867"/>
      <c r="E867"/>
      <c r="F867"/>
      <c r="G867"/>
      <c r="H867"/>
      <c r="I867"/>
    </row>
    <row r="868" spans="1:9" s="3" customFormat="1" ht="14.4" x14ac:dyDescent="0.3">
      <c r="A868"/>
      <c r="B868"/>
      <c r="C868"/>
      <c r="D868"/>
      <c r="E868"/>
      <c r="F868"/>
      <c r="G868"/>
      <c r="H868"/>
      <c r="I868"/>
    </row>
    <row r="869" spans="1:9" s="3" customFormat="1" ht="14.4" x14ac:dyDescent="0.3">
      <c r="A869"/>
      <c r="B869"/>
      <c r="C869"/>
      <c r="D869"/>
      <c r="E869"/>
      <c r="F869"/>
      <c r="G869"/>
      <c r="H869"/>
      <c r="I869"/>
    </row>
    <row r="870" spans="1:9" s="3" customFormat="1" ht="14.4" x14ac:dyDescent="0.3">
      <c r="A870"/>
      <c r="B870"/>
      <c r="C870"/>
      <c r="D870"/>
      <c r="E870"/>
      <c r="F870"/>
      <c r="G870"/>
      <c r="H870"/>
      <c r="I870"/>
    </row>
    <row r="871" spans="1:9" s="3" customFormat="1" ht="14.4" x14ac:dyDescent="0.3">
      <c r="A871"/>
      <c r="B871"/>
      <c r="C871"/>
      <c r="D871"/>
      <c r="E871"/>
      <c r="F871"/>
      <c r="G871"/>
      <c r="H871"/>
      <c r="I871"/>
    </row>
    <row r="872" spans="1:9" s="3" customFormat="1" ht="14.4" x14ac:dyDescent="0.3">
      <c r="A872"/>
      <c r="B872"/>
      <c r="C872"/>
      <c r="D872"/>
      <c r="E872"/>
      <c r="F872"/>
      <c r="G872"/>
      <c r="H872"/>
      <c r="I872"/>
    </row>
    <row r="873" spans="1:9" s="3" customFormat="1" ht="14.4" x14ac:dyDescent="0.3">
      <c r="A873"/>
      <c r="B873"/>
      <c r="C873"/>
      <c r="D873"/>
      <c r="E873"/>
      <c r="F873"/>
      <c r="G873"/>
      <c r="H873"/>
      <c r="I873"/>
    </row>
    <row r="874" spans="1:9" s="3" customFormat="1" ht="14.4" x14ac:dyDescent="0.3">
      <c r="A874"/>
      <c r="B874"/>
      <c r="C874"/>
      <c r="D874"/>
      <c r="E874"/>
      <c r="F874"/>
      <c r="G874"/>
      <c r="H874"/>
      <c r="I874"/>
    </row>
    <row r="875" spans="1:9" s="3" customFormat="1" ht="14.4" x14ac:dyDescent="0.3">
      <c r="A875"/>
      <c r="B875"/>
      <c r="C875"/>
      <c r="D875"/>
      <c r="E875"/>
      <c r="F875"/>
      <c r="G875"/>
      <c r="H875"/>
      <c r="I875"/>
    </row>
    <row r="876" spans="1:9" s="3" customFormat="1" ht="14.4" x14ac:dyDescent="0.3">
      <c r="A876"/>
      <c r="B876"/>
      <c r="C876"/>
      <c r="D876"/>
      <c r="E876"/>
      <c r="F876"/>
      <c r="G876"/>
      <c r="H876"/>
      <c r="I876"/>
    </row>
    <row r="877" spans="1:9" s="3" customFormat="1" ht="14.4" x14ac:dyDescent="0.3">
      <c r="A877"/>
      <c r="B877"/>
      <c r="C877"/>
      <c r="D877"/>
      <c r="E877"/>
      <c r="F877"/>
      <c r="G877"/>
      <c r="H877"/>
      <c r="I877"/>
    </row>
    <row r="878" spans="1:9" s="3" customFormat="1" ht="14.4" x14ac:dyDescent="0.3">
      <c r="A878"/>
      <c r="B878"/>
      <c r="C878"/>
      <c r="D878"/>
      <c r="E878"/>
      <c r="F878"/>
      <c r="G878"/>
      <c r="H878"/>
      <c r="I878"/>
    </row>
    <row r="879" spans="1:9" s="3" customFormat="1" ht="14.4" x14ac:dyDescent="0.3">
      <c r="A879"/>
      <c r="B879"/>
      <c r="C879"/>
      <c r="D879"/>
      <c r="E879"/>
      <c r="F879"/>
      <c r="G879"/>
      <c r="H879"/>
      <c r="I879"/>
    </row>
    <row r="880" spans="1:9" s="3" customFormat="1" ht="14.4" x14ac:dyDescent="0.3">
      <c r="A880"/>
      <c r="B880"/>
      <c r="C880"/>
      <c r="D880"/>
      <c r="E880"/>
      <c r="F880"/>
      <c r="G880"/>
      <c r="H880"/>
      <c r="I880"/>
    </row>
    <row r="881" spans="1:9" s="3" customFormat="1" ht="14.4" x14ac:dyDescent="0.3">
      <c r="A881"/>
      <c r="B881"/>
      <c r="C881"/>
      <c r="D881"/>
      <c r="E881"/>
      <c r="F881"/>
      <c r="G881"/>
      <c r="H881"/>
      <c r="I881"/>
    </row>
    <row r="882" spans="1:9" s="3" customFormat="1" ht="14.4" x14ac:dyDescent="0.3">
      <c r="A882"/>
      <c r="B882"/>
      <c r="C882"/>
      <c r="D882"/>
      <c r="E882"/>
      <c r="F882"/>
      <c r="G882"/>
      <c r="H882"/>
      <c r="I882"/>
    </row>
    <row r="883" spans="1:9" s="3" customFormat="1" ht="14.4" x14ac:dyDescent="0.3">
      <c r="A883"/>
      <c r="B883"/>
      <c r="C883"/>
      <c r="D883"/>
      <c r="E883"/>
      <c r="F883"/>
      <c r="G883"/>
      <c r="H883"/>
      <c r="I883"/>
    </row>
    <row r="884" spans="1:9" s="3" customFormat="1" ht="14.4" x14ac:dyDescent="0.3">
      <c r="A884"/>
      <c r="B884"/>
      <c r="C884"/>
      <c r="D884"/>
      <c r="E884"/>
      <c r="F884"/>
      <c r="G884"/>
      <c r="H884"/>
      <c r="I884"/>
    </row>
    <row r="885" spans="1:9" s="3" customFormat="1" ht="14.4" x14ac:dyDescent="0.3">
      <c r="A885"/>
      <c r="B885"/>
      <c r="C885"/>
      <c r="D885"/>
      <c r="E885"/>
      <c r="F885"/>
      <c r="G885"/>
      <c r="H885"/>
      <c r="I885"/>
    </row>
    <row r="886" spans="1:9" s="3" customFormat="1" ht="14.4" x14ac:dyDescent="0.3">
      <c r="A886"/>
      <c r="B886"/>
      <c r="C886"/>
      <c r="D886"/>
      <c r="E886"/>
      <c r="F886"/>
      <c r="G886"/>
      <c r="H886"/>
      <c r="I886"/>
    </row>
    <row r="887" spans="1:9" s="3" customFormat="1" ht="14.4" x14ac:dyDescent="0.3">
      <c r="A887"/>
      <c r="B887"/>
      <c r="C887"/>
      <c r="D887"/>
      <c r="E887"/>
      <c r="F887"/>
      <c r="G887"/>
      <c r="H887"/>
      <c r="I887"/>
    </row>
    <row r="888" spans="1:9" s="3" customFormat="1" ht="14.4" x14ac:dyDescent="0.3">
      <c r="A888"/>
      <c r="B888"/>
      <c r="C888"/>
      <c r="D888"/>
      <c r="E888"/>
      <c r="F888"/>
      <c r="G888"/>
      <c r="H888"/>
      <c r="I888"/>
    </row>
    <row r="889" spans="1:9" s="3" customFormat="1" ht="14.4" x14ac:dyDescent="0.3">
      <c r="A889"/>
      <c r="B889"/>
      <c r="C889"/>
      <c r="D889"/>
      <c r="E889"/>
      <c r="F889"/>
      <c r="G889"/>
      <c r="H889"/>
      <c r="I889"/>
    </row>
    <row r="890" spans="1:9" s="3" customFormat="1" ht="14.4" x14ac:dyDescent="0.3">
      <c r="A890"/>
      <c r="B890"/>
      <c r="C890"/>
      <c r="D890"/>
      <c r="E890"/>
      <c r="F890"/>
      <c r="G890"/>
      <c r="H890"/>
      <c r="I890"/>
    </row>
    <row r="891" spans="1:9" s="3" customFormat="1" ht="14.4" x14ac:dyDescent="0.3">
      <c r="A891"/>
      <c r="B891"/>
      <c r="C891"/>
      <c r="D891"/>
      <c r="E891"/>
      <c r="F891"/>
      <c r="G891"/>
      <c r="H891"/>
      <c r="I891"/>
    </row>
    <row r="892" spans="1:9" s="3" customFormat="1" ht="14.4" x14ac:dyDescent="0.3">
      <c r="A892"/>
      <c r="B892"/>
      <c r="C892"/>
      <c r="D892"/>
      <c r="E892"/>
      <c r="F892"/>
      <c r="G892"/>
      <c r="H892"/>
      <c r="I892"/>
    </row>
    <row r="893" spans="1:9" s="3" customFormat="1" ht="14.4" x14ac:dyDescent="0.3">
      <c r="A893"/>
      <c r="B893"/>
      <c r="C893"/>
      <c r="D893"/>
      <c r="E893"/>
      <c r="F893"/>
      <c r="G893"/>
      <c r="H893"/>
      <c r="I893"/>
    </row>
    <row r="894" spans="1:9" s="3" customFormat="1" ht="14.4" x14ac:dyDescent="0.3">
      <c r="A894"/>
      <c r="B894"/>
      <c r="C894"/>
      <c r="D894"/>
      <c r="E894"/>
      <c r="F894"/>
      <c r="G894"/>
      <c r="H894"/>
      <c r="I894"/>
    </row>
    <row r="895" spans="1:9" s="3" customFormat="1" ht="14.4" x14ac:dyDescent="0.3">
      <c r="A895"/>
      <c r="B895"/>
      <c r="C895"/>
      <c r="D895"/>
      <c r="E895"/>
      <c r="F895"/>
      <c r="G895"/>
      <c r="H895"/>
      <c r="I895"/>
    </row>
    <row r="896" spans="1:9" s="3" customFormat="1" ht="14.4" x14ac:dyDescent="0.3">
      <c r="A896"/>
      <c r="B896"/>
      <c r="C896"/>
      <c r="D896"/>
      <c r="E896"/>
      <c r="F896"/>
      <c r="G896"/>
      <c r="H896"/>
      <c r="I896"/>
    </row>
    <row r="897" spans="1:9" s="3" customFormat="1" ht="14.4" x14ac:dyDescent="0.3">
      <c r="A897"/>
      <c r="B897"/>
      <c r="C897"/>
      <c r="D897"/>
      <c r="E897"/>
      <c r="F897"/>
      <c r="G897"/>
      <c r="H897"/>
      <c r="I897"/>
    </row>
    <row r="898" spans="1:9" s="3" customFormat="1" ht="14.4" x14ac:dyDescent="0.3">
      <c r="A898"/>
      <c r="B898"/>
      <c r="C898"/>
      <c r="D898"/>
      <c r="E898"/>
      <c r="F898"/>
      <c r="G898"/>
      <c r="H898"/>
      <c r="I898"/>
    </row>
    <row r="899" spans="1:9" s="3" customFormat="1" ht="14.4" x14ac:dyDescent="0.3">
      <c r="A899"/>
      <c r="B899"/>
      <c r="C899"/>
      <c r="D899"/>
      <c r="E899"/>
      <c r="F899"/>
      <c r="G899"/>
      <c r="H899"/>
      <c r="I899"/>
    </row>
    <row r="900" spans="1:9" s="3" customFormat="1" ht="14.4" x14ac:dyDescent="0.3">
      <c r="A900"/>
      <c r="B900"/>
      <c r="C900"/>
      <c r="D900"/>
      <c r="E900"/>
      <c r="F900"/>
      <c r="G900"/>
      <c r="H900"/>
      <c r="I900"/>
    </row>
    <row r="901" spans="1:9" s="3" customFormat="1" ht="14.4" x14ac:dyDescent="0.3">
      <c r="A901"/>
      <c r="B901"/>
      <c r="C901"/>
      <c r="D901"/>
      <c r="E901"/>
      <c r="F901"/>
      <c r="G901"/>
      <c r="H901"/>
      <c r="I901"/>
    </row>
    <row r="902" spans="1:9" s="3" customFormat="1" ht="14.4" x14ac:dyDescent="0.3">
      <c r="A902"/>
      <c r="B902"/>
      <c r="C902"/>
      <c r="D902"/>
      <c r="E902"/>
      <c r="F902"/>
      <c r="G902"/>
      <c r="H902"/>
      <c r="I902"/>
    </row>
    <row r="903" spans="1:9" s="3" customFormat="1" ht="14.4" x14ac:dyDescent="0.3">
      <c r="A903"/>
      <c r="B903"/>
      <c r="C903"/>
      <c r="D903"/>
      <c r="E903"/>
      <c r="F903"/>
      <c r="G903"/>
      <c r="H903"/>
      <c r="I903"/>
    </row>
    <row r="904" spans="1:9" s="3" customFormat="1" ht="14.4" x14ac:dyDescent="0.3">
      <c r="A904"/>
      <c r="B904"/>
      <c r="C904"/>
      <c r="D904"/>
      <c r="E904"/>
      <c r="F904"/>
      <c r="G904"/>
      <c r="H904"/>
      <c r="I904"/>
    </row>
    <row r="905" spans="1:9" s="3" customFormat="1" ht="14.4" x14ac:dyDescent="0.3">
      <c r="A905"/>
      <c r="B905"/>
      <c r="C905"/>
      <c r="D905"/>
      <c r="E905"/>
      <c r="F905"/>
      <c r="G905"/>
      <c r="H905"/>
      <c r="I905"/>
    </row>
    <row r="906" spans="1:9" s="3" customFormat="1" ht="14.4" x14ac:dyDescent="0.3">
      <c r="A906"/>
      <c r="B906"/>
      <c r="C906"/>
      <c r="D906"/>
      <c r="E906"/>
      <c r="F906"/>
      <c r="G906"/>
      <c r="H906"/>
      <c r="I906"/>
    </row>
    <row r="907" spans="1:9" s="3" customFormat="1" ht="14.4" x14ac:dyDescent="0.3">
      <c r="A907"/>
      <c r="B907"/>
      <c r="C907"/>
      <c r="D907"/>
      <c r="E907"/>
      <c r="F907"/>
      <c r="G907"/>
      <c r="H907"/>
      <c r="I907"/>
    </row>
    <row r="908" spans="1:9" s="3" customFormat="1" ht="14.4" x14ac:dyDescent="0.3">
      <c r="A908"/>
      <c r="B908"/>
      <c r="C908"/>
      <c r="D908"/>
      <c r="E908"/>
      <c r="F908"/>
      <c r="G908"/>
      <c r="H908"/>
      <c r="I908"/>
    </row>
    <row r="909" spans="1:9" s="3" customFormat="1" ht="14.4" x14ac:dyDescent="0.3">
      <c r="A909"/>
      <c r="B909"/>
      <c r="C909"/>
      <c r="D909"/>
      <c r="E909"/>
      <c r="F909"/>
      <c r="G909"/>
      <c r="H909"/>
      <c r="I909"/>
    </row>
    <row r="910" spans="1:9" s="3" customFormat="1" ht="14.4" x14ac:dyDescent="0.3">
      <c r="A910"/>
      <c r="B910"/>
      <c r="C910"/>
      <c r="D910"/>
      <c r="E910"/>
      <c r="F910"/>
      <c r="G910"/>
      <c r="H910"/>
      <c r="I910"/>
    </row>
    <row r="911" spans="1:9" s="3" customFormat="1" ht="14.4" x14ac:dyDescent="0.3">
      <c r="A911"/>
      <c r="B911"/>
      <c r="C911"/>
      <c r="D911"/>
      <c r="E911"/>
      <c r="F911"/>
      <c r="G911"/>
      <c r="H911"/>
      <c r="I911"/>
    </row>
    <row r="912" spans="1:9" s="3" customFormat="1" ht="14.4" x14ac:dyDescent="0.3">
      <c r="A912"/>
      <c r="B912"/>
      <c r="C912"/>
      <c r="D912"/>
      <c r="E912"/>
      <c r="F912"/>
      <c r="G912"/>
      <c r="H912"/>
      <c r="I912"/>
    </row>
    <row r="913" spans="1:9" s="3" customFormat="1" ht="14.4" x14ac:dyDescent="0.3">
      <c r="A913"/>
      <c r="B913"/>
      <c r="C913"/>
      <c r="D913"/>
      <c r="E913"/>
      <c r="F913"/>
      <c r="G913"/>
      <c r="H913"/>
      <c r="I913"/>
    </row>
    <row r="914" spans="1:9" s="3" customFormat="1" ht="14.4" x14ac:dyDescent="0.3">
      <c r="A914"/>
      <c r="B914"/>
      <c r="C914"/>
      <c r="D914"/>
      <c r="E914"/>
      <c r="F914"/>
      <c r="G914"/>
      <c r="H914"/>
      <c r="I914"/>
    </row>
    <row r="915" spans="1:9" s="3" customFormat="1" ht="14.4" x14ac:dyDescent="0.3">
      <c r="A915"/>
      <c r="B915"/>
      <c r="C915"/>
      <c r="D915"/>
      <c r="E915"/>
      <c r="F915"/>
      <c r="G915"/>
      <c r="H915"/>
      <c r="I915"/>
    </row>
    <row r="916" spans="1:9" s="3" customFormat="1" ht="14.4" x14ac:dyDescent="0.3">
      <c r="A916"/>
      <c r="B916"/>
      <c r="C916"/>
      <c r="D916"/>
      <c r="E916"/>
      <c r="F916"/>
      <c r="G916"/>
      <c r="H916"/>
      <c r="I916"/>
    </row>
    <row r="917" spans="1:9" s="3" customFormat="1" ht="14.4" x14ac:dyDescent="0.3">
      <c r="A917"/>
      <c r="B917"/>
      <c r="C917"/>
      <c r="D917"/>
      <c r="E917"/>
      <c r="F917"/>
      <c r="G917"/>
      <c r="H917"/>
      <c r="I917"/>
    </row>
    <row r="918" spans="1:9" s="3" customFormat="1" ht="14.4" x14ac:dyDescent="0.3">
      <c r="A918"/>
      <c r="B918"/>
      <c r="C918"/>
      <c r="D918"/>
      <c r="E918"/>
      <c r="F918"/>
      <c r="G918"/>
      <c r="H918"/>
      <c r="I918"/>
    </row>
    <row r="919" spans="1:9" s="3" customFormat="1" ht="14.4" x14ac:dyDescent="0.3">
      <c r="A919"/>
      <c r="B919"/>
      <c r="C919"/>
      <c r="D919"/>
      <c r="E919"/>
      <c r="F919"/>
      <c r="G919"/>
      <c r="H919"/>
      <c r="I919"/>
    </row>
    <row r="920" spans="1:9" s="3" customFormat="1" ht="14.4" x14ac:dyDescent="0.3">
      <c r="A920"/>
      <c r="B920"/>
      <c r="C920"/>
      <c r="D920"/>
      <c r="E920"/>
      <c r="F920"/>
      <c r="G920"/>
      <c r="H920"/>
      <c r="I920"/>
    </row>
    <row r="921" spans="1:9" s="3" customFormat="1" ht="14.4" x14ac:dyDescent="0.3">
      <c r="A921"/>
      <c r="B921"/>
      <c r="C921"/>
      <c r="D921"/>
      <c r="E921"/>
      <c r="F921"/>
      <c r="G921"/>
      <c r="H921"/>
      <c r="I921"/>
    </row>
    <row r="922" spans="1:9" s="3" customFormat="1" ht="14.4" x14ac:dyDescent="0.3">
      <c r="A922"/>
      <c r="B922"/>
      <c r="C922"/>
      <c r="D922"/>
      <c r="E922"/>
      <c r="F922"/>
      <c r="G922"/>
      <c r="H922"/>
      <c r="I922"/>
    </row>
    <row r="923" spans="1:9" s="3" customFormat="1" ht="14.4" x14ac:dyDescent="0.3">
      <c r="A923"/>
      <c r="B923"/>
      <c r="C923"/>
      <c r="D923"/>
      <c r="E923"/>
      <c r="F923"/>
      <c r="G923"/>
      <c r="H923"/>
      <c r="I923"/>
    </row>
    <row r="924" spans="1:9" s="3" customFormat="1" ht="14.4" x14ac:dyDescent="0.3">
      <c r="A924"/>
      <c r="B924"/>
      <c r="C924"/>
      <c r="D924"/>
      <c r="E924"/>
      <c r="F924"/>
      <c r="G924"/>
      <c r="H924"/>
      <c r="I924"/>
    </row>
    <row r="925" spans="1:9" s="3" customFormat="1" ht="14.4" x14ac:dyDescent="0.3">
      <c r="A925"/>
      <c r="B925"/>
      <c r="C925"/>
      <c r="D925"/>
      <c r="E925"/>
      <c r="F925"/>
      <c r="G925"/>
      <c r="H925"/>
      <c r="I925"/>
    </row>
    <row r="926" spans="1:9" s="3" customFormat="1" ht="14.4" x14ac:dyDescent="0.3">
      <c r="A926"/>
      <c r="B926"/>
      <c r="C926"/>
      <c r="D926"/>
      <c r="E926"/>
      <c r="F926"/>
      <c r="G926"/>
      <c r="H926"/>
      <c r="I926"/>
    </row>
    <row r="927" spans="1:9" s="3" customFormat="1" ht="14.4" x14ac:dyDescent="0.3">
      <c r="A927"/>
      <c r="B927"/>
      <c r="C927"/>
      <c r="D927"/>
      <c r="E927"/>
      <c r="F927"/>
      <c r="G927"/>
      <c r="H927"/>
      <c r="I927"/>
    </row>
    <row r="928" spans="1:9" s="3" customFormat="1" ht="14.4" x14ac:dyDescent="0.3">
      <c r="A928"/>
      <c r="B928"/>
      <c r="C928"/>
      <c r="D928"/>
      <c r="E928"/>
      <c r="F928"/>
      <c r="G928"/>
      <c r="H928"/>
      <c r="I928"/>
    </row>
    <row r="929" spans="1:9" s="3" customFormat="1" ht="14.4" x14ac:dyDescent="0.3">
      <c r="A929"/>
      <c r="B929"/>
      <c r="C929"/>
      <c r="D929"/>
      <c r="E929"/>
      <c r="F929"/>
      <c r="G929"/>
      <c r="H929"/>
      <c r="I929"/>
    </row>
    <row r="930" spans="1:9" s="3" customFormat="1" ht="14.4" x14ac:dyDescent="0.3">
      <c r="A930"/>
      <c r="B930"/>
      <c r="C930"/>
      <c r="D930"/>
      <c r="E930"/>
      <c r="F930"/>
      <c r="G930"/>
      <c r="H930"/>
      <c r="I930"/>
    </row>
    <row r="931" spans="1:9" s="3" customFormat="1" ht="14.4" x14ac:dyDescent="0.3">
      <c r="A931"/>
      <c r="B931"/>
      <c r="C931"/>
      <c r="D931"/>
      <c r="E931"/>
      <c r="F931"/>
      <c r="G931"/>
      <c r="H931"/>
      <c r="I931"/>
    </row>
    <row r="932" spans="1:9" s="3" customFormat="1" ht="14.4" x14ac:dyDescent="0.3">
      <c r="A932"/>
      <c r="B932"/>
      <c r="C932"/>
      <c r="D932"/>
      <c r="E932"/>
      <c r="F932"/>
      <c r="G932"/>
      <c r="H932"/>
      <c r="I932"/>
    </row>
    <row r="933" spans="1:9" s="3" customFormat="1" ht="14.4" x14ac:dyDescent="0.3">
      <c r="A933"/>
      <c r="B933"/>
      <c r="C933"/>
      <c r="D933"/>
      <c r="E933"/>
      <c r="F933"/>
      <c r="G933"/>
      <c r="H933"/>
      <c r="I933"/>
    </row>
    <row r="934" spans="1:9" s="3" customFormat="1" ht="14.4" x14ac:dyDescent="0.3">
      <c r="A934"/>
      <c r="B934"/>
      <c r="C934"/>
      <c r="D934"/>
      <c r="E934"/>
      <c r="F934"/>
      <c r="G934"/>
      <c r="H934"/>
      <c r="I934"/>
    </row>
    <row r="935" spans="1:9" s="3" customFormat="1" ht="14.4" x14ac:dyDescent="0.3">
      <c r="A935"/>
      <c r="B935"/>
      <c r="C935"/>
      <c r="D935"/>
      <c r="E935"/>
      <c r="F935"/>
      <c r="G935"/>
      <c r="H935"/>
      <c r="I935"/>
    </row>
    <row r="936" spans="1:9" s="3" customFormat="1" ht="14.4" x14ac:dyDescent="0.3">
      <c r="A936"/>
      <c r="B936"/>
      <c r="C936"/>
      <c r="D936"/>
      <c r="E936"/>
      <c r="F936"/>
      <c r="G936"/>
      <c r="H936"/>
      <c r="I936"/>
    </row>
    <row r="937" spans="1:9" s="3" customFormat="1" ht="14.4" x14ac:dyDescent="0.3">
      <c r="A937"/>
      <c r="B937"/>
      <c r="C937"/>
      <c r="D937"/>
      <c r="E937"/>
      <c r="F937"/>
      <c r="G937"/>
      <c r="H937"/>
      <c r="I937"/>
    </row>
    <row r="938" spans="1:9" s="3" customFormat="1" ht="14.4" x14ac:dyDescent="0.3">
      <c r="A938"/>
      <c r="B938"/>
      <c r="C938"/>
      <c r="D938"/>
      <c r="E938"/>
      <c r="F938"/>
      <c r="G938"/>
      <c r="H938"/>
      <c r="I938"/>
    </row>
    <row r="939" spans="1:9" s="3" customFormat="1" ht="14.4" x14ac:dyDescent="0.3">
      <c r="A939"/>
      <c r="B939"/>
      <c r="C939"/>
      <c r="D939"/>
      <c r="E939"/>
      <c r="F939"/>
      <c r="G939"/>
      <c r="H939"/>
      <c r="I939"/>
    </row>
    <row r="940" spans="1:9" s="3" customFormat="1" ht="14.4" x14ac:dyDescent="0.3">
      <c r="A940"/>
      <c r="B940"/>
      <c r="C940"/>
      <c r="D940"/>
      <c r="E940"/>
      <c r="F940"/>
      <c r="G940"/>
      <c r="H940"/>
      <c r="I940"/>
    </row>
    <row r="941" spans="1:9" s="3" customFormat="1" ht="14.4" x14ac:dyDescent="0.3">
      <c r="A941"/>
      <c r="B941"/>
      <c r="C941"/>
      <c r="D941"/>
      <c r="E941"/>
      <c r="F941"/>
      <c r="G941"/>
      <c r="H941"/>
      <c r="I941"/>
    </row>
    <row r="942" spans="1:9" s="3" customFormat="1" ht="14.4" x14ac:dyDescent="0.3">
      <c r="A942"/>
      <c r="B942"/>
      <c r="C942"/>
      <c r="D942"/>
      <c r="E942"/>
      <c r="F942"/>
      <c r="G942"/>
      <c r="H942"/>
      <c r="I942"/>
    </row>
    <row r="943" spans="1:9" s="3" customFormat="1" ht="14.4" x14ac:dyDescent="0.3">
      <c r="A943"/>
      <c r="B943"/>
      <c r="C943"/>
      <c r="D943"/>
      <c r="E943"/>
      <c r="F943"/>
      <c r="G943"/>
      <c r="H943"/>
      <c r="I943"/>
    </row>
    <row r="944" spans="1:9" s="3" customFormat="1" ht="14.4" x14ac:dyDescent="0.3">
      <c r="A944"/>
      <c r="B944"/>
      <c r="C944"/>
      <c r="D944"/>
      <c r="E944"/>
      <c r="F944"/>
      <c r="G944"/>
      <c r="H944"/>
      <c r="I944"/>
    </row>
    <row r="945" spans="1:9" s="3" customFormat="1" ht="14.4" x14ac:dyDescent="0.3">
      <c r="A945"/>
      <c r="B945"/>
      <c r="C945"/>
      <c r="D945"/>
      <c r="E945"/>
      <c r="F945"/>
      <c r="G945"/>
      <c r="H945"/>
      <c r="I945"/>
    </row>
    <row r="946" spans="1:9" s="3" customFormat="1" ht="14.4" x14ac:dyDescent="0.3">
      <c r="A946"/>
      <c r="B946"/>
      <c r="C946"/>
      <c r="D946"/>
      <c r="E946"/>
      <c r="F946"/>
      <c r="G946"/>
      <c r="H946"/>
      <c r="I946"/>
    </row>
    <row r="947" spans="1:9" s="3" customFormat="1" ht="14.4" x14ac:dyDescent="0.3">
      <c r="A947"/>
      <c r="B947"/>
      <c r="C947"/>
      <c r="D947"/>
      <c r="E947"/>
      <c r="F947"/>
      <c r="G947"/>
      <c r="H947"/>
      <c r="I947"/>
    </row>
    <row r="948" spans="1:9" s="3" customFormat="1" ht="14.4" x14ac:dyDescent="0.3">
      <c r="A948"/>
      <c r="B948"/>
      <c r="C948"/>
      <c r="D948"/>
      <c r="E948"/>
      <c r="F948"/>
      <c r="G948"/>
      <c r="H948"/>
      <c r="I948"/>
    </row>
    <row r="949" spans="1:9" s="3" customFormat="1" ht="14.4" x14ac:dyDescent="0.3">
      <c r="A949"/>
      <c r="B949"/>
      <c r="C949"/>
      <c r="D949"/>
      <c r="E949"/>
      <c r="F949"/>
      <c r="G949"/>
      <c r="H949"/>
      <c r="I949"/>
    </row>
    <row r="950" spans="1:9" s="3" customFormat="1" ht="14.4" x14ac:dyDescent="0.3">
      <c r="A950"/>
      <c r="B950"/>
      <c r="C950"/>
      <c r="D950"/>
      <c r="E950"/>
      <c r="F950"/>
      <c r="G950"/>
      <c r="H950"/>
      <c r="I950"/>
    </row>
    <row r="951" spans="1:9" s="3" customFormat="1" ht="14.4" x14ac:dyDescent="0.3">
      <c r="A951"/>
      <c r="B951"/>
      <c r="C951"/>
      <c r="D951"/>
      <c r="E951"/>
      <c r="F951"/>
      <c r="G951"/>
      <c r="H951"/>
      <c r="I951"/>
    </row>
    <row r="952" spans="1:9" s="3" customFormat="1" ht="14.4" x14ac:dyDescent="0.3">
      <c r="A952"/>
      <c r="B952"/>
      <c r="C952"/>
      <c r="D952"/>
      <c r="E952"/>
      <c r="F952"/>
      <c r="G952"/>
      <c r="H952"/>
      <c r="I952"/>
    </row>
    <row r="953" spans="1:9" s="3" customFormat="1" ht="14.4" x14ac:dyDescent="0.3">
      <c r="A953"/>
      <c r="B953"/>
      <c r="C953"/>
      <c r="D953"/>
      <c r="E953"/>
      <c r="F953"/>
      <c r="G953"/>
      <c r="H953"/>
      <c r="I953"/>
    </row>
    <row r="954" spans="1:9" s="3" customFormat="1" ht="14.4" x14ac:dyDescent="0.3">
      <c r="A954"/>
      <c r="B954"/>
      <c r="C954"/>
      <c r="D954"/>
      <c r="E954"/>
      <c r="F954"/>
      <c r="G954"/>
      <c r="H954"/>
      <c r="I954"/>
    </row>
    <row r="955" spans="1:9" s="3" customFormat="1" ht="14.4" x14ac:dyDescent="0.3">
      <c r="A955"/>
      <c r="B955"/>
      <c r="C955"/>
      <c r="D955"/>
      <c r="E955"/>
      <c r="F955"/>
      <c r="G955"/>
      <c r="H955"/>
      <c r="I955"/>
    </row>
    <row r="956" spans="1:9" s="3" customFormat="1" ht="14.4" x14ac:dyDescent="0.3">
      <c r="A956"/>
      <c r="B956"/>
      <c r="C956"/>
      <c r="D956"/>
      <c r="E956"/>
      <c r="F956"/>
      <c r="G956"/>
      <c r="H956"/>
      <c r="I956"/>
    </row>
    <row r="957" spans="1:9" s="3" customFormat="1" ht="14.4" x14ac:dyDescent="0.3">
      <c r="A957"/>
      <c r="B957"/>
      <c r="C957"/>
      <c r="D957"/>
      <c r="E957"/>
      <c r="F957"/>
      <c r="G957"/>
      <c r="H957"/>
      <c r="I957"/>
    </row>
    <row r="958" spans="1:9" s="3" customFormat="1" ht="14.4" x14ac:dyDescent="0.3">
      <c r="A958"/>
      <c r="B958"/>
      <c r="C958"/>
      <c r="D958"/>
      <c r="E958"/>
      <c r="F958"/>
      <c r="G958"/>
      <c r="H958"/>
      <c r="I958"/>
    </row>
    <row r="959" spans="1:9" s="3" customFormat="1" ht="14.4" x14ac:dyDescent="0.3">
      <c r="A959"/>
      <c r="B959"/>
      <c r="C959"/>
      <c r="D959"/>
      <c r="E959"/>
      <c r="F959"/>
      <c r="G959"/>
      <c r="H959"/>
      <c r="I959"/>
    </row>
    <row r="960" spans="1:9" s="3" customFormat="1" ht="14.4" x14ac:dyDescent="0.3">
      <c r="A960"/>
      <c r="B960"/>
      <c r="C960"/>
      <c r="D960"/>
      <c r="E960"/>
      <c r="F960"/>
      <c r="G960"/>
      <c r="H960"/>
      <c r="I960"/>
    </row>
    <row r="961" spans="1:9" s="3" customFormat="1" ht="14.4" x14ac:dyDescent="0.3">
      <c r="A961"/>
      <c r="B961"/>
      <c r="C961"/>
      <c r="D961"/>
      <c r="E961"/>
      <c r="F961"/>
      <c r="G961"/>
      <c r="H961"/>
      <c r="I961"/>
    </row>
    <row r="962" spans="1:9" s="3" customFormat="1" ht="14.4" x14ac:dyDescent="0.3">
      <c r="A962"/>
      <c r="B962"/>
      <c r="C962"/>
      <c r="D962"/>
      <c r="E962"/>
      <c r="F962"/>
      <c r="G962"/>
      <c r="H962"/>
      <c r="I962"/>
    </row>
    <row r="963" spans="1:9" s="3" customFormat="1" ht="14.4" x14ac:dyDescent="0.3">
      <c r="A963"/>
      <c r="B963"/>
      <c r="C963"/>
      <c r="D963"/>
      <c r="E963"/>
      <c r="F963"/>
      <c r="G963"/>
      <c r="H963"/>
      <c r="I963"/>
    </row>
    <row r="964" spans="1:9" s="3" customFormat="1" ht="14.4" x14ac:dyDescent="0.3">
      <c r="A964"/>
      <c r="B964"/>
      <c r="C964"/>
      <c r="D964"/>
      <c r="E964"/>
      <c r="F964"/>
      <c r="G964"/>
      <c r="H964"/>
      <c r="I964"/>
    </row>
    <row r="965" spans="1:9" s="3" customFormat="1" ht="14.4" x14ac:dyDescent="0.3">
      <c r="A965"/>
      <c r="B965"/>
      <c r="C965"/>
      <c r="D965"/>
      <c r="E965"/>
      <c r="F965"/>
      <c r="G965"/>
      <c r="H965"/>
      <c r="I965"/>
    </row>
    <row r="966" spans="1:9" s="3" customFormat="1" ht="14.4" x14ac:dyDescent="0.3">
      <c r="A966"/>
      <c r="B966"/>
      <c r="C966"/>
      <c r="D966"/>
      <c r="E966"/>
      <c r="F966"/>
      <c r="G966"/>
      <c r="H966"/>
      <c r="I966"/>
    </row>
    <row r="967" spans="1:9" s="3" customFormat="1" ht="14.4" x14ac:dyDescent="0.3">
      <c r="A967"/>
      <c r="B967"/>
      <c r="C967"/>
      <c r="D967"/>
      <c r="E967"/>
      <c r="F967"/>
      <c r="G967"/>
      <c r="H967"/>
      <c r="I967"/>
    </row>
    <row r="968" spans="1:9" s="3" customFormat="1" ht="14.4" x14ac:dyDescent="0.3">
      <c r="A968"/>
      <c r="B968"/>
      <c r="C968"/>
      <c r="D968"/>
      <c r="E968"/>
      <c r="F968"/>
      <c r="G968"/>
      <c r="H968"/>
      <c r="I968"/>
    </row>
    <row r="969" spans="1:9" s="3" customFormat="1" ht="14.4" x14ac:dyDescent="0.3">
      <c r="A969"/>
      <c r="B969"/>
      <c r="C969"/>
      <c r="D969"/>
      <c r="E969"/>
      <c r="F969"/>
      <c r="G969"/>
      <c r="H969"/>
      <c r="I969"/>
    </row>
    <row r="970" spans="1:9" s="3" customFormat="1" ht="14.4" x14ac:dyDescent="0.3">
      <c r="A970"/>
      <c r="B970"/>
      <c r="C970"/>
      <c r="D970"/>
      <c r="E970"/>
      <c r="F970"/>
      <c r="G970"/>
      <c r="H970"/>
      <c r="I970"/>
    </row>
    <row r="971" spans="1:9" s="3" customFormat="1" ht="14.4" x14ac:dyDescent="0.3">
      <c r="A971"/>
      <c r="B971"/>
      <c r="C971"/>
      <c r="D971"/>
      <c r="E971"/>
      <c r="F971"/>
      <c r="G971"/>
      <c r="H971"/>
      <c r="I971"/>
    </row>
    <row r="972" spans="1:9" s="3" customFormat="1" ht="14.4" x14ac:dyDescent="0.3">
      <c r="A972"/>
      <c r="B972"/>
      <c r="C972"/>
      <c r="D972"/>
      <c r="E972"/>
      <c r="F972"/>
      <c r="G972"/>
      <c r="H972"/>
      <c r="I972"/>
    </row>
    <row r="973" spans="1:9" s="3" customFormat="1" ht="14.4" x14ac:dyDescent="0.3">
      <c r="A973"/>
      <c r="B973"/>
      <c r="C973"/>
      <c r="D973"/>
      <c r="E973"/>
      <c r="F973"/>
      <c r="G973"/>
      <c r="H973"/>
      <c r="I973"/>
    </row>
    <row r="974" spans="1:9" s="3" customFormat="1" ht="14.4" x14ac:dyDescent="0.3">
      <c r="A974"/>
      <c r="B974"/>
      <c r="C974"/>
      <c r="D974"/>
      <c r="E974"/>
      <c r="F974"/>
      <c r="G974"/>
      <c r="H974"/>
      <c r="I974"/>
    </row>
    <row r="975" spans="1:9" s="3" customFormat="1" ht="14.4" x14ac:dyDescent="0.3">
      <c r="A975"/>
      <c r="B975"/>
      <c r="C975"/>
      <c r="D975"/>
      <c r="E975"/>
      <c r="F975"/>
      <c r="G975"/>
      <c r="H975"/>
      <c r="I975"/>
    </row>
    <row r="976" spans="1:9" s="3" customFormat="1" ht="14.4" x14ac:dyDescent="0.3">
      <c r="A976"/>
      <c r="B976"/>
      <c r="C976"/>
      <c r="D976"/>
      <c r="E976"/>
      <c r="F976"/>
      <c r="G976"/>
      <c r="H976"/>
      <c r="I976"/>
    </row>
    <row r="977" spans="1:9" s="3" customFormat="1" ht="14.4" x14ac:dyDescent="0.3">
      <c r="A977"/>
      <c r="B977"/>
      <c r="C977"/>
      <c r="D977"/>
      <c r="E977"/>
      <c r="F977"/>
      <c r="G977"/>
      <c r="H977"/>
      <c r="I977"/>
    </row>
    <row r="978" spans="1:9" s="3" customFormat="1" ht="14.4" x14ac:dyDescent="0.3">
      <c r="A978"/>
      <c r="B978"/>
      <c r="C978"/>
      <c r="D978"/>
      <c r="E978"/>
      <c r="F978"/>
      <c r="G978"/>
      <c r="H978"/>
      <c r="I978"/>
    </row>
    <row r="979" spans="1:9" s="3" customFormat="1" ht="14.4" x14ac:dyDescent="0.3">
      <c r="A979"/>
      <c r="B979"/>
      <c r="C979"/>
      <c r="D979"/>
      <c r="E979"/>
      <c r="F979"/>
      <c r="G979"/>
      <c r="H979"/>
      <c r="I979"/>
    </row>
    <row r="980" spans="1:9" s="3" customFormat="1" ht="14.4" x14ac:dyDescent="0.3">
      <c r="A980"/>
      <c r="B980"/>
      <c r="C980"/>
      <c r="D980"/>
      <c r="E980"/>
      <c r="F980"/>
      <c r="G980"/>
      <c r="H980"/>
      <c r="I980"/>
    </row>
    <row r="981" spans="1:9" s="3" customFormat="1" ht="14.4" x14ac:dyDescent="0.3">
      <c r="A981"/>
      <c r="B981"/>
      <c r="C981"/>
      <c r="D981"/>
      <c r="E981"/>
      <c r="F981"/>
      <c r="G981"/>
      <c r="H981"/>
      <c r="I981"/>
    </row>
    <row r="982" spans="1:9" s="3" customFormat="1" ht="14.4" x14ac:dyDescent="0.3">
      <c r="A982"/>
      <c r="B982"/>
      <c r="C982"/>
      <c r="D982"/>
      <c r="E982"/>
      <c r="F982"/>
      <c r="G982"/>
      <c r="H982"/>
      <c r="I982"/>
    </row>
    <row r="983" spans="1:9" s="3" customFormat="1" ht="14.4" x14ac:dyDescent="0.3">
      <c r="A983"/>
      <c r="B983"/>
      <c r="C983"/>
      <c r="D983"/>
      <c r="E983"/>
      <c r="F983"/>
      <c r="G983"/>
      <c r="H983"/>
      <c r="I983"/>
    </row>
    <row r="984" spans="1:9" s="3" customFormat="1" ht="14.4" x14ac:dyDescent="0.3">
      <c r="A984"/>
      <c r="B984"/>
      <c r="C984"/>
      <c r="D984"/>
      <c r="E984"/>
      <c r="F984"/>
      <c r="G984"/>
      <c r="H984"/>
      <c r="I984"/>
    </row>
    <row r="985" spans="1:9" s="3" customFormat="1" ht="14.4" x14ac:dyDescent="0.3">
      <c r="A985"/>
      <c r="B985"/>
      <c r="C985"/>
      <c r="D985"/>
      <c r="E985"/>
      <c r="F985"/>
      <c r="G985"/>
      <c r="H985"/>
      <c r="I985"/>
    </row>
    <row r="986" spans="1:9" s="3" customFormat="1" ht="14.4" x14ac:dyDescent="0.3">
      <c r="A986"/>
      <c r="B986"/>
      <c r="C986"/>
      <c r="D986"/>
      <c r="E986"/>
      <c r="F986"/>
      <c r="G986"/>
      <c r="H986"/>
      <c r="I986"/>
    </row>
    <row r="987" spans="1:9" s="3" customFormat="1" ht="14.4" x14ac:dyDescent="0.3">
      <c r="A987"/>
      <c r="B987"/>
      <c r="C987"/>
      <c r="D987"/>
      <c r="E987"/>
      <c r="F987"/>
      <c r="G987"/>
      <c r="H987"/>
      <c r="I987"/>
    </row>
    <row r="988" spans="1:9" s="3" customFormat="1" ht="14.4" x14ac:dyDescent="0.3">
      <c r="A988"/>
      <c r="B988"/>
      <c r="C988"/>
      <c r="D988"/>
      <c r="E988"/>
      <c r="F988"/>
      <c r="G988"/>
      <c r="H988"/>
      <c r="I988"/>
    </row>
    <row r="989" spans="1:9" s="3" customFormat="1" ht="14.4" x14ac:dyDescent="0.3">
      <c r="A989"/>
      <c r="B989"/>
      <c r="C989"/>
      <c r="D989"/>
      <c r="E989"/>
      <c r="F989"/>
      <c r="G989"/>
      <c r="H989"/>
      <c r="I989"/>
    </row>
    <row r="990" spans="1:9" s="3" customFormat="1" ht="14.4" x14ac:dyDescent="0.3">
      <c r="A990"/>
      <c r="B990"/>
      <c r="C990"/>
      <c r="D990"/>
      <c r="E990"/>
      <c r="F990"/>
      <c r="G990"/>
      <c r="H990"/>
      <c r="I990"/>
    </row>
    <row r="991" spans="1:9" s="3" customFormat="1" ht="14.4" x14ac:dyDescent="0.3">
      <c r="A991"/>
      <c r="B991"/>
      <c r="C991"/>
      <c r="D991"/>
      <c r="E991"/>
      <c r="F991"/>
      <c r="G991"/>
      <c r="H991"/>
      <c r="I991"/>
    </row>
    <row r="992" spans="1:9" s="3" customFormat="1" ht="14.4" x14ac:dyDescent="0.3">
      <c r="A992"/>
      <c r="B992"/>
      <c r="C992"/>
      <c r="D992"/>
      <c r="E992"/>
      <c r="F992"/>
      <c r="G992"/>
      <c r="H992"/>
      <c r="I992"/>
    </row>
    <row r="993" spans="1:9" s="3" customFormat="1" ht="14.4" x14ac:dyDescent="0.3">
      <c r="A993"/>
      <c r="B993"/>
      <c r="C993"/>
      <c r="D993"/>
      <c r="E993"/>
      <c r="F993"/>
      <c r="G993"/>
      <c r="H993"/>
      <c r="I993"/>
    </row>
    <row r="994" spans="1:9" s="3" customFormat="1" ht="14.4" x14ac:dyDescent="0.3">
      <c r="A994"/>
      <c r="B994"/>
      <c r="C994"/>
      <c r="D994"/>
      <c r="E994"/>
      <c r="F994"/>
      <c r="G994"/>
      <c r="H994"/>
      <c r="I994"/>
    </row>
    <row r="995" spans="1:9" s="3" customFormat="1" ht="14.4" x14ac:dyDescent="0.3">
      <c r="A995"/>
      <c r="B995"/>
      <c r="C995"/>
      <c r="D995"/>
      <c r="E995"/>
      <c r="F995"/>
      <c r="G995"/>
      <c r="H995"/>
      <c r="I995"/>
    </row>
    <row r="996" spans="1:9" s="3" customFormat="1" ht="14.4" x14ac:dyDescent="0.3">
      <c r="A996"/>
      <c r="B996"/>
      <c r="C996"/>
      <c r="D996"/>
      <c r="E996"/>
      <c r="F996"/>
      <c r="G996"/>
      <c r="H996"/>
      <c r="I996"/>
    </row>
    <row r="997" spans="1:9" s="3" customFormat="1" ht="14.4" x14ac:dyDescent="0.3">
      <c r="A997"/>
      <c r="B997"/>
      <c r="C997"/>
      <c r="D997"/>
      <c r="E997"/>
      <c r="F997"/>
      <c r="G997"/>
      <c r="H997"/>
      <c r="I997"/>
    </row>
    <row r="998" spans="1:9" s="3" customFormat="1" ht="14.4" x14ac:dyDescent="0.3">
      <c r="A998"/>
      <c r="B998"/>
      <c r="C998"/>
      <c r="D998"/>
      <c r="E998"/>
      <c r="F998"/>
      <c r="G998"/>
      <c r="H998"/>
      <c r="I998"/>
    </row>
    <row r="999" spans="1:9" s="3" customFormat="1" ht="14.4" x14ac:dyDescent="0.3">
      <c r="A999"/>
      <c r="B999"/>
      <c r="C999"/>
      <c r="D999"/>
      <c r="E999"/>
      <c r="F999"/>
      <c r="G999"/>
      <c r="H999"/>
      <c r="I999"/>
    </row>
    <row r="1000" spans="1:9" s="3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3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3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3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3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3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3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3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3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3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3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3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3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3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3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3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3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3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3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3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3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3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3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3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3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3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3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3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3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3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3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3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3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3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3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3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3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3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3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3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3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3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3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3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3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3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3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3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3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3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3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3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3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3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3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3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3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3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3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3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3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3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3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3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3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3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3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3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3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3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3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3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3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3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3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3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3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3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3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3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3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3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3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3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3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3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3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3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3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3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3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3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3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3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3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3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3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3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3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3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3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3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3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3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3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3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3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3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3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3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3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3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3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3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3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3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3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3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3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3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3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3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3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3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3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3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3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3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3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3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3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3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3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3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3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3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3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3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3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3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3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3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3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3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3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3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3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3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3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3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3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3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3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3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3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3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3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3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3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3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3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3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3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3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3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3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3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3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3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3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3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3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3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3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3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3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3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3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3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3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3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3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3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3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3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3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3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3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3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3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3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3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3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3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3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3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3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3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3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3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3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3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3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3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3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3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3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3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3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3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3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3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3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3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3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3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3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3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3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3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3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3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3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3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3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3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3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3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3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3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3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3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3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3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3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3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3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3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3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3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3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3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3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3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3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3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3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3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3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3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3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3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3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3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3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3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3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3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3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3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3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3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3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3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3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3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3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3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3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3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3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3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3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3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3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3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3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3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3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3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3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3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3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3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3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3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3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3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3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3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3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3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3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3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3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3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3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3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3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3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3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3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3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3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3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3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3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3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3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3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3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3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3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3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3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3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3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3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3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3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3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3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3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3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3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3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3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3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3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3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3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3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3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3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3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3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3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3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3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3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3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3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3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3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3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3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3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3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3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3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3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3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3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3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3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3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3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3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3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3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3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3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3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3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3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3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3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3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3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3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3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3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3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3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3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3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3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3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3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3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3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3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3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3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3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3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3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3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3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3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3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3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3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3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3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3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3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3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3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3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3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3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3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3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3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3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3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3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3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3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3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3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3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3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3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3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3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3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3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3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3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3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3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3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3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3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3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3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3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3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3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3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3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3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3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3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3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3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3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3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3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3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3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3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3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3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3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3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3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3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3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3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3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3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3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3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3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3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3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3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3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3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3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3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3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3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3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3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3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3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3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3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3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3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3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3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3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3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3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3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3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3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3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3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3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3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3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3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3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3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3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3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3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3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3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3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3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3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3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3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3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3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3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3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3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3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3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3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3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3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3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3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3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3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3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3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3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3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3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3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3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3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3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3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3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3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3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3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3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3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3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3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3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3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3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3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3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3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3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3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3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3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3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3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3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3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3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3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3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3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3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3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3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3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3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3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3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3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3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3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3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3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3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3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3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3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3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3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3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3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3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3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3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3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3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3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3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3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3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3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3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3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3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3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3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3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3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3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3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3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3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3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3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3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3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3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3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3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3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3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3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3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3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3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3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3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3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3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3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3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3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3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3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3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3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3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3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3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3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3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3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3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3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3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3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3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3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3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3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3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3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3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3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3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3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3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3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3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3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3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3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3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3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3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3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3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3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3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3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3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3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3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3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3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3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3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3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3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3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3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3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3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3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3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3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3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3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3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3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3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3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3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3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3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3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3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3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3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3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3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3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3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3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3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3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3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3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3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3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3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3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3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3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3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3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3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3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3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3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3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3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3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3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3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3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3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3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3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3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3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3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3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3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3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3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3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3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3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3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3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3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3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3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3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3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3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3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3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3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3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3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3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3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3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3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3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3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3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3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3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3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3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3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3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3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3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3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3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3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3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3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3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3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3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3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3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3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3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3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3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3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3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3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3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3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3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3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3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3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3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3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3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3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3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3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3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3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3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3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3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3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3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3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3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3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3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3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3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3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3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3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3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3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3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3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3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3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3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3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3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3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3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3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3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3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3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3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3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3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3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3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3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3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3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3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3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3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3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3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3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3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3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3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3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3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3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3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3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3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3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3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3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3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3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3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3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3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3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3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3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3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3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3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3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3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3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3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3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3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3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3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3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3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3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3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3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3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3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3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3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3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3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3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3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3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3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3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3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3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3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3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3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3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3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3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3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3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3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3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3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3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3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3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3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3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3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3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3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3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3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3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3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3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3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3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3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3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3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3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3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3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3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3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3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3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3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3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3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3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3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3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3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3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3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3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3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3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3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3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3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3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3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3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3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3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3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3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3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3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3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3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3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3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3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3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3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3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3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3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3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3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3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3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3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3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3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3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3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3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3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3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3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3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3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3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3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3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3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3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3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3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3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3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3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3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3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3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3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3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3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3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3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3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3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3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3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3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3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3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3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3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3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3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3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3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3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3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3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3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3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3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3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3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3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3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3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3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3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3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3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3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3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3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3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3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3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3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3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3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3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3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3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3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3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3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3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3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3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3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3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3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3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3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3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3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3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3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3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3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3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3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3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3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3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3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3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3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3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3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3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3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3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3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3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3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3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3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3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3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3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3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3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3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3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3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3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3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3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3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3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3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3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3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3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3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3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3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3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3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3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3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3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3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3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3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3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3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3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3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3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3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3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3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3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3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3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3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3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3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3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3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3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3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3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3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3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3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3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3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3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3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3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3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3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3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3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3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3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3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3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3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3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3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3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3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3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3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3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3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3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3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3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3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3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3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3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3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3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3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3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3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3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3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3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3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3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3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3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3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3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3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3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3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3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3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3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3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3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3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3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3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3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3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3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3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3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3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3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3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3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3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3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3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3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3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3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3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3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3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3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3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3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3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3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3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3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3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3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3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3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3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3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3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3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3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3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3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3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3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3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3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3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3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3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3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3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3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3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3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3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3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3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3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3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3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3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3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3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3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3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3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3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3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3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3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3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3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3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3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3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3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3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3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3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3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3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3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3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3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3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3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3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3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3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3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3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3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3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3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3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3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3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3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3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3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3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3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3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3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3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3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3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3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3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3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3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3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3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3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3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3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3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3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3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3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3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3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3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3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3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3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3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3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3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3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3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3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3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3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3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3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3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3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3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3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3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3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3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3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3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3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3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3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3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3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3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3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3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3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3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3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3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3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3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3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3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3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3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3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3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3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3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3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3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3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3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3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3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3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3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3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3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3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3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3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3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3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3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3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3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3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3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3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3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3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3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3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3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3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3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3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3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3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3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3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3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3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3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3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3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3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3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3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3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3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3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3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3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3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3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3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3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3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3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3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3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3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3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3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3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3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3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3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3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3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3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3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3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3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3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3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3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3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3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3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3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3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3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3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3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3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3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3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3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3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3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3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3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3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3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3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3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3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3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3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3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3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3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3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3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3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3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3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3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3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3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3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3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3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3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3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3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3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3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3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3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3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3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3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3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3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3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3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3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3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3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3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3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3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3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3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3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3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3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3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3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3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3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3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3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3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3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3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3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3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3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3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3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3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3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3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3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3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3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3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3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3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3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3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3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3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3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3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3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3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3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3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3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3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3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3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3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3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3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3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3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3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3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3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3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3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3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3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3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3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3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3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3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3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3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3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3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3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3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3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3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3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3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3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3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3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3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3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3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3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3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3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3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3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3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3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3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3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3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3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3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3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3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3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3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3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3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3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3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3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3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3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3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3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3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3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3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3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3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3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3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3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3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3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3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3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3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3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3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3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3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3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3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3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3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3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3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3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3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3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3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3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3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3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3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3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3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3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3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3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3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3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3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3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3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3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3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3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3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3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3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3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3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3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3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3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3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3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3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3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3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3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3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3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3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3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3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3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3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3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3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3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3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3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3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3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3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3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3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3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3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3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3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3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3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3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3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3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3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3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3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3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3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3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3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3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3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3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3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3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3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3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3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3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3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3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3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3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3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3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3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3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3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3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3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3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3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3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3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3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3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3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3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3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3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3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3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3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3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3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3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3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3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3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3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3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3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3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3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3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3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3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3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3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3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3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3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3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3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3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3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3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3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3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3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3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3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3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3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3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3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3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3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3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3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3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3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3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3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3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3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3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3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3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3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3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3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3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3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3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3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3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3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3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3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3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3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3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3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3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3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3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3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3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3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3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3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3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3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3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3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3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3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3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3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3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3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3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3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3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3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3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3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3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3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3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3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3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3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3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3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3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3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3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3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3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3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3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3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3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3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3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3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3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3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3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3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3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3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3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3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3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3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3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3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3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3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3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3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3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3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3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3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3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3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3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3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3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3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3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3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3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3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3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3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3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3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3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3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3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3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3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3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3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3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3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3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3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3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3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3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3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3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3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3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3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3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3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3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3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3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3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3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3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3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3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3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3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3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3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3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3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3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3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3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3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3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3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3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3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3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3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3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3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3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3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3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3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3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3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3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3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3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3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3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3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3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3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3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3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3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3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3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3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3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3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3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3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3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3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3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3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3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3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3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3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3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3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3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3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3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3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3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3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3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3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3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3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3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3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3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3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3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3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3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3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3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3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3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3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3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3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3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3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3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3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3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3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3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3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3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3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3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3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3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3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3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3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3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3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3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3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3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3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3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3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3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3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3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3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3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3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3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3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3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3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3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3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3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3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3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3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3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3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3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3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3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3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3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3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3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3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3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3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3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3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3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3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3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3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3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3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3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3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3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3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3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3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3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3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3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3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3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3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3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3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3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3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3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3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3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3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3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3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3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3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3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3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3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3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3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3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3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3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3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3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3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3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3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3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3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3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3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3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3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3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3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3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3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3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3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3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3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3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3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3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3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3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3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3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3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3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3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3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3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3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3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3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3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3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3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3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3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3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3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3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3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3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3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3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3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3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3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3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3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3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3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3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3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3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3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3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3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3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3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3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3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3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3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3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3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3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3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3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3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3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3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3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3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3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3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3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3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3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3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3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3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3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3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3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3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3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3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3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3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3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3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3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3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3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3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3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3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3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3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3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3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3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3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3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3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3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3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3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3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3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3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3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3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3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3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3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3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3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3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3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3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3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3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3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3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3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3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3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3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3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3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3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3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3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3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3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3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3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3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3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3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3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3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3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3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3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3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3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3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3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3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3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3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3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3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3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3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3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3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3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3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3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3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3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3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3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3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3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3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3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3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3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3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3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3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3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3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3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3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3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3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3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3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3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3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3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3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3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3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3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3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3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3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3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3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3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3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3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3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3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3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3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3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3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3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3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3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3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3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3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3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3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3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3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3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3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3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3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3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3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3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3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3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3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3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3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3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3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3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3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3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3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3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3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3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3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3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3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3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3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3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3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3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3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3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3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3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3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3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3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3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3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3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3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3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3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3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3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3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3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3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3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3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3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3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3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3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3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3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3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3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3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3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3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3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3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3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3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3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3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3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3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3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3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3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3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3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3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3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3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3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3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3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3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3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3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3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3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3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3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3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3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3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3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3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3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3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3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3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3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3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3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3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3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3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3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3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3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3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3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3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3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3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3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3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3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3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3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3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3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3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3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3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3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3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3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3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3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3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3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3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3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3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3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3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3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3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3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3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3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3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3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3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3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3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3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3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3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3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3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3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3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3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3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3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3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3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3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3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3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3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3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3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3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3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3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3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3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3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3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3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3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3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3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3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3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3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3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3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3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3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3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3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3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3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3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3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3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3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3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3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3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3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3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3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3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3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3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3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3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3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3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3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3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3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3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3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3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3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3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3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3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3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3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3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3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3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3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3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3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3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3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3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3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3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3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3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3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3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3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3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3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3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3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3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3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3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3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3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3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3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3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3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3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3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3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3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3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3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3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3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3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3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3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3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3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3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3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3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3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3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3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3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3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3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3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3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3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3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3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3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3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3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3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3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3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3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3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3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3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3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3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3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3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3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3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3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3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3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3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3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3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3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3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3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3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3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3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3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3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3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3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3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3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3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3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3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3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3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3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3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3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3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3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3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3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3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3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3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3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3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3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3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3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3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3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3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3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3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3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3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3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3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3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3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3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3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3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3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3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3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3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3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3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3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3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3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3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3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3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3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3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3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3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3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3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3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3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3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3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3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3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3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3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3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3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3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3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3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3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3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3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3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3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3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3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3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3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3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3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3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3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3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3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3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3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3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3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3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3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3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3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3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3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3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3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3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3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3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3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3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3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3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3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3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3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3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3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3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3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3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3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3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3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3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3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3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3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3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3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3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3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3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3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3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3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3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3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3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3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3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3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3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3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3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3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3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3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3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3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3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3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3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3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3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3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3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3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3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3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3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3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3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3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3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3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3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3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3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3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3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3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3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3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3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3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3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3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3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3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3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3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3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3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3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3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3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3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3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3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3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3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3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3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3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3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3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3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3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3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3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3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3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3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3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3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3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3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3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3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3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3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3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3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3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3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3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3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3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3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3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3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3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3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3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3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3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3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3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3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3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3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3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3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3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3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3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3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3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3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3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3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3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3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3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3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3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3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3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3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3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3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3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3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3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3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3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3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3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3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3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3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3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3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3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3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3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3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3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3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3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3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3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3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3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3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3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3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3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3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3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3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3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3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3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3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3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3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3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3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3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3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3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3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3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3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3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3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3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3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3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3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3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3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3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3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3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3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3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3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3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3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3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3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3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3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3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3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3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3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3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3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3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3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3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3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3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3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3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3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3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3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3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3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3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3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3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3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3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3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3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3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3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3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3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3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3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3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3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3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3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3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3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3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3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3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3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3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3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3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3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3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3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3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3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3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3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3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3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3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3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3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3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3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3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3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3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3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3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3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3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3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3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3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3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3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3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3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3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3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3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3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3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3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3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3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3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3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3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3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3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3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3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3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3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3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3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3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3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3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3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3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3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3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3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3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3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3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3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3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3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3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3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3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3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3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3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3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3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3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3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3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3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3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3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3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3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3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3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3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3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3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3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3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3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3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3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3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3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3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3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3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3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3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3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3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3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3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3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3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3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3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3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3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3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3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3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3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3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3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3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3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3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3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3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3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3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3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3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3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3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3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3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3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3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3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3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3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3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3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3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3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3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3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3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3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3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3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3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3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3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3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3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3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3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3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3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3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3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3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3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3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3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3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3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3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3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3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3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3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3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3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3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3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3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3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3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3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3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3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3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3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3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3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3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3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3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3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3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3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3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3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3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3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3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3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3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3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3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3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3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3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3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3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3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3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3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3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3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3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3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3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3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3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3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3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3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3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3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3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3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3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3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3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3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3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3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3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3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3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3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3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3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3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3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3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3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3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3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3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3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3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3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3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3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3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3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3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3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3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3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3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3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3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3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3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3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3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3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3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3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3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3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3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3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3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3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3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3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3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3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3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3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3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3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3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3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3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3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3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3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3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3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3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3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3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3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3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3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3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3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3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3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3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3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3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3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3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3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3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3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3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3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3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3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3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3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3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3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3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3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3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3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3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3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3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3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3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3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3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3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3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3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3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3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3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3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3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3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3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3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3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3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3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3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3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3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3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3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3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3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3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3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3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3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3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3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3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3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3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3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3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3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3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3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3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3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3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3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3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3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3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3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3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3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3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3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3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3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3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3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3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3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3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3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3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3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3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3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3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3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3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3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3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3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3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3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3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3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3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3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3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3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3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3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3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3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3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3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3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3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3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3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3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3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3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3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3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3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3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3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3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3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3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3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3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3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3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3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3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3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3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3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3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3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3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3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3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3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3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3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3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3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3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3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3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3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3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3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3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3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3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3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3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3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3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3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3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3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3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3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3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3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3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3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3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3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3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3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3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3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3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3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3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3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3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3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3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3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3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3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3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3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3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3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3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3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3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3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3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3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3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3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3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3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3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3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3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3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3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3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3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3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3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3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3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3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3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3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3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3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3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3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3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3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3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3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3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3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3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3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3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3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3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3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3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3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3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3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3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3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3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3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3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3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3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3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3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3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3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3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3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3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3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3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3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3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3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3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3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3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3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3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3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3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3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3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3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3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3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3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3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3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3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3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3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3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3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3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3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3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3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3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3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3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3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3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3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3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3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3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3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3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3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3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3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3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3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3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3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3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3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3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3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3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3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3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3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3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3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3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3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3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3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3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3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3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3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3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3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3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3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3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3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3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3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3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3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3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3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3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3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3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3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3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3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3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3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3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3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3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3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3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3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3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3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3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3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3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3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3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3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3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3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3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3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3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3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3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3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3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3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3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3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3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3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3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3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3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3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3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3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3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3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3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3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3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3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3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3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3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3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3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3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3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3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3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3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3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3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3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3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3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3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3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3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3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3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3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3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3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3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3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3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3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3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3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3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3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3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3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3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3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3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3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3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3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3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3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3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3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3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3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3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3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3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3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3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3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3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3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3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3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3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3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3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3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3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3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3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3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3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3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3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3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3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3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3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3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3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3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3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3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3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3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3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3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3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3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3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3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3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3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3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3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3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3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3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3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3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3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3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3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3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3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3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3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3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3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3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3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3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3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3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3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3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3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3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3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3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3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3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3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3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3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3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3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3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3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3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3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3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3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3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3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3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3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3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3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3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3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3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3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3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3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3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3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3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3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3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3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3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3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3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3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3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3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3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3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3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3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3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3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3" customFormat="1" ht="14.4" hidden="1" x14ac:dyDescent="0.3">
      <c r="A4664"/>
      <c r="B4664" t="s">
        <v>391</v>
      </c>
      <c r="C4664"/>
      <c r="D4664"/>
      <c r="E4664"/>
      <c r="F4664"/>
      <c r="G4664"/>
      <c r="H4664"/>
      <c r="I4664"/>
    </row>
    <row r="4665" spans="1:9" s="3" customFormat="1" ht="14.4" hidden="1" x14ac:dyDescent="0.3">
      <c r="A4665"/>
      <c r="B4665" t="s">
        <v>392</v>
      </c>
      <c r="C4665"/>
      <c r="D4665"/>
      <c r="E4665"/>
      <c r="F4665"/>
      <c r="G4665"/>
      <c r="H4665"/>
      <c r="I4665"/>
    </row>
    <row r="4666" spans="1:9" s="3" customFormat="1" ht="14.4" hidden="1" x14ac:dyDescent="0.3">
      <c r="A4666"/>
      <c r="B4666" t="s">
        <v>393</v>
      </c>
      <c r="C4666"/>
      <c r="D4666"/>
      <c r="E4666"/>
      <c r="F4666"/>
      <c r="G4666"/>
      <c r="H4666"/>
      <c r="I4666"/>
    </row>
    <row r="4667" spans="1:9" s="3" customFormat="1" ht="14.4" hidden="1" x14ac:dyDescent="0.3">
      <c r="A4667"/>
      <c r="B4667" t="s">
        <v>394</v>
      </c>
      <c r="C4667"/>
      <c r="D4667"/>
      <c r="E4667"/>
      <c r="F4667"/>
      <c r="G4667"/>
      <c r="H4667"/>
      <c r="I4667"/>
    </row>
    <row r="4668" spans="1:9" s="3" customFormat="1" ht="14.4" hidden="1" x14ac:dyDescent="0.3">
      <c r="A4668"/>
      <c r="B4668" t="s">
        <v>395</v>
      </c>
      <c r="C4668"/>
      <c r="D4668"/>
      <c r="E4668"/>
      <c r="F4668"/>
      <c r="G4668"/>
      <c r="H4668"/>
      <c r="I4668"/>
    </row>
    <row r="4669" spans="1:9" s="3" customFormat="1" ht="14.4" hidden="1" x14ac:dyDescent="0.3">
      <c r="A4669"/>
      <c r="B4669" t="s">
        <v>396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397</v>
      </c>
    </row>
    <row r="4671" spans="1:9" ht="14.4" hidden="1" x14ac:dyDescent="0.3">
      <c r="B4671" t="s">
        <v>398</v>
      </c>
    </row>
    <row r="4672" spans="1:9" ht="14.4" hidden="1" x14ac:dyDescent="0.3">
      <c r="B4672" t="s">
        <v>1285</v>
      </c>
    </row>
    <row r="4673" spans="2:2" ht="14.4" hidden="1" x14ac:dyDescent="0.3">
      <c r="B4673" t="s">
        <v>399</v>
      </c>
    </row>
    <row r="4674" spans="2:2" ht="14.4" hidden="1" x14ac:dyDescent="0.3">
      <c r="B4674" t="s">
        <v>400</v>
      </c>
    </row>
    <row r="4675" spans="2:2" ht="14.4" hidden="1" x14ac:dyDescent="0.3">
      <c r="B4675" t="s">
        <v>401</v>
      </c>
    </row>
    <row r="4676" spans="2:2" ht="14.4" hidden="1" x14ac:dyDescent="0.3">
      <c r="B4676" t="s">
        <v>3163</v>
      </c>
    </row>
    <row r="4677" spans="2:2" ht="14.4" hidden="1" x14ac:dyDescent="0.3">
      <c r="B4677" t="s">
        <v>402</v>
      </c>
    </row>
    <row r="4678" spans="2:2" ht="14.4" hidden="1" x14ac:dyDescent="0.3">
      <c r="B4678" t="s">
        <v>403</v>
      </c>
    </row>
    <row r="4679" spans="2:2" ht="14.4" hidden="1" x14ac:dyDescent="0.3">
      <c r="B4679" t="s">
        <v>41</v>
      </c>
    </row>
    <row r="4680" spans="2:2" ht="14.4" hidden="1" x14ac:dyDescent="0.3">
      <c r="B4680" t="s">
        <v>404</v>
      </c>
    </row>
    <row r="4681" spans="2:2" ht="14.4" hidden="1" x14ac:dyDescent="0.3">
      <c r="B4681" t="s">
        <v>405</v>
      </c>
    </row>
    <row r="4682" spans="2:2" ht="14.4" hidden="1" x14ac:dyDescent="0.3">
      <c r="B4682" t="s">
        <v>3171</v>
      </c>
    </row>
    <row r="4683" spans="2:2" ht="14.4" hidden="1" x14ac:dyDescent="0.3">
      <c r="B4683" t="s">
        <v>3174</v>
      </c>
    </row>
    <row r="4684" spans="2:2" ht="14.4" hidden="1" x14ac:dyDescent="0.3">
      <c r="B4684" t="s">
        <v>3177</v>
      </c>
    </row>
    <row r="4685" spans="2:2" ht="14.4" hidden="1" x14ac:dyDescent="0.3">
      <c r="B4685" t="s">
        <v>406</v>
      </c>
    </row>
    <row r="4686" spans="2:2" ht="14.4" hidden="1" x14ac:dyDescent="0.3">
      <c r="B4686" t="s">
        <v>407</v>
      </c>
    </row>
    <row r="4687" spans="2:2" ht="14.4" hidden="1" x14ac:dyDescent="0.3">
      <c r="B4687" t="s">
        <v>408</v>
      </c>
    </row>
    <row r="4688" spans="2:2" ht="14.4" hidden="1" x14ac:dyDescent="0.3">
      <c r="B4688" t="s">
        <v>409</v>
      </c>
    </row>
    <row r="4689" spans="2:2" ht="14.4" hidden="1" x14ac:dyDescent="0.3">
      <c r="B4689" t="s">
        <v>3184</v>
      </c>
    </row>
    <row r="4690" spans="2:2" ht="14.4" hidden="1" x14ac:dyDescent="0.3">
      <c r="B4690" t="s">
        <v>3187</v>
      </c>
    </row>
    <row r="4691" spans="2:2" ht="14.4" hidden="1" x14ac:dyDescent="0.3">
      <c r="B4691" t="s">
        <v>410</v>
      </c>
    </row>
    <row r="4692" spans="2:2" ht="14.4" hidden="1" x14ac:dyDescent="0.3">
      <c r="B4692" t="s">
        <v>411</v>
      </c>
    </row>
    <row r="4693" spans="2:2" ht="14.4" hidden="1" x14ac:dyDescent="0.3">
      <c r="B4693" t="s">
        <v>412</v>
      </c>
    </row>
    <row r="4694" spans="2:2" ht="14.4" hidden="1" x14ac:dyDescent="0.3">
      <c r="B4694" t="s">
        <v>413</v>
      </c>
    </row>
    <row r="4695" spans="2:2" ht="14.4" hidden="1" x14ac:dyDescent="0.3">
      <c r="B4695" t="s">
        <v>1286</v>
      </c>
    </row>
    <row r="4696" spans="2:2" ht="14.4" hidden="1" x14ac:dyDescent="0.3">
      <c r="B4696" t="s">
        <v>414</v>
      </c>
    </row>
    <row r="4697" spans="2:2" ht="14.4" hidden="1" x14ac:dyDescent="0.3">
      <c r="B4697" t="s">
        <v>415</v>
      </c>
    </row>
    <row r="4698" spans="2:2" ht="14.4" hidden="1" x14ac:dyDescent="0.3">
      <c r="B4698" t="s">
        <v>416</v>
      </c>
    </row>
    <row r="4699" spans="2:2" ht="14.4" hidden="1" x14ac:dyDescent="0.3">
      <c r="B4699" t="s">
        <v>417</v>
      </c>
    </row>
    <row r="4700" spans="2:2" ht="14.4" hidden="1" x14ac:dyDescent="0.3">
      <c r="B4700" t="s">
        <v>418</v>
      </c>
    </row>
    <row r="4701" spans="2:2" ht="14.4" hidden="1" x14ac:dyDescent="0.3">
      <c r="B4701" t="s">
        <v>418</v>
      </c>
    </row>
    <row r="4702" spans="2:2" ht="14.4" hidden="1" x14ac:dyDescent="0.3">
      <c r="B4702" t="s">
        <v>419</v>
      </c>
    </row>
    <row r="4703" spans="2:2" ht="14.4" hidden="1" x14ac:dyDescent="0.3">
      <c r="B4703" t="s">
        <v>3200</v>
      </c>
    </row>
    <row r="4704" spans="2:2" ht="14.4" hidden="1" x14ac:dyDescent="0.3">
      <c r="B4704" t="s">
        <v>420</v>
      </c>
    </row>
    <row r="4705" spans="2:2" ht="14.4" hidden="1" x14ac:dyDescent="0.3">
      <c r="B4705" t="s">
        <v>421</v>
      </c>
    </row>
    <row r="4706" spans="2:2" ht="14.4" hidden="1" x14ac:dyDescent="0.3">
      <c r="B4706" t="s">
        <v>422</v>
      </c>
    </row>
    <row r="4707" spans="2:2" ht="14.4" hidden="1" x14ac:dyDescent="0.3">
      <c r="B4707" t="s">
        <v>423</v>
      </c>
    </row>
    <row r="4708" spans="2:2" ht="14.4" hidden="1" x14ac:dyDescent="0.3">
      <c r="B4708" t="s">
        <v>424</v>
      </c>
    </row>
    <row r="4709" spans="2:2" ht="14.4" hidden="1" x14ac:dyDescent="0.3">
      <c r="B4709" t="s">
        <v>425</v>
      </c>
    </row>
    <row r="4710" spans="2:2" ht="14.4" hidden="1" x14ac:dyDescent="0.3">
      <c r="B4710" t="s">
        <v>426</v>
      </c>
    </row>
    <row r="4711" spans="2:2" ht="14.4" hidden="1" x14ac:dyDescent="0.3">
      <c r="B4711" t="s">
        <v>427</v>
      </c>
    </row>
    <row r="4712" spans="2:2" ht="14.4" hidden="1" x14ac:dyDescent="0.3">
      <c r="B4712" t="s">
        <v>428</v>
      </c>
    </row>
    <row r="4713" spans="2:2" ht="14.4" hidden="1" x14ac:dyDescent="0.3">
      <c r="B4713" t="s">
        <v>429</v>
      </c>
    </row>
    <row r="4714" spans="2:2" ht="14.4" hidden="1" x14ac:dyDescent="0.3">
      <c r="B4714" t="s">
        <v>3212</v>
      </c>
    </row>
    <row r="4715" spans="2:2" ht="14.4" hidden="1" x14ac:dyDescent="0.3">
      <c r="B4715" t="s">
        <v>430</v>
      </c>
    </row>
    <row r="4716" spans="2:2" ht="14.4" hidden="1" x14ac:dyDescent="0.3">
      <c r="B4716" t="s">
        <v>431</v>
      </c>
    </row>
    <row r="4717" spans="2:2" ht="14.4" hidden="1" x14ac:dyDescent="0.3">
      <c r="B4717" t="s">
        <v>431</v>
      </c>
    </row>
    <row r="4718" spans="2:2" ht="14.4" hidden="1" x14ac:dyDescent="0.3">
      <c r="B4718" t="s">
        <v>432</v>
      </c>
    </row>
    <row r="4719" spans="2:2" ht="14.4" hidden="1" x14ac:dyDescent="0.3">
      <c r="B4719" t="s">
        <v>433</v>
      </c>
    </row>
    <row r="4720" spans="2:2" ht="14.4" hidden="1" x14ac:dyDescent="0.3">
      <c r="B4720" t="s">
        <v>434</v>
      </c>
    </row>
    <row r="4721" spans="2:2" ht="14.4" hidden="1" x14ac:dyDescent="0.3">
      <c r="B4721" t="s">
        <v>435</v>
      </c>
    </row>
    <row r="4722" spans="2:2" ht="14.4" hidden="1" x14ac:dyDescent="0.3">
      <c r="B4722" t="s">
        <v>436</v>
      </c>
    </row>
    <row r="4723" spans="2:2" ht="14.4" hidden="1" x14ac:dyDescent="0.3">
      <c r="B4723" t="s">
        <v>437</v>
      </c>
    </row>
    <row r="4724" spans="2:2" ht="14.4" hidden="1" x14ac:dyDescent="0.3">
      <c r="B4724" t="s">
        <v>438</v>
      </c>
    </row>
    <row r="4725" spans="2:2" ht="14.4" hidden="1" x14ac:dyDescent="0.3">
      <c r="B4725" t="s">
        <v>439</v>
      </c>
    </row>
    <row r="4726" spans="2:2" ht="14.4" hidden="1" x14ac:dyDescent="0.3">
      <c r="B4726" t="s">
        <v>3225</v>
      </c>
    </row>
    <row r="4727" spans="2:2" ht="14.4" hidden="1" x14ac:dyDescent="0.3">
      <c r="B4727" t="s">
        <v>440</v>
      </c>
    </row>
    <row r="4728" spans="2:2" ht="14.4" hidden="1" x14ac:dyDescent="0.3">
      <c r="B4728" t="s">
        <v>3229</v>
      </c>
    </row>
    <row r="4729" spans="2:2" ht="14.4" hidden="1" x14ac:dyDescent="0.3">
      <c r="B4729" t="s">
        <v>3232</v>
      </c>
    </row>
    <row r="4730" spans="2:2" ht="14.4" hidden="1" x14ac:dyDescent="0.3">
      <c r="B4730" t="s">
        <v>46</v>
      </c>
    </row>
    <row r="4731" spans="2:2" ht="14.4" hidden="1" x14ac:dyDescent="0.3">
      <c r="B4731" t="s">
        <v>3236</v>
      </c>
    </row>
    <row r="4732" spans="2:2" ht="14.4" hidden="1" x14ac:dyDescent="0.3">
      <c r="B4732" t="s">
        <v>441</v>
      </c>
    </row>
    <row r="4733" spans="2:2" ht="14.4" hidden="1" x14ac:dyDescent="0.3">
      <c r="B4733" t="s">
        <v>442</v>
      </c>
    </row>
    <row r="4734" spans="2:2" ht="14.4" hidden="1" x14ac:dyDescent="0.3">
      <c r="B4734" t="s">
        <v>443</v>
      </c>
    </row>
    <row r="4735" spans="2:2" ht="14.4" hidden="1" x14ac:dyDescent="0.3">
      <c r="B4735" t="s">
        <v>444</v>
      </c>
    </row>
    <row r="4736" spans="2:2" ht="14.4" hidden="1" x14ac:dyDescent="0.3">
      <c r="B4736" t="s">
        <v>445</v>
      </c>
    </row>
    <row r="4737" spans="2:2" ht="14.4" hidden="1" x14ac:dyDescent="0.3">
      <c r="B4737" t="s">
        <v>446</v>
      </c>
    </row>
    <row r="4738" spans="2:2" ht="14.4" hidden="1" x14ac:dyDescent="0.3">
      <c r="B4738" t="s">
        <v>1287</v>
      </c>
    </row>
    <row r="4739" spans="2:2" ht="14.4" hidden="1" x14ac:dyDescent="0.3">
      <c r="B4739" t="s">
        <v>447</v>
      </c>
    </row>
    <row r="4740" spans="2:2" ht="14.4" hidden="1" x14ac:dyDescent="0.3">
      <c r="B4740" t="s">
        <v>448</v>
      </c>
    </row>
    <row r="4741" spans="2:2" ht="14.4" hidden="1" x14ac:dyDescent="0.3">
      <c r="B4741" t="s">
        <v>449</v>
      </c>
    </row>
    <row r="4742" spans="2:2" ht="14.4" hidden="1" x14ac:dyDescent="0.3">
      <c r="B4742" t="s">
        <v>44</v>
      </c>
    </row>
    <row r="4743" spans="2:2" ht="14.4" hidden="1" x14ac:dyDescent="0.3">
      <c r="B4743" t="s">
        <v>1288</v>
      </c>
    </row>
    <row r="4744" spans="2:2" ht="14.4" hidden="1" x14ac:dyDescent="0.3">
      <c r="B4744" t="s">
        <v>450</v>
      </c>
    </row>
    <row r="4745" spans="2:2" ht="14.4" hidden="1" x14ac:dyDescent="0.3">
      <c r="B4745" t="s">
        <v>451</v>
      </c>
    </row>
    <row r="4746" spans="2:2" ht="14.4" hidden="1" x14ac:dyDescent="0.3">
      <c r="B4746" t="s">
        <v>452</v>
      </c>
    </row>
    <row r="4747" spans="2:2" ht="14.4" hidden="1" x14ac:dyDescent="0.3">
      <c r="B4747" t="s">
        <v>453</v>
      </c>
    </row>
    <row r="4748" spans="2:2" ht="14.4" hidden="1" x14ac:dyDescent="0.3">
      <c r="B4748" t="s">
        <v>454</v>
      </c>
    </row>
    <row r="4749" spans="2:2" ht="14.4" hidden="1" x14ac:dyDescent="0.3">
      <c r="B4749" t="s">
        <v>42</v>
      </c>
    </row>
    <row r="4750" spans="2:2" ht="14.4" hidden="1" x14ac:dyDescent="0.3">
      <c r="B4750" t="s">
        <v>3257</v>
      </c>
    </row>
    <row r="4751" spans="2:2" ht="14.4" hidden="1" x14ac:dyDescent="0.3">
      <c r="B4751" t="s">
        <v>455</v>
      </c>
    </row>
    <row r="4752" spans="2:2" ht="14.4" hidden="1" x14ac:dyDescent="0.3">
      <c r="B4752" t="s">
        <v>456</v>
      </c>
    </row>
    <row r="4753" spans="2:2" ht="14.4" hidden="1" x14ac:dyDescent="0.3">
      <c r="B4753" t="s">
        <v>3262</v>
      </c>
    </row>
    <row r="4754" spans="2:2" ht="14.4" hidden="1" x14ac:dyDescent="0.3">
      <c r="B4754" t="s">
        <v>457</v>
      </c>
    </row>
    <row r="4755" spans="2:2" ht="14.4" hidden="1" x14ac:dyDescent="0.3">
      <c r="B4755" t="s">
        <v>458</v>
      </c>
    </row>
    <row r="4756" spans="2:2" ht="14.4" hidden="1" x14ac:dyDescent="0.3">
      <c r="B4756" t="s">
        <v>45</v>
      </c>
    </row>
    <row r="4757" spans="2:2" ht="14.4" hidden="1" x14ac:dyDescent="0.3">
      <c r="B4757" t="s">
        <v>459</v>
      </c>
    </row>
    <row r="4758" spans="2:2" ht="14.4" hidden="1" x14ac:dyDescent="0.3">
      <c r="B4758" t="s">
        <v>460</v>
      </c>
    </row>
    <row r="4759" spans="2:2" ht="14.4" hidden="1" x14ac:dyDescent="0.3">
      <c r="B4759" t="s">
        <v>461</v>
      </c>
    </row>
    <row r="4760" spans="2:2" ht="14.4" hidden="1" x14ac:dyDescent="0.3">
      <c r="B4760" t="s">
        <v>462</v>
      </c>
    </row>
    <row r="4761" spans="2:2" ht="14.4" hidden="1" x14ac:dyDescent="0.3">
      <c r="B4761" t="s">
        <v>3272</v>
      </c>
    </row>
    <row r="4762" spans="2:2" ht="14.4" hidden="1" x14ac:dyDescent="0.3">
      <c r="B4762" t="s">
        <v>463</v>
      </c>
    </row>
    <row r="4763" spans="2:2" ht="14.4" hidden="1" x14ac:dyDescent="0.3">
      <c r="B4763" t="s">
        <v>464</v>
      </c>
    </row>
    <row r="4764" spans="2:2" ht="14.4" hidden="1" x14ac:dyDescent="0.3">
      <c r="B4764" t="s">
        <v>465</v>
      </c>
    </row>
    <row r="4765" spans="2:2" ht="14.4" hidden="1" x14ac:dyDescent="0.3">
      <c r="B4765" t="s">
        <v>466</v>
      </c>
    </row>
    <row r="4766" spans="2:2" ht="14.4" hidden="1" x14ac:dyDescent="0.3">
      <c r="B4766" t="s">
        <v>3279</v>
      </c>
    </row>
    <row r="4767" spans="2:2" ht="14.4" hidden="1" x14ac:dyDescent="0.3">
      <c r="B4767" t="s">
        <v>467</v>
      </c>
    </row>
    <row r="4768" spans="2:2" ht="14.4" hidden="1" x14ac:dyDescent="0.3">
      <c r="B4768" t="s">
        <v>468</v>
      </c>
    </row>
    <row r="4769" spans="2:2" ht="14.4" hidden="1" x14ac:dyDescent="0.3">
      <c r="B4769" t="s">
        <v>3284</v>
      </c>
    </row>
    <row r="4770" spans="2:2" ht="14.4" hidden="1" x14ac:dyDescent="0.3">
      <c r="B4770" t="s">
        <v>469</v>
      </c>
    </row>
    <row r="4771" spans="2:2" ht="14.4" hidden="1" x14ac:dyDescent="0.3">
      <c r="B4771" t="s">
        <v>470</v>
      </c>
    </row>
    <row r="4772" spans="2:2" ht="14.4" hidden="1" x14ac:dyDescent="0.3">
      <c r="B4772" t="s">
        <v>471</v>
      </c>
    </row>
    <row r="4773" spans="2:2" ht="14.4" hidden="1" x14ac:dyDescent="0.3">
      <c r="B4773" t="s">
        <v>472</v>
      </c>
    </row>
    <row r="4774" spans="2:2" ht="14.4" hidden="1" x14ac:dyDescent="0.3">
      <c r="B4774" t="s">
        <v>473</v>
      </c>
    </row>
    <row r="4775" spans="2:2" ht="14.4" hidden="1" x14ac:dyDescent="0.3">
      <c r="B4775" t="s">
        <v>1289</v>
      </c>
    </row>
    <row r="4776" spans="2:2" ht="14.4" hidden="1" x14ac:dyDescent="0.3">
      <c r="B4776" t="s">
        <v>3293</v>
      </c>
    </row>
    <row r="4777" spans="2:2" ht="14.4" hidden="1" x14ac:dyDescent="0.3">
      <c r="B4777" t="s">
        <v>474</v>
      </c>
    </row>
    <row r="4778" spans="2:2" ht="14.4" hidden="1" x14ac:dyDescent="0.3">
      <c r="B4778" t="s">
        <v>475</v>
      </c>
    </row>
    <row r="4779" spans="2:2" ht="14.4" hidden="1" x14ac:dyDescent="0.3">
      <c r="B4779" t="s">
        <v>476</v>
      </c>
    </row>
    <row r="4780" spans="2:2" ht="14.4" hidden="1" x14ac:dyDescent="0.3">
      <c r="B4780" t="s">
        <v>3299</v>
      </c>
    </row>
    <row r="4781" spans="2:2" ht="14.4" hidden="1" x14ac:dyDescent="0.3">
      <c r="B4781" t="s">
        <v>3302</v>
      </c>
    </row>
    <row r="4782" spans="2:2" ht="14.4" hidden="1" x14ac:dyDescent="0.3">
      <c r="B4782" t="s">
        <v>477</v>
      </c>
    </row>
    <row r="4783" spans="2:2" ht="14.4" hidden="1" x14ac:dyDescent="0.3">
      <c r="B4783" t="s">
        <v>478</v>
      </c>
    </row>
    <row r="4784" spans="2:2" ht="14.4" hidden="1" x14ac:dyDescent="0.3">
      <c r="B4784" t="s">
        <v>479</v>
      </c>
    </row>
    <row r="4785" spans="2:2" ht="14.4" hidden="1" x14ac:dyDescent="0.3">
      <c r="B4785" t="s">
        <v>479</v>
      </c>
    </row>
    <row r="4786" spans="2:2" ht="14.4" hidden="1" x14ac:dyDescent="0.3">
      <c r="B4786" t="s">
        <v>43</v>
      </c>
    </row>
    <row r="4787" spans="2:2" ht="14.4" hidden="1" x14ac:dyDescent="0.3">
      <c r="B4787" t="s">
        <v>47</v>
      </c>
    </row>
    <row r="4788" spans="2:2" ht="14.4" hidden="1" x14ac:dyDescent="0.3">
      <c r="B4788" t="s">
        <v>480</v>
      </c>
    </row>
    <row r="4789" spans="2:2" ht="14.4" hidden="1" x14ac:dyDescent="0.3">
      <c r="B4789" t="s">
        <v>481</v>
      </c>
    </row>
    <row r="4790" spans="2:2" ht="14.4" hidden="1" x14ac:dyDescent="0.3">
      <c r="B4790" t="s">
        <v>482</v>
      </c>
    </row>
    <row r="4791" spans="2:2" ht="14.4" hidden="1" x14ac:dyDescent="0.3">
      <c r="B4791" t="s">
        <v>483</v>
      </c>
    </row>
    <row r="4792" spans="2:2" ht="14.4" hidden="1" x14ac:dyDescent="0.3">
      <c r="B4792" t="s">
        <v>484</v>
      </c>
    </row>
    <row r="4793" spans="2:2" ht="14.4" hidden="1" x14ac:dyDescent="0.3">
      <c r="B4793" t="s">
        <v>485</v>
      </c>
    </row>
    <row r="4794" spans="2:2" ht="14.4" hidden="1" x14ac:dyDescent="0.3">
      <c r="B4794" t="s">
        <v>486</v>
      </c>
    </row>
    <row r="4795" spans="2:2" ht="14.4" hidden="1" x14ac:dyDescent="0.3">
      <c r="B4795" t="s">
        <v>487</v>
      </c>
    </row>
    <row r="4796" spans="2:2" ht="14.4" hidden="1" x14ac:dyDescent="0.3">
      <c r="B4796" t="s">
        <v>488</v>
      </c>
    </row>
    <row r="4797" spans="2:2" ht="14.4" hidden="1" x14ac:dyDescent="0.3">
      <c r="B4797" t="s">
        <v>489</v>
      </c>
    </row>
    <row r="4798" spans="2:2" ht="14.4" hidden="1" x14ac:dyDescent="0.3">
      <c r="B4798" t="s">
        <v>3321</v>
      </c>
    </row>
    <row r="4799" spans="2:2" ht="14.4" hidden="1" x14ac:dyDescent="0.3">
      <c r="B4799" t="s">
        <v>490</v>
      </c>
    </row>
    <row r="4800" spans="2:2" ht="14.4" hidden="1" x14ac:dyDescent="0.3">
      <c r="B4800" t="s">
        <v>3325</v>
      </c>
    </row>
    <row r="4801" spans="2:2" ht="14.4" hidden="1" x14ac:dyDescent="0.3">
      <c r="B4801" t="s">
        <v>491</v>
      </c>
    </row>
    <row r="4802" spans="2:2" ht="14.4" hidden="1" x14ac:dyDescent="0.3">
      <c r="B4802" t="s">
        <v>3328</v>
      </c>
    </row>
    <row r="4803" spans="2:2" ht="14.4" hidden="1" x14ac:dyDescent="0.3">
      <c r="B4803" t="s">
        <v>3331</v>
      </c>
    </row>
    <row r="4804" spans="2:2" ht="14.4" hidden="1" x14ac:dyDescent="0.3">
      <c r="B4804" t="s">
        <v>492</v>
      </c>
    </row>
    <row r="4805" spans="2:2" ht="14.4" hidden="1" x14ac:dyDescent="0.3">
      <c r="B4805" t="s">
        <v>493</v>
      </c>
    </row>
    <row r="4806" spans="2:2" ht="14.4" hidden="1" x14ac:dyDescent="0.3">
      <c r="B4806" t="s">
        <v>494</v>
      </c>
    </row>
    <row r="4807" spans="2:2" ht="14.4" hidden="1" x14ac:dyDescent="0.3">
      <c r="B4807" t="s">
        <v>495</v>
      </c>
    </row>
    <row r="4808" spans="2:2" ht="14.4" hidden="1" x14ac:dyDescent="0.3">
      <c r="B4808" t="s">
        <v>496</v>
      </c>
    </row>
    <row r="4809" spans="2:2" ht="14.4" hidden="1" x14ac:dyDescent="0.3">
      <c r="B4809" t="s">
        <v>497</v>
      </c>
    </row>
    <row r="4810" spans="2:2" ht="14.4" hidden="1" x14ac:dyDescent="0.3">
      <c r="B4810" t="s">
        <v>48</v>
      </c>
    </row>
    <row r="4811" spans="2:2" ht="14.4" hidden="1" x14ac:dyDescent="0.3">
      <c r="B4811" t="s">
        <v>498</v>
      </c>
    </row>
    <row r="4812" spans="2:2" ht="14.4" hidden="1" x14ac:dyDescent="0.3">
      <c r="B4812" t="s">
        <v>499</v>
      </c>
    </row>
    <row r="4813" spans="2:2" ht="14.4" hidden="1" x14ac:dyDescent="0.3">
      <c r="B4813" t="s">
        <v>500</v>
      </c>
    </row>
    <row r="4814" spans="2:2" ht="14.4" hidden="1" x14ac:dyDescent="0.3">
      <c r="B4814" t="s">
        <v>3344</v>
      </c>
    </row>
    <row r="4815" spans="2:2" ht="14.4" hidden="1" x14ac:dyDescent="0.3">
      <c r="B4815" t="s">
        <v>501</v>
      </c>
    </row>
    <row r="4816" spans="2:2" ht="14.4" hidden="1" x14ac:dyDescent="0.3">
      <c r="B4816" t="s">
        <v>502</v>
      </c>
    </row>
    <row r="4817" spans="2:2" ht="14.4" hidden="1" x14ac:dyDescent="0.3">
      <c r="B4817" t="s">
        <v>503</v>
      </c>
    </row>
    <row r="4818" spans="2:2" ht="14.4" hidden="1" x14ac:dyDescent="0.3">
      <c r="B4818" t="s">
        <v>504</v>
      </c>
    </row>
    <row r="4819" spans="2:2" ht="14.4" hidden="1" x14ac:dyDescent="0.3">
      <c r="B4819" t="s">
        <v>504</v>
      </c>
    </row>
    <row r="4820" spans="2:2" ht="14.4" hidden="1" x14ac:dyDescent="0.3">
      <c r="B4820" t="s">
        <v>6</v>
      </c>
    </row>
    <row r="4821" spans="2:2" ht="14.4" hidden="1" x14ac:dyDescent="0.3">
      <c r="B4821" t="s">
        <v>505</v>
      </c>
    </row>
    <row r="4822" spans="2:2" ht="14.4" hidden="1" x14ac:dyDescent="0.3">
      <c r="B4822" t="s">
        <v>506</v>
      </c>
    </row>
    <row r="4823" spans="2:2" ht="14.4" hidden="1" x14ac:dyDescent="0.3">
      <c r="B4823" t="s">
        <v>507</v>
      </c>
    </row>
    <row r="4824" spans="2:2" ht="14.4" hidden="1" x14ac:dyDescent="0.3">
      <c r="B4824" t="s">
        <v>508</v>
      </c>
    </row>
    <row r="4825" spans="2:2" ht="14.4" hidden="1" x14ac:dyDescent="0.3">
      <c r="B4825" t="s">
        <v>509</v>
      </c>
    </row>
    <row r="4826" spans="2:2" ht="14.4" hidden="1" x14ac:dyDescent="0.3">
      <c r="B4826" t="s">
        <v>3358</v>
      </c>
    </row>
    <row r="4827" spans="2:2" ht="14.4" hidden="1" x14ac:dyDescent="0.3">
      <c r="B4827" t="s">
        <v>510</v>
      </c>
    </row>
    <row r="4828" spans="2:2" ht="14.4" hidden="1" x14ac:dyDescent="0.3">
      <c r="B4828" t="s">
        <v>511</v>
      </c>
    </row>
    <row r="4829" spans="2:2" ht="14.4" hidden="1" x14ac:dyDescent="0.3">
      <c r="B4829" t="s">
        <v>512</v>
      </c>
    </row>
    <row r="4830" spans="2:2" ht="14.4" hidden="1" x14ac:dyDescent="0.3">
      <c r="B4830" t="s">
        <v>513</v>
      </c>
    </row>
    <row r="4831" spans="2:2" ht="14.4" hidden="1" x14ac:dyDescent="0.3">
      <c r="B4831" t="s">
        <v>3365</v>
      </c>
    </row>
    <row r="4832" spans="2:2" ht="14.4" hidden="1" x14ac:dyDescent="0.3">
      <c r="B4832" t="s">
        <v>514</v>
      </c>
    </row>
    <row r="4833" spans="2:2" ht="14.4" hidden="1" x14ac:dyDescent="0.3">
      <c r="B4833" t="s">
        <v>515</v>
      </c>
    </row>
    <row r="4834" spans="2:2" ht="14.4" hidden="1" x14ac:dyDescent="0.3">
      <c r="B4834" t="s">
        <v>516</v>
      </c>
    </row>
    <row r="4835" spans="2:2" ht="14.4" hidden="1" x14ac:dyDescent="0.3">
      <c r="B4835" t="s">
        <v>517</v>
      </c>
    </row>
    <row r="4836" spans="2:2" ht="14.4" hidden="1" x14ac:dyDescent="0.3">
      <c r="B4836" t="s">
        <v>518</v>
      </c>
    </row>
    <row r="4837" spans="2:2" ht="14.4" hidden="1" x14ac:dyDescent="0.3">
      <c r="B4837" t="s">
        <v>519</v>
      </c>
    </row>
    <row r="4838" spans="2:2" ht="14.4" hidden="1" x14ac:dyDescent="0.3">
      <c r="B4838" t="s">
        <v>520</v>
      </c>
    </row>
    <row r="4839" spans="2:2" ht="14.4" hidden="1" x14ac:dyDescent="0.3">
      <c r="B4839" t="s">
        <v>521</v>
      </c>
    </row>
    <row r="4840" spans="2:2" ht="14.4" hidden="1" x14ac:dyDescent="0.3">
      <c r="B4840" t="s">
        <v>522</v>
      </c>
    </row>
    <row r="4841" spans="2:2" ht="14.4" hidden="1" x14ac:dyDescent="0.3">
      <c r="B4841" t="s">
        <v>523</v>
      </c>
    </row>
    <row r="4842" spans="2:2" ht="14.4" hidden="1" x14ac:dyDescent="0.3">
      <c r="B4842" t="s">
        <v>524</v>
      </c>
    </row>
    <row r="4843" spans="2:2" ht="14.4" hidden="1" x14ac:dyDescent="0.3">
      <c r="B4843" t="s">
        <v>49</v>
      </c>
    </row>
    <row r="4844" spans="2:2" ht="14.4" hidden="1" x14ac:dyDescent="0.3">
      <c r="B4844" t="s">
        <v>525</v>
      </c>
    </row>
    <row r="4845" spans="2:2" ht="14.4" hidden="1" x14ac:dyDescent="0.3">
      <c r="B4845" t="s">
        <v>526</v>
      </c>
    </row>
    <row r="4846" spans="2:2" ht="14.4" hidden="1" x14ac:dyDescent="0.3">
      <c r="B4846" t="s">
        <v>527</v>
      </c>
    </row>
    <row r="4847" spans="2:2" ht="14.4" hidden="1" x14ac:dyDescent="0.3">
      <c r="B4847" t="s">
        <v>528</v>
      </c>
    </row>
    <row r="4848" spans="2:2" ht="14.4" hidden="1" x14ac:dyDescent="0.3">
      <c r="B4848" t="s">
        <v>50</v>
      </c>
    </row>
    <row r="4849" spans="2:2" ht="14.4" hidden="1" x14ac:dyDescent="0.3">
      <c r="B4849" t="s">
        <v>529</v>
      </c>
    </row>
    <row r="4850" spans="2:2" ht="14.4" hidden="1" x14ac:dyDescent="0.3">
      <c r="B4850" t="s">
        <v>3386</v>
      </c>
    </row>
    <row r="4851" spans="2:2" ht="14.4" hidden="1" x14ac:dyDescent="0.3">
      <c r="B4851" t="s">
        <v>3389</v>
      </c>
    </row>
    <row r="4852" spans="2:2" ht="14.4" hidden="1" x14ac:dyDescent="0.3">
      <c r="B4852" t="s">
        <v>530</v>
      </c>
    </row>
    <row r="4853" spans="2:2" ht="14.4" hidden="1" x14ac:dyDescent="0.3">
      <c r="B4853" t="s">
        <v>531</v>
      </c>
    </row>
    <row r="4854" spans="2:2" ht="14.4" hidden="1" x14ac:dyDescent="0.3">
      <c r="B4854" t="s">
        <v>532</v>
      </c>
    </row>
    <row r="4855" spans="2:2" ht="14.4" hidden="1" x14ac:dyDescent="0.3">
      <c r="B4855" t="s">
        <v>533</v>
      </c>
    </row>
    <row r="4856" spans="2:2" ht="14.4" hidden="1" x14ac:dyDescent="0.3">
      <c r="B4856" t="s">
        <v>534</v>
      </c>
    </row>
    <row r="4857" spans="2:2" ht="14.4" hidden="1" x14ac:dyDescent="0.3">
      <c r="B4857" t="s">
        <v>535</v>
      </c>
    </row>
    <row r="4858" spans="2:2" ht="14.4" hidden="1" x14ac:dyDescent="0.3">
      <c r="B4858" t="s">
        <v>536</v>
      </c>
    </row>
    <row r="4859" spans="2:2" ht="14.4" hidden="1" x14ac:dyDescent="0.3">
      <c r="B4859" t="s">
        <v>1290</v>
      </c>
    </row>
    <row r="4860" spans="2:2" ht="14.4" hidden="1" x14ac:dyDescent="0.3">
      <c r="B4860" t="s">
        <v>537</v>
      </c>
    </row>
    <row r="4861" spans="2:2" ht="14.4" hidden="1" x14ac:dyDescent="0.3">
      <c r="B4861" t="s">
        <v>3402</v>
      </c>
    </row>
    <row r="4862" spans="2:2" ht="14.4" hidden="1" x14ac:dyDescent="0.3">
      <c r="B4862" t="s">
        <v>3405</v>
      </c>
    </row>
    <row r="4863" spans="2:2" ht="14.4" hidden="1" x14ac:dyDescent="0.3">
      <c r="B4863" t="s">
        <v>538</v>
      </c>
    </row>
    <row r="4864" spans="2:2" ht="14.4" hidden="1" x14ac:dyDescent="0.3">
      <c r="B4864" t="s">
        <v>539</v>
      </c>
    </row>
    <row r="4865" spans="2:2" ht="14.4" hidden="1" x14ac:dyDescent="0.3">
      <c r="B4865" t="s">
        <v>540</v>
      </c>
    </row>
    <row r="4866" spans="2:2" ht="14.4" hidden="1" x14ac:dyDescent="0.3">
      <c r="B4866" t="s">
        <v>1291</v>
      </c>
    </row>
    <row r="4867" spans="2:2" ht="14.4" hidden="1" x14ac:dyDescent="0.3">
      <c r="B4867" t="s">
        <v>541</v>
      </c>
    </row>
    <row r="4868" spans="2:2" ht="14.4" hidden="1" x14ac:dyDescent="0.3">
      <c r="B4868" t="s">
        <v>51</v>
      </c>
    </row>
    <row r="4869" spans="2:2" ht="14.4" hidden="1" x14ac:dyDescent="0.3">
      <c r="B4869" t="s">
        <v>3414</v>
      </c>
    </row>
    <row r="4870" spans="2:2" ht="14.4" hidden="1" x14ac:dyDescent="0.3">
      <c r="B4870" t="s">
        <v>101</v>
      </c>
    </row>
    <row r="4871" spans="2:2" ht="14.4" hidden="1" x14ac:dyDescent="0.3">
      <c r="B4871" t="s">
        <v>3418</v>
      </c>
    </row>
    <row r="4872" spans="2:2" ht="14.4" hidden="1" x14ac:dyDescent="0.3">
      <c r="B4872" t="s">
        <v>542</v>
      </c>
    </row>
    <row r="4873" spans="2:2" ht="14.4" hidden="1" x14ac:dyDescent="0.3">
      <c r="B4873" t="s">
        <v>543</v>
      </c>
    </row>
    <row r="4874" spans="2:2" ht="14.4" hidden="1" x14ac:dyDescent="0.3">
      <c r="B4874" t="s">
        <v>544</v>
      </c>
    </row>
    <row r="4875" spans="2:2" ht="14.4" hidden="1" x14ac:dyDescent="0.3">
      <c r="B4875" t="s">
        <v>7</v>
      </c>
    </row>
    <row r="4876" spans="2:2" ht="14.4" hidden="1" x14ac:dyDescent="0.3">
      <c r="B4876" t="s">
        <v>545</v>
      </c>
    </row>
    <row r="4877" spans="2:2" ht="14.4" hidden="1" x14ac:dyDescent="0.3">
      <c r="B4877" t="s">
        <v>546</v>
      </c>
    </row>
    <row r="4878" spans="2:2" ht="14.4" hidden="1" x14ac:dyDescent="0.3">
      <c r="B4878" t="s">
        <v>546</v>
      </c>
    </row>
    <row r="4879" spans="2:2" ht="14.4" hidden="1" x14ac:dyDescent="0.3">
      <c r="B4879" t="s">
        <v>3427</v>
      </c>
    </row>
    <row r="4880" spans="2:2" ht="14.4" hidden="1" x14ac:dyDescent="0.3">
      <c r="B4880" t="s">
        <v>547</v>
      </c>
    </row>
    <row r="4881" spans="2:2" ht="14.4" hidden="1" x14ac:dyDescent="0.3">
      <c r="B4881" t="s">
        <v>548</v>
      </c>
    </row>
    <row r="4882" spans="2:2" ht="14.4" hidden="1" x14ac:dyDescent="0.3">
      <c r="B4882" t="s">
        <v>8</v>
      </c>
    </row>
    <row r="4883" spans="2:2" ht="14.4" hidden="1" x14ac:dyDescent="0.3">
      <c r="B4883" t="s">
        <v>549</v>
      </c>
    </row>
    <row r="4884" spans="2:2" ht="14.4" hidden="1" x14ac:dyDescent="0.3">
      <c r="B4884" t="s">
        <v>550</v>
      </c>
    </row>
    <row r="4885" spans="2:2" ht="14.4" hidden="1" x14ac:dyDescent="0.3">
      <c r="B4885" t="s">
        <v>9</v>
      </c>
    </row>
    <row r="4886" spans="2:2" ht="14.4" hidden="1" x14ac:dyDescent="0.3">
      <c r="B4886" t="s">
        <v>9</v>
      </c>
    </row>
    <row r="4887" spans="2:2" ht="14.4" hidden="1" x14ac:dyDescent="0.3">
      <c r="B4887" t="s">
        <v>551</v>
      </c>
    </row>
    <row r="4888" spans="2:2" ht="14.4" hidden="1" x14ac:dyDescent="0.3">
      <c r="B4888" t="s">
        <v>552</v>
      </c>
    </row>
    <row r="4889" spans="2:2" ht="14.4" hidden="1" x14ac:dyDescent="0.3">
      <c r="B4889" t="s">
        <v>553</v>
      </c>
    </row>
    <row r="4890" spans="2:2" ht="14.4" hidden="1" x14ac:dyDescent="0.3">
      <c r="B4890" t="s">
        <v>554</v>
      </c>
    </row>
    <row r="4891" spans="2:2" ht="14.4" hidden="1" x14ac:dyDescent="0.3">
      <c r="B4891" t="s">
        <v>555</v>
      </c>
    </row>
    <row r="4892" spans="2:2" ht="14.4" hidden="1" x14ac:dyDescent="0.3">
      <c r="B4892" t="s">
        <v>556</v>
      </c>
    </row>
    <row r="4893" spans="2:2" ht="14.4" hidden="1" x14ac:dyDescent="0.3">
      <c r="B4893" t="s">
        <v>557</v>
      </c>
    </row>
    <row r="4894" spans="2:2" ht="14.4" hidden="1" x14ac:dyDescent="0.3">
      <c r="B4894" t="s">
        <v>558</v>
      </c>
    </row>
    <row r="4895" spans="2:2" ht="14.4" hidden="1" x14ac:dyDescent="0.3">
      <c r="B4895" t="s">
        <v>559</v>
      </c>
    </row>
    <row r="4896" spans="2:2" ht="14.4" hidden="1" x14ac:dyDescent="0.3">
      <c r="B4896" t="s">
        <v>52</v>
      </c>
    </row>
    <row r="4897" spans="2:2" ht="14.4" hidden="1" x14ac:dyDescent="0.3">
      <c r="B4897" t="s">
        <v>560</v>
      </c>
    </row>
    <row r="4898" spans="2:2" ht="14.4" hidden="1" x14ac:dyDescent="0.3">
      <c r="B4898" t="s">
        <v>561</v>
      </c>
    </row>
    <row r="4899" spans="2:2" ht="14.4" hidden="1" x14ac:dyDescent="0.3">
      <c r="B4899" t="s">
        <v>562</v>
      </c>
    </row>
    <row r="4900" spans="2:2" ht="14.4" hidden="1" x14ac:dyDescent="0.3">
      <c r="B4900" t="s">
        <v>563</v>
      </c>
    </row>
    <row r="4901" spans="2:2" ht="14.4" hidden="1" x14ac:dyDescent="0.3">
      <c r="B4901" t="s">
        <v>564</v>
      </c>
    </row>
    <row r="4902" spans="2:2" ht="14.4" hidden="1" x14ac:dyDescent="0.3">
      <c r="B4902" t="s">
        <v>3451</v>
      </c>
    </row>
    <row r="4903" spans="2:2" ht="14.4" hidden="1" x14ac:dyDescent="0.3">
      <c r="B4903" t="s">
        <v>565</v>
      </c>
    </row>
    <row r="4904" spans="2:2" ht="14.4" hidden="1" x14ac:dyDescent="0.3">
      <c r="B4904" t="s">
        <v>566</v>
      </c>
    </row>
    <row r="4905" spans="2:2" ht="14.4" hidden="1" x14ac:dyDescent="0.3">
      <c r="B4905" t="s">
        <v>567</v>
      </c>
    </row>
    <row r="4906" spans="2:2" ht="14.4" hidden="1" x14ac:dyDescent="0.3">
      <c r="B4906" t="s">
        <v>568</v>
      </c>
    </row>
    <row r="4907" spans="2:2" ht="14.4" hidden="1" x14ac:dyDescent="0.3">
      <c r="B4907" t="s">
        <v>569</v>
      </c>
    </row>
    <row r="4908" spans="2:2" ht="14.4" hidden="1" x14ac:dyDescent="0.3">
      <c r="B4908" t="s">
        <v>570</v>
      </c>
    </row>
    <row r="4909" spans="2:2" ht="14.4" hidden="1" x14ac:dyDescent="0.3">
      <c r="B4909" t="s">
        <v>571</v>
      </c>
    </row>
    <row r="4910" spans="2:2" ht="14.4" hidden="1" x14ac:dyDescent="0.3">
      <c r="B4910" t="s">
        <v>572</v>
      </c>
    </row>
    <row r="4911" spans="2:2" ht="14.4" hidden="1" x14ac:dyDescent="0.3">
      <c r="B4911" t="s">
        <v>573</v>
      </c>
    </row>
    <row r="4912" spans="2:2" ht="14.4" hidden="1" x14ac:dyDescent="0.3">
      <c r="B4912" t="s">
        <v>574</v>
      </c>
    </row>
    <row r="4913" spans="2:2" ht="14.4" hidden="1" x14ac:dyDescent="0.3">
      <c r="B4913" t="s">
        <v>575</v>
      </c>
    </row>
    <row r="4914" spans="2:2" ht="14.4" hidden="1" x14ac:dyDescent="0.3">
      <c r="B4914" t="s">
        <v>576</v>
      </c>
    </row>
    <row r="4915" spans="2:2" ht="14.4" hidden="1" x14ac:dyDescent="0.3">
      <c r="B4915" t="s">
        <v>577</v>
      </c>
    </row>
    <row r="4916" spans="2:2" ht="14.4" hidden="1" x14ac:dyDescent="0.3">
      <c r="B4916" t="s">
        <v>3467</v>
      </c>
    </row>
    <row r="4917" spans="2:2" ht="14.4" hidden="1" x14ac:dyDescent="0.3">
      <c r="B4917" t="s">
        <v>3470</v>
      </c>
    </row>
    <row r="4918" spans="2:2" ht="14.4" hidden="1" x14ac:dyDescent="0.3">
      <c r="B4918" t="s">
        <v>578</v>
      </c>
    </row>
    <row r="4919" spans="2:2" ht="14.4" hidden="1" x14ac:dyDescent="0.3">
      <c r="B4919" t="s">
        <v>579</v>
      </c>
    </row>
    <row r="4920" spans="2:2" ht="14.4" hidden="1" x14ac:dyDescent="0.3">
      <c r="B4920" t="s">
        <v>30</v>
      </c>
    </row>
    <row r="4921" spans="2:2" ht="14.4" hidden="1" x14ac:dyDescent="0.3">
      <c r="B4921" t="s">
        <v>0</v>
      </c>
    </row>
    <row r="4922" spans="2:2" ht="14.4" hidden="1" x14ac:dyDescent="0.3">
      <c r="B4922" t="s">
        <v>580</v>
      </c>
    </row>
    <row r="4923" spans="2:2" ht="14.4" hidden="1" x14ac:dyDescent="0.3">
      <c r="B4923" t="s">
        <v>581</v>
      </c>
    </row>
    <row r="4924" spans="2:2" ht="14.4" hidden="1" x14ac:dyDescent="0.3">
      <c r="B4924" t="s">
        <v>3480</v>
      </c>
    </row>
    <row r="4925" spans="2:2" ht="14.4" hidden="1" x14ac:dyDescent="0.3">
      <c r="B4925" t="s">
        <v>582</v>
      </c>
    </row>
    <row r="4926" spans="2:2" ht="14.4" hidden="1" x14ac:dyDescent="0.3">
      <c r="B4926" t="s">
        <v>1292</v>
      </c>
    </row>
    <row r="4927" spans="2:2" ht="14.4" hidden="1" x14ac:dyDescent="0.3">
      <c r="B4927" t="s">
        <v>3485</v>
      </c>
    </row>
    <row r="4928" spans="2:2" ht="14.4" hidden="1" x14ac:dyDescent="0.3">
      <c r="B4928" t="s">
        <v>3488</v>
      </c>
    </row>
    <row r="4929" spans="2:2" ht="14.4" hidden="1" x14ac:dyDescent="0.3">
      <c r="B4929" t="s">
        <v>583</v>
      </c>
    </row>
    <row r="4930" spans="2:2" ht="14.4" hidden="1" x14ac:dyDescent="0.3">
      <c r="B4930" t="s">
        <v>584</v>
      </c>
    </row>
    <row r="4931" spans="2:2" ht="14.4" hidden="1" x14ac:dyDescent="0.3">
      <c r="B4931" t="s">
        <v>53</v>
      </c>
    </row>
    <row r="4932" spans="2:2" ht="14.4" hidden="1" x14ac:dyDescent="0.3">
      <c r="B4932" t="s">
        <v>585</v>
      </c>
    </row>
    <row r="4933" spans="2:2" ht="14.4" hidden="1" x14ac:dyDescent="0.3">
      <c r="B4933" t="s">
        <v>586</v>
      </c>
    </row>
    <row r="4934" spans="2:2" ht="14.4" hidden="1" x14ac:dyDescent="0.3">
      <c r="B4934" t="s">
        <v>54</v>
      </c>
    </row>
    <row r="4935" spans="2:2" ht="14.4" hidden="1" x14ac:dyDescent="0.3">
      <c r="B4935" t="s">
        <v>10</v>
      </c>
    </row>
    <row r="4936" spans="2:2" ht="14.4" hidden="1" x14ac:dyDescent="0.3">
      <c r="B4936" t="s">
        <v>587</v>
      </c>
    </row>
    <row r="4937" spans="2:2" ht="14.4" hidden="1" x14ac:dyDescent="0.3">
      <c r="B4937" t="s">
        <v>588</v>
      </c>
    </row>
    <row r="4938" spans="2:2" ht="14.4" hidden="1" x14ac:dyDescent="0.3">
      <c r="B4938" t="s">
        <v>589</v>
      </c>
    </row>
    <row r="4939" spans="2:2" ht="14.4" hidden="1" x14ac:dyDescent="0.3">
      <c r="B4939" t="s">
        <v>3501</v>
      </c>
    </row>
    <row r="4940" spans="2:2" ht="14.4" hidden="1" x14ac:dyDescent="0.3">
      <c r="B4940" t="s">
        <v>590</v>
      </c>
    </row>
    <row r="4941" spans="2:2" ht="14.4" hidden="1" x14ac:dyDescent="0.3">
      <c r="B4941" t="s">
        <v>591</v>
      </c>
    </row>
    <row r="4942" spans="2:2" ht="14.4" hidden="1" x14ac:dyDescent="0.3">
      <c r="B4942" t="s">
        <v>592</v>
      </c>
    </row>
    <row r="4943" spans="2:2" ht="14.4" hidden="1" x14ac:dyDescent="0.3">
      <c r="B4943" t="s">
        <v>593</v>
      </c>
    </row>
    <row r="4944" spans="2:2" ht="14.4" hidden="1" x14ac:dyDescent="0.3">
      <c r="B4944" t="s">
        <v>594</v>
      </c>
    </row>
    <row r="4945" spans="2:2" ht="14.4" hidden="1" x14ac:dyDescent="0.3">
      <c r="B4945" t="s">
        <v>3509</v>
      </c>
    </row>
    <row r="4946" spans="2:2" ht="14.4" hidden="1" x14ac:dyDescent="0.3">
      <c r="B4946" t="s">
        <v>58</v>
      </c>
    </row>
    <row r="4947" spans="2:2" ht="14.4" hidden="1" x14ac:dyDescent="0.3">
      <c r="B4947" t="s">
        <v>595</v>
      </c>
    </row>
    <row r="4948" spans="2:2" ht="14.4" hidden="1" x14ac:dyDescent="0.3">
      <c r="B4948" t="s">
        <v>596</v>
      </c>
    </row>
    <row r="4949" spans="2:2" ht="14.4" hidden="1" x14ac:dyDescent="0.3">
      <c r="B4949" t="s">
        <v>597</v>
      </c>
    </row>
    <row r="4950" spans="2:2" ht="14.4" hidden="1" x14ac:dyDescent="0.3">
      <c r="B4950" t="s">
        <v>598</v>
      </c>
    </row>
    <row r="4951" spans="2:2" ht="14.4" hidden="1" x14ac:dyDescent="0.3">
      <c r="B4951" t="s">
        <v>599</v>
      </c>
    </row>
    <row r="4952" spans="2:2" ht="14.4" hidden="1" x14ac:dyDescent="0.3">
      <c r="B4952" t="s">
        <v>1293</v>
      </c>
    </row>
    <row r="4953" spans="2:2" ht="14.4" hidden="1" x14ac:dyDescent="0.3">
      <c r="B4953" t="s">
        <v>600</v>
      </c>
    </row>
    <row r="4954" spans="2:2" ht="14.4" hidden="1" x14ac:dyDescent="0.3">
      <c r="B4954" t="s">
        <v>601</v>
      </c>
    </row>
    <row r="4955" spans="2:2" ht="14.4" hidden="1" x14ac:dyDescent="0.3">
      <c r="B4955" t="s">
        <v>602</v>
      </c>
    </row>
    <row r="4956" spans="2:2" ht="14.4" hidden="1" x14ac:dyDescent="0.3">
      <c r="B4956" t="s">
        <v>603</v>
      </c>
    </row>
    <row r="4957" spans="2:2" ht="14.4" hidden="1" x14ac:dyDescent="0.3">
      <c r="B4957" t="s">
        <v>604</v>
      </c>
    </row>
    <row r="4958" spans="2:2" ht="14.4" hidden="1" x14ac:dyDescent="0.3">
      <c r="B4958" t="s">
        <v>605</v>
      </c>
    </row>
    <row r="4959" spans="2:2" ht="14.4" hidden="1" x14ac:dyDescent="0.3">
      <c r="B4959" t="s">
        <v>606</v>
      </c>
    </row>
    <row r="4960" spans="2:2" ht="14.4" hidden="1" x14ac:dyDescent="0.3">
      <c r="B4960" t="s">
        <v>607</v>
      </c>
    </row>
    <row r="4961" spans="2:2" ht="14.4" hidden="1" x14ac:dyDescent="0.3">
      <c r="B4961" t="s">
        <v>3527</v>
      </c>
    </row>
    <row r="4962" spans="2:2" ht="14.4" hidden="1" x14ac:dyDescent="0.3">
      <c r="B4962" t="s">
        <v>608</v>
      </c>
    </row>
    <row r="4963" spans="2:2" ht="14.4" hidden="1" x14ac:dyDescent="0.3">
      <c r="B4963" t="s">
        <v>609</v>
      </c>
    </row>
    <row r="4964" spans="2:2" ht="14.4" hidden="1" x14ac:dyDescent="0.3">
      <c r="B4964" t="s">
        <v>610</v>
      </c>
    </row>
    <row r="4965" spans="2:2" ht="14.4" hidden="1" x14ac:dyDescent="0.3">
      <c r="B4965" t="s">
        <v>1294</v>
      </c>
    </row>
    <row r="4966" spans="2:2" ht="14.4" hidden="1" x14ac:dyDescent="0.3">
      <c r="B4966" t="s">
        <v>611</v>
      </c>
    </row>
    <row r="4967" spans="2:2" ht="14.4" hidden="1" x14ac:dyDescent="0.3">
      <c r="B4967" t="s">
        <v>612</v>
      </c>
    </row>
    <row r="4968" spans="2:2" ht="14.4" hidden="1" x14ac:dyDescent="0.3">
      <c r="B4968" t="s">
        <v>613</v>
      </c>
    </row>
    <row r="4969" spans="2:2" ht="14.4" hidden="1" x14ac:dyDescent="0.3">
      <c r="B4969" t="s">
        <v>614</v>
      </c>
    </row>
    <row r="4970" spans="2:2" ht="14.4" hidden="1" x14ac:dyDescent="0.3">
      <c r="B4970" t="s">
        <v>615</v>
      </c>
    </row>
    <row r="4971" spans="2:2" ht="14.4" hidden="1" x14ac:dyDescent="0.3">
      <c r="B4971" t="s">
        <v>616</v>
      </c>
    </row>
    <row r="4972" spans="2:2" ht="14.4" hidden="1" x14ac:dyDescent="0.3">
      <c r="B4972" t="s">
        <v>617</v>
      </c>
    </row>
    <row r="4973" spans="2:2" ht="14.4" hidden="1" x14ac:dyDescent="0.3">
      <c r="B4973" t="s">
        <v>3541</v>
      </c>
    </row>
    <row r="4974" spans="2:2" ht="14.4" hidden="1" x14ac:dyDescent="0.3">
      <c r="B4974" t="s">
        <v>56</v>
      </c>
    </row>
    <row r="4975" spans="2:2" ht="14.4" hidden="1" x14ac:dyDescent="0.3">
      <c r="B4975" t="s">
        <v>3544</v>
      </c>
    </row>
    <row r="4976" spans="2:2" ht="14.4" hidden="1" x14ac:dyDescent="0.3">
      <c r="B4976" t="s">
        <v>618</v>
      </c>
    </row>
    <row r="4977" spans="2:2" ht="14.4" hidden="1" x14ac:dyDescent="0.3">
      <c r="B4977" t="s">
        <v>619</v>
      </c>
    </row>
    <row r="4978" spans="2:2" ht="14.4" hidden="1" x14ac:dyDescent="0.3">
      <c r="B4978" t="s">
        <v>620</v>
      </c>
    </row>
    <row r="4979" spans="2:2" ht="14.4" hidden="1" x14ac:dyDescent="0.3">
      <c r="B4979" t="s">
        <v>621</v>
      </c>
    </row>
    <row r="4980" spans="2:2" ht="14.4" hidden="1" x14ac:dyDescent="0.3">
      <c r="B4980" t="s">
        <v>622</v>
      </c>
    </row>
    <row r="4981" spans="2:2" ht="14.4" hidden="1" x14ac:dyDescent="0.3">
      <c r="B4981" t="s">
        <v>3552</v>
      </c>
    </row>
    <row r="4982" spans="2:2" ht="14.4" hidden="1" x14ac:dyDescent="0.3">
      <c r="B4982" t="s">
        <v>623</v>
      </c>
    </row>
    <row r="4983" spans="2:2" ht="14.4" hidden="1" x14ac:dyDescent="0.3">
      <c r="B4983" t="s">
        <v>624</v>
      </c>
    </row>
    <row r="4984" spans="2:2" ht="14.4" hidden="1" x14ac:dyDescent="0.3">
      <c r="B4984" t="s">
        <v>625</v>
      </c>
    </row>
    <row r="4985" spans="2:2" ht="14.4" hidden="1" x14ac:dyDescent="0.3">
      <c r="B4985" t="s">
        <v>626</v>
      </c>
    </row>
    <row r="4986" spans="2:2" ht="14.4" hidden="1" x14ac:dyDescent="0.3">
      <c r="B4986" t="s">
        <v>57</v>
      </c>
    </row>
    <row r="4987" spans="2:2" ht="14.4" hidden="1" x14ac:dyDescent="0.3">
      <c r="B4987" t="s">
        <v>627</v>
      </c>
    </row>
    <row r="4988" spans="2:2" ht="14.4" hidden="1" x14ac:dyDescent="0.3">
      <c r="B4988" t="s">
        <v>628</v>
      </c>
    </row>
    <row r="4989" spans="2:2" ht="14.4" hidden="1" x14ac:dyDescent="0.3">
      <c r="B4989" t="s">
        <v>629</v>
      </c>
    </row>
    <row r="4990" spans="2:2" ht="14.4" hidden="1" x14ac:dyDescent="0.3">
      <c r="B4990" t="s">
        <v>630</v>
      </c>
    </row>
    <row r="4991" spans="2:2" ht="14.4" hidden="1" x14ac:dyDescent="0.3">
      <c r="B4991" t="s">
        <v>3564</v>
      </c>
    </row>
    <row r="4992" spans="2:2" ht="14.4" hidden="1" x14ac:dyDescent="0.3">
      <c r="B4992" t="s">
        <v>55</v>
      </c>
    </row>
    <row r="4993" spans="2:2" ht="14.4" hidden="1" x14ac:dyDescent="0.3">
      <c r="B4993" t="s">
        <v>631</v>
      </c>
    </row>
    <row r="4994" spans="2:2" ht="14.4" hidden="1" x14ac:dyDescent="0.3">
      <c r="B4994" t="s">
        <v>632</v>
      </c>
    </row>
    <row r="4995" spans="2:2" ht="14.4" hidden="1" x14ac:dyDescent="0.3">
      <c r="B4995" t="s">
        <v>633</v>
      </c>
    </row>
    <row r="4996" spans="2:2" ht="14.4" hidden="1" x14ac:dyDescent="0.3">
      <c r="B4996" t="s">
        <v>59</v>
      </c>
    </row>
    <row r="4997" spans="2:2" ht="14.4" hidden="1" x14ac:dyDescent="0.3">
      <c r="B4997" t="s">
        <v>634</v>
      </c>
    </row>
    <row r="4998" spans="2:2" ht="14.4" hidden="1" x14ac:dyDescent="0.3">
      <c r="B4998" t="s">
        <v>60</v>
      </c>
    </row>
    <row r="4999" spans="2:2" ht="14.4" hidden="1" x14ac:dyDescent="0.3">
      <c r="B4999" t="s">
        <v>635</v>
      </c>
    </row>
    <row r="5000" spans="2:2" ht="14.4" hidden="1" x14ac:dyDescent="0.3">
      <c r="B5000" t="s">
        <v>636</v>
      </c>
    </row>
    <row r="5001" spans="2:2" ht="14.4" hidden="1" x14ac:dyDescent="0.3">
      <c r="B5001" t="s">
        <v>637</v>
      </c>
    </row>
    <row r="5002" spans="2:2" ht="14.4" hidden="1" x14ac:dyDescent="0.3">
      <c r="B5002" t="s">
        <v>638</v>
      </c>
    </row>
    <row r="5003" spans="2:2" ht="14.4" hidden="1" x14ac:dyDescent="0.3">
      <c r="B5003" t="s">
        <v>639</v>
      </c>
    </row>
    <row r="5004" spans="2:2" ht="14.4" hidden="1" x14ac:dyDescent="0.3">
      <c r="B5004" t="s">
        <v>640</v>
      </c>
    </row>
    <row r="5005" spans="2:2" ht="14.4" hidden="1" x14ac:dyDescent="0.3">
      <c r="B5005" t="s">
        <v>641</v>
      </c>
    </row>
    <row r="5006" spans="2:2" ht="14.4" hidden="1" x14ac:dyDescent="0.3">
      <c r="B5006" t="s">
        <v>3581</v>
      </c>
    </row>
    <row r="5007" spans="2:2" ht="14.4" hidden="1" x14ac:dyDescent="0.3">
      <c r="B5007" t="s">
        <v>642</v>
      </c>
    </row>
    <row r="5008" spans="2:2" ht="14.4" hidden="1" x14ac:dyDescent="0.3">
      <c r="B5008" t="s">
        <v>643</v>
      </c>
    </row>
    <row r="5009" spans="2:2" ht="14.4" hidden="1" x14ac:dyDescent="0.3">
      <c r="B5009" t="s">
        <v>3586</v>
      </c>
    </row>
    <row r="5010" spans="2:2" ht="14.4" hidden="1" x14ac:dyDescent="0.3">
      <c r="B5010" t="s">
        <v>1295</v>
      </c>
    </row>
    <row r="5011" spans="2:2" ht="14.4" hidden="1" x14ac:dyDescent="0.3">
      <c r="B5011" t="s">
        <v>644</v>
      </c>
    </row>
    <row r="5012" spans="2:2" ht="14.4" hidden="1" x14ac:dyDescent="0.3">
      <c r="B5012" t="s">
        <v>61</v>
      </c>
    </row>
    <row r="5013" spans="2:2" ht="14.4" hidden="1" x14ac:dyDescent="0.3">
      <c r="B5013" t="s">
        <v>645</v>
      </c>
    </row>
    <row r="5014" spans="2:2" ht="14.4" hidden="1" x14ac:dyDescent="0.3">
      <c r="B5014" t="s">
        <v>63</v>
      </c>
    </row>
    <row r="5015" spans="2:2" ht="14.4" hidden="1" x14ac:dyDescent="0.3">
      <c r="B5015" t="s">
        <v>646</v>
      </c>
    </row>
    <row r="5016" spans="2:2" ht="14.4" hidden="1" x14ac:dyDescent="0.3">
      <c r="B5016" t="s">
        <v>647</v>
      </c>
    </row>
    <row r="5017" spans="2:2" ht="14.4" hidden="1" x14ac:dyDescent="0.3">
      <c r="B5017" t="s">
        <v>3596</v>
      </c>
    </row>
    <row r="5018" spans="2:2" ht="14.4" hidden="1" x14ac:dyDescent="0.3">
      <c r="B5018" t="s">
        <v>648</v>
      </c>
    </row>
    <row r="5019" spans="2:2" ht="14.4" hidden="1" x14ac:dyDescent="0.3">
      <c r="B5019" t="s">
        <v>649</v>
      </c>
    </row>
    <row r="5020" spans="2:2" ht="14.4" hidden="1" x14ac:dyDescent="0.3">
      <c r="B5020" t="s">
        <v>3601</v>
      </c>
    </row>
    <row r="5021" spans="2:2" ht="14.4" hidden="1" x14ac:dyDescent="0.3">
      <c r="B5021" t="s">
        <v>650</v>
      </c>
    </row>
    <row r="5022" spans="2:2" ht="14.4" hidden="1" x14ac:dyDescent="0.3">
      <c r="B5022" t="s">
        <v>651</v>
      </c>
    </row>
    <row r="5023" spans="2:2" ht="14.4" hidden="1" x14ac:dyDescent="0.3">
      <c r="B5023" t="s">
        <v>652</v>
      </c>
    </row>
    <row r="5024" spans="2:2" ht="14.4" hidden="1" x14ac:dyDescent="0.3">
      <c r="B5024" t="s">
        <v>3607</v>
      </c>
    </row>
    <row r="5025" spans="2:2" ht="14.4" hidden="1" x14ac:dyDescent="0.3">
      <c r="B5025" t="s">
        <v>653</v>
      </c>
    </row>
    <row r="5026" spans="2:2" ht="14.4" hidden="1" x14ac:dyDescent="0.3">
      <c r="B5026" t="s">
        <v>653</v>
      </c>
    </row>
    <row r="5027" spans="2:2" ht="14.4" hidden="1" x14ac:dyDescent="0.3">
      <c r="B5027" t="s">
        <v>654</v>
      </c>
    </row>
    <row r="5028" spans="2:2" ht="14.4" hidden="1" x14ac:dyDescent="0.3">
      <c r="B5028" t="s">
        <v>655</v>
      </c>
    </row>
    <row r="5029" spans="2:2" ht="14.4" hidden="1" x14ac:dyDescent="0.3">
      <c r="B5029" t="s">
        <v>1296</v>
      </c>
    </row>
    <row r="5030" spans="2:2" ht="14.4" hidden="1" x14ac:dyDescent="0.3">
      <c r="B5030" t="s">
        <v>656</v>
      </c>
    </row>
    <row r="5031" spans="2:2" ht="14.4" hidden="1" x14ac:dyDescent="0.3">
      <c r="B5031" t="s">
        <v>657</v>
      </c>
    </row>
    <row r="5032" spans="2:2" ht="14.4" hidden="1" x14ac:dyDescent="0.3">
      <c r="B5032" t="s">
        <v>1297</v>
      </c>
    </row>
    <row r="5033" spans="2:2" ht="14.4" hidden="1" x14ac:dyDescent="0.3">
      <c r="B5033" t="s">
        <v>658</v>
      </c>
    </row>
    <row r="5034" spans="2:2" ht="14.4" hidden="1" x14ac:dyDescent="0.3">
      <c r="B5034" t="s">
        <v>659</v>
      </c>
    </row>
    <row r="5035" spans="2:2" ht="14.4" hidden="1" x14ac:dyDescent="0.3">
      <c r="B5035" t="s">
        <v>660</v>
      </c>
    </row>
    <row r="5036" spans="2:2" ht="14.4" hidden="1" x14ac:dyDescent="0.3">
      <c r="B5036" t="s">
        <v>3620</v>
      </c>
    </row>
    <row r="5037" spans="2:2" ht="14.4" hidden="1" x14ac:dyDescent="0.3">
      <c r="B5037" t="s">
        <v>3623</v>
      </c>
    </row>
    <row r="5038" spans="2:2" ht="14.4" hidden="1" x14ac:dyDescent="0.3">
      <c r="B5038" t="s">
        <v>661</v>
      </c>
    </row>
    <row r="5039" spans="2:2" ht="14.4" hidden="1" x14ac:dyDescent="0.3">
      <c r="B5039" t="s">
        <v>662</v>
      </c>
    </row>
    <row r="5040" spans="2:2" ht="14.4" hidden="1" x14ac:dyDescent="0.3">
      <c r="B5040" t="s">
        <v>663</v>
      </c>
    </row>
    <row r="5041" spans="2:2" ht="14.4" hidden="1" x14ac:dyDescent="0.3">
      <c r="B5041" t="s">
        <v>664</v>
      </c>
    </row>
    <row r="5042" spans="2:2" ht="14.4" hidden="1" x14ac:dyDescent="0.3">
      <c r="B5042" t="s">
        <v>665</v>
      </c>
    </row>
    <row r="5043" spans="2:2" ht="14.4" hidden="1" x14ac:dyDescent="0.3">
      <c r="B5043" t="s">
        <v>666</v>
      </c>
    </row>
    <row r="5044" spans="2:2" ht="14.4" hidden="1" x14ac:dyDescent="0.3">
      <c r="B5044" t="s">
        <v>667</v>
      </c>
    </row>
    <row r="5045" spans="2:2" ht="14.4" hidden="1" x14ac:dyDescent="0.3">
      <c r="B5045" t="s">
        <v>668</v>
      </c>
    </row>
    <row r="5046" spans="2:2" ht="14.4" hidden="1" x14ac:dyDescent="0.3">
      <c r="B5046" t="s">
        <v>669</v>
      </c>
    </row>
    <row r="5047" spans="2:2" ht="14.4" hidden="1" x14ac:dyDescent="0.3">
      <c r="B5047" t="s">
        <v>670</v>
      </c>
    </row>
    <row r="5048" spans="2:2" ht="14.4" hidden="1" x14ac:dyDescent="0.3">
      <c r="B5048" t="s">
        <v>671</v>
      </c>
    </row>
    <row r="5049" spans="2:2" ht="14.4" hidden="1" x14ac:dyDescent="0.3">
      <c r="B5049" t="s">
        <v>672</v>
      </c>
    </row>
    <row r="5050" spans="2:2" ht="14.4" hidden="1" x14ac:dyDescent="0.3">
      <c r="B5050" t="s">
        <v>673</v>
      </c>
    </row>
    <row r="5051" spans="2:2" ht="14.4" hidden="1" x14ac:dyDescent="0.3">
      <c r="B5051" t="s">
        <v>674</v>
      </c>
    </row>
    <row r="5052" spans="2:2" ht="14.4" hidden="1" x14ac:dyDescent="0.3">
      <c r="B5052" t="s">
        <v>675</v>
      </c>
    </row>
    <row r="5053" spans="2:2" ht="14.4" hidden="1" x14ac:dyDescent="0.3">
      <c r="B5053" t="s">
        <v>676</v>
      </c>
    </row>
    <row r="5054" spans="2:2" ht="14.4" hidden="1" x14ac:dyDescent="0.3">
      <c r="B5054" t="s">
        <v>11</v>
      </c>
    </row>
    <row r="5055" spans="2:2" ht="14.4" hidden="1" x14ac:dyDescent="0.3">
      <c r="B5055" t="s">
        <v>677</v>
      </c>
    </row>
    <row r="5056" spans="2:2" ht="14.4" hidden="1" x14ac:dyDescent="0.3">
      <c r="B5056" t="s">
        <v>102</v>
      </c>
    </row>
    <row r="5057" spans="2:2" ht="14.4" hidden="1" x14ac:dyDescent="0.3">
      <c r="B5057" t="s">
        <v>1298</v>
      </c>
    </row>
    <row r="5058" spans="2:2" ht="14.4" hidden="1" x14ac:dyDescent="0.3">
      <c r="B5058" t="s">
        <v>3648</v>
      </c>
    </row>
    <row r="5059" spans="2:2" ht="14.4" hidden="1" x14ac:dyDescent="0.3">
      <c r="B5059" t="s">
        <v>678</v>
      </c>
    </row>
    <row r="5060" spans="2:2" ht="14.4" hidden="1" x14ac:dyDescent="0.3">
      <c r="B5060" t="s">
        <v>679</v>
      </c>
    </row>
    <row r="5061" spans="2:2" ht="14.4" hidden="1" x14ac:dyDescent="0.3">
      <c r="B5061" t="s">
        <v>680</v>
      </c>
    </row>
    <row r="5062" spans="2:2" ht="14.4" hidden="1" x14ac:dyDescent="0.3">
      <c r="B5062" t="s">
        <v>681</v>
      </c>
    </row>
    <row r="5063" spans="2:2" ht="14.4" hidden="1" x14ac:dyDescent="0.3">
      <c r="B5063" t="s">
        <v>682</v>
      </c>
    </row>
    <row r="5064" spans="2:2" ht="14.4" hidden="1" x14ac:dyDescent="0.3">
      <c r="B5064" t="s">
        <v>683</v>
      </c>
    </row>
    <row r="5065" spans="2:2" ht="14.4" hidden="1" x14ac:dyDescent="0.3">
      <c r="B5065" t="s">
        <v>62</v>
      </c>
    </row>
    <row r="5066" spans="2:2" ht="14.4" hidden="1" x14ac:dyDescent="0.3">
      <c r="B5066" t="s">
        <v>684</v>
      </c>
    </row>
    <row r="5067" spans="2:2" ht="14.4" hidden="1" x14ac:dyDescent="0.3">
      <c r="B5067" t="s">
        <v>64</v>
      </c>
    </row>
    <row r="5068" spans="2:2" ht="14.4" hidden="1" x14ac:dyDescent="0.3">
      <c r="B5068" t="s">
        <v>685</v>
      </c>
    </row>
    <row r="5069" spans="2:2" ht="14.4" hidden="1" x14ac:dyDescent="0.3">
      <c r="B5069" t="s">
        <v>686</v>
      </c>
    </row>
    <row r="5070" spans="2:2" ht="14.4" hidden="1" x14ac:dyDescent="0.3">
      <c r="B5070" t="s">
        <v>687</v>
      </c>
    </row>
    <row r="5071" spans="2:2" ht="14.4" hidden="1" x14ac:dyDescent="0.3">
      <c r="B5071" t="s">
        <v>3663</v>
      </c>
    </row>
    <row r="5072" spans="2:2" ht="14.4" hidden="1" x14ac:dyDescent="0.3">
      <c r="B5072" t="s">
        <v>3666</v>
      </c>
    </row>
    <row r="5073" spans="2:2" ht="14.4" hidden="1" x14ac:dyDescent="0.3">
      <c r="B5073" t="s">
        <v>688</v>
      </c>
    </row>
    <row r="5074" spans="2:2" ht="14.4" hidden="1" x14ac:dyDescent="0.3">
      <c r="B5074" t="s">
        <v>3670</v>
      </c>
    </row>
    <row r="5075" spans="2:2" ht="14.4" hidden="1" x14ac:dyDescent="0.3">
      <c r="B5075" t="s">
        <v>689</v>
      </c>
    </row>
    <row r="5076" spans="2:2" ht="14.4" hidden="1" x14ac:dyDescent="0.3">
      <c r="B5076" t="s">
        <v>1299</v>
      </c>
    </row>
    <row r="5077" spans="2:2" ht="14.4" hidden="1" x14ac:dyDescent="0.3">
      <c r="B5077" t="s">
        <v>3675</v>
      </c>
    </row>
    <row r="5078" spans="2:2" ht="14.4" hidden="1" x14ac:dyDescent="0.3">
      <c r="B5078" t="s">
        <v>690</v>
      </c>
    </row>
    <row r="5079" spans="2:2" ht="14.4" hidden="1" x14ac:dyDescent="0.3">
      <c r="B5079" t="s">
        <v>691</v>
      </c>
    </row>
    <row r="5080" spans="2:2" ht="14.4" hidden="1" x14ac:dyDescent="0.3">
      <c r="B5080" t="s">
        <v>692</v>
      </c>
    </row>
    <row r="5081" spans="2:2" ht="14.4" hidden="1" x14ac:dyDescent="0.3">
      <c r="B5081" t="s">
        <v>693</v>
      </c>
    </row>
    <row r="5082" spans="2:2" ht="14.4" hidden="1" x14ac:dyDescent="0.3">
      <c r="B5082" t="s">
        <v>3682</v>
      </c>
    </row>
    <row r="5083" spans="2:2" ht="14.4" hidden="1" x14ac:dyDescent="0.3">
      <c r="B5083" t="s">
        <v>3685</v>
      </c>
    </row>
    <row r="5084" spans="2:2" ht="14.4" hidden="1" x14ac:dyDescent="0.3">
      <c r="B5084" t="s">
        <v>694</v>
      </c>
    </row>
    <row r="5085" spans="2:2" ht="14.4" hidden="1" x14ac:dyDescent="0.3">
      <c r="B5085" t="s">
        <v>695</v>
      </c>
    </row>
    <row r="5086" spans="2:2" ht="14.4" hidden="1" x14ac:dyDescent="0.3">
      <c r="B5086" t="s">
        <v>696</v>
      </c>
    </row>
    <row r="5087" spans="2:2" ht="14.4" hidden="1" x14ac:dyDescent="0.3">
      <c r="B5087" t="s">
        <v>697</v>
      </c>
    </row>
    <row r="5088" spans="2:2" ht="14.4" hidden="1" x14ac:dyDescent="0.3">
      <c r="B5088" t="s">
        <v>698</v>
      </c>
    </row>
    <row r="5089" spans="2:2" ht="14.4" hidden="1" x14ac:dyDescent="0.3">
      <c r="B5089" t="s">
        <v>699</v>
      </c>
    </row>
    <row r="5090" spans="2:2" ht="14.4" hidden="1" x14ac:dyDescent="0.3">
      <c r="B5090" t="s">
        <v>700</v>
      </c>
    </row>
    <row r="5091" spans="2:2" ht="14.4" hidden="1" x14ac:dyDescent="0.3">
      <c r="B5091" t="s">
        <v>701</v>
      </c>
    </row>
    <row r="5092" spans="2:2" ht="14.4" hidden="1" x14ac:dyDescent="0.3">
      <c r="B5092" t="s">
        <v>3696</v>
      </c>
    </row>
    <row r="5093" spans="2:2" ht="14.4" hidden="1" x14ac:dyDescent="0.3">
      <c r="B5093" t="s">
        <v>109</v>
      </c>
    </row>
    <row r="5094" spans="2:2" ht="14.4" hidden="1" x14ac:dyDescent="0.3">
      <c r="B5094" t="s">
        <v>3700</v>
      </c>
    </row>
    <row r="5095" spans="2:2" ht="14.4" hidden="1" x14ac:dyDescent="0.3">
      <c r="B5095" t="s">
        <v>3703</v>
      </c>
    </row>
    <row r="5096" spans="2:2" ht="14.4" hidden="1" x14ac:dyDescent="0.3">
      <c r="B5096" t="s">
        <v>702</v>
      </c>
    </row>
    <row r="5097" spans="2:2" ht="14.4" hidden="1" x14ac:dyDescent="0.3">
      <c r="B5097" t="s">
        <v>703</v>
      </c>
    </row>
    <row r="5098" spans="2:2" ht="14.4" hidden="1" x14ac:dyDescent="0.3">
      <c r="B5098" t="s">
        <v>704</v>
      </c>
    </row>
    <row r="5099" spans="2:2" ht="14.4" hidden="1" x14ac:dyDescent="0.3">
      <c r="B5099" t="s">
        <v>3709</v>
      </c>
    </row>
    <row r="5100" spans="2:2" ht="14.4" hidden="1" x14ac:dyDescent="0.3">
      <c r="B5100" t="s">
        <v>3712</v>
      </c>
    </row>
    <row r="5101" spans="2:2" ht="14.4" hidden="1" x14ac:dyDescent="0.3">
      <c r="B5101" t="s">
        <v>705</v>
      </c>
    </row>
    <row r="5102" spans="2:2" ht="14.4" hidden="1" x14ac:dyDescent="0.3">
      <c r="B5102" t="s">
        <v>706</v>
      </c>
    </row>
    <row r="5103" spans="2:2" ht="14.4" hidden="1" x14ac:dyDescent="0.3">
      <c r="B5103" t="s">
        <v>707</v>
      </c>
    </row>
    <row r="5104" spans="2:2" ht="14.4" hidden="1" x14ac:dyDescent="0.3">
      <c r="B5104" t="s">
        <v>65</v>
      </c>
    </row>
    <row r="5105" spans="2:2" ht="14.4" hidden="1" x14ac:dyDescent="0.3">
      <c r="B5105" t="s">
        <v>708</v>
      </c>
    </row>
    <row r="5106" spans="2:2" ht="14.4" hidden="1" x14ac:dyDescent="0.3">
      <c r="B5106" t="s">
        <v>709</v>
      </c>
    </row>
    <row r="5107" spans="2:2" ht="14.4" hidden="1" x14ac:dyDescent="0.3">
      <c r="B5107" t="s">
        <v>710</v>
      </c>
    </row>
    <row r="5108" spans="2:2" ht="14.4" hidden="1" x14ac:dyDescent="0.3">
      <c r="B5108" t="s">
        <v>711</v>
      </c>
    </row>
    <row r="5109" spans="2:2" ht="14.4" hidden="1" x14ac:dyDescent="0.3">
      <c r="B5109" t="s">
        <v>712</v>
      </c>
    </row>
    <row r="5110" spans="2:2" ht="14.4" hidden="1" x14ac:dyDescent="0.3">
      <c r="B5110" t="s">
        <v>713</v>
      </c>
    </row>
    <row r="5111" spans="2:2" ht="14.4" hidden="1" x14ac:dyDescent="0.3">
      <c r="B5111" t="s">
        <v>714</v>
      </c>
    </row>
    <row r="5112" spans="2:2" ht="14.4" hidden="1" x14ac:dyDescent="0.3">
      <c r="B5112" t="s">
        <v>3726</v>
      </c>
    </row>
    <row r="5113" spans="2:2" ht="14.4" hidden="1" x14ac:dyDescent="0.3">
      <c r="B5113" t="s">
        <v>715</v>
      </c>
    </row>
    <row r="5114" spans="2:2" ht="14.4" hidden="1" x14ac:dyDescent="0.3">
      <c r="B5114" t="s">
        <v>716</v>
      </c>
    </row>
    <row r="5115" spans="2:2" ht="14.4" hidden="1" x14ac:dyDescent="0.3">
      <c r="B5115" t="s">
        <v>717</v>
      </c>
    </row>
    <row r="5116" spans="2:2" ht="14.4" hidden="1" x14ac:dyDescent="0.3">
      <c r="B5116" t="s">
        <v>718</v>
      </c>
    </row>
    <row r="5117" spans="2:2" ht="14.4" hidden="1" x14ac:dyDescent="0.3">
      <c r="B5117" t="s">
        <v>719</v>
      </c>
    </row>
    <row r="5118" spans="2:2" ht="14.4" hidden="1" x14ac:dyDescent="0.3">
      <c r="B5118" t="s">
        <v>3734</v>
      </c>
    </row>
    <row r="5119" spans="2:2" ht="14.4" hidden="1" x14ac:dyDescent="0.3">
      <c r="B5119" t="s">
        <v>720</v>
      </c>
    </row>
    <row r="5120" spans="2:2" ht="14.4" hidden="1" x14ac:dyDescent="0.3">
      <c r="B5120" t="s">
        <v>721</v>
      </c>
    </row>
    <row r="5121" spans="2:2" ht="14.4" hidden="1" x14ac:dyDescent="0.3">
      <c r="B5121" t="s">
        <v>3739</v>
      </c>
    </row>
    <row r="5122" spans="2:2" ht="14.4" hidden="1" x14ac:dyDescent="0.3">
      <c r="B5122" t="s">
        <v>3742</v>
      </c>
    </row>
    <row r="5123" spans="2:2" ht="14.4" hidden="1" x14ac:dyDescent="0.3">
      <c r="B5123" t="s">
        <v>3745</v>
      </c>
    </row>
    <row r="5124" spans="2:2" ht="14.4" hidden="1" x14ac:dyDescent="0.3">
      <c r="B5124" t="s">
        <v>722</v>
      </c>
    </row>
    <row r="5125" spans="2:2" ht="14.4" hidden="1" x14ac:dyDescent="0.3">
      <c r="B5125" t="s">
        <v>3749</v>
      </c>
    </row>
    <row r="5126" spans="2:2" ht="14.4" hidden="1" x14ac:dyDescent="0.3">
      <c r="B5126" t="s">
        <v>723</v>
      </c>
    </row>
    <row r="5127" spans="2:2" ht="14.4" hidden="1" x14ac:dyDescent="0.3">
      <c r="B5127" t="s">
        <v>3753</v>
      </c>
    </row>
    <row r="5128" spans="2:2" ht="14.4" hidden="1" x14ac:dyDescent="0.3">
      <c r="B5128" t="s">
        <v>724</v>
      </c>
    </row>
    <row r="5129" spans="2:2" ht="14.4" hidden="1" x14ac:dyDescent="0.3">
      <c r="B5129" t="s">
        <v>725</v>
      </c>
    </row>
    <row r="5130" spans="2:2" ht="14.4" hidden="1" x14ac:dyDescent="0.3">
      <c r="B5130" t="s">
        <v>726</v>
      </c>
    </row>
    <row r="5131" spans="2:2" ht="14.4" hidden="1" x14ac:dyDescent="0.3">
      <c r="B5131" t="s">
        <v>727</v>
      </c>
    </row>
    <row r="5132" spans="2:2" ht="14.4" hidden="1" x14ac:dyDescent="0.3">
      <c r="B5132" t="s">
        <v>728</v>
      </c>
    </row>
    <row r="5133" spans="2:2" ht="14.4" hidden="1" x14ac:dyDescent="0.3">
      <c r="B5133" t="s">
        <v>729</v>
      </c>
    </row>
    <row r="5134" spans="2:2" ht="14.4" hidden="1" x14ac:dyDescent="0.3">
      <c r="B5134" t="s">
        <v>730</v>
      </c>
    </row>
    <row r="5135" spans="2:2" ht="14.4" hidden="1" x14ac:dyDescent="0.3">
      <c r="B5135" t="s">
        <v>3763</v>
      </c>
    </row>
    <row r="5136" spans="2:2" ht="14.4" hidden="1" x14ac:dyDescent="0.3">
      <c r="B5136" t="s">
        <v>731</v>
      </c>
    </row>
    <row r="5137" spans="2:2" ht="14.4" hidden="1" x14ac:dyDescent="0.3">
      <c r="B5137" t="s">
        <v>732</v>
      </c>
    </row>
    <row r="5138" spans="2:2" ht="14.4" hidden="1" x14ac:dyDescent="0.3">
      <c r="B5138" t="s">
        <v>3768</v>
      </c>
    </row>
    <row r="5139" spans="2:2" ht="14.4" hidden="1" x14ac:dyDescent="0.3">
      <c r="B5139" t="s">
        <v>733</v>
      </c>
    </row>
    <row r="5140" spans="2:2" ht="14.4" hidden="1" x14ac:dyDescent="0.3">
      <c r="B5140" t="s">
        <v>734</v>
      </c>
    </row>
    <row r="5141" spans="2:2" ht="14.4" hidden="1" x14ac:dyDescent="0.3">
      <c r="B5141" t="s">
        <v>735</v>
      </c>
    </row>
    <row r="5142" spans="2:2" ht="14.4" hidden="1" x14ac:dyDescent="0.3">
      <c r="B5142" t="s">
        <v>3774</v>
      </c>
    </row>
    <row r="5143" spans="2:2" ht="14.4" hidden="1" x14ac:dyDescent="0.3">
      <c r="B5143" t="s">
        <v>736</v>
      </c>
    </row>
    <row r="5144" spans="2:2" ht="14.4" hidden="1" x14ac:dyDescent="0.3">
      <c r="B5144" t="s">
        <v>737</v>
      </c>
    </row>
    <row r="5145" spans="2:2" ht="14.4" hidden="1" x14ac:dyDescent="0.3">
      <c r="B5145" t="s">
        <v>3779</v>
      </c>
    </row>
    <row r="5146" spans="2:2" ht="14.4" hidden="1" x14ac:dyDescent="0.3">
      <c r="B5146" t="s">
        <v>3781</v>
      </c>
    </row>
    <row r="5147" spans="2:2" ht="14.4" hidden="1" x14ac:dyDescent="0.3">
      <c r="B5147" t="s">
        <v>738</v>
      </c>
    </row>
    <row r="5148" spans="2:2" ht="14.4" hidden="1" x14ac:dyDescent="0.3">
      <c r="B5148" t="s">
        <v>3785</v>
      </c>
    </row>
    <row r="5149" spans="2:2" ht="14.4" hidden="1" x14ac:dyDescent="0.3">
      <c r="B5149" t="s">
        <v>739</v>
      </c>
    </row>
    <row r="5150" spans="2:2" ht="14.4" hidden="1" x14ac:dyDescent="0.3">
      <c r="B5150" t="s">
        <v>740</v>
      </c>
    </row>
    <row r="5151" spans="2:2" ht="14.4" hidden="1" x14ac:dyDescent="0.3">
      <c r="B5151" t="s">
        <v>741</v>
      </c>
    </row>
    <row r="5152" spans="2:2" ht="14.4" hidden="1" x14ac:dyDescent="0.3">
      <c r="B5152" t="s">
        <v>742</v>
      </c>
    </row>
    <row r="5153" spans="2:2" ht="14.4" hidden="1" x14ac:dyDescent="0.3">
      <c r="B5153" t="s">
        <v>743</v>
      </c>
    </row>
    <row r="5154" spans="2:2" ht="14.4" hidden="1" x14ac:dyDescent="0.3">
      <c r="B5154" t="s">
        <v>3793</v>
      </c>
    </row>
    <row r="5155" spans="2:2" ht="14.4" hidden="1" x14ac:dyDescent="0.3">
      <c r="B5155" t="s">
        <v>744</v>
      </c>
    </row>
    <row r="5156" spans="2:2" ht="14.4" hidden="1" x14ac:dyDescent="0.3">
      <c r="B5156" t="s">
        <v>745</v>
      </c>
    </row>
    <row r="5157" spans="2:2" ht="14.4" hidden="1" x14ac:dyDescent="0.3">
      <c r="B5157" t="s">
        <v>1300</v>
      </c>
    </row>
    <row r="5158" spans="2:2" ht="14.4" hidden="1" x14ac:dyDescent="0.3">
      <c r="B5158" t="s">
        <v>3799</v>
      </c>
    </row>
    <row r="5159" spans="2:2" ht="14.4" hidden="1" x14ac:dyDescent="0.3">
      <c r="B5159" t="s">
        <v>3802</v>
      </c>
    </row>
    <row r="5160" spans="2:2" ht="14.4" hidden="1" x14ac:dyDescent="0.3">
      <c r="B5160" t="s">
        <v>746</v>
      </c>
    </row>
    <row r="5161" spans="2:2" ht="14.4" hidden="1" x14ac:dyDescent="0.3">
      <c r="B5161" t="s">
        <v>747</v>
      </c>
    </row>
    <row r="5162" spans="2:2" ht="14.4" hidden="1" x14ac:dyDescent="0.3">
      <c r="B5162" t="s">
        <v>3807</v>
      </c>
    </row>
    <row r="5163" spans="2:2" ht="14.4" hidden="1" x14ac:dyDescent="0.3">
      <c r="B5163" t="s">
        <v>748</v>
      </c>
    </row>
    <row r="5164" spans="2:2" ht="14.4" hidden="1" x14ac:dyDescent="0.3">
      <c r="B5164" t="s">
        <v>3811</v>
      </c>
    </row>
    <row r="5165" spans="2:2" ht="14.4" hidden="1" x14ac:dyDescent="0.3">
      <c r="B5165" t="s">
        <v>3814</v>
      </c>
    </row>
    <row r="5166" spans="2:2" ht="14.4" hidden="1" x14ac:dyDescent="0.3">
      <c r="B5166" t="s">
        <v>749</v>
      </c>
    </row>
    <row r="5167" spans="2:2" ht="14.4" hidden="1" x14ac:dyDescent="0.3">
      <c r="B5167" t="s">
        <v>750</v>
      </c>
    </row>
    <row r="5168" spans="2:2" ht="14.4" hidden="1" x14ac:dyDescent="0.3">
      <c r="B5168" t="s">
        <v>751</v>
      </c>
    </row>
    <row r="5169" spans="2:2" ht="14.4" hidden="1" x14ac:dyDescent="0.3">
      <c r="B5169" t="s">
        <v>752</v>
      </c>
    </row>
    <row r="5170" spans="2:2" ht="14.4" hidden="1" x14ac:dyDescent="0.3">
      <c r="B5170" t="s">
        <v>3821</v>
      </c>
    </row>
    <row r="5171" spans="2:2" ht="14.4" hidden="1" x14ac:dyDescent="0.3">
      <c r="B5171" t="s">
        <v>66</v>
      </c>
    </row>
    <row r="5172" spans="2:2" ht="14.4" hidden="1" x14ac:dyDescent="0.3">
      <c r="B5172" t="s">
        <v>753</v>
      </c>
    </row>
    <row r="5173" spans="2:2" ht="14.4" hidden="1" x14ac:dyDescent="0.3">
      <c r="B5173" t="s">
        <v>754</v>
      </c>
    </row>
    <row r="5174" spans="2:2" ht="14.4" hidden="1" x14ac:dyDescent="0.3">
      <c r="B5174" t="s">
        <v>755</v>
      </c>
    </row>
    <row r="5175" spans="2:2" ht="14.4" hidden="1" x14ac:dyDescent="0.3">
      <c r="B5175" t="s">
        <v>756</v>
      </c>
    </row>
    <row r="5176" spans="2:2" ht="14.4" hidden="1" x14ac:dyDescent="0.3">
      <c r="B5176" t="s">
        <v>757</v>
      </c>
    </row>
    <row r="5177" spans="2:2" ht="14.4" hidden="1" x14ac:dyDescent="0.3">
      <c r="B5177" t="s">
        <v>758</v>
      </c>
    </row>
    <row r="5178" spans="2:2" ht="14.4" hidden="1" x14ac:dyDescent="0.3">
      <c r="B5178" t="s">
        <v>3831</v>
      </c>
    </row>
    <row r="5179" spans="2:2" ht="14.4" hidden="1" x14ac:dyDescent="0.3">
      <c r="B5179" t="s">
        <v>3834</v>
      </c>
    </row>
    <row r="5180" spans="2:2" ht="14.4" hidden="1" x14ac:dyDescent="0.3">
      <c r="B5180" t="s">
        <v>759</v>
      </c>
    </row>
    <row r="5181" spans="2:2" ht="14.4" hidden="1" x14ac:dyDescent="0.3">
      <c r="B5181" t="s">
        <v>760</v>
      </c>
    </row>
    <row r="5182" spans="2:2" ht="14.4" hidden="1" x14ac:dyDescent="0.3">
      <c r="B5182" t="s">
        <v>3839</v>
      </c>
    </row>
    <row r="5183" spans="2:2" ht="14.4" hidden="1" x14ac:dyDescent="0.3">
      <c r="B5183" t="s">
        <v>761</v>
      </c>
    </row>
    <row r="5184" spans="2:2" ht="14.4" hidden="1" x14ac:dyDescent="0.3">
      <c r="B5184" t="s">
        <v>762</v>
      </c>
    </row>
    <row r="5185" spans="2:2" ht="14.4" hidden="1" x14ac:dyDescent="0.3">
      <c r="B5185" t="s">
        <v>763</v>
      </c>
    </row>
    <row r="5186" spans="2:2" ht="14.4" hidden="1" x14ac:dyDescent="0.3">
      <c r="B5186" t="s">
        <v>67</v>
      </c>
    </row>
    <row r="5187" spans="2:2" ht="14.4" hidden="1" x14ac:dyDescent="0.3">
      <c r="B5187" t="s">
        <v>764</v>
      </c>
    </row>
    <row r="5188" spans="2:2" ht="14.4" hidden="1" x14ac:dyDescent="0.3">
      <c r="B5188" t="s">
        <v>765</v>
      </c>
    </row>
    <row r="5189" spans="2:2" ht="14.4" hidden="1" x14ac:dyDescent="0.3">
      <c r="B5189" t="s">
        <v>68</v>
      </c>
    </row>
    <row r="5190" spans="2:2" ht="14.4" hidden="1" x14ac:dyDescent="0.3">
      <c r="B5190" t="s">
        <v>766</v>
      </c>
    </row>
    <row r="5191" spans="2:2" ht="14.4" hidden="1" x14ac:dyDescent="0.3">
      <c r="B5191" t="s">
        <v>12</v>
      </c>
    </row>
    <row r="5192" spans="2:2" ht="14.4" hidden="1" x14ac:dyDescent="0.3">
      <c r="B5192" t="s">
        <v>767</v>
      </c>
    </row>
    <row r="5193" spans="2:2" ht="14.4" hidden="1" x14ac:dyDescent="0.3">
      <c r="B5193" t="s">
        <v>768</v>
      </c>
    </row>
    <row r="5194" spans="2:2" ht="14.4" hidden="1" x14ac:dyDescent="0.3">
      <c r="B5194" t="s">
        <v>769</v>
      </c>
    </row>
    <row r="5195" spans="2:2" ht="14.4" hidden="1" x14ac:dyDescent="0.3">
      <c r="B5195" t="s">
        <v>770</v>
      </c>
    </row>
    <row r="5196" spans="2:2" ht="14.4" hidden="1" x14ac:dyDescent="0.3">
      <c r="B5196" t="s">
        <v>771</v>
      </c>
    </row>
    <row r="5197" spans="2:2" ht="14.4" hidden="1" x14ac:dyDescent="0.3">
      <c r="B5197" t="s">
        <v>772</v>
      </c>
    </row>
    <row r="5198" spans="2:2" ht="14.4" hidden="1" x14ac:dyDescent="0.3">
      <c r="B5198" t="s">
        <v>773</v>
      </c>
    </row>
    <row r="5199" spans="2:2" ht="14.4" hidden="1" x14ac:dyDescent="0.3">
      <c r="B5199" t="s">
        <v>774</v>
      </c>
    </row>
    <row r="5200" spans="2:2" ht="14.4" hidden="1" x14ac:dyDescent="0.3">
      <c r="B5200" t="s">
        <v>775</v>
      </c>
    </row>
    <row r="5201" spans="2:2" ht="14.4" hidden="1" x14ac:dyDescent="0.3">
      <c r="B5201" t="s">
        <v>776</v>
      </c>
    </row>
    <row r="5202" spans="2:2" ht="14.4" hidden="1" x14ac:dyDescent="0.3">
      <c r="B5202" t="s">
        <v>777</v>
      </c>
    </row>
    <row r="5203" spans="2:2" ht="14.4" hidden="1" x14ac:dyDescent="0.3">
      <c r="B5203" t="s">
        <v>3863</v>
      </c>
    </row>
    <row r="5204" spans="2:2" ht="14.4" hidden="1" x14ac:dyDescent="0.3">
      <c r="B5204" t="s">
        <v>778</v>
      </c>
    </row>
    <row r="5205" spans="2:2" ht="14.4" hidden="1" x14ac:dyDescent="0.3">
      <c r="B5205" t="s">
        <v>779</v>
      </c>
    </row>
    <row r="5206" spans="2:2" ht="14.4" hidden="1" x14ac:dyDescent="0.3">
      <c r="B5206" t="s">
        <v>3868</v>
      </c>
    </row>
    <row r="5207" spans="2:2" ht="14.4" hidden="1" x14ac:dyDescent="0.3">
      <c r="B5207" t="s">
        <v>3871</v>
      </c>
    </row>
    <row r="5208" spans="2:2" ht="14.4" hidden="1" x14ac:dyDescent="0.3">
      <c r="B5208" t="s">
        <v>780</v>
      </c>
    </row>
    <row r="5209" spans="2:2" ht="14.4" hidden="1" x14ac:dyDescent="0.3">
      <c r="B5209" t="s">
        <v>1301</v>
      </c>
    </row>
    <row r="5210" spans="2:2" ht="14.4" hidden="1" x14ac:dyDescent="0.3">
      <c r="B5210" t="s">
        <v>1302</v>
      </c>
    </row>
    <row r="5211" spans="2:2" ht="14.4" hidden="1" x14ac:dyDescent="0.3">
      <c r="B5211" t="s">
        <v>781</v>
      </c>
    </row>
    <row r="5212" spans="2:2" ht="14.4" hidden="1" x14ac:dyDescent="0.3">
      <c r="B5212" t="s">
        <v>782</v>
      </c>
    </row>
    <row r="5213" spans="2:2" ht="14.4" hidden="1" x14ac:dyDescent="0.3">
      <c r="B5213" t="s">
        <v>783</v>
      </c>
    </row>
    <row r="5214" spans="2:2" ht="14.4" hidden="1" x14ac:dyDescent="0.3">
      <c r="B5214" t="s">
        <v>784</v>
      </c>
    </row>
    <row r="5215" spans="2:2" ht="14.4" hidden="1" x14ac:dyDescent="0.3">
      <c r="B5215" t="s">
        <v>785</v>
      </c>
    </row>
    <row r="5216" spans="2:2" ht="14.4" hidden="1" x14ac:dyDescent="0.3">
      <c r="B5216" t="s">
        <v>786</v>
      </c>
    </row>
    <row r="5217" spans="2:2" ht="14.4" hidden="1" x14ac:dyDescent="0.3">
      <c r="B5217" t="s">
        <v>787</v>
      </c>
    </row>
    <row r="5218" spans="2:2" ht="14.4" hidden="1" x14ac:dyDescent="0.3">
      <c r="B5218" t="s">
        <v>788</v>
      </c>
    </row>
    <row r="5219" spans="2:2" ht="14.4" hidden="1" x14ac:dyDescent="0.3">
      <c r="B5219" t="s">
        <v>789</v>
      </c>
    </row>
    <row r="5220" spans="2:2" ht="14.4" hidden="1" x14ac:dyDescent="0.3">
      <c r="B5220" t="s">
        <v>790</v>
      </c>
    </row>
    <row r="5221" spans="2:2" ht="14.4" hidden="1" x14ac:dyDescent="0.3">
      <c r="B5221" t="s">
        <v>791</v>
      </c>
    </row>
    <row r="5222" spans="2:2" ht="14.4" hidden="1" x14ac:dyDescent="0.3">
      <c r="B5222" t="s">
        <v>3888</v>
      </c>
    </row>
    <row r="5223" spans="2:2" ht="14.4" hidden="1" x14ac:dyDescent="0.3">
      <c r="B5223" t="s">
        <v>792</v>
      </c>
    </row>
    <row r="5224" spans="2:2" ht="14.4" hidden="1" x14ac:dyDescent="0.3">
      <c r="B5224" t="s">
        <v>793</v>
      </c>
    </row>
    <row r="5225" spans="2:2" ht="14.4" hidden="1" x14ac:dyDescent="0.3">
      <c r="B5225" t="s">
        <v>3894</v>
      </c>
    </row>
    <row r="5226" spans="2:2" ht="14.4" hidden="1" x14ac:dyDescent="0.3">
      <c r="B5226" t="s">
        <v>794</v>
      </c>
    </row>
    <row r="5227" spans="2:2" ht="14.4" hidden="1" x14ac:dyDescent="0.3">
      <c r="B5227" t="s">
        <v>795</v>
      </c>
    </row>
    <row r="5228" spans="2:2" ht="14.4" hidden="1" x14ac:dyDescent="0.3">
      <c r="B5228" t="s">
        <v>796</v>
      </c>
    </row>
    <row r="5229" spans="2:2" ht="14.4" hidden="1" x14ac:dyDescent="0.3">
      <c r="B5229" t="s">
        <v>3900</v>
      </c>
    </row>
    <row r="5230" spans="2:2" ht="14.4" hidden="1" x14ac:dyDescent="0.3">
      <c r="B5230" t="s">
        <v>797</v>
      </c>
    </row>
    <row r="5231" spans="2:2" ht="14.4" hidden="1" x14ac:dyDescent="0.3">
      <c r="B5231" t="s">
        <v>798</v>
      </c>
    </row>
    <row r="5232" spans="2:2" ht="14.4" hidden="1" x14ac:dyDescent="0.3">
      <c r="B5232" t="s">
        <v>3905</v>
      </c>
    </row>
    <row r="5233" spans="2:2" ht="14.4" hidden="1" x14ac:dyDescent="0.3">
      <c r="B5233" t="s">
        <v>799</v>
      </c>
    </row>
    <row r="5234" spans="2:2" ht="14.4" hidden="1" x14ac:dyDescent="0.3">
      <c r="B5234" t="s">
        <v>800</v>
      </c>
    </row>
    <row r="5235" spans="2:2" ht="14.4" hidden="1" x14ac:dyDescent="0.3">
      <c r="B5235" t="s">
        <v>801</v>
      </c>
    </row>
    <row r="5236" spans="2:2" ht="14.4" hidden="1" x14ac:dyDescent="0.3">
      <c r="B5236" t="s">
        <v>802</v>
      </c>
    </row>
    <row r="5237" spans="2:2" ht="14.4" hidden="1" x14ac:dyDescent="0.3">
      <c r="B5237" t="s">
        <v>3912</v>
      </c>
    </row>
    <row r="5238" spans="2:2" ht="14.4" hidden="1" x14ac:dyDescent="0.3">
      <c r="B5238" t="s">
        <v>803</v>
      </c>
    </row>
    <row r="5239" spans="2:2" ht="14.4" hidden="1" x14ac:dyDescent="0.3">
      <c r="B5239" t="s">
        <v>804</v>
      </c>
    </row>
    <row r="5240" spans="2:2" ht="14.4" hidden="1" x14ac:dyDescent="0.3">
      <c r="B5240" t="s">
        <v>805</v>
      </c>
    </row>
    <row r="5241" spans="2:2" ht="14.4" hidden="1" x14ac:dyDescent="0.3">
      <c r="B5241" t="s">
        <v>806</v>
      </c>
    </row>
    <row r="5242" spans="2:2" ht="14.4" hidden="1" x14ac:dyDescent="0.3">
      <c r="B5242" t="s">
        <v>807</v>
      </c>
    </row>
    <row r="5243" spans="2:2" ht="14.4" hidden="1" x14ac:dyDescent="0.3">
      <c r="B5243" t="s">
        <v>3920</v>
      </c>
    </row>
    <row r="5244" spans="2:2" ht="14.4" hidden="1" x14ac:dyDescent="0.3">
      <c r="B5244" t="s">
        <v>13</v>
      </c>
    </row>
    <row r="5245" spans="2:2" ht="14.4" hidden="1" x14ac:dyDescent="0.3">
      <c r="B5245" t="s">
        <v>808</v>
      </c>
    </row>
    <row r="5246" spans="2:2" ht="14.4" hidden="1" x14ac:dyDescent="0.3">
      <c r="B5246" t="s">
        <v>809</v>
      </c>
    </row>
    <row r="5247" spans="2:2" ht="14.4" hidden="1" x14ac:dyDescent="0.3">
      <c r="B5247" t="s">
        <v>810</v>
      </c>
    </row>
    <row r="5248" spans="2:2" ht="14.4" hidden="1" x14ac:dyDescent="0.3">
      <c r="B5248" t="s">
        <v>811</v>
      </c>
    </row>
    <row r="5249" spans="2:2" ht="14.4" hidden="1" x14ac:dyDescent="0.3">
      <c r="B5249" t="s">
        <v>3928</v>
      </c>
    </row>
    <row r="5250" spans="2:2" ht="14.4" hidden="1" x14ac:dyDescent="0.3">
      <c r="B5250" t="s">
        <v>812</v>
      </c>
    </row>
    <row r="5251" spans="2:2" ht="14.4" hidden="1" x14ac:dyDescent="0.3">
      <c r="B5251" t="s">
        <v>813</v>
      </c>
    </row>
    <row r="5252" spans="2:2" ht="14.4" hidden="1" x14ac:dyDescent="0.3">
      <c r="B5252" t="s">
        <v>3934</v>
      </c>
    </row>
    <row r="5253" spans="2:2" ht="14.4" hidden="1" x14ac:dyDescent="0.3">
      <c r="B5253" t="s">
        <v>814</v>
      </c>
    </row>
    <row r="5254" spans="2:2" ht="14.4" hidden="1" x14ac:dyDescent="0.3">
      <c r="B5254" t="s">
        <v>815</v>
      </c>
    </row>
    <row r="5255" spans="2:2" ht="14.4" hidden="1" x14ac:dyDescent="0.3">
      <c r="B5255" t="s">
        <v>816</v>
      </c>
    </row>
    <row r="5256" spans="2:2" ht="14.4" hidden="1" x14ac:dyDescent="0.3">
      <c r="B5256" t="s">
        <v>817</v>
      </c>
    </row>
    <row r="5257" spans="2:2" ht="14.4" hidden="1" x14ac:dyDescent="0.3">
      <c r="B5257" t="s">
        <v>1303</v>
      </c>
    </row>
    <row r="5258" spans="2:2" ht="14.4" hidden="1" x14ac:dyDescent="0.3">
      <c r="B5258" t="s">
        <v>3942</v>
      </c>
    </row>
    <row r="5259" spans="2:2" ht="14.4" hidden="1" x14ac:dyDescent="0.3">
      <c r="B5259" t="s">
        <v>103</v>
      </c>
    </row>
    <row r="5260" spans="2:2" ht="14.4" hidden="1" x14ac:dyDescent="0.3">
      <c r="B5260" t="s">
        <v>818</v>
      </c>
    </row>
    <row r="5261" spans="2:2" ht="14.4" hidden="1" x14ac:dyDescent="0.3">
      <c r="B5261" t="s">
        <v>1304</v>
      </c>
    </row>
    <row r="5262" spans="2:2" ht="14.4" hidden="1" x14ac:dyDescent="0.3">
      <c r="B5262" t="s">
        <v>819</v>
      </c>
    </row>
    <row r="5263" spans="2:2" ht="14.4" hidden="1" x14ac:dyDescent="0.3">
      <c r="B5263" t="s">
        <v>1305</v>
      </c>
    </row>
    <row r="5264" spans="2:2" ht="14.4" hidden="1" x14ac:dyDescent="0.3">
      <c r="B5264" t="s">
        <v>3950</v>
      </c>
    </row>
    <row r="5265" spans="2:2" ht="14.4" hidden="1" x14ac:dyDescent="0.3">
      <c r="B5265" t="s">
        <v>820</v>
      </c>
    </row>
    <row r="5266" spans="2:2" ht="14.4" hidden="1" x14ac:dyDescent="0.3">
      <c r="B5266" t="s">
        <v>821</v>
      </c>
    </row>
    <row r="5267" spans="2:2" ht="14.4" hidden="1" x14ac:dyDescent="0.3">
      <c r="B5267" t="s">
        <v>3955</v>
      </c>
    </row>
    <row r="5268" spans="2:2" ht="14.4" hidden="1" x14ac:dyDescent="0.3">
      <c r="B5268" t="s">
        <v>822</v>
      </c>
    </row>
    <row r="5269" spans="2:2" ht="14.4" hidden="1" x14ac:dyDescent="0.3">
      <c r="B5269" t="s">
        <v>823</v>
      </c>
    </row>
    <row r="5270" spans="2:2" ht="14.4" hidden="1" x14ac:dyDescent="0.3">
      <c r="B5270" t="s">
        <v>824</v>
      </c>
    </row>
    <row r="5271" spans="2:2" ht="14.4" hidden="1" x14ac:dyDescent="0.3">
      <c r="B5271" t="s">
        <v>825</v>
      </c>
    </row>
    <row r="5272" spans="2:2" ht="14.4" hidden="1" x14ac:dyDescent="0.3">
      <c r="B5272" t="s">
        <v>3962</v>
      </c>
    </row>
    <row r="5273" spans="2:2" ht="14.4" hidden="1" x14ac:dyDescent="0.3">
      <c r="B5273" t="s">
        <v>826</v>
      </c>
    </row>
    <row r="5274" spans="2:2" ht="14.4" hidden="1" x14ac:dyDescent="0.3">
      <c r="B5274" t="s">
        <v>14</v>
      </c>
    </row>
    <row r="5275" spans="2:2" ht="14.4" hidden="1" x14ac:dyDescent="0.3">
      <c r="B5275" t="s">
        <v>69</v>
      </c>
    </row>
    <row r="5276" spans="2:2" ht="14.4" hidden="1" x14ac:dyDescent="0.3">
      <c r="B5276" t="s">
        <v>827</v>
      </c>
    </row>
    <row r="5277" spans="2:2" ht="14.4" hidden="1" x14ac:dyDescent="0.3">
      <c r="B5277" t="s">
        <v>828</v>
      </c>
    </row>
    <row r="5278" spans="2:2" ht="14.4" hidden="1" x14ac:dyDescent="0.3">
      <c r="B5278" t="s">
        <v>829</v>
      </c>
    </row>
    <row r="5279" spans="2:2" ht="14.4" hidden="1" x14ac:dyDescent="0.3">
      <c r="B5279" t="s">
        <v>830</v>
      </c>
    </row>
    <row r="5280" spans="2:2" ht="14.4" hidden="1" x14ac:dyDescent="0.3">
      <c r="B5280" t="s">
        <v>831</v>
      </c>
    </row>
    <row r="5281" spans="2:2" ht="14.4" hidden="1" x14ac:dyDescent="0.3">
      <c r="B5281" t="s">
        <v>832</v>
      </c>
    </row>
    <row r="5282" spans="2:2" ht="14.4" hidden="1" x14ac:dyDescent="0.3">
      <c r="B5282" t="s">
        <v>833</v>
      </c>
    </row>
    <row r="5283" spans="2:2" ht="14.4" hidden="1" x14ac:dyDescent="0.3">
      <c r="B5283" t="s">
        <v>834</v>
      </c>
    </row>
    <row r="5284" spans="2:2" ht="14.4" hidden="1" x14ac:dyDescent="0.3">
      <c r="B5284" t="s">
        <v>835</v>
      </c>
    </row>
    <row r="5285" spans="2:2" ht="14.4" hidden="1" x14ac:dyDescent="0.3">
      <c r="B5285" t="s">
        <v>836</v>
      </c>
    </row>
    <row r="5286" spans="2:2" ht="14.4" hidden="1" x14ac:dyDescent="0.3">
      <c r="B5286" t="s">
        <v>837</v>
      </c>
    </row>
    <row r="5287" spans="2:2" ht="14.4" hidden="1" x14ac:dyDescent="0.3">
      <c r="B5287" t="s">
        <v>838</v>
      </c>
    </row>
    <row r="5288" spans="2:2" ht="14.4" hidden="1" x14ac:dyDescent="0.3">
      <c r="B5288" t="s">
        <v>838</v>
      </c>
    </row>
    <row r="5289" spans="2:2" ht="14.4" hidden="1" x14ac:dyDescent="0.3">
      <c r="B5289" t="s">
        <v>839</v>
      </c>
    </row>
    <row r="5290" spans="2:2" ht="14.4" hidden="1" x14ac:dyDescent="0.3">
      <c r="B5290" t="s">
        <v>3981</v>
      </c>
    </row>
    <row r="5291" spans="2:2" ht="14.4" hidden="1" x14ac:dyDescent="0.3">
      <c r="B5291" t="s">
        <v>3984</v>
      </c>
    </row>
    <row r="5292" spans="2:2" ht="14.4" hidden="1" x14ac:dyDescent="0.3">
      <c r="B5292" t="s">
        <v>840</v>
      </c>
    </row>
    <row r="5293" spans="2:2" ht="14.4" hidden="1" x14ac:dyDescent="0.3">
      <c r="B5293" t="s">
        <v>1306</v>
      </c>
    </row>
    <row r="5294" spans="2:2" ht="14.4" hidden="1" x14ac:dyDescent="0.3">
      <c r="B5294" t="s">
        <v>70</v>
      </c>
    </row>
    <row r="5295" spans="2:2" ht="14.4" hidden="1" x14ac:dyDescent="0.3">
      <c r="B5295" t="s">
        <v>841</v>
      </c>
    </row>
    <row r="5296" spans="2:2" ht="14.4" hidden="1" x14ac:dyDescent="0.3">
      <c r="B5296" t="s">
        <v>842</v>
      </c>
    </row>
    <row r="5297" spans="2:2" ht="14.4" hidden="1" x14ac:dyDescent="0.3">
      <c r="B5297" t="s">
        <v>843</v>
      </c>
    </row>
    <row r="5298" spans="2:2" ht="14.4" hidden="1" x14ac:dyDescent="0.3">
      <c r="B5298" t="s">
        <v>844</v>
      </c>
    </row>
    <row r="5299" spans="2:2" ht="14.4" hidden="1" x14ac:dyDescent="0.3">
      <c r="B5299" t="s">
        <v>845</v>
      </c>
    </row>
    <row r="5300" spans="2:2" ht="14.4" hidden="1" x14ac:dyDescent="0.3">
      <c r="B5300" t="s">
        <v>846</v>
      </c>
    </row>
    <row r="5301" spans="2:2" ht="14.4" hidden="1" x14ac:dyDescent="0.3">
      <c r="B5301" t="s">
        <v>847</v>
      </c>
    </row>
    <row r="5302" spans="2:2" ht="14.4" hidden="1" x14ac:dyDescent="0.3">
      <c r="B5302" t="s">
        <v>3997</v>
      </c>
    </row>
    <row r="5303" spans="2:2" ht="14.4" hidden="1" x14ac:dyDescent="0.3">
      <c r="B5303" t="s">
        <v>4000</v>
      </c>
    </row>
    <row r="5304" spans="2:2" ht="14.4" hidden="1" x14ac:dyDescent="0.3">
      <c r="B5304" t="s">
        <v>848</v>
      </c>
    </row>
    <row r="5305" spans="2:2" ht="14.4" hidden="1" x14ac:dyDescent="0.3">
      <c r="B5305" t="s">
        <v>849</v>
      </c>
    </row>
    <row r="5306" spans="2:2" ht="14.4" hidden="1" x14ac:dyDescent="0.3">
      <c r="B5306" t="s">
        <v>4005</v>
      </c>
    </row>
    <row r="5307" spans="2:2" ht="14.4" hidden="1" x14ac:dyDescent="0.3">
      <c r="B5307" t="s">
        <v>850</v>
      </c>
    </row>
    <row r="5308" spans="2:2" ht="14.4" hidden="1" x14ac:dyDescent="0.3">
      <c r="B5308" t="s">
        <v>851</v>
      </c>
    </row>
    <row r="5309" spans="2:2" ht="14.4" hidden="1" x14ac:dyDescent="0.3">
      <c r="B5309" t="s">
        <v>852</v>
      </c>
    </row>
    <row r="5310" spans="2:2" ht="14.4" hidden="1" x14ac:dyDescent="0.3">
      <c r="B5310" t="s">
        <v>853</v>
      </c>
    </row>
    <row r="5311" spans="2:2" ht="14.4" hidden="1" x14ac:dyDescent="0.3">
      <c r="B5311" t="s">
        <v>854</v>
      </c>
    </row>
    <row r="5312" spans="2:2" ht="14.4" hidden="1" x14ac:dyDescent="0.3">
      <c r="B5312" t="s">
        <v>855</v>
      </c>
    </row>
    <row r="5313" spans="2:2" ht="14.4" hidden="1" x14ac:dyDescent="0.3">
      <c r="B5313" t="s">
        <v>4013</v>
      </c>
    </row>
    <row r="5314" spans="2:2" ht="14.4" hidden="1" x14ac:dyDescent="0.3">
      <c r="B5314" t="s">
        <v>856</v>
      </c>
    </row>
    <row r="5315" spans="2:2" ht="14.4" hidden="1" x14ac:dyDescent="0.3">
      <c r="B5315" t="s">
        <v>857</v>
      </c>
    </row>
    <row r="5316" spans="2:2" ht="14.4" hidden="1" x14ac:dyDescent="0.3">
      <c r="B5316" t="s">
        <v>858</v>
      </c>
    </row>
    <row r="5317" spans="2:2" ht="14.4" hidden="1" x14ac:dyDescent="0.3">
      <c r="B5317" t="s">
        <v>859</v>
      </c>
    </row>
    <row r="5318" spans="2:2" ht="14.4" hidden="1" x14ac:dyDescent="0.3">
      <c r="B5318" t="s">
        <v>860</v>
      </c>
    </row>
    <row r="5319" spans="2:2" ht="14.4" hidden="1" x14ac:dyDescent="0.3">
      <c r="B5319" t="s">
        <v>861</v>
      </c>
    </row>
    <row r="5320" spans="2:2" ht="14.4" hidden="1" x14ac:dyDescent="0.3">
      <c r="B5320" t="s">
        <v>4022</v>
      </c>
    </row>
    <row r="5321" spans="2:2" ht="14.4" hidden="1" x14ac:dyDescent="0.3">
      <c r="B5321" t="s">
        <v>862</v>
      </c>
    </row>
    <row r="5322" spans="2:2" ht="14.4" hidden="1" x14ac:dyDescent="0.3">
      <c r="B5322" t="s">
        <v>863</v>
      </c>
    </row>
    <row r="5323" spans="2:2" ht="14.4" hidden="1" x14ac:dyDescent="0.3">
      <c r="B5323" t="s">
        <v>1307</v>
      </c>
    </row>
    <row r="5324" spans="2:2" ht="14.4" hidden="1" x14ac:dyDescent="0.3">
      <c r="B5324" t="s">
        <v>864</v>
      </c>
    </row>
    <row r="5325" spans="2:2" ht="14.4" hidden="1" x14ac:dyDescent="0.3">
      <c r="B5325" t="s">
        <v>865</v>
      </c>
    </row>
    <row r="5326" spans="2:2" ht="14.4" hidden="1" x14ac:dyDescent="0.3">
      <c r="B5326" t="s">
        <v>73</v>
      </c>
    </row>
    <row r="5327" spans="2:2" ht="14.4" hidden="1" x14ac:dyDescent="0.3">
      <c r="B5327" t="s">
        <v>866</v>
      </c>
    </row>
    <row r="5328" spans="2:2" ht="14.4" hidden="1" x14ac:dyDescent="0.3">
      <c r="B5328" t="s">
        <v>867</v>
      </c>
    </row>
    <row r="5329" spans="2:2" ht="14.4" hidden="1" x14ac:dyDescent="0.3">
      <c r="B5329" t="s">
        <v>4033</v>
      </c>
    </row>
    <row r="5330" spans="2:2" ht="14.4" hidden="1" x14ac:dyDescent="0.3">
      <c r="B5330" t="s">
        <v>868</v>
      </c>
    </row>
    <row r="5331" spans="2:2" ht="14.4" hidden="1" x14ac:dyDescent="0.3">
      <c r="B5331" t="s">
        <v>869</v>
      </c>
    </row>
    <row r="5332" spans="2:2" ht="14.4" hidden="1" x14ac:dyDescent="0.3">
      <c r="B5332" t="s">
        <v>71</v>
      </c>
    </row>
    <row r="5333" spans="2:2" ht="14.4" hidden="1" x14ac:dyDescent="0.3">
      <c r="B5333" t="s">
        <v>74</v>
      </c>
    </row>
    <row r="5334" spans="2:2" ht="14.4" hidden="1" x14ac:dyDescent="0.3">
      <c r="B5334" t="s">
        <v>870</v>
      </c>
    </row>
    <row r="5335" spans="2:2" ht="14.4" hidden="1" x14ac:dyDescent="0.3">
      <c r="B5335" t="s">
        <v>871</v>
      </c>
    </row>
    <row r="5336" spans="2:2" ht="14.4" hidden="1" x14ac:dyDescent="0.3">
      <c r="B5336" t="s">
        <v>872</v>
      </c>
    </row>
    <row r="5337" spans="2:2" ht="14.4" hidden="1" x14ac:dyDescent="0.3">
      <c r="B5337" t="s">
        <v>873</v>
      </c>
    </row>
    <row r="5338" spans="2:2" ht="14.4" hidden="1" x14ac:dyDescent="0.3">
      <c r="B5338" t="s">
        <v>75</v>
      </c>
    </row>
    <row r="5339" spans="2:2" ht="14.4" hidden="1" x14ac:dyDescent="0.3">
      <c r="B5339" t="s">
        <v>874</v>
      </c>
    </row>
    <row r="5340" spans="2:2" ht="14.4" hidden="1" x14ac:dyDescent="0.3">
      <c r="B5340" t="s">
        <v>875</v>
      </c>
    </row>
    <row r="5341" spans="2:2" ht="14.4" hidden="1" x14ac:dyDescent="0.3">
      <c r="B5341" t="s">
        <v>876</v>
      </c>
    </row>
    <row r="5342" spans="2:2" ht="14.4" hidden="1" x14ac:dyDescent="0.3">
      <c r="B5342" t="s">
        <v>877</v>
      </c>
    </row>
    <row r="5343" spans="2:2" ht="14.4" hidden="1" x14ac:dyDescent="0.3">
      <c r="B5343" t="s">
        <v>72</v>
      </c>
    </row>
    <row r="5344" spans="2:2" ht="14.4" hidden="1" x14ac:dyDescent="0.3">
      <c r="B5344" t="s">
        <v>878</v>
      </c>
    </row>
    <row r="5345" spans="2:2" ht="14.4" hidden="1" x14ac:dyDescent="0.3">
      <c r="B5345" t="s">
        <v>4051</v>
      </c>
    </row>
    <row r="5346" spans="2:2" ht="14.4" hidden="1" x14ac:dyDescent="0.3">
      <c r="B5346" t="s">
        <v>4054</v>
      </c>
    </row>
    <row r="5347" spans="2:2" ht="14.4" hidden="1" x14ac:dyDescent="0.3">
      <c r="B5347" t="s">
        <v>4057</v>
      </c>
    </row>
    <row r="5348" spans="2:2" ht="14.4" hidden="1" x14ac:dyDescent="0.3">
      <c r="B5348" t="s">
        <v>1308</v>
      </c>
    </row>
    <row r="5349" spans="2:2" ht="14.4" hidden="1" x14ac:dyDescent="0.3">
      <c r="B5349" t="s">
        <v>879</v>
      </c>
    </row>
    <row r="5350" spans="2:2" ht="14.4" hidden="1" x14ac:dyDescent="0.3">
      <c r="B5350" t="s">
        <v>880</v>
      </c>
    </row>
    <row r="5351" spans="2:2" ht="14.4" hidden="1" x14ac:dyDescent="0.3">
      <c r="B5351" t="s">
        <v>881</v>
      </c>
    </row>
    <row r="5352" spans="2:2" ht="14.4" hidden="1" x14ac:dyDescent="0.3">
      <c r="B5352" t="s">
        <v>4064</v>
      </c>
    </row>
    <row r="5353" spans="2:2" ht="14.4" hidden="1" x14ac:dyDescent="0.3">
      <c r="B5353" t="s">
        <v>882</v>
      </c>
    </row>
    <row r="5354" spans="2:2" ht="14.4" hidden="1" x14ac:dyDescent="0.3">
      <c r="B5354" t="s">
        <v>883</v>
      </c>
    </row>
    <row r="5355" spans="2:2" ht="14.4" hidden="1" x14ac:dyDescent="0.3">
      <c r="B5355" t="s">
        <v>884</v>
      </c>
    </row>
    <row r="5356" spans="2:2" ht="14.4" hidden="1" x14ac:dyDescent="0.3">
      <c r="B5356" t="s">
        <v>4070</v>
      </c>
    </row>
    <row r="5357" spans="2:2" ht="14.4" hidden="1" x14ac:dyDescent="0.3">
      <c r="B5357" t="s">
        <v>885</v>
      </c>
    </row>
    <row r="5358" spans="2:2" ht="14.4" hidden="1" x14ac:dyDescent="0.3">
      <c r="B5358" t="s">
        <v>4074</v>
      </c>
    </row>
    <row r="5359" spans="2:2" ht="14.4" hidden="1" x14ac:dyDescent="0.3">
      <c r="B5359" t="s">
        <v>886</v>
      </c>
    </row>
    <row r="5360" spans="2:2" ht="14.4" hidden="1" x14ac:dyDescent="0.3">
      <c r="B5360" t="s">
        <v>4078</v>
      </c>
    </row>
    <row r="5361" spans="2:2" ht="14.4" hidden="1" x14ac:dyDescent="0.3">
      <c r="B5361" t="s">
        <v>4081</v>
      </c>
    </row>
    <row r="5362" spans="2:2" ht="14.4" hidden="1" x14ac:dyDescent="0.3">
      <c r="B5362" t="s">
        <v>4084</v>
      </c>
    </row>
    <row r="5363" spans="2:2" ht="14.4" hidden="1" x14ac:dyDescent="0.3">
      <c r="B5363" t="s">
        <v>887</v>
      </c>
    </row>
    <row r="5364" spans="2:2" ht="14.4" hidden="1" x14ac:dyDescent="0.3">
      <c r="B5364" t="s">
        <v>888</v>
      </c>
    </row>
    <row r="5365" spans="2:2" ht="14.4" hidden="1" x14ac:dyDescent="0.3">
      <c r="B5365" t="s">
        <v>889</v>
      </c>
    </row>
    <row r="5366" spans="2:2" ht="14.4" hidden="1" x14ac:dyDescent="0.3">
      <c r="B5366" t="s">
        <v>890</v>
      </c>
    </row>
    <row r="5367" spans="2:2" ht="14.4" hidden="1" x14ac:dyDescent="0.3">
      <c r="B5367" t="s">
        <v>891</v>
      </c>
    </row>
    <row r="5368" spans="2:2" ht="14.4" hidden="1" x14ac:dyDescent="0.3">
      <c r="B5368" t="s">
        <v>4093</v>
      </c>
    </row>
    <row r="5369" spans="2:2" ht="14.4" hidden="1" x14ac:dyDescent="0.3">
      <c r="B5369" t="s">
        <v>892</v>
      </c>
    </row>
    <row r="5370" spans="2:2" ht="14.4" hidden="1" x14ac:dyDescent="0.3">
      <c r="B5370" t="s">
        <v>4097</v>
      </c>
    </row>
    <row r="5371" spans="2:2" ht="14.4" hidden="1" x14ac:dyDescent="0.3">
      <c r="B5371" t="s">
        <v>893</v>
      </c>
    </row>
    <row r="5372" spans="2:2" ht="14.4" hidden="1" x14ac:dyDescent="0.3">
      <c r="B5372" t="s">
        <v>894</v>
      </c>
    </row>
    <row r="5373" spans="2:2" ht="14.4" hidden="1" x14ac:dyDescent="0.3">
      <c r="B5373" t="s">
        <v>895</v>
      </c>
    </row>
    <row r="5374" spans="2:2" ht="14.4" hidden="1" x14ac:dyDescent="0.3">
      <c r="B5374" t="s">
        <v>896</v>
      </c>
    </row>
    <row r="5375" spans="2:2" ht="14.4" hidden="1" x14ac:dyDescent="0.3">
      <c r="B5375" t="s">
        <v>897</v>
      </c>
    </row>
    <row r="5376" spans="2:2" ht="14.4" hidden="1" x14ac:dyDescent="0.3">
      <c r="B5376" t="s">
        <v>898</v>
      </c>
    </row>
    <row r="5377" spans="2:2" ht="14.4" hidden="1" x14ac:dyDescent="0.3">
      <c r="B5377" t="s">
        <v>899</v>
      </c>
    </row>
    <row r="5378" spans="2:2" ht="14.4" hidden="1" x14ac:dyDescent="0.3">
      <c r="B5378" t="s">
        <v>4107</v>
      </c>
    </row>
    <row r="5379" spans="2:2" ht="14.4" hidden="1" x14ac:dyDescent="0.3">
      <c r="B5379" t="s">
        <v>900</v>
      </c>
    </row>
    <row r="5380" spans="2:2" ht="14.4" hidden="1" x14ac:dyDescent="0.3">
      <c r="B5380" t="s">
        <v>901</v>
      </c>
    </row>
    <row r="5381" spans="2:2" ht="14.4" hidden="1" x14ac:dyDescent="0.3">
      <c r="B5381" t="s">
        <v>4112</v>
      </c>
    </row>
    <row r="5382" spans="2:2" ht="14.4" hidden="1" x14ac:dyDescent="0.3">
      <c r="B5382" t="s">
        <v>902</v>
      </c>
    </row>
    <row r="5383" spans="2:2" ht="14.4" hidden="1" x14ac:dyDescent="0.3">
      <c r="B5383" t="s">
        <v>1309</v>
      </c>
    </row>
    <row r="5384" spans="2:2" ht="14.4" hidden="1" x14ac:dyDescent="0.3">
      <c r="B5384" t="s">
        <v>903</v>
      </c>
    </row>
    <row r="5385" spans="2:2" ht="14.4" hidden="1" x14ac:dyDescent="0.3">
      <c r="B5385" t="s">
        <v>904</v>
      </c>
    </row>
    <row r="5386" spans="2:2" ht="14.4" hidden="1" x14ac:dyDescent="0.3">
      <c r="B5386" t="s">
        <v>4119</v>
      </c>
    </row>
    <row r="5387" spans="2:2" ht="14.4" hidden="1" x14ac:dyDescent="0.3">
      <c r="B5387" t="s">
        <v>905</v>
      </c>
    </row>
    <row r="5388" spans="2:2" ht="14.4" hidden="1" x14ac:dyDescent="0.3">
      <c r="B5388" t="s">
        <v>906</v>
      </c>
    </row>
    <row r="5389" spans="2:2" ht="14.4" hidden="1" x14ac:dyDescent="0.3">
      <c r="B5389" t="s">
        <v>907</v>
      </c>
    </row>
    <row r="5390" spans="2:2" ht="14.4" hidden="1" x14ac:dyDescent="0.3">
      <c r="B5390" t="s">
        <v>908</v>
      </c>
    </row>
    <row r="5391" spans="2:2" ht="14.4" hidden="1" x14ac:dyDescent="0.3">
      <c r="B5391" t="s">
        <v>909</v>
      </c>
    </row>
    <row r="5392" spans="2:2" ht="14.4" hidden="1" x14ac:dyDescent="0.3">
      <c r="B5392" t="s">
        <v>910</v>
      </c>
    </row>
    <row r="5393" spans="2:2" ht="14.4" hidden="1" x14ac:dyDescent="0.3">
      <c r="B5393" t="s">
        <v>911</v>
      </c>
    </row>
    <row r="5394" spans="2:2" ht="14.4" hidden="1" x14ac:dyDescent="0.3">
      <c r="B5394" t="s">
        <v>912</v>
      </c>
    </row>
    <row r="5395" spans="2:2" ht="14.4" hidden="1" x14ac:dyDescent="0.3">
      <c r="B5395" t="s">
        <v>913</v>
      </c>
    </row>
    <row r="5396" spans="2:2" ht="14.4" hidden="1" x14ac:dyDescent="0.3">
      <c r="B5396" t="s">
        <v>914</v>
      </c>
    </row>
    <row r="5397" spans="2:2" ht="14.4" hidden="1" x14ac:dyDescent="0.3">
      <c r="B5397" t="s">
        <v>915</v>
      </c>
    </row>
    <row r="5398" spans="2:2" ht="14.4" hidden="1" x14ac:dyDescent="0.3">
      <c r="B5398" t="s">
        <v>916</v>
      </c>
    </row>
    <row r="5399" spans="2:2" ht="14.4" hidden="1" x14ac:dyDescent="0.3">
      <c r="B5399" t="s">
        <v>917</v>
      </c>
    </row>
    <row r="5400" spans="2:2" ht="14.4" hidden="1" x14ac:dyDescent="0.3">
      <c r="B5400" t="s">
        <v>4135</v>
      </c>
    </row>
    <row r="5401" spans="2:2" ht="14.4" hidden="1" x14ac:dyDescent="0.3">
      <c r="B5401" t="s">
        <v>4138</v>
      </c>
    </row>
    <row r="5402" spans="2:2" ht="14.4" hidden="1" x14ac:dyDescent="0.3">
      <c r="B5402" t="s">
        <v>1310</v>
      </c>
    </row>
    <row r="5403" spans="2:2" ht="14.4" hidden="1" x14ac:dyDescent="0.3">
      <c r="B5403" t="s">
        <v>1311</v>
      </c>
    </row>
    <row r="5404" spans="2:2" ht="14.4" hidden="1" x14ac:dyDescent="0.3">
      <c r="B5404" t="s">
        <v>918</v>
      </c>
    </row>
    <row r="5405" spans="2:2" ht="14.4" hidden="1" x14ac:dyDescent="0.3">
      <c r="B5405" t="s">
        <v>4144</v>
      </c>
    </row>
    <row r="5406" spans="2:2" ht="14.4" hidden="1" x14ac:dyDescent="0.3">
      <c r="B5406" t="s">
        <v>919</v>
      </c>
    </row>
    <row r="5407" spans="2:2" ht="14.4" hidden="1" x14ac:dyDescent="0.3">
      <c r="B5407" t="s">
        <v>920</v>
      </c>
    </row>
    <row r="5408" spans="2:2" ht="14.4" hidden="1" x14ac:dyDescent="0.3">
      <c r="B5408" t="s">
        <v>921</v>
      </c>
    </row>
    <row r="5409" spans="2:2" ht="14.4" hidden="1" x14ac:dyDescent="0.3">
      <c r="B5409" t="s">
        <v>922</v>
      </c>
    </row>
    <row r="5410" spans="2:2" ht="14.4" hidden="1" x14ac:dyDescent="0.3">
      <c r="B5410" t="s">
        <v>923</v>
      </c>
    </row>
    <row r="5411" spans="2:2" ht="14.4" hidden="1" x14ac:dyDescent="0.3">
      <c r="B5411" t="s">
        <v>924</v>
      </c>
    </row>
    <row r="5412" spans="2:2" ht="14.4" hidden="1" x14ac:dyDescent="0.3">
      <c r="B5412" t="s">
        <v>925</v>
      </c>
    </row>
    <row r="5413" spans="2:2" ht="14.4" hidden="1" x14ac:dyDescent="0.3">
      <c r="B5413" t="s">
        <v>926</v>
      </c>
    </row>
    <row r="5414" spans="2:2" ht="14.4" hidden="1" x14ac:dyDescent="0.3">
      <c r="B5414" t="s">
        <v>927</v>
      </c>
    </row>
    <row r="5415" spans="2:2" ht="14.4" hidden="1" x14ac:dyDescent="0.3">
      <c r="B5415" t="s">
        <v>928</v>
      </c>
    </row>
    <row r="5416" spans="2:2" ht="14.4" hidden="1" x14ac:dyDescent="0.3">
      <c r="B5416" t="s">
        <v>929</v>
      </c>
    </row>
    <row r="5417" spans="2:2" ht="14.4" hidden="1" x14ac:dyDescent="0.3">
      <c r="B5417" t="s">
        <v>4159</v>
      </c>
    </row>
    <row r="5418" spans="2:2" ht="14.4" hidden="1" x14ac:dyDescent="0.3">
      <c r="B5418" t="s">
        <v>89</v>
      </c>
    </row>
    <row r="5419" spans="2:2" ht="14.4" hidden="1" x14ac:dyDescent="0.3">
      <c r="B5419" t="s">
        <v>930</v>
      </c>
    </row>
    <row r="5420" spans="2:2" ht="14.4" hidden="1" x14ac:dyDescent="0.3">
      <c r="B5420" t="s">
        <v>931</v>
      </c>
    </row>
    <row r="5421" spans="2:2" ht="14.4" hidden="1" x14ac:dyDescent="0.3">
      <c r="B5421" t="s">
        <v>932</v>
      </c>
    </row>
    <row r="5422" spans="2:2" ht="14.4" hidden="1" x14ac:dyDescent="0.3">
      <c r="B5422" t="s">
        <v>933</v>
      </c>
    </row>
    <row r="5423" spans="2:2" ht="14.4" hidden="1" x14ac:dyDescent="0.3">
      <c r="B5423" t="s">
        <v>934</v>
      </c>
    </row>
    <row r="5424" spans="2:2" ht="14.4" hidden="1" x14ac:dyDescent="0.3">
      <c r="B5424" t="s">
        <v>935</v>
      </c>
    </row>
    <row r="5425" spans="2:2" ht="14.4" hidden="1" x14ac:dyDescent="0.3">
      <c r="B5425" t="s">
        <v>936</v>
      </c>
    </row>
    <row r="5426" spans="2:2" ht="14.4" hidden="1" x14ac:dyDescent="0.3">
      <c r="B5426" t="s">
        <v>937</v>
      </c>
    </row>
    <row r="5427" spans="2:2" ht="14.4" hidden="1" x14ac:dyDescent="0.3">
      <c r="B5427" t="s">
        <v>938</v>
      </c>
    </row>
    <row r="5428" spans="2:2" ht="14.4" hidden="1" x14ac:dyDescent="0.3">
      <c r="B5428" t="s">
        <v>939</v>
      </c>
    </row>
    <row r="5429" spans="2:2" ht="14.4" hidden="1" x14ac:dyDescent="0.3">
      <c r="B5429" t="s">
        <v>940</v>
      </c>
    </row>
    <row r="5430" spans="2:2" ht="14.4" hidden="1" x14ac:dyDescent="0.3">
      <c r="B5430" t="s">
        <v>4174</v>
      </c>
    </row>
    <row r="5431" spans="2:2" ht="14.4" hidden="1" x14ac:dyDescent="0.3">
      <c r="B5431" t="s">
        <v>941</v>
      </c>
    </row>
    <row r="5432" spans="2:2" ht="14.4" hidden="1" x14ac:dyDescent="0.3">
      <c r="B5432" t="s">
        <v>942</v>
      </c>
    </row>
    <row r="5433" spans="2:2" ht="14.4" hidden="1" x14ac:dyDescent="0.3">
      <c r="B5433" t="s">
        <v>4179</v>
      </c>
    </row>
    <row r="5434" spans="2:2" ht="14.4" hidden="1" x14ac:dyDescent="0.3">
      <c r="B5434" t="s">
        <v>943</v>
      </c>
    </row>
    <row r="5435" spans="2:2" ht="14.4" hidden="1" x14ac:dyDescent="0.3">
      <c r="B5435" t="s">
        <v>944</v>
      </c>
    </row>
    <row r="5436" spans="2:2" ht="14.4" hidden="1" x14ac:dyDescent="0.3">
      <c r="B5436" t="s">
        <v>945</v>
      </c>
    </row>
    <row r="5437" spans="2:2" ht="14.4" hidden="1" x14ac:dyDescent="0.3">
      <c r="B5437" t="s">
        <v>946</v>
      </c>
    </row>
    <row r="5438" spans="2:2" ht="14.4" hidden="1" x14ac:dyDescent="0.3">
      <c r="B5438" t="s">
        <v>947</v>
      </c>
    </row>
    <row r="5439" spans="2:2" ht="14.4" hidden="1" x14ac:dyDescent="0.3">
      <c r="B5439" t="s">
        <v>948</v>
      </c>
    </row>
    <row r="5440" spans="2:2" ht="14.4" hidden="1" x14ac:dyDescent="0.3">
      <c r="B5440" t="s">
        <v>76</v>
      </c>
    </row>
    <row r="5441" spans="2:2" ht="14.4" hidden="1" x14ac:dyDescent="0.3">
      <c r="B5441" t="s">
        <v>949</v>
      </c>
    </row>
    <row r="5442" spans="2:2" ht="14.4" hidden="1" x14ac:dyDescent="0.3">
      <c r="B5442" t="s">
        <v>950</v>
      </c>
    </row>
    <row r="5443" spans="2:2" ht="14.4" hidden="1" x14ac:dyDescent="0.3">
      <c r="B5443" t="s">
        <v>77</v>
      </c>
    </row>
    <row r="5444" spans="2:2" ht="14.4" hidden="1" x14ac:dyDescent="0.3">
      <c r="B5444" t="s">
        <v>1312</v>
      </c>
    </row>
    <row r="5445" spans="2:2" ht="14.4" hidden="1" x14ac:dyDescent="0.3">
      <c r="B5445" t="s">
        <v>951</v>
      </c>
    </row>
    <row r="5446" spans="2:2" ht="14.4" hidden="1" x14ac:dyDescent="0.3">
      <c r="B5446" t="s">
        <v>952</v>
      </c>
    </row>
    <row r="5447" spans="2:2" ht="14.4" hidden="1" x14ac:dyDescent="0.3">
      <c r="B5447" t="s">
        <v>953</v>
      </c>
    </row>
    <row r="5448" spans="2:2" ht="14.4" hidden="1" x14ac:dyDescent="0.3">
      <c r="B5448" t="s">
        <v>954</v>
      </c>
    </row>
    <row r="5449" spans="2:2" ht="14.4" hidden="1" x14ac:dyDescent="0.3">
      <c r="B5449" t="s">
        <v>955</v>
      </c>
    </row>
    <row r="5450" spans="2:2" ht="14.4" hidden="1" x14ac:dyDescent="0.3">
      <c r="B5450" t="s">
        <v>956</v>
      </c>
    </row>
    <row r="5451" spans="2:2" ht="14.4" hidden="1" x14ac:dyDescent="0.3">
      <c r="B5451" t="s">
        <v>957</v>
      </c>
    </row>
    <row r="5452" spans="2:2" ht="14.4" hidden="1" x14ac:dyDescent="0.3">
      <c r="B5452" t="s">
        <v>958</v>
      </c>
    </row>
    <row r="5453" spans="2:2" ht="14.4" hidden="1" x14ac:dyDescent="0.3">
      <c r="B5453" t="s">
        <v>959</v>
      </c>
    </row>
    <row r="5454" spans="2:2" ht="14.4" hidden="1" x14ac:dyDescent="0.3">
      <c r="B5454" t="s">
        <v>960</v>
      </c>
    </row>
    <row r="5455" spans="2:2" ht="14.4" hidden="1" x14ac:dyDescent="0.3">
      <c r="B5455" t="s">
        <v>961</v>
      </c>
    </row>
    <row r="5456" spans="2:2" ht="14.4" hidden="1" x14ac:dyDescent="0.3">
      <c r="B5456" t="s">
        <v>962</v>
      </c>
    </row>
    <row r="5457" spans="2:2" ht="14.4" hidden="1" x14ac:dyDescent="0.3">
      <c r="B5457" t="s">
        <v>963</v>
      </c>
    </row>
    <row r="5458" spans="2:2" ht="14.4" hidden="1" x14ac:dyDescent="0.3">
      <c r="B5458" t="s">
        <v>964</v>
      </c>
    </row>
    <row r="5459" spans="2:2" ht="14.4" hidden="1" x14ac:dyDescent="0.3">
      <c r="B5459" t="s">
        <v>4208</v>
      </c>
    </row>
    <row r="5460" spans="2:2" ht="14.4" hidden="1" x14ac:dyDescent="0.3">
      <c r="B5460" t="s">
        <v>965</v>
      </c>
    </row>
    <row r="5461" spans="2:2" ht="14.4" hidden="1" x14ac:dyDescent="0.3">
      <c r="B5461" t="s">
        <v>966</v>
      </c>
    </row>
    <row r="5462" spans="2:2" ht="14.4" hidden="1" x14ac:dyDescent="0.3">
      <c r="B5462" t="s">
        <v>967</v>
      </c>
    </row>
    <row r="5463" spans="2:2" ht="14.4" hidden="1" x14ac:dyDescent="0.3">
      <c r="B5463" t="s">
        <v>78</v>
      </c>
    </row>
    <row r="5464" spans="2:2" ht="14.4" hidden="1" x14ac:dyDescent="0.3">
      <c r="B5464" t="s">
        <v>968</v>
      </c>
    </row>
    <row r="5465" spans="2:2" ht="14.4" hidden="1" x14ac:dyDescent="0.3">
      <c r="B5465" t="s">
        <v>969</v>
      </c>
    </row>
    <row r="5466" spans="2:2" ht="14.4" hidden="1" x14ac:dyDescent="0.3">
      <c r="B5466" t="s">
        <v>970</v>
      </c>
    </row>
    <row r="5467" spans="2:2" ht="14.4" hidden="1" x14ac:dyDescent="0.3">
      <c r="B5467" t="s">
        <v>971</v>
      </c>
    </row>
    <row r="5468" spans="2:2" ht="14.4" hidden="1" x14ac:dyDescent="0.3">
      <c r="B5468" t="s">
        <v>972</v>
      </c>
    </row>
    <row r="5469" spans="2:2" ht="14.4" hidden="1" x14ac:dyDescent="0.3">
      <c r="B5469" t="s">
        <v>973</v>
      </c>
    </row>
    <row r="5470" spans="2:2" ht="14.4" hidden="1" x14ac:dyDescent="0.3">
      <c r="B5470" t="s">
        <v>974</v>
      </c>
    </row>
    <row r="5471" spans="2:2" ht="14.4" hidden="1" x14ac:dyDescent="0.3">
      <c r="B5471" t="s">
        <v>975</v>
      </c>
    </row>
    <row r="5472" spans="2:2" ht="14.4" hidden="1" x14ac:dyDescent="0.3">
      <c r="B5472" t="s">
        <v>976</v>
      </c>
    </row>
    <row r="5473" spans="2:2" ht="14.4" hidden="1" x14ac:dyDescent="0.3">
      <c r="B5473" t="s">
        <v>977</v>
      </c>
    </row>
    <row r="5474" spans="2:2" ht="14.4" hidden="1" x14ac:dyDescent="0.3">
      <c r="B5474" t="s">
        <v>978</v>
      </c>
    </row>
    <row r="5475" spans="2:2" ht="14.4" hidden="1" x14ac:dyDescent="0.3">
      <c r="B5475" t="s">
        <v>979</v>
      </c>
    </row>
    <row r="5476" spans="2:2" ht="14.4" hidden="1" x14ac:dyDescent="0.3">
      <c r="B5476" t="s">
        <v>4227</v>
      </c>
    </row>
    <row r="5477" spans="2:2" ht="14.4" hidden="1" x14ac:dyDescent="0.3">
      <c r="B5477" t="s">
        <v>980</v>
      </c>
    </row>
    <row r="5478" spans="2:2" ht="14.4" hidden="1" x14ac:dyDescent="0.3">
      <c r="B5478" t="s">
        <v>981</v>
      </c>
    </row>
    <row r="5479" spans="2:2" ht="14.4" hidden="1" x14ac:dyDescent="0.3">
      <c r="B5479" t="s">
        <v>4232</v>
      </c>
    </row>
    <row r="5480" spans="2:2" ht="14.4" hidden="1" x14ac:dyDescent="0.3">
      <c r="B5480" t="s">
        <v>982</v>
      </c>
    </row>
    <row r="5481" spans="2:2" ht="14.4" hidden="1" x14ac:dyDescent="0.3">
      <c r="B5481" t="s">
        <v>15</v>
      </c>
    </row>
    <row r="5482" spans="2:2" ht="14.4" hidden="1" x14ac:dyDescent="0.3">
      <c r="B5482" t="s">
        <v>983</v>
      </c>
    </row>
    <row r="5483" spans="2:2" ht="14.4" hidden="1" x14ac:dyDescent="0.3">
      <c r="B5483" t="s">
        <v>984</v>
      </c>
    </row>
    <row r="5484" spans="2:2" ht="14.4" hidden="1" x14ac:dyDescent="0.3">
      <c r="B5484" t="s">
        <v>985</v>
      </c>
    </row>
    <row r="5485" spans="2:2" ht="14.4" hidden="1" x14ac:dyDescent="0.3">
      <c r="B5485" t="s">
        <v>4240</v>
      </c>
    </row>
    <row r="5486" spans="2:2" ht="14.4" hidden="1" x14ac:dyDescent="0.3">
      <c r="B5486" t="s">
        <v>986</v>
      </c>
    </row>
    <row r="5487" spans="2:2" ht="14.4" hidden="1" x14ac:dyDescent="0.3">
      <c r="B5487" t="s">
        <v>987</v>
      </c>
    </row>
    <row r="5488" spans="2:2" ht="14.4" hidden="1" x14ac:dyDescent="0.3">
      <c r="B5488" t="s">
        <v>4245</v>
      </c>
    </row>
    <row r="5489" spans="2:2" ht="14.4" hidden="1" x14ac:dyDescent="0.3">
      <c r="B5489" t="s">
        <v>1313</v>
      </c>
    </row>
    <row r="5490" spans="2:2" ht="14.4" hidden="1" x14ac:dyDescent="0.3">
      <c r="B5490" t="s">
        <v>988</v>
      </c>
    </row>
    <row r="5491" spans="2:2" ht="14.4" hidden="1" x14ac:dyDescent="0.3">
      <c r="B5491" t="s">
        <v>1322</v>
      </c>
    </row>
    <row r="5492" spans="2:2" ht="14.4" hidden="1" x14ac:dyDescent="0.3">
      <c r="B5492" t="s">
        <v>989</v>
      </c>
    </row>
    <row r="5493" spans="2:2" ht="14.4" hidden="1" x14ac:dyDescent="0.3">
      <c r="B5493" t="s">
        <v>990</v>
      </c>
    </row>
    <row r="5494" spans="2:2" ht="14.4" hidden="1" x14ac:dyDescent="0.3">
      <c r="B5494" t="s">
        <v>991</v>
      </c>
    </row>
    <row r="5495" spans="2:2" ht="14.4" hidden="1" x14ac:dyDescent="0.3">
      <c r="B5495" t="s">
        <v>992</v>
      </c>
    </row>
    <row r="5496" spans="2:2" ht="14.4" hidden="1" x14ac:dyDescent="0.3">
      <c r="B5496" t="s">
        <v>993</v>
      </c>
    </row>
    <row r="5497" spans="2:2" ht="14.4" hidden="1" x14ac:dyDescent="0.3">
      <c r="B5497" t="s">
        <v>79</v>
      </c>
    </row>
    <row r="5498" spans="2:2" ht="14.4" hidden="1" x14ac:dyDescent="0.3">
      <c r="B5498" t="s">
        <v>994</v>
      </c>
    </row>
    <row r="5499" spans="2:2" ht="14.4" hidden="1" x14ac:dyDescent="0.3">
      <c r="B5499" t="s">
        <v>995</v>
      </c>
    </row>
    <row r="5500" spans="2:2" ht="14.4" hidden="1" x14ac:dyDescent="0.3">
      <c r="B5500" t="s">
        <v>996</v>
      </c>
    </row>
    <row r="5501" spans="2:2" ht="14.4" hidden="1" x14ac:dyDescent="0.3">
      <c r="B5501" t="s">
        <v>997</v>
      </c>
    </row>
    <row r="5502" spans="2:2" ht="14.4" hidden="1" x14ac:dyDescent="0.3">
      <c r="B5502" t="s">
        <v>998</v>
      </c>
    </row>
    <row r="5503" spans="2:2" ht="14.4" hidden="1" x14ac:dyDescent="0.3">
      <c r="B5503" t="s">
        <v>4263</v>
      </c>
    </row>
    <row r="5504" spans="2:2" ht="14.4" hidden="1" x14ac:dyDescent="0.3">
      <c r="B5504" t="s">
        <v>999</v>
      </c>
    </row>
    <row r="5505" spans="2:2" ht="14.4" hidden="1" x14ac:dyDescent="0.3">
      <c r="B5505" t="s">
        <v>4267</v>
      </c>
    </row>
    <row r="5506" spans="2:2" ht="14.4" hidden="1" x14ac:dyDescent="0.3">
      <c r="B5506" t="s">
        <v>1000</v>
      </c>
    </row>
    <row r="5507" spans="2:2" ht="14.4" hidden="1" x14ac:dyDescent="0.3">
      <c r="B5507" t="s">
        <v>4271</v>
      </c>
    </row>
    <row r="5508" spans="2:2" ht="14.4" hidden="1" x14ac:dyDescent="0.3">
      <c r="B5508" t="s">
        <v>1001</v>
      </c>
    </row>
    <row r="5509" spans="2:2" ht="14.4" hidden="1" x14ac:dyDescent="0.3">
      <c r="B5509" t="s">
        <v>1002</v>
      </c>
    </row>
    <row r="5510" spans="2:2" ht="14.4" hidden="1" x14ac:dyDescent="0.3">
      <c r="B5510" t="s">
        <v>1003</v>
      </c>
    </row>
    <row r="5511" spans="2:2" ht="14.4" hidden="1" x14ac:dyDescent="0.3">
      <c r="B5511" t="s">
        <v>1004</v>
      </c>
    </row>
    <row r="5512" spans="2:2" ht="14.4" hidden="1" x14ac:dyDescent="0.3">
      <c r="B5512" t="s">
        <v>1005</v>
      </c>
    </row>
    <row r="5513" spans="2:2" ht="14.4" hidden="1" x14ac:dyDescent="0.3">
      <c r="B5513" t="s">
        <v>1006</v>
      </c>
    </row>
    <row r="5514" spans="2:2" ht="14.4" hidden="1" x14ac:dyDescent="0.3">
      <c r="B5514" t="s">
        <v>1007</v>
      </c>
    </row>
    <row r="5515" spans="2:2" ht="14.4" hidden="1" x14ac:dyDescent="0.3">
      <c r="B5515" t="s">
        <v>1008</v>
      </c>
    </row>
    <row r="5516" spans="2:2" ht="14.4" hidden="1" x14ac:dyDescent="0.3">
      <c r="B5516" t="s">
        <v>4282</v>
      </c>
    </row>
    <row r="5517" spans="2:2" ht="14.4" hidden="1" x14ac:dyDescent="0.3">
      <c r="B5517" t="s">
        <v>1009</v>
      </c>
    </row>
    <row r="5518" spans="2:2" ht="14.4" hidden="1" x14ac:dyDescent="0.3">
      <c r="B5518" t="s">
        <v>1010</v>
      </c>
    </row>
    <row r="5519" spans="2:2" ht="14.4" hidden="1" x14ac:dyDescent="0.3">
      <c r="B5519" t="s">
        <v>4287</v>
      </c>
    </row>
    <row r="5520" spans="2:2" ht="14.4" hidden="1" x14ac:dyDescent="0.3">
      <c r="B5520" t="s">
        <v>1011</v>
      </c>
    </row>
    <row r="5521" spans="2:2" ht="14.4" hidden="1" x14ac:dyDescent="0.3">
      <c r="B5521" t="s">
        <v>4291</v>
      </c>
    </row>
    <row r="5522" spans="2:2" ht="14.4" hidden="1" x14ac:dyDescent="0.3">
      <c r="B5522" t="s">
        <v>1314</v>
      </c>
    </row>
    <row r="5523" spans="2:2" ht="14.4" hidden="1" x14ac:dyDescent="0.3">
      <c r="B5523" t="s">
        <v>1315</v>
      </c>
    </row>
    <row r="5524" spans="2:2" ht="14.4" hidden="1" x14ac:dyDescent="0.3">
      <c r="B5524" t="s">
        <v>1012</v>
      </c>
    </row>
    <row r="5525" spans="2:2" ht="14.4" hidden="1" x14ac:dyDescent="0.3">
      <c r="B5525" t="s">
        <v>4297</v>
      </c>
    </row>
    <row r="5526" spans="2:2" ht="14.4" hidden="1" x14ac:dyDescent="0.3">
      <c r="B5526" t="s">
        <v>1013</v>
      </c>
    </row>
    <row r="5527" spans="2:2" ht="14.4" hidden="1" x14ac:dyDescent="0.3">
      <c r="B5527" t="s">
        <v>4301</v>
      </c>
    </row>
    <row r="5528" spans="2:2" ht="14.4" hidden="1" x14ac:dyDescent="0.3">
      <c r="B5528" t="s">
        <v>1014</v>
      </c>
    </row>
    <row r="5529" spans="2:2" ht="14.4" hidden="1" x14ac:dyDescent="0.3">
      <c r="B5529" t="s">
        <v>1015</v>
      </c>
    </row>
    <row r="5530" spans="2:2" ht="14.4" hidden="1" x14ac:dyDescent="0.3">
      <c r="B5530" t="s">
        <v>4306</v>
      </c>
    </row>
    <row r="5531" spans="2:2" ht="14.4" hidden="1" x14ac:dyDescent="0.3">
      <c r="B5531" t="s">
        <v>1016</v>
      </c>
    </row>
    <row r="5532" spans="2:2" ht="14.4" hidden="1" x14ac:dyDescent="0.3">
      <c r="B5532" t="s">
        <v>1017</v>
      </c>
    </row>
    <row r="5533" spans="2:2" ht="14.4" hidden="1" x14ac:dyDescent="0.3">
      <c r="B5533" t="s">
        <v>1018</v>
      </c>
    </row>
    <row r="5534" spans="2:2" ht="14.4" hidden="1" x14ac:dyDescent="0.3">
      <c r="B5534" t="s">
        <v>1019</v>
      </c>
    </row>
    <row r="5535" spans="2:2" ht="14.4" hidden="1" x14ac:dyDescent="0.3">
      <c r="B5535" t="s">
        <v>1020</v>
      </c>
    </row>
    <row r="5536" spans="2:2" ht="14.4" hidden="1" x14ac:dyDescent="0.3">
      <c r="B5536" t="s">
        <v>1021</v>
      </c>
    </row>
    <row r="5537" spans="2:2" ht="14.4" hidden="1" x14ac:dyDescent="0.3">
      <c r="B5537" t="s">
        <v>1022</v>
      </c>
    </row>
    <row r="5538" spans="2:2" ht="14.4" hidden="1" x14ac:dyDescent="0.3">
      <c r="B5538" t="s">
        <v>4316</v>
      </c>
    </row>
    <row r="5539" spans="2:2" ht="14.4" hidden="1" x14ac:dyDescent="0.3">
      <c r="B5539" t="s">
        <v>1023</v>
      </c>
    </row>
    <row r="5540" spans="2:2" ht="14.4" hidden="1" x14ac:dyDescent="0.3">
      <c r="B5540" t="s">
        <v>80</v>
      </c>
    </row>
    <row r="5541" spans="2:2" ht="14.4" hidden="1" x14ac:dyDescent="0.3">
      <c r="B5541" t="s">
        <v>4321</v>
      </c>
    </row>
    <row r="5542" spans="2:2" ht="14.4" hidden="1" x14ac:dyDescent="0.3">
      <c r="B5542" t="s">
        <v>1024</v>
      </c>
    </row>
    <row r="5543" spans="2:2" ht="14.4" hidden="1" x14ac:dyDescent="0.3">
      <c r="B5543" t="s">
        <v>1025</v>
      </c>
    </row>
    <row r="5544" spans="2:2" ht="14.4" hidden="1" x14ac:dyDescent="0.3">
      <c r="B5544" t="s">
        <v>1026</v>
      </c>
    </row>
    <row r="5545" spans="2:2" ht="14.4" hidden="1" x14ac:dyDescent="0.3">
      <c r="B5545" t="s">
        <v>4327</v>
      </c>
    </row>
    <row r="5546" spans="2:2" ht="14.4" hidden="1" x14ac:dyDescent="0.3">
      <c r="B5546" t="s">
        <v>1027</v>
      </c>
    </row>
    <row r="5547" spans="2:2" ht="14.4" hidden="1" x14ac:dyDescent="0.3">
      <c r="B5547" t="s">
        <v>1028</v>
      </c>
    </row>
    <row r="5548" spans="2:2" ht="14.4" hidden="1" x14ac:dyDescent="0.3">
      <c r="B5548" t="s">
        <v>4332</v>
      </c>
    </row>
    <row r="5549" spans="2:2" ht="14.4" hidden="1" x14ac:dyDescent="0.3">
      <c r="B5549" t="s">
        <v>1029</v>
      </c>
    </row>
    <row r="5550" spans="2:2" ht="14.4" hidden="1" x14ac:dyDescent="0.3">
      <c r="B5550" t="s">
        <v>1030</v>
      </c>
    </row>
    <row r="5551" spans="2:2" ht="14.4" hidden="1" x14ac:dyDescent="0.3">
      <c r="B5551" t="s">
        <v>1031</v>
      </c>
    </row>
    <row r="5552" spans="2:2" ht="14.4" hidden="1" x14ac:dyDescent="0.3">
      <c r="B5552" t="s">
        <v>81</v>
      </c>
    </row>
    <row r="5553" spans="2:2" ht="14.4" hidden="1" x14ac:dyDescent="0.3">
      <c r="B5553" t="s">
        <v>4339</v>
      </c>
    </row>
    <row r="5554" spans="2:2" ht="14.4" hidden="1" x14ac:dyDescent="0.3">
      <c r="B5554" t="s">
        <v>1032</v>
      </c>
    </row>
    <row r="5555" spans="2:2" ht="14.4" hidden="1" x14ac:dyDescent="0.3">
      <c r="B5555" t="s">
        <v>1033</v>
      </c>
    </row>
    <row r="5556" spans="2:2" ht="14.4" hidden="1" x14ac:dyDescent="0.3">
      <c r="B5556" t="s">
        <v>4344</v>
      </c>
    </row>
    <row r="5557" spans="2:2" ht="14.4" hidden="1" x14ac:dyDescent="0.3">
      <c r="B5557" t="s">
        <v>1034</v>
      </c>
    </row>
    <row r="5558" spans="2:2" ht="14.4" hidden="1" x14ac:dyDescent="0.3">
      <c r="B5558" t="s">
        <v>1035</v>
      </c>
    </row>
    <row r="5559" spans="2:2" ht="14.4" hidden="1" x14ac:dyDescent="0.3">
      <c r="B5559" t="s">
        <v>1036</v>
      </c>
    </row>
    <row r="5560" spans="2:2" ht="14.4" hidden="1" x14ac:dyDescent="0.3">
      <c r="B5560" t="s">
        <v>1037</v>
      </c>
    </row>
    <row r="5561" spans="2:2" ht="14.4" hidden="1" x14ac:dyDescent="0.3">
      <c r="B5561" t="s">
        <v>4350</v>
      </c>
    </row>
    <row r="5562" spans="2:2" ht="14.4" hidden="1" x14ac:dyDescent="0.3">
      <c r="B5562" t="s">
        <v>1038</v>
      </c>
    </row>
    <row r="5563" spans="2:2" ht="14.4" hidden="1" x14ac:dyDescent="0.3">
      <c r="B5563" t="s">
        <v>1039</v>
      </c>
    </row>
    <row r="5564" spans="2:2" ht="14.4" hidden="1" x14ac:dyDescent="0.3">
      <c r="B5564" t="s">
        <v>1040</v>
      </c>
    </row>
    <row r="5565" spans="2:2" ht="14.4" hidden="1" x14ac:dyDescent="0.3">
      <c r="B5565" t="s">
        <v>1041</v>
      </c>
    </row>
    <row r="5566" spans="2:2" ht="14.4" hidden="1" x14ac:dyDescent="0.3">
      <c r="B5566" t="s">
        <v>4357</v>
      </c>
    </row>
    <row r="5567" spans="2:2" ht="14.4" hidden="1" x14ac:dyDescent="0.3">
      <c r="B5567" t="s">
        <v>1042</v>
      </c>
    </row>
    <row r="5568" spans="2:2" ht="14.4" hidden="1" x14ac:dyDescent="0.3">
      <c r="B5568" t="s">
        <v>1043</v>
      </c>
    </row>
    <row r="5569" spans="2:2" ht="14.4" hidden="1" x14ac:dyDescent="0.3">
      <c r="B5569" t="s">
        <v>1044</v>
      </c>
    </row>
    <row r="5570" spans="2:2" ht="14.4" hidden="1" x14ac:dyDescent="0.3">
      <c r="B5570" t="s">
        <v>1045</v>
      </c>
    </row>
    <row r="5571" spans="2:2" ht="14.4" hidden="1" x14ac:dyDescent="0.3">
      <c r="B5571" t="s">
        <v>1046</v>
      </c>
    </row>
    <row r="5572" spans="2:2" ht="14.4" hidden="1" x14ac:dyDescent="0.3">
      <c r="B5572" t="s">
        <v>1047</v>
      </c>
    </row>
    <row r="5573" spans="2:2" ht="14.4" hidden="1" x14ac:dyDescent="0.3">
      <c r="B5573" t="s">
        <v>1048</v>
      </c>
    </row>
    <row r="5574" spans="2:2" ht="14.4" hidden="1" x14ac:dyDescent="0.3">
      <c r="B5574" t="s">
        <v>1316</v>
      </c>
    </row>
    <row r="5575" spans="2:2" ht="14.4" hidden="1" x14ac:dyDescent="0.3">
      <c r="B5575" t="s">
        <v>1049</v>
      </c>
    </row>
    <row r="5576" spans="2:2" ht="14.4" hidden="1" x14ac:dyDescent="0.3">
      <c r="B5576" t="s">
        <v>1050</v>
      </c>
    </row>
    <row r="5577" spans="2:2" ht="14.4" hidden="1" x14ac:dyDescent="0.3">
      <c r="B5577" t="s">
        <v>1051</v>
      </c>
    </row>
    <row r="5578" spans="2:2" ht="14.4" hidden="1" x14ac:dyDescent="0.3">
      <c r="B5578" t="s">
        <v>4372</v>
      </c>
    </row>
    <row r="5579" spans="2:2" ht="14.4" hidden="1" x14ac:dyDescent="0.3">
      <c r="B5579" t="s">
        <v>1052</v>
      </c>
    </row>
    <row r="5580" spans="2:2" ht="14.4" hidden="1" x14ac:dyDescent="0.3">
      <c r="B5580" t="s">
        <v>1053</v>
      </c>
    </row>
    <row r="5581" spans="2:2" ht="14.4" hidden="1" x14ac:dyDescent="0.3">
      <c r="B5581" t="s">
        <v>4377</v>
      </c>
    </row>
    <row r="5582" spans="2:2" ht="14.4" hidden="1" x14ac:dyDescent="0.3">
      <c r="B5582" t="s">
        <v>4380</v>
      </c>
    </row>
    <row r="5583" spans="2:2" ht="14.4" hidden="1" x14ac:dyDescent="0.3">
      <c r="B5583" t="s">
        <v>1054</v>
      </c>
    </row>
    <row r="5584" spans="2:2" ht="14.4" hidden="1" x14ac:dyDescent="0.3">
      <c r="B5584" t="s">
        <v>82</v>
      </c>
    </row>
    <row r="5585" spans="2:2" ht="14.4" hidden="1" x14ac:dyDescent="0.3">
      <c r="B5585" t="s">
        <v>4385</v>
      </c>
    </row>
    <row r="5586" spans="2:2" ht="14.4" hidden="1" x14ac:dyDescent="0.3">
      <c r="B5586" t="s">
        <v>1055</v>
      </c>
    </row>
    <row r="5587" spans="2:2" ht="14.4" hidden="1" x14ac:dyDescent="0.3">
      <c r="B5587" t="s">
        <v>4389</v>
      </c>
    </row>
    <row r="5588" spans="2:2" ht="14.4" hidden="1" x14ac:dyDescent="0.3">
      <c r="B5588" t="s">
        <v>1056</v>
      </c>
    </row>
    <row r="5589" spans="2:2" ht="14.4" hidden="1" x14ac:dyDescent="0.3">
      <c r="B5589" t="s">
        <v>1057</v>
      </c>
    </row>
    <row r="5590" spans="2:2" ht="14.4" hidden="1" x14ac:dyDescent="0.3">
      <c r="B5590" t="s">
        <v>4394</v>
      </c>
    </row>
    <row r="5591" spans="2:2" ht="14.4" hidden="1" x14ac:dyDescent="0.3">
      <c r="B5591" t="s">
        <v>1058</v>
      </c>
    </row>
    <row r="5592" spans="2:2" ht="14.4" hidden="1" x14ac:dyDescent="0.3">
      <c r="B5592" t="s">
        <v>104</v>
      </c>
    </row>
    <row r="5593" spans="2:2" ht="14.4" hidden="1" x14ac:dyDescent="0.3">
      <c r="B5593" t="s">
        <v>1059</v>
      </c>
    </row>
    <row r="5594" spans="2:2" ht="14.4" hidden="1" x14ac:dyDescent="0.3">
      <c r="B5594" t="s">
        <v>1060</v>
      </c>
    </row>
    <row r="5595" spans="2:2" ht="14.4" hidden="1" x14ac:dyDescent="0.3">
      <c r="B5595" t="s">
        <v>1061</v>
      </c>
    </row>
    <row r="5596" spans="2:2" ht="14.4" hidden="1" x14ac:dyDescent="0.3">
      <c r="B5596" t="s">
        <v>4402</v>
      </c>
    </row>
    <row r="5597" spans="2:2" ht="14.4" hidden="1" x14ac:dyDescent="0.3">
      <c r="B5597" t="s">
        <v>1317</v>
      </c>
    </row>
    <row r="5598" spans="2:2" ht="14.4" hidden="1" x14ac:dyDescent="0.3">
      <c r="B5598" t="s">
        <v>1062</v>
      </c>
    </row>
    <row r="5599" spans="2:2" ht="14.4" hidden="1" x14ac:dyDescent="0.3">
      <c r="B5599" t="s">
        <v>1063</v>
      </c>
    </row>
    <row r="5600" spans="2:2" ht="14.4" hidden="1" x14ac:dyDescent="0.3">
      <c r="B5600" t="s">
        <v>1064</v>
      </c>
    </row>
    <row r="5601" spans="2:2" ht="14.4" hidden="1" x14ac:dyDescent="0.3">
      <c r="B5601" t="s">
        <v>1065</v>
      </c>
    </row>
    <row r="5602" spans="2:2" ht="14.4" hidden="1" x14ac:dyDescent="0.3">
      <c r="B5602" t="s">
        <v>4410</v>
      </c>
    </row>
    <row r="5603" spans="2:2" ht="14.4" hidden="1" x14ac:dyDescent="0.3">
      <c r="B5603" t="s">
        <v>98</v>
      </c>
    </row>
    <row r="5604" spans="2:2" ht="14.4" hidden="1" x14ac:dyDescent="0.3">
      <c r="B5604" t="s">
        <v>1066</v>
      </c>
    </row>
    <row r="5605" spans="2:2" ht="14.4" hidden="1" x14ac:dyDescent="0.3">
      <c r="B5605" t="s">
        <v>1067</v>
      </c>
    </row>
    <row r="5606" spans="2:2" ht="14.4" hidden="1" x14ac:dyDescent="0.3">
      <c r="B5606" t="s">
        <v>4416</v>
      </c>
    </row>
    <row r="5607" spans="2:2" ht="14.4" hidden="1" x14ac:dyDescent="0.3">
      <c r="B5607" t="s">
        <v>83</v>
      </c>
    </row>
    <row r="5608" spans="2:2" ht="14.4" hidden="1" x14ac:dyDescent="0.3">
      <c r="B5608" t="s">
        <v>1068</v>
      </c>
    </row>
    <row r="5609" spans="2:2" ht="14.4" hidden="1" x14ac:dyDescent="0.3">
      <c r="B5609" t="s">
        <v>1069</v>
      </c>
    </row>
    <row r="5610" spans="2:2" ht="14.4" hidden="1" x14ac:dyDescent="0.3">
      <c r="B5610" t="s">
        <v>1070</v>
      </c>
    </row>
    <row r="5611" spans="2:2" ht="14.4" hidden="1" x14ac:dyDescent="0.3">
      <c r="B5611" t="s">
        <v>1071</v>
      </c>
    </row>
    <row r="5612" spans="2:2" ht="14.4" hidden="1" x14ac:dyDescent="0.3">
      <c r="B5612" t="s">
        <v>1072</v>
      </c>
    </row>
    <row r="5613" spans="2:2" ht="14.4" hidden="1" x14ac:dyDescent="0.3">
      <c r="B5613" t="s">
        <v>1073</v>
      </c>
    </row>
    <row r="5614" spans="2:2" ht="14.4" hidden="1" x14ac:dyDescent="0.3">
      <c r="B5614" t="s">
        <v>1074</v>
      </c>
    </row>
    <row r="5615" spans="2:2" ht="14.4" hidden="1" x14ac:dyDescent="0.3">
      <c r="B5615" t="s">
        <v>1075</v>
      </c>
    </row>
    <row r="5616" spans="2:2" ht="14.4" hidden="1" x14ac:dyDescent="0.3">
      <c r="B5616" t="s">
        <v>1076</v>
      </c>
    </row>
    <row r="5617" spans="2:2" ht="14.4" hidden="1" x14ac:dyDescent="0.3">
      <c r="B5617" t="s">
        <v>1077</v>
      </c>
    </row>
    <row r="5618" spans="2:2" ht="14.4" hidden="1" x14ac:dyDescent="0.3">
      <c r="B5618" t="s">
        <v>1078</v>
      </c>
    </row>
    <row r="5619" spans="2:2" ht="14.4" hidden="1" x14ac:dyDescent="0.3">
      <c r="B5619" t="s">
        <v>1079</v>
      </c>
    </row>
    <row r="5620" spans="2:2" ht="14.4" hidden="1" x14ac:dyDescent="0.3">
      <c r="B5620" t="s">
        <v>1080</v>
      </c>
    </row>
    <row r="5621" spans="2:2" ht="14.4" hidden="1" x14ac:dyDescent="0.3">
      <c r="B5621" t="s">
        <v>1081</v>
      </c>
    </row>
    <row r="5622" spans="2:2" ht="14.4" hidden="1" x14ac:dyDescent="0.3">
      <c r="B5622" t="s">
        <v>1082</v>
      </c>
    </row>
    <row r="5623" spans="2:2" ht="14.4" hidden="1" x14ac:dyDescent="0.3">
      <c r="B5623" t="s">
        <v>1083</v>
      </c>
    </row>
    <row r="5624" spans="2:2" ht="14.4" hidden="1" x14ac:dyDescent="0.3">
      <c r="B5624" t="s">
        <v>1084</v>
      </c>
    </row>
    <row r="5625" spans="2:2" ht="14.4" hidden="1" x14ac:dyDescent="0.3">
      <c r="B5625" t="s">
        <v>1085</v>
      </c>
    </row>
    <row r="5626" spans="2:2" ht="14.4" hidden="1" x14ac:dyDescent="0.3">
      <c r="B5626" t="s">
        <v>1086</v>
      </c>
    </row>
    <row r="5627" spans="2:2" ht="14.4" hidden="1" x14ac:dyDescent="0.3">
      <c r="B5627" t="s">
        <v>1087</v>
      </c>
    </row>
    <row r="5628" spans="2:2" ht="14.4" hidden="1" x14ac:dyDescent="0.3">
      <c r="B5628" t="s">
        <v>1088</v>
      </c>
    </row>
    <row r="5629" spans="2:2" ht="14.4" hidden="1" x14ac:dyDescent="0.3">
      <c r="B5629" t="s">
        <v>1089</v>
      </c>
    </row>
    <row r="5630" spans="2:2" ht="14.4" hidden="1" x14ac:dyDescent="0.3">
      <c r="B5630" t="s">
        <v>16</v>
      </c>
    </row>
    <row r="5631" spans="2:2" ht="14.4" hidden="1" x14ac:dyDescent="0.3">
      <c r="B5631" t="s">
        <v>1090</v>
      </c>
    </row>
    <row r="5632" spans="2:2" ht="14.4" hidden="1" x14ac:dyDescent="0.3">
      <c r="B5632" t="s">
        <v>1091</v>
      </c>
    </row>
    <row r="5633" spans="2:2" ht="14.4" hidden="1" x14ac:dyDescent="0.3">
      <c r="B5633" t="s">
        <v>1092</v>
      </c>
    </row>
    <row r="5634" spans="2:2" ht="14.4" hidden="1" x14ac:dyDescent="0.3">
      <c r="B5634" t="s">
        <v>105</v>
      </c>
    </row>
    <row r="5635" spans="2:2" ht="14.4" hidden="1" x14ac:dyDescent="0.3">
      <c r="B5635" t="s">
        <v>1093</v>
      </c>
    </row>
    <row r="5636" spans="2:2" ht="14.4" hidden="1" x14ac:dyDescent="0.3">
      <c r="B5636" t="s">
        <v>1094</v>
      </c>
    </row>
    <row r="5637" spans="2:2" ht="14.4" hidden="1" x14ac:dyDescent="0.3">
      <c r="B5637" t="s">
        <v>1095</v>
      </c>
    </row>
    <row r="5638" spans="2:2" ht="14.4" hidden="1" x14ac:dyDescent="0.3">
      <c r="B5638" t="s">
        <v>1096</v>
      </c>
    </row>
    <row r="5639" spans="2:2" ht="14.4" hidden="1" x14ac:dyDescent="0.3">
      <c r="B5639" t="s">
        <v>1097</v>
      </c>
    </row>
    <row r="5640" spans="2:2" ht="14.4" hidden="1" x14ac:dyDescent="0.3">
      <c r="B5640" t="s">
        <v>1098</v>
      </c>
    </row>
    <row r="5641" spans="2:2" ht="14.4" hidden="1" x14ac:dyDescent="0.3">
      <c r="B5641" t="s">
        <v>1099</v>
      </c>
    </row>
    <row r="5642" spans="2:2" ht="14.4" hidden="1" x14ac:dyDescent="0.3">
      <c r="B5642" t="s">
        <v>1100</v>
      </c>
    </row>
    <row r="5643" spans="2:2" ht="14.4" hidden="1" x14ac:dyDescent="0.3">
      <c r="B5643" t="s">
        <v>1101</v>
      </c>
    </row>
    <row r="5644" spans="2:2" ht="14.4" hidden="1" x14ac:dyDescent="0.3">
      <c r="B5644" t="s">
        <v>1102</v>
      </c>
    </row>
    <row r="5645" spans="2:2" ht="14.4" hidden="1" x14ac:dyDescent="0.3">
      <c r="B5645" t="s">
        <v>1103</v>
      </c>
    </row>
    <row r="5646" spans="2:2" ht="14.4" hidden="1" x14ac:dyDescent="0.3">
      <c r="B5646" t="s">
        <v>1104</v>
      </c>
    </row>
    <row r="5647" spans="2:2" ht="14.4" hidden="1" x14ac:dyDescent="0.3">
      <c r="B5647" t="s">
        <v>1105</v>
      </c>
    </row>
    <row r="5648" spans="2:2" ht="14.4" hidden="1" x14ac:dyDescent="0.3">
      <c r="B5648" t="s">
        <v>1106</v>
      </c>
    </row>
    <row r="5649" spans="2:2" ht="14.4" hidden="1" x14ac:dyDescent="0.3">
      <c r="B5649" t="s">
        <v>1107</v>
      </c>
    </row>
    <row r="5650" spans="2:2" ht="14.4" hidden="1" x14ac:dyDescent="0.3">
      <c r="B5650" t="s">
        <v>1108</v>
      </c>
    </row>
    <row r="5651" spans="2:2" ht="14.4" hidden="1" x14ac:dyDescent="0.3">
      <c r="B5651" t="s">
        <v>1109</v>
      </c>
    </row>
    <row r="5652" spans="2:2" ht="14.4" hidden="1" x14ac:dyDescent="0.3">
      <c r="B5652" t="s">
        <v>84</v>
      </c>
    </row>
    <row r="5653" spans="2:2" ht="14.4" hidden="1" x14ac:dyDescent="0.3">
      <c r="B5653" t="s">
        <v>4468</v>
      </c>
    </row>
    <row r="5654" spans="2:2" ht="14.4" hidden="1" x14ac:dyDescent="0.3">
      <c r="B5654" t="s">
        <v>1110</v>
      </c>
    </row>
    <row r="5655" spans="2:2" ht="14.4" hidden="1" x14ac:dyDescent="0.3">
      <c r="B5655" t="s">
        <v>1111</v>
      </c>
    </row>
    <row r="5656" spans="2:2" ht="14.4" hidden="1" x14ac:dyDescent="0.3">
      <c r="B5656" t="s">
        <v>1112</v>
      </c>
    </row>
    <row r="5657" spans="2:2" ht="14.4" hidden="1" x14ac:dyDescent="0.3">
      <c r="B5657" t="s">
        <v>1113</v>
      </c>
    </row>
    <row r="5658" spans="2:2" ht="14.4" hidden="1" x14ac:dyDescent="0.3">
      <c r="B5658" t="s">
        <v>1114</v>
      </c>
    </row>
    <row r="5659" spans="2:2" ht="14.4" hidden="1" x14ac:dyDescent="0.3">
      <c r="B5659" t="s">
        <v>1115</v>
      </c>
    </row>
    <row r="5660" spans="2:2" ht="14.4" hidden="1" x14ac:dyDescent="0.3">
      <c r="B5660" t="s">
        <v>1116</v>
      </c>
    </row>
    <row r="5661" spans="2:2" ht="14.4" hidden="1" x14ac:dyDescent="0.3">
      <c r="B5661" t="s">
        <v>1117</v>
      </c>
    </row>
    <row r="5662" spans="2:2" ht="14.4" hidden="1" x14ac:dyDescent="0.3">
      <c r="B5662" t="s">
        <v>1118</v>
      </c>
    </row>
    <row r="5663" spans="2:2" ht="14.4" hidden="1" x14ac:dyDescent="0.3">
      <c r="B5663" t="s">
        <v>1119</v>
      </c>
    </row>
    <row r="5664" spans="2:2" ht="14.4" hidden="1" x14ac:dyDescent="0.3">
      <c r="B5664" t="s">
        <v>4481</v>
      </c>
    </row>
    <row r="5665" spans="2:2" ht="14.4" hidden="1" x14ac:dyDescent="0.3">
      <c r="B5665" t="s">
        <v>86</v>
      </c>
    </row>
    <row r="5666" spans="2:2" ht="14.4" hidden="1" x14ac:dyDescent="0.3">
      <c r="B5666" t="s">
        <v>86</v>
      </c>
    </row>
    <row r="5667" spans="2:2" ht="14.4" hidden="1" x14ac:dyDescent="0.3">
      <c r="B5667" t="s">
        <v>1120</v>
      </c>
    </row>
    <row r="5668" spans="2:2" ht="14.4" hidden="1" x14ac:dyDescent="0.3">
      <c r="B5668" t="s">
        <v>87</v>
      </c>
    </row>
    <row r="5669" spans="2:2" ht="14.4" hidden="1" x14ac:dyDescent="0.3">
      <c r="B5669" t="s">
        <v>1121</v>
      </c>
    </row>
    <row r="5670" spans="2:2" ht="14.4" hidden="1" x14ac:dyDescent="0.3">
      <c r="B5670" t="s">
        <v>88</v>
      </c>
    </row>
    <row r="5671" spans="2:2" ht="14.4" hidden="1" x14ac:dyDescent="0.3">
      <c r="B5671" t="s">
        <v>1122</v>
      </c>
    </row>
    <row r="5672" spans="2:2" ht="14.4" hidden="1" x14ac:dyDescent="0.3">
      <c r="B5672" t="s">
        <v>1123</v>
      </c>
    </row>
    <row r="5673" spans="2:2" ht="14.4" hidden="1" x14ac:dyDescent="0.3">
      <c r="B5673" t="s">
        <v>1124</v>
      </c>
    </row>
    <row r="5674" spans="2:2" ht="14.4" hidden="1" x14ac:dyDescent="0.3">
      <c r="B5674" t="s">
        <v>4493</v>
      </c>
    </row>
    <row r="5675" spans="2:2" ht="14.4" hidden="1" x14ac:dyDescent="0.3">
      <c r="B5675" t="s">
        <v>1125</v>
      </c>
    </row>
    <row r="5676" spans="2:2" ht="14.4" hidden="1" x14ac:dyDescent="0.3">
      <c r="B5676" t="s">
        <v>1126</v>
      </c>
    </row>
    <row r="5677" spans="2:2" ht="14.4" hidden="1" x14ac:dyDescent="0.3">
      <c r="B5677" t="s">
        <v>106</v>
      </c>
    </row>
    <row r="5678" spans="2:2" ht="14.4" hidden="1" x14ac:dyDescent="0.3">
      <c r="B5678" t="s">
        <v>1127</v>
      </c>
    </row>
    <row r="5679" spans="2:2" ht="14.4" hidden="1" x14ac:dyDescent="0.3">
      <c r="B5679" t="s">
        <v>1128</v>
      </c>
    </row>
    <row r="5680" spans="2:2" ht="14.4" hidden="1" x14ac:dyDescent="0.3">
      <c r="B5680" t="s">
        <v>1129</v>
      </c>
    </row>
    <row r="5681" spans="2:2" ht="14.4" hidden="1" x14ac:dyDescent="0.3">
      <c r="B5681" t="s">
        <v>4501</v>
      </c>
    </row>
    <row r="5682" spans="2:2" ht="14.4" hidden="1" x14ac:dyDescent="0.3">
      <c r="B5682" t="s">
        <v>1130</v>
      </c>
    </row>
    <row r="5683" spans="2:2" ht="14.4" hidden="1" x14ac:dyDescent="0.3">
      <c r="B5683" t="s">
        <v>1131</v>
      </c>
    </row>
    <row r="5684" spans="2:2" ht="14.4" hidden="1" x14ac:dyDescent="0.3">
      <c r="B5684" t="s">
        <v>1132</v>
      </c>
    </row>
    <row r="5685" spans="2:2" ht="14.4" hidden="1" x14ac:dyDescent="0.3">
      <c r="B5685" t="s">
        <v>4507</v>
      </c>
    </row>
    <row r="5686" spans="2:2" ht="14.4" hidden="1" x14ac:dyDescent="0.3">
      <c r="B5686" t="s">
        <v>1133</v>
      </c>
    </row>
    <row r="5687" spans="2:2" ht="14.4" hidden="1" x14ac:dyDescent="0.3">
      <c r="B5687" t="s">
        <v>1134</v>
      </c>
    </row>
    <row r="5688" spans="2:2" ht="14.4" hidden="1" x14ac:dyDescent="0.3">
      <c r="B5688" t="s">
        <v>1135</v>
      </c>
    </row>
    <row r="5689" spans="2:2" ht="14.4" hidden="1" x14ac:dyDescent="0.3">
      <c r="B5689" t="s">
        <v>1136</v>
      </c>
    </row>
    <row r="5690" spans="2:2" ht="14.4" hidden="1" x14ac:dyDescent="0.3">
      <c r="B5690" t="s">
        <v>4515</v>
      </c>
    </row>
    <row r="5691" spans="2:2" ht="14.4" hidden="1" x14ac:dyDescent="0.3">
      <c r="B5691" t="s">
        <v>1137</v>
      </c>
    </row>
    <row r="5692" spans="2:2" ht="14.4" hidden="1" x14ac:dyDescent="0.3">
      <c r="B5692" t="s">
        <v>1138</v>
      </c>
    </row>
    <row r="5693" spans="2:2" ht="14.4" hidden="1" x14ac:dyDescent="0.3">
      <c r="B5693" t="s">
        <v>1139</v>
      </c>
    </row>
    <row r="5694" spans="2:2" ht="14.4" hidden="1" x14ac:dyDescent="0.3">
      <c r="B5694" t="s">
        <v>1140</v>
      </c>
    </row>
    <row r="5695" spans="2:2" ht="14.4" hidden="1" x14ac:dyDescent="0.3">
      <c r="B5695" t="s">
        <v>1141</v>
      </c>
    </row>
    <row r="5696" spans="2:2" ht="14.4" hidden="1" x14ac:dyDescent="0.3">
      <c r="B5696" t="s">
        <v>1142</v>
      </c>
    </row>
    <row r="5697" spans="2:2" ht="14.4" hidden="1" x14ac:dyDescent="0.3">
      <c r="B5697" t="s">
        <v>1143</v>
      </c>
    </row>
    <row r="5698" spans="2:2" ht="14.4" hidden="1" x14ac:dyDescent="0.3">
      <c r="B5698" t="s">
        <v>1144</v>
      </c>
    </row>
    <row r="5699" spans="2:2" ht="14.4" hidden="1" x14ac:dyDescent="0.3">
      <c r="B5699" t="s">
        <v>90</v>
      </c>
    </row>
    <row r="5700" spans="2:2" ht="14.4" hidden="1" x14ac:dyDescent="0.3">
      <c r="B5700" t="s">
        <v>1145</v>
      </c>
    </row>
    <row r="5701" spans="2:2" ht="14.4" hidden="1" x14ac:dyDescent="0.3">
      <c r="B5701" t="s">
        <v>1146</v>
      </c>
    </row>
    <row r="5702" spans="2:2" ht="14.4" hidden="1" x14ac:dyDescent="0.3">
      <c r="B5702" t="s">
        <v>1147</v>
      </c>
    </row>
    <row r="5703" spans="2:2" ht="14.4" hidden="1" x14ac:dyDescent="0.3">
      <c r="B5703" t="s">
        <v>4531</v>
      </c>
    </row>
    <row r="5704" spans="2:2" ht="14.4" hidden="1" x14ac:dyDescent="0.3">
      <c r="B5704" t="s">
        <v>1148</v>
      </c>
    </row>
    <row r="5705" spans="2:2" ht="14.4" hidden="1" x14ac:dyDescent="0.3">
      <c r="B5705" t="s">
        <v>1149</v>
      </c>
    </row>
    <row r="5706" spans="2:2" ht="14.4" hidden="1" x14ac:dyDescent="0.3">
      <c r="B5706" t="s">
        <v>1150</v>
      </c>
    </row>
    <row r="5707" spans="2:2" ht="14.4" hidden="1" x14ac:dyDescent="0.3">
      <c r="B5707" t="s">
        <v>1318</v>
      </c>
    </row>
    <row r="5708" spans="2:2" ht="14.4" hidden="1" x14ac:dyDescent="0.3">
      <c r="B5708" t="s">
        <v>1151</v>
      </c>
    </row>
    <row r="5709" spans="2:2" ht="14.4" hidden="1" x14ac:dyDescent="0.3">
      <c r="B5709" t="s">
        <v>1152</v>
      </c>
    </row>
    <row r="5710" spans="2:2" ht="14.4" hidden="1" x14ac:dyDescent="0.3">
      <c r="B5710" t="s">
        <v>1153</v>
      </c>
    </row>
    <row r="5711" spans="2:2" ht="14.4" hidden="1" x14ac:dyDescent="0.3">
      <c r="B5711" t="s">
        <v>1154</v>
      </c>
    </row>
    <row r="5712" spans="2:2" ht="14.4" hidden="1" x14ac:dyDescent="0.3">
      <c r="B5712" t="s">
        <v>1155</v>
      </c>
    </row>
    <row r="5713" spans="2:2" ht="14.4" hidden="1" x14ac:dyDescent="0.3">
      <c r="B5713" t="s">
        <v>1156</v>
      </c>
    </row>
    <row r="5714" spans="2:2" ht="14.4" hidden="1" x14ac:dyDescent="0.3">
      <c r="B5714" t="s">
        <v>1157</v>
      </c>
    </row>
    <row r="5715" spans="2:2" ht="14.4" hidden="1" x14ac:dyDescent="0.3">
      <c r="B5715" t="s">
        <v>1158</v>
      </c>
    </row>
    <row r="5716" spans="2:2" ht="14.4" hidden="1" x14ac:dyDescent="0.3">
      <c r="B5716" t="s">
        <v>4546</v>
      </c>
    </row>
    <row r="5717" spans="2:2" ht="14.4" hidden="1" x14ac:dyDescent="0.3">
      <c r="B5717" t="s">
        <v>1159</v>
      </c>
    </row>
    <row r="5718" spans="2:2" ht="14.4" hidden="1" x14ac:dyDescent="0.3">
      <c r="B5718" t="s">
        <v>1160</v>
      </c>
    </row>
    <row r="5719" spans="2:2" ht="14.4" hidden="1" x14ac:dyDescent="0.3">
      <c r="B5719" t="s">
        <v>1161</v>
      </c>
    </row>
    <row r="5720" spans="2:2" ht="14.4" hidden="1" x14ac:dyDescent="0.3">
      <c r="B5720" t="s">
        <v>1319</v>
      </c>
    </row>
    <row r="5721" spans="2:2" ht="14.4" hidden="1" x14ac:dyDescent="0.3">
      <c r="B5721" t="s">
        <v>1162</v>
      </c>
    </row>
    <row r="5722" spans="2:2" ht="14.4" hidden="1" x14ac:dyDescent="0.3">
      <c r="B5722" t="s">
        <v>91</v>
      </c>
    </row>
    <row r="5723" spans="2:2" ht="14.4" hidden="1" x14ac:dyDescent="0.3">
      <c r="B5723" t="s">
        <v>92</v>
      </c>
    </row>
    <row r="5724" spans="2:2" ht="14.4" hidden="1" x14ac:dyDescent="0.3">
      <c r="B5724" t="s">
        <v>4556</v>
      </c>
    </row>
    <row r="5725" spans="2:2" ht="14.4" hidden="1" x14ac:dyDescent="0.3">
      <c r="B5725" t="s">
        <v>1163</v>
      </c>
    </row>
    <row r="5726" spans="2:2" ht="14.4" hidden="1" x14ac:dyDescent="0.3">
      <c r="B5726" t="s">
        <v>1164</v>
      </c>
    </row>
    <row r="5727" spans="2:2" ht="14.4" hidden="1" x14ac:dyDescent="0.3">
      <c r="B5727" t="s">
        <v>1164</v>
      </c>
    </row>
    <row r="5728" spans="2:2" ht="14.4" hidden="1" x14ac:dyDescent="0.3">
      <c r="B5728" t="s">
        <v>1165</v>
      </c>
    </row>
    <row r="5729" spans="2:2" ht="14.4" hidden="1" x14ac:dyDescent="0.3">
      <c r="B5729" t="s">
        <v>107</v>
      </c>
    </row>
    <row r="5730" spans="2:2" ht="14.4" hidden="1" x14ac:dyDescent="0.3">
      <c r="B5730" t="s">
        <v>1166</v>
      </c>
    </row>
    <row r="5731" spans="2:2" ht="14.4" hidden="1" x14ac:dyDescent="0.3">
      <c r="B5731" t="s">
        <v>1167</v>
      </c>
    </row>
    <row r="5732" spans="2:2" ht="14.4" hidden="1" x14ac:dyDescent="0.3">
      <c r="B5732" t="s">
        <v>1168</v>
      </c>
    </row>
    <row r="5733" spans="2:2" ht="14.4" hidden="1" x14ac:dyDescent="0.3">
      <c r="B5733" t="s">
        <v>1169</v>
      </c>
    </row>
    <row r="5734" spans="2:2" ht="14.4" hidden="1" x14ac:dyDescent="0.3">
      <c r="B5734" t="s">
        <v>4567</v>
      </c>
    </row>
    <row r="5735" spans="2:2" ht="14.4" hidden="1" x14ac:dyDescent="0.3">
      <c r="B5735" t="s">
        <v>1170</v>
      </c>
    </row>
    <row r="5736" spans="2:2" ht="14.4" hidden="1" x14ac:dyDescent="0.3">
      <c r="B5736" t="s">
        <v>1171</v>
      </c>
    </row>
    <row r="5737" spans="2:2" ht="14.4" hidden="1" x14ac:dyDescent="0.3">
      <c r="B5737" t="s">
        <v>1172</v>
      </c>
    </row>
    <row r="5738" spans="2:2" ht="14.4" hidden="1" x14ac:dyDescent="0.3">
      <c r="B5738" t="s">
        <v>1173</v>
      </c>
    </row>
    <row r="5739" spans="2:2" ht="14.4" hidden="1" x14ac:dyDescent="0.3">
      <c r="B5739" t="s">
        <v>1174</v>
      </c>
    </row>
    <row r="5740" spans="2:2" ht="14.4" hidden="1" x14ac:dyDescent="0.3">
      <c r="B5740" t="s">
        <v>85</v>
      </c>
    </row>
    <row r="5741" spans="2:2" ht="14.4" hidden="1" x14ac:dyDescent="0.3">
      <c r="B5741" t="s">
        <v>1175</v>
      </c>
    </row>
    <row r="5742" spans="2:2" ht="14.4" hidden="1" x14ac:dyDescent="0.3">
      <c r="B5742" t="s">
        <v>1176</v>
      </c>
    </row>
    <row r="5743" spans="2:2" ht="14.4" hidden="1" x14ac:dyDescent="0.3">
      <c r="B5743" t="s">
        <v>1177</v>
      </c>
    </row>
    <row r="5744" spans="2:2" ht="14.4" hidden="1" x14ac:dyDescent="0.3">
      <c r="B5744" t="s">
        <v>1178</v>
      </c>
    </row>
    <row r="5745" spans="2:2" ht="14.4" hidden="1" x14ac:dyDescent="0.3">
      <c r="B5745" t="s">
        <v>4580</v>
      </c>
    </row>
    <row r="5746" spans="2:2" ht="14.4" hidden="1" x14ac:dyDescent="0.3">
      <c r="B5746" t="s">
        <v>1179</v>
      </c>
    </row>
    <row r="5747" spans="2:2" ht="14.4" hidden="1" x14ac:dyDescent="0.3">
      <c r="B5747" t="s">
        <v>1180</v>
      </c>
    </row>
    <row r="5748" spans="2:2" ht="14.4" hidden="1" x14ac:dyDescent="0.3">
      <c r="B5748" t="s">
        <v>96</v>
      </c>
    </row>
    <row r="5749" spans="2:2" ht="14.4" hidden="1" x14ac:dyDescent="0.3">
      <c r="B5749" t="s">
        <v>1181</v>
      </c>
    </row>
    <row r="5750" spans="2:2" ht="14.4" hidden="1" x14ac:dyDescent="0.3">
      <c r="B5750" t="s">
        <v>1182</v>
      </c>
    </row>
    <row r="5751" spans="2:2" ht="14.4" hidden="1" x14ac:dyDescent="0.3">
      <c r="B5751" t="s">
        <v>1183</v>
      </c>
    </row>
    <row r="5752" spans="2:2" ht="14.4" hidden="1" x14ac:dyDescent="0.3">
      <c r="B5752" t="s">
        <v>4589</v>
      </c>
    </row>
    <row r="5753" spans="2:2" ht="14.4" hidden="1" x14ac:dyDescent="0.3">
      <c r="B5753" t="s">
        <v>1184</v>
      </c>
    </row>
    <row r="5754" spans="2:2" ht="14.4" hidden="1" x14ac:dyDescent="0.3">
      <c r="B5754" t="s">
        <v>1185</v>
      </c>
    </row>
    <row r="5755" spans="2:2" ht="14.4" hidden="1" x14ac:dyDescent="0.3">
      <c r="B5755" t="s">
        <v>4594</v>
      </c>
    </row>
    <row r="5756" spans="2:2" ht="14.4" hidden="1" x14ac:dyDescent="0.3">
      <c r="B5756" t="s">
        <v>4594</v>
      </c>
    </row>
    <row r="5757" spans="2:2" ht="14.4" hidden="1" x14ac:dyDescent="0.3">
      <c r="B5757" t="s">
        <v>1186</v>
      </c>
    </row>
    <row r="5758" spans="2:2" ht="14.4" hidden="1" x14ac:dyDescent="0.3">
      <c r="B5758" t="s">
        <v>4598</v>
      </c>
    </row>
    <row r="5759" spans="2:2" ht="14.4" hidden="1" x14ac:dyDescent="0.3">
      <c r="B5759" t="s">
        <v>1187</v>
      </c>
    </row>
    <row r="5760" spans="2:2" ht="14.4" hidden="1" x14ac:dyDescent="0.3">
      <c r="B5760" t="s">
        <v>1188</v>
      </c>
    </row>
    <row r="5761" spans="2:2" ht="14.4" hidden="1" x14ac:dyDescent="0.3">
      <c r="B5761" t="s">
        <v>1189</v>
      </c>
    </row>
    <row r="5762" spans="2:2" ht="14.4" hidden="1" x14ac:dyDescent="0.3">
      <c r="B5762" t="s">
        <v>94</v>
      </c>
    </row>
    <row r="5763" spans="2:2" ht="14.4" hidden="1" x14ac:dyDescent="0.3">
      <c r="B5763" t="s">
        <v>1190</v>
      </c>
    </row>
    <row r="5764" spans="2:2" ht="14.4" hidden="1" x14ac:dyDescent="0.3">
      <c r="B5764" t="s">
        <v>95</v>
      </c>
    </row>
    <row r="5765" spans="2:2" ht="14.4" hidden="1" x14ac:dyDescent="0.3">
      <c r="B5765" t="s">
        <v>1191</v>
      </c>
    </row>
    <row r="5766" spans="2:2" ht="14.4" hidden="1" x14ac:dyDescent="0.3">
      <c r="B5766" t="s">
        <v>4608</v>
      </c>
    </row>
    <row r="5767" spans="2:2" ht="14.4" hidden="1" x14ac:dyDescent="0.3">
      <c r="B5767" t="s">
        <v>1192</v>
      </c>
    </row>
    <row r="5768" spans="2:2" ht="14.4" hidden="1" x14ac:dyDescent="0.3">
      <c r="B5768" t="s">
        <v>1193</v>
      </c>
    </row>
    <row r="5769" spans="2:2" ht="14.4" hidden="1" x14ac:dyDescent="0.3">
      <c r="B5769" t="s">
        <v>93</v>
      </c>
    </row>
    <row r="5770" spans="2:2" ht="14.4" hidden="1" x14ac:dyDescent="0.3">
      <c r="B5770" t="s">
        <v>4614</v>
      </c>
    </row>
    <row r="5771" spans="2:2" ht="14.4" hidden="1" x14ac:dyDescent="0.3">
      <c r="B5771" t="s">
        <v>1194</v>
      </c>
    </row>
    <row r="5772" spans="2:2" ht="14.4" hidden="1" x14ac:dyDescent="0.3">
      <c r="B5772" t="s">
        <v>1195</v>
      </c>
    </row>
    <row r="5773" spans="2:2" ht="14.4" hidden="1" x14ac:dyDescent="0.3">
      <c r="B5773" t="s">
        <v>1196</v>
      </c>
    </row>
    <row r="5774" spans="2:2" ht="14.4" hidden="1" x14ac:dyDescent="0.3">
      <c r="B5774" t="s">
        <v>1197</v>
      </c>
    </row>
    <row r="5775" spans="2:2" ht="14.4" hidden="1" x14ac:dyDescent="0.3">
      <c r="B5775" t="s">
        <v>4621</v>
      </c>
    </row>
    <row r="5776" spans="2:2" ht="14.4" hidden="1" x14ac:dyDescent="0.3">
      <c r="B5776" t="s">
        <v>1198</v>
      </c>
    </row>
    <row r="5777" spans="2:2" ht="14.4" hidden="1" x14ac:dyDescent="0.3">
      <c r="B5777" t="s">
        <v>1199</v>
      </c>
    </row>
    <row r="5778" spans="2:2" ht="14.4" hidden="1" x14ac:dyDescent="0.3">
      <c r="B5778" t="s">
        <v>1200</v>
      </c>
    </row>
    <row r="5779" spans="2:2" ht="14.4" hidden="1" x14ac:dyDescent="0.3">
      <c r="B5779" t="s">
        <v>1201</v>
      </c>
    </row>
    <row r="5780" spans="2:2" ht="14.4" hidden="1" x14ac:dyDescent="0.3">
      <c r="B5780" t="s">
        <v>1202</v>
      </c>
    </row>
    <row r="5781" spans="2:2" ht="14.4" hidden="1" x14ac:dyDescent="0.3">
      <c r="B5781" t="s">
        <v>1203</v>
      </c>
    </row>
    <row r="5782" spans="2:2" ht="14.4" hidden="1" x14ac:dyDescent="0.3">
      <c r="B5782" t="s">
        <v>1204</v>
      </c>
    </row>
    <row r="5783" spans="2:2" ht="14.4" hidden="1" x14ac:dyDescent="0.3">
      <c r="B5783" t="s">
        <v>1205</v>
      </c>
    </row>
    <row r="5784" spans="2:2" ht="14.4" hidden="1" x14ac:dyDescent="0.3">
      <c r="B5784" t="s">
        <v>1206</v>
      </c>
    </row>
    <row r="5785" spans="2:2" ht="14.4" hidden="1" x14ac:dyDescent="0.3">
      <c r="B5785" t="s">
        <v>4633</v>
      </c>
    </row>
    <row r="5786" spans="2:2" ht="14.4" hidden="1" x14ac:dyDescent="0.3">
      <c r="B5786" t="s">
        <v>4636</v>
      </c>
    </row>
    <row r="5787" spans="2:2" ht="14.4" hidden="1" x14ac:dyDescent="0.3">
      <c r="B5787" t="s">
        <v>1207</v>
      </c>
    </row>
    <row r="5788" spans="2:2" ht="14.4" hidden="1" x14ac:dyDescent="0.3">
      <c r="B5788" t="s">
        <v>1208</v>
      </c>
    </row>
    <row r="5789" spans="2:2" ht="14.4" hidden="1" x14ac:dyDescent="0.3">
      <c r="B5789" t="s">
        <v>1209</v>
      </c>
    </row>
    <row r="5790" spans="2:2" ht="14.4" hidden="1" x14ac:dyDescent="0.3">
      <c r="B5790" t="s">
        <v>1321</v>
      </c>
    </row>
    <row r="5791" spans="2:2" ht="14.4" hidden="1" x14ac:dyDescent="0.3">
      <c r="B5791" t="s">
        <v>1210</v>
      </c>
    </row>
    <row r="5792" spans="2:2" ht="14.4" hidden="1" x14ac:dyDescent="0.3">
      <c r="B5792" t="s">
        <v>1211</v>
      </c>
    </row>
    <row r="5793" spans="2:2" ht="14.4" hidden="1" x14ac:dyDescent="0.3">
      <c r="B5793" t="s">
        <v>1212</v>
      </c>
    </row>
    <row r="5794" spans="2:2" ht="14.4" hidden="1" x14ac:dyDescent="0.3">
      <c r="B5794" t="s">
        <v>1213</v>
      </c>
    </row>
    <row r="5795" spans="2:2" ht="14.4" hidden="1" x14ac:dyDescent="0.3">
      <c r="B5795" t="s">
        <v>4647</v>
      </c>
    </row>
    <row r="5796" spans="2:2" ht="14.4" hidden="1" x14ac:dyDescent="0.3">
      <c r="B5796" t="s">
        <v>1214</v>
      </c>
    </row>
    <row r="5797" spans="2:2" ht="14.4" hidden="1" x14ac:dyDescent="0.3">
      <c r="B5797" t="s">
        <v>4651</v>
      </c>
    </row>
    <row r="5798" spans="2:2" ht="14.4" hidden="1" x14ac:dyDescent="0.3">
      <c r="B5798" t="s">
        <v>1215</v>
      </c>
    </row>
    <row r="5799" spans="2:2" ht="14.4" hidden="1" x14ac:dyDescent="0.3">
      <c r="B5799" t="s">
        <v>4655</v>
      </c>
    </row>
    <row r="5800" spans="2:2" ht="14.4" hidden="1" x14ac:dyDescent="0.3">
      <c r="B5800" t="s">
        <v>1216</v>
      </c>
    </row>
    <row r="5801" spans="2:2" ht="14.4" hidden="1" x14ac:dyDescent="0.3">
      <c r="B5801" t="s">
        <v>1217</v>
      </c>
    </row>
    <row r="5802" spans="2:2" ht="14.4" hidden="1" x14ac:dyDescent="0.3">
      <c r="B5802" t="s">
        <v>1218</v>
      </c>
    </row>
    <row r="5803" spans="2:2" ht="14.4" hidden="1" x14ac:dyDescent="0.3">
      <c r="B5803" t="s">
        <v>1219</v>
      </c>
    </row>
    <row r="5804" spans="2:2" ht="14.4" hidden="1" x14ac:dyDescent="0.3">
      <c r="B5804" t="s">
        <v>1220</v>
      </c>
    </row>
    <row r="5805" spans="2:2" ht="14.4" hidden="1" x14ac:dyDescent="0.3">
      <c r="B5805" t="s">
        <v>4663</v>
      </c>
    </row>
    <row r="5806" spans="2:2" ht="14.4" hidden="1" x14ac:dyDescent="0.3">
      <c r="B5806" t="s">
        <v>1221</v>
      </c>
    </row>
    <row r="5807" spans="2:2" ht="14.4" hidden="1" x14ac:dyDescent="0.3">
      <c r="B5807" t="s">
        <v>4667</v>
      </c>
    </row>
    <row r="5808" spans="2:2" ht="14.4" hidden="1" x14ac:dyDescent="0.3">
      <c r="B5808" t="s">
        <v>1222</v>
      </c>
    </row>
    <row r="5809" spans="2:2" ht="14.4" hidden="1" x14ac:dyDescent="0.3">
      <c r="B5809" t="s">
        <v>1223</v>
      </c>
    </row>
    <row r="5810" spans="2:2" ht="14.4" hidden="1" x14ac:dyDescent="0.3">
      <c r="B5810" t="s">
        <v>1224</v>
      </c>
    </row>
    <row r="5811" spans="2:2" ht="14.4" hidden="1" x14ac:dyDescent="0.3">
      <c r="B5811" t="s">
        <v>4673</v>
      </c>
    </row>
    <row r="5812" spans="2:2" ht="14.4" hidden="1" x14ac:dyDescent="0.3">
      <c r="B5812" t="s">
        <v>1320</v>
      </c>
    </row>
    <row r="5813" spans="2:2" ht="14.4" hidden="1" x14ac:dyDescent="0.3">
      <c r="B5813" t="s">
        <v>1225</v>
      </c>
    </row>
    <row r="5814" spans="2:2" ht="14.4" hidden="1" x14ac:dyDescent="0.3">
      <c r="B5814" t="s">
        <v>1226</v>
      </c>
    </row>
    <row r="5815" spans="2:2" ht="14.4" hidden="1" x14ac:dyDescent="0.3">
      <c r="B5815" t="s">
        <v>1227</v>
      </c>
    </row>
    <row r="5816" spans="2:2" ht="14.4" hidden="1" x14ac:dyDescent="0.3">
      <c r="B5816" t="s">
        <v>1228</v>
      </c>
    </row>
    <row r="5817" spans="2:2" ht="14.4" hidden="1" x14ac:dyDescent="0.3">
      <c r="B5817" t="s">
        <v>1229</v>
      </c>
    </row>
    <row r="5818" spans="2:2" ht="14.4" hidden="1" x14ac:dyDescent="0.3">
      <c r="B5818" t="s">
        <v>1229</v>
      </c>
    </row>
    <row r="5819" spans="2:2" ht="14.4" hidden="1" x14ac:dyDescent="0.3">
      <c r="B5819" t="s">
        <v>97</v>
      </c>
    </row>
    <row r="5820" spans="2:2" ht="14.4" hidden="1" x14ac:dyDescent="0.3">
      <c r="B5820" t="s">
        <v>4683</v>
      </c>
    </row>
    <row r="5821" spans="2:2" ht="14.4" hidden="1" x14ac:dyDescent="0.3">
      <c r="B5821" t="s">
        <v>1230</v>
      </c>
    </row>
    <row r="5822" spans="2:2" ht="14.4" hidden="1" x14ac:dyDescent="0.3">
      <c r="B5822" t="s">
        <v>1231</v>
      </c>
    </row>
    <row r="5823" spans="2:2" ht="14.4" hidden="1" x14ac:dyDescent="0.3">
      <c r="B5823" t="s">
        <v>1232</v>
      </c>
    </row>
    <row r="5824" spans="2:2" ht="14.4" hidden="1" x14ac:dyDescent="0.3">
      <c r="B5824" t="s">
        <v>1233</v>
      </c>
    </row>
    <row r="5825" spans="2:2" ht="14.4" hidden="1" x14ac:dyDescent="0.3">
      <c r="B5825" t="s">
        <v>1234</v>
      </c>
    </row>
    <row r="5826" spans="2:2" ht="14.4" hidden="1" x14ac:dyDescent="0.3">
      <c r="B5826" t="s">
        <v>1235</v>
      </c>
    </row>
    <row r="5827" spans="2:2" ht="14.4" hidden="1" x14ac:dyDescent="0.3">
      <c r="B5827" t="s">
        <v>1236</v>
      </c>
    </row>
    <row r="5828" spans="2:2" ht="14.4" hidden="1" x14ac:dyDescent="0.3">
      <c r="B5828" t="s">
        <v>1237</v>
      </c>
    </row>
    <row r="5829" spans="2:2" ht="14.4" hidden="1" x14ac:dyDescent="0.3">
      <c r="B5829" t="s">
        <v>1238</v>
      </c>
    </row>
    <row r="5830" spans="2:2" ht="14.4" hidden="1" x14ac:dyDescent="0.3">
      <c r="B5830" t="s">
        <v>1239</v>
      </c>
    </row>
    <row r="5831" spans="2:2" ht="14.4" hidden="1" x14ac:dyDescent="0.3">
      <c r="B5831" t="s">
        <v>1240</v>
      </c>
    </row>
    <row r="5832" spans="2:2" ht="14.4" hidden="1" x14ac:dyDescent="0.3">
      <c r="B5832" t="s">
        <v>1241</v>
      </c>
    </row>
    <row r="5833" spans="2:2" ht="14.4" hidden="1" x14ac:dyDescent="0.3">
      <c r="B5833" t="s">
        <v>4698</v>
      </c>
    </row>
    <row r="5834" spans="2:2" ht="14.4" hidden="1" x14ac:dyDescent="0.3">
      <c r="B5834" t="s">
        <v>1242</v>
      </c>
    </row>
    <row r="5835" spans="2:2" ht="14.4" hidden="1" x14ac:dyDescent="0.3">
      <c r="B5835" t="s">
        <v>1243</v>
      </c>
    </row>
    <row r="5836" spans="2:2" ht="14.4" hidden="1" x14ac:dyDescent="0.3">
      <c r="B5836" t="s">
        <v>1244</v>
      </c>
    </row>
    <row r="5837" spans="2:2" ht="14.4" hidden="1" x14ac:dyDescent="0.3">
      <c r="B5837" t="s">
        <v>1245</v>
      </c>
    </row>
    <row r="5838" spans="2:2" ht="14.4" hidden="1" x14ac:dyDescent="0.3">
      <c r="B5838" t="s">
        <v>1246</v>
      </c>
    </row>
    <row r="5839" spans="2:2" ht="14.4" hidden="1" x14ac:dyDescent="0.3">
      <c r="B5839" t="s">
        <v>1247</v>
      </c>
    </row>
    <row r="5840" spans="2:2" ht="14.4" hidden="1" x14ac:dyDescent="0.3">
      <c r="B5840" t="s">
        <v>1248</v>
      </c>
    </row>
    <row r="5841" spans="2:2" ht="14.4" hidden="1" x14ac:dyDescent="0.3">
      <c r="B5841" t="s">
        <v>1249</v>
      </c>
    </row>
    <row r="5842" spans="2:2" ht="14.4" hidden="1" x14ac:dyDescent="0.3">
      <c r="B5842" t="s">
        <v>4708</v>
      </c>
    </row>
    <row r="5843" spans="2:2" ht="14.4" hidden="1" x14ac:dyDescent="0.3">
      <c r="B5843" t="s">
        <v>108</v>
      </c>
    </row>
    <row r="5844" spans="2:2" ht="14.4" hidden="1" x14ac:dyDescent="0.3">
      <c r="B5844" t="s">
        <v>1250</v>
      </c>
    </row>
    <row r="5845" spans="2:2" ht="14.4" hidden="1" x14ac:dyDescent="0.3">
      <c r="B5845" t="s">
        <v>1251</v>
      </c>
    </row>
    <row r="5846" spans="2:2" ht="14.4" hidden="1" x14ac:dyDescent="0.3">
      <c r="B5846" t="s">
        <v>1252</v>
      </c>
    </row>
    <row r="5847" spans="2:2" ht="14.4" hidden="1" x14ac:dyDescent="0.3">
      <c r="B5847" t="s">
        <v>1253</v>
      </c>
    </row>
    <row r="5848" spans="2:2" ht="14.4" hidden="1" x14ac:dyDescent="0.3">
      <c r="B5848" t="s">
        <v>1254</v>
      </c>
    </row>
    <row r="5849" spans="2:2" ht="14.4" hidden="1" x14ac:dyDescent="0.3">
      <c r="B5849" t="s">
        <v>1255</v>
      </c>
    </row>
    <row r="5850" spans="2:2" ht="14.4" hidden="1" x14ac:dyDescent="0.3">
      <c r="B5850" t="s">
        <v>1256</v>
      </c>
    </row>
    <row r="5851" spans="2:2" ht="14.4" hidden="1" x14ac:dyDescent="0.3">
      <c r="B5851" t="s">
        <v>1257</v>
      </c>
    </row>
    <row r="5852" spans="2:2" ht="14.4" hidden="1" x14ac:dyDescent="0.3">
      <c r="B5852" t="s">
        <v>1258</v>
      </c>
    </row>
    <row r="5853" spans="2:2" ht="14.4" hidden="1" x14ac:dyDescent="0.3">
      <c r="B5853" t="s">
        <v>1259</v>
      </c>
    </row>
    <row r="5854" spans="2:2" ht="14.4" hidden="1" x14ac:dyDescent="0.3">
      <c r="B5854" t="s">
        <v>1260</v>
      </c>
    </row>
    <row r="5855" spans="2:2" ht="14.4" hidden="1" x14ac:dyDescent="0.3">
      <c r="B5855" t="s">
        <v>1261</v>
      </c>
    </row>
    <row r="5856" spans="2:2" ht="14.4" hidden="1" x14ac:dyDescent="0.3">
      <c r="B5856" t="s">
        <v>1262</v>
      </c>
    </row>
    <row r="5857" spans="2:2" ht="14.4" hidden="1" x14ac:dyDescent="0.3">
      <c r="B5857" t="s">
        <v>1263</v>
      </c>
    </row>
    <row r="5858" spans="2:2" ht="14.4" hidden="1" x14ac:dyDescent="0.3">
      <c r="B5858" t="s">
        <v>1264</v>
      </c>
    </row>
    <row r="5859" spans="2:2" ht="14.4" hidden="1" x14ac:dyDescent="0.3">
      <c r="B5859" t="s">
        <v>4727</v>
      </c>
    </row>
    <row r="5860" spans="2:2" ht="14.4" hidden="1" x14ac:dyDescent="0.3">
      <c r="B5860" t="s">
        <v>1265</v>
      </c>
    </row>
    <row r="5861" spans="2:2" ht="14.4" hidden="1" x14ac:dyDescent="0.3">
      <c r="B5861" t="s">
        <v>1266</v>
      </c>
    </row>
    <row r="5862" spans="2:2" ht="14.4" hidden="1" x14ac:dyDescent="0.3">
      <c r="B5862" t="s">
        <v>1267</v>
      </c>
    </row>
    <row r="5863" spans="2:2" ht="14.4" hidden="1" x14ac:dyDescent="0.3">
      <c r="B5863" t="s">
        <v>1268</v>
      </c>
    </row>
    <row r="5864" spans="2:2" ht="14.4" hidden="1" x14ac:dyDescent="0.3">
      <c r="B5864" t="s">
        <v>1269</v>
      </c>
    </row>
    <row r="5865" spans="2:2" ht="14.4" hidden="1" x14ac:dyDescent="0.3">
      <c r="B5865" t="s">
        <v>1270</v>
      </c>
    </row>
    <row r="5866" spans="2:2" ht="14.4" hidden="1" x14ac:dyDescent="0.3">
      <c r="B5866" t="s">
        <v>1271</v>
      </c>
    </row>
    <row r="5867" spans="2:2" ht="14.4" hidden="1" x14ac:dyDescent="0.3">
      <c r="B5867" t="s">
        <v>996</v>
      </c>
    </row>
    <row r="5868" spans="2:2" ht="14.4" hidden="1" x14ac:dyDescent="0.3">
      <c r="B5868" t="s">
        <v>997</v>
      </c>
    </row>
    <row r="5869" spans="2:2" ht="14.4" hidden="1" x14ac:dyDescent="0.3">
      <c r="B5869" t="s">
        <v>998</v>
      </c>
    </row>
    <row r="5870" spans="2:2" ht="14.4" hidden="1" x14ac:dyDescent="0.3">
      <c r="B5870" t="s">
        <v>4263</v>
      </c>
    </row>
    <row r="5871" spans="2:2" ht="14.4" hidden="1" x14ac:dyDescent="0.3">
      <c r="B5871" t="s">
        <v>999</v>
      </c>
    </row>
    <row r="5872" spans="2:2" ht="14.4" hidden="1" x14ac:dyDescent="0.3">
      <c r="B5872" t="s">
        <v>4267</v>
      </c>
    </row>
    <row r="5873" spans="2:2" ht="14.4" hidden="1" x14ac:dyDescent="0.3">
      <c r="B5873" t="s">
        <v>1000</v>
      </c>
    </row>
    <row r="5874" spans="2:2" ht="14.4" hidden="1" x14ac:dyDescent="0.3">
      <c r="B5874" t="s">
        <v>4271</v>
      </c>
    </row>
    <row r="5875" spans="2:2" ht="14.4" hidden="1" x14ac:dyDescent="0.3">
      <c r="B5875" t="s">
        <v>1001</v>
      </c>
    </row>
    <row r="5876" spans="2:2" ht="14.4" hidden="1" x14ac:dyDescent="0.3">
      <c r="B5876" t="s">
        <v>1002</v>
      </c>
    </row>
    <row r="5877" spans="2:2" ht="14.4" hidden="1" x14ac:dyDescent="0.3">
      <c r="B5877" t="s">
        <v>1003</v>
      </c>
    </row>
    <row r="5878" spans="2:2" ht="14.4" hidden="1" x14ac:dyDescent="0.3">
      <c r="B5878" t="s">
        <v>1004</v>
      </c>
    </row>
    <row r="5879" spans="2:2" ht="14.4" hidden="1" x14ac:dyDescent="0.3">
      <c r="B5879" t="s">
        <v>1005</v>
      </c>
    </row>
    <row r="5880" spans="2:2" ht="14.4" hidden="1" x14ac:dyDescent="0.3">
      <c r="B5880" t="s">
        <v>1006</v>
      </c>
    </row>
    <row r="5881" spans="2:2" ht="14.4" hidden="1" x14ac:dyDescent="0.3">
      <c r="B5881" t="s">
        <v>1007</v>
      </c>
    </row>
    <row r="5882" spans="2:2" ht="14.4" hidden="1" x14ac:dyDescent="0.3">
      <c r="B5882" t="s">
        <v>1008</v>
      </c>
    </row>
    <row r="5883" spans="2:2" ht="14.4" hidden="1" x14ac:dyDescent="0.3">
      <c r="B5883" t="s">
        <v>4282</v>
      </c>
    </row>
    <row r="5884" spans="2:2" ht="14.4" hidden="1" x14ac:dyDescent="0.3">
      <c r="B5884" t="s">
        <v>1009</v>
      </c>
    </row>
    <row r="5885" spans="2:2" ht="14.4" hidden="1" x14ac:dyDescent="0.3">
      <c r="B5885" t="s">
        <v>1010</v>
      </c>
    </row>
    <row r="5886" spans="2:2" ht="14.4" hidden="1" x14ac:dyDescent="0.3">
      <c r="B5886" t="s">
        <v>4287</v>
      </c>
    </row>
    <row r="5887" spans="2:2" ht="14.4" hidden="1" x14ac:dyDescent="0.3">
      <c r="B5887" t="s">
        <v>1011</v>
      </c>
    </row>
    <row r="5888" spans="2:2" ht="14.4" hidden="1" x14ac:dyDescent="0.3">
      <c r="B5888" t="s">
        <v>4291</v>
      </c>
    </row>
    <row r="5889" spans="2:2" ht="14.4" hidden="1" x14ac:dyDescent="0.3">
      <c r="B5889" t="s">
        <v>1314</v>
      </c>
    </row>
    <row r="5890" spans="2:2" ht="14.4" hidden="1" x14ac:dyDescent="0.3">
      <c r="B5890" t="s">
        <v>1315</v>
      </c>
    </row>
    <row r="5891" spans="2:2" ht="14.4" hidden="1" x14ac:dyDescent="0.3">
      <c r="B5891" t="s">
        <v>1012</v>
      </c>
    </row>
    <row r="5892" spans="2:2" ht="14.4" hidden="1" x14ac:dyDescent="0.3">
      <c r="B5892" t="s">
        <v>4297</v>
      </c>
    </row>
    <row r="5893" spans="2:2" ht="14.4" hidden="1" x14ac:dyDescent="0.3">
      <c r="B5893" t="s">
        <v>1013</v>
      </c>
    </row>
    <row r="5894" spans="2:2" ht="14.4" hidden="1" x14ac:dyDescent="0.3">
      <c r="B5894" t="s">
        <v>4301</v>
      </c>
    </row>
    <row r="5895" spans="2:2" ht="14.4" hidden="1" x14ac:dyDescent="0.3">
      <c r="B5895" t="s">
        <v>1014</v>
      </c>
    </row>
    <row r="5896" spans="2:2" ht="14.4" hidden="1" x14ac:dyDescent="0.3">
      <c r="B5896" t="s">
        <v>1015</v>
      </c>
    </row>
    <row r="5897" spans="2:2" ht="14.4" hidden="1" x14ac:dyDescent="0.3">
      <c r="B5897" t="s">
        <v>4306</v>
      </c>
    </row>
    <row r="5898" spans="2:2" ht="14.4" hidden="1" x14ac:dyDescent="0.3">
      <c r="B5898" t="s">
        <v>1016</v>
      </c>
    </row>
    <row r="5899" spans="2:2" ht="14.4" hidden="1" x14ac:dyDescent="0.3">
      <c r="B5899" t="s">
        <v>1017</v>
      </c>
    </row>
    <row r="5900" spans="2:2" ht="14.4" hidden="1" x14ac:dyDescent="0.3">
      <c r="B5900" t="s">
        <v>1018</v>
      </c>
    </row>
    <row r="5901" spans="2:2" ht="14.4" hidden="1" x14ac:dyDescent="0.3">
      <c r="B5901" t="s">
        <v>1019</v>
      </c>
    </row>
    <row r="5902" spans="2:2" ht="14.4" hidden="1" x14ac:dyDescent="0.3">
      <c r="B5902" t="s">
        <v>1020</v>
      </c>
    </row>
    <row r="5903" spans="2:2" ht="14.4" hidden="1" x14ac:dyDescent="0.3">
      <c r="B5903" t="s">
        <v>1021</v>
      </c>
    </row>
    <row r="5904" spans="2:2" ht="14.4" hidden="1" x14ac:dyDescent="0.3">
      <c r="B5904" t="s">
        <v>1022</v>
      </c>
    </row>
    <row r="5905" spans="2:2" ht="14.4" hidden="1" x14ac:dyDescent="0.3">
      <c r="B5905" t="s">
        <v>4316</v>
      </c>
    </row>
    <row r="5906" spans="2:2" ht="14.4" hidden="1" x14ac:dyDescent="0.3">
      <c r="B5906" t="s">
        <v>1023</v>
      </c>
    </row>
    <row r="5907" spans="2:2" ht="14.4" hidden="1" x14ac:dyDescent="0.3">
      <c r="B5907" t="s">
        <v>80</v>
      </c>
    </row>
    <row r="5908" spans="2:2" ht="14.4" hidden="1" x14ac:dyDescent="0.3">
      <c r="B5908" t="s">
        <v>4321</v>
      </c>
    </row>
    <row r="5909" spans="2:2" ht="14.4" hidden="1" x14ac:dyDescent="0.3">
      <c r="B5909" t="s">
        <v>1024</v>
      </c>
    </row>
    <row r="5910" spans="2:2" ht="14.4" hidden="1" x14ac:dyDescent="0.3">
      <c r="B5910" t="s">
        <v>1025</v>
      </c>
    </row>
    <row r="5911" spans="2:2" ht="14.4" hidden="1" x14ac:dyDescent="0.3">
      <c r="B5911" t="s">
        <v>1026</v>
      </c>
    </row>
    <row r="5912" spans="2:2" ht="14.4" hidden="1" x14ac:dyDescent="0.3">
      <c r="B5912" t="s">
        <v>4327</v>
      </c>
    </row>
    <row r="5913" spans="2:2" ht="14.4" hidden="1" x14ac:dyDescent="0.3">
      <c r="B5913" t="s">
        <v>1027</v>
      </c>
    </row>
    <row r="5914" spans="2:2" ht="14.4" hidden="1" x14ac:dyDescent="0.3">
      <c r="B5914" t="s">
        <v>1028</v>
      </c>
    </row>
    <row r="5915" spans="2:2" ht="14.4" hidden="1" x14ac:dyDescent="0.3">
      <c r="B5915" t="s">
        <v>4332</v>
      </c>
    </row>
    <row r="5916" spans="2:2" ht="14.4" hidden="1" x14ac:dyDescent="0.3">
      <c r="B5916" t="s">
        <v>1029</v>
      </c>
    </row>
    <row r="5917" spans="2:2" ht="14.4" hidden="1" x14ac:dyDescent="0.3">
      <c r="B5917" t="s">
        <v>1030</v>
      </c>
    </row>
    <row r="5918" spans="2:2" ht="14.4" hidden="1" x14ac:dyDescent="0.3">
      <c r="B5918" t="s">
        <v>1031</v>
      </c>
    </row>
    <row r="5919" spans="2:2" ht="14.4" hidden="1" x14ac:dyDescent="0.3">
      <c r="B5919" t="s">
        <v>81</v>
      </c>
    </row>
    <row r="5920" spans="2:2" ht="14.4" hidden="1" x14ac:dyDescent="0.3">
      <c r="B5920" t="s">
        <v>4339</v>
      </c>
    </row>
    <row r="5921" spans="2:2" ht="14.4" hidden="1" x14ac:dyDescent="0.3">
      <c r="B5921" t="s">
        <v>1032</v>
      </c>
    </row>
    <row r="5922" spans="2:2" ht="14.4" hidden="1" x14ac:dyDescent="0.3">
      <c r="B5922" t="s">
        <v>1033</v>
      </c>
    </row>
    <row r="5923" spans="2:2" ht="14.4" hidden="1" x14ac:dyDescent="0.3">
      <c r="B5923" t="s">
        <v>4344</v>
      </c>
    </row>
    <row r="5924" spans="2:2" ht="14.4" hidden="1" x14ac:dyDescent="0.3">
      <c r="B5924" t="s">
        <v>1034</v>
      </c>
    </row>
    <row r="5925" spans="2:2" ht="14.4" hidden="1" x14ac:dyDescent="0.3">
      <c r="B5925" t="s">
        <v>1035</v>
      </c>
    </row>
    <row r="5926" spans="2:2" ht="14.4" hidden="1" x14ac:dyDescent="0.3">
      <c r="B5926" t="s">
        <v>1036</v>
      </c>
    </row>
    <row r="5927" spans="2:2" ht="14.4" hidden="1" x14ac:dyDescent="0.3">
      <c r="B5927" t="s">
        <v>1037</v>
      </c>
    </row>
    <row r="5928" spans="2:2" ht="14.4" hidden="1" x14ac:dyDescent="0.3">
      <c r="B5928" t="s">
        <v>4350</v>
      </c>
    </row>
    <row r="5929" spans="2:2" ht="14.4" hidden="1" x14ac:dyDescent="0.3">
      <c r="B5929" t="s">
        <v>1038</v>
      </c>
    </row>
    <row r="5930" spans="2:2" ht="14.4" hidden="1" x14ac:dyDescent="0.3">
      <c r="B5930" t="s">
        <v>1039</v>
      </c>
    </row>
    <row r="5931" spans="2:2" ht="14.4" hidden="1" x14ac:dyDescent="0.3">
      <c r="B5931" t="s">
        <v>1040</v>
      </c>
    </row>
    <row r="5932" spans="2:2" ht="14.4" hidden="1" x14ac:dyDescent="0.3">
      <c r="B5932" t="s">
        <v>1041</v>
      </c>
    </row>
    <row r="5933" spans="2:2" ht="14.4" hidden="1" x14ac:dyDescent="0.3">
      <c r="B5933" t="s">
        <v>4357</v>
      </c>
    </row>
    <row r="5934" spans="2:2" ht="14.4" hidden="1" x14ac:dyDescent="0.3">
      <c r="B5934" t="s">
        <v>1042</v>
      </c>
    </row>
    <row r="5935" spans="2:2" ht="14.4" hidden="1" x14ac:dyDescent="0.3">
      <c r="B5935" t="s">
        <v>1043</v>
      </c>
    </row>
    <row r="5936" spans="2:2" ht="14.4" hidden="1" x14ac:dyDescent="0.3">
      <c r="B5936" t="s">
        <v>1044</v>
      </c>
    </row>
    <row r="5937" spans="2:2" ht="14.4" hidden="1" x14ac:dyDescent="0.3">
      <c r="B5937" t="s">
        <v>1045</v>
      </c>
    </row>
    <row r="5938" spans="2:2" ht="14.4" hidden="1" x14ac:dyDescent="0.3">
      <c r="B5938" t="s">
        <v>1046</v>
      </c>
    </row>
    <row r="5939" spans="2:2" ht="14.4" hidden="1" x14ac:dyDescent="0.3">
      <c r="B5939" t="s">
        <v>1047</v>
      </c>
    </row>
    <row r="5940" spans="2:2" ht="14.4" hidden="1" x14ac:dyDescent="0.3">
      <c r="B5940" t="s">
        <v>1048</v>
      </c>
    </row>
    <row r="5941" spans="2:2" ht="14.4" hidden="1" x14ac:dyDescent="0.3">
      <c r="B5941" t="s">
        <v>1316</v>
      </c>
    </row>
    <row r="5942" spans="2:2" ht="14.4" hidden="1" x14ac:dyDescent="0.3">
      <c r="B5942" t="s">
        <v>1049</v>
      </c>
    </row>
    <row r="5943" spans="2:2" ht="14.4" hidden="1" x14ac:dyDescent="0.3">
      <c r="B5943" t="s">
        <v>1050</v>
      </c>
    </row>
    <row r="5944" spans="2:2" ht="14.4" hidden="1" x14ac:dyDescent="0.3">
      <c r="B5944" t="s">
        <v>1051</v>
      </c>
    </row>
    <row r="5945" spans="2:2" ht="14.4" hidden="1" x14ac:dyDescent="0.3">
      <c r="B5945" t="s">
        <v>4372</v>
      </c>
    </row>
    <row r="5946" spans="2:2" ht="14.4" hidden="1" x14ac:dyDescent="0.3">
      <c r="B5946" t="s">
        <v>1052</v>
      </c>
    </row>
    <row r="5947" spans="2:2" ht="14.4" hidden="1" x14ac:dyDescent="0.3">
      <c r="B5947" t="s">
        <v>1053</v>
      </c>
    </row>
    <row r="5948" spans="2:2" ht="14.4" hidden="1" x14ac:dyDescent="0.3">
      <c r="B5948" t="s">
        <v>4377</v>
      </c>
    </row>
    <row r="5949" spans="2:2" ht="14.4" hidden="1" x14ac:dyDescent="0.3">
      <c r="B5949" t="s">
        <v>4380</v>
      </c>
    </row>
    <row r="5950" spans="2:2" ht="14.4" hidden="1" x14ac:dyDescent="0.3">
      <c r="B5950" t="s">
        <v>1054</v>
      </c>
    </row>
    <row r="5951" spans="2:2" ht="14.4" hidden="1" x14ac:dyDescent="0.3">
      <c r="B5951" t="s">
        <v>82</v>
      </c>
    </row>
    <row r="5952" spans="2:2" ht="14.4" hidden="1" x14ac:dyDescent="0.3">
      <c r="B5952" t="s">
        <v>4385</v>
      </c>
    </row>
    <row r="5953" spans="2:2" ht="14.4" hidden="1" x14ac:dyDescent="0.3">
      <c r="B5953" t="s">
        <v>1055</v>
      </c>
    </row>
    <row r="5954" spans="2:2" ht="14.4" hidden="1" x14ac:dyDescent="0.3">
      <c r="B5954" t="s">
        <v>4389</v>
      </c>
    </row>
    <row r="5955" spans="2:2" ht="14.4" hidden="1" x14ac:dyDescent="0.3">
      <c r="B5955" t="s">
        <v>1056</v>
      </c>
    </row>
    <row r="5956" spans="2:2" ht="14.4" hidden="1" x14ac:dyDescent="0.3">
      <c r="B5956" t="s">
        <v>1057</v>
      </c>
    </row>
    <row r="5957" spans="2:2" ht="14.4" hidden="1" x14ac:dyDescent="0.3">
      <c r="B5957" t="s">
        <v>4394</v>
      </c>
    </row>
    <row r="5958" spans="2:2" ht="14.4" hidden="1" x14ac:dyDescent="0.3">
      <c r="B5958" t="s">
        <v>1058</v>
      </c>
    </row>
    <row r="5959" spans="2:2" ht="14.4" hidden="1" x14ac:dyDescent="0.3">
      <c r="B5959" t="s">
        <v>104</v>
      </c>
    </row>
    <row r="5960" spans="2:2" ht="14.4" hidden="1" x14ac:dyDescent="0.3">
      <c r="B5960" t="s">
        <v>1059</v>
      </c>
    </row>
    <row r="5961" spans="2:2" ht="14.4" hidden="1" x14ac:dyDescent="0.3">
      <c r="B5961" t="s">
        <v>1060</v>
      </c>
    </row>
    <row r="5962" spans="2:2" ht="14.4" hidden="1" x14ac:dyDescent="0.3">
      <c r="B5962" t="s">
        <v>1061</v>
      </c>
    </row>
    <row r="5963" spans="2:2" ht="14.4" hidden="1" x14ac:dyDescent="0.3">
      <c r="B5963" t="s">
        <v>4402</v>
      </c>
    </row>
    <row r="5964" spans="2:2" ht="14.4" hidden="1" x14ac:dyDescent="0.3">
      <c r="B5964" t="s">
        <v>1317</v>
      </c>
    </row>
    <row r="5965" spans="2:2" ht="14.4" hidden="1" x14ac:dyDescent="0.3">
      <c r="B5965" t="s">
        <v>1062</v>
      </c>
    </row>
    <row r="5966" spans="2:2" ht="14.4" hidden="1" x14ac:dyDescent="0.3">
      <c r="B5966" t="s">
        <v>1063</v>
      </c>
    </row>
    <row r="5967" spans="2:2" ht="14.4" hidden="1" x14ac:dyDescent="0.3">
      <c r="B5967" t="s">
        <v>1064</v>
      </c>
    </row>
    <row r="5968" spans="2:2" ht="14.4" hidden="1" x14ac:dyDescent="0.3">
      <c r="B5968" t="s">
        <v>1065</v>
      </c>
    </row>
    <row r="5969" spans="2:2" ht="14.4" hidden="1" x14ac:dyDescent="0.3">
      <c r="B5969" t="s">
        <v>4410</v>
      </c>
    </row>
    <row r="5970" spans="2:2" ht="14.4" hidden="1" x14ac:dyDescent="0.3">
      <c r="B5970" t="s">
        <v>98</v>
      </c>
    </row>
    <row r="5971" spans="2:2" ht="14.4" hidden="1" x14ac:dyDescent="0.3">
      <c r="B5971" t="s">
        <v>1066</v>
      </c>
    </row>
    <row r="5972" spans="2:2" ht="14.4" hidden="1" x14ac:dyDescent="0.3">
      <c r="B5972" t="s">
        <v>1067</v>
      </c>
    </row>
    <row r="5973" spans="2:2" ht="14.4" hidden="1" x14ac:dyDescent="0.3">
      <c r="B5973" t="s">
        <v>4416</v>
      </c>
    </row>
    <row r="5974" spans="2:2" ht="14.4" hidden="1" x14ac:dyDescent="0.3">
      <c r="B5974" t="s">
        <v>83</v>
      </c>
    </row>
    <row r="5975" spans="2:2" ht="14.4" hidden="1" x14ac:dyDescent="0.3">
      <c r="B5975" t="s">
        <v>1068</v>
      </c>
    </row>
    <row r="5976" spans="2:2" ht="14.4" hidden="1" x14ac:dyDescent="0.3">
      <c r="B5976" t="s">
        <v>1069</v>
      </c>
    </row>
    <row r="5977" spans="2:2" ht="14.4" hidden="1" x14ac:dyDescent="0.3">
      <c r="B5977" t="s">
        <v>1070</v>
      </c>
    </row>
    <row r="5978" spans="2:2" ht="14.4" hidden="1" x14ac:dyDescent="0.3">
      <c r="B5978" t="s">
        <v>1071</v>
      </c>
    </row>
    <row r="5979" spans="2:2" ht="14.4" hidden="1" x14ac:dyDescent="0.3">
      <c r="B5979" t="s">
        <v>1072</v>
      </c>
    </row>
    <row r="5980" spans="2:2" ht="14.4" hidden="1" x14ac:dyDescent="0.3">
      <c r="B5980" t="s">
        <v>1073</v>
      </c>
    </row>
    <row r="5981" spans="2:2" ht="14.4" hidden="1" x14ac:dyDescent="0.3">
      <c r="B5981" t="s">
        <v>1074</v>
      </c>
    </row>
    <row r="5982" spans="2:2" ht="14.4" hidden="1" x14ac:dyDescent="0.3">
      <c r="B5982" t="s">
        <v>1075</v>
      </c>
    </row>
    <row r="5983" spans="2:2" ht="14.4" hidden="1" x14ac:dyDescent="0.3">
      <c r="B5983" t="s">
        <v>1076</v>
      </c>
    </row>
    <row r="5984" spans="2:2" ht="14.4" hidden="1" x14ac:dyDescent="0.3">
      <c r="B5984" t="s">
        <v>1077</v>
      </c>
    </row>
    <row r="5985" spans="2:2" ht="14.4" hidden="1" x14ac:dyDescent="0.3">
      <c r="B5985" t="s">
        <v>1078</v>
      </c>
    </row>
    <row r="5986" spans="2:2" ht="14.4" hidden="1" x14ac:dyDescent="0.3">
      <c r="B5986" t="s">
        <v>1079</v>
      </c>
    </row>
    <row r="5987" spans="2:2" ht="14.4" hidden="1" x14ac:dyDescent="0.3">
      <c r="B5987" t="s">
        <v>1080</v>
      </c>
    </row>
    <row r="5988" spans="2:2" ht="14.4" hidden="1" x14ac:dyDescent="0.3">
      <c r="B5988" t="s">
        <v>1081</v>
      </c>
    </row>
    <row r="5989" spans="2:2" ht="14.4" hidden="1" x14ac:dyDescent="0.3">
      <c r="B5989" t="s">
        <v>1082</v>
      </c>
    </row>
    <row r="5990" spans="2:2" ht="14.4" hidden="1" x14ac:dyDescent="0.3">
      <c r="B5990" t="s">
        <v>1083</v>
      </c>
    </row>
    <row r="5991" spans="2:2" ht="14.4" hidden="1" x14ac:dyDescent="0.3">
      <c r="B5991" t="s">
        <v>1084</v>
      </c>
    </row>
    <row r="5992" spans="2:2" ht="14.4" hidden="1" x14ac:dyDescent="0.3">
      <c r="B5992" t="s">
        <v>1085</v>
      </c>
    </row>
    <row r="5993" spans="2:2" ht="14.4" hidden="1" x14ac:dyDescent="0.3">
      <c r="B5993" t="s">
        <v>1086</v>
      </c>
    </row>
    <row r="5994" spans="2:2" ht="14.4" hidden="1" x14ac:dyDescent="0.3">
      <c r="B5994" t="s">
        <v>1087</v>
      </c>
    </row>
    <row r="5995" spans="2:2" ht="14.4" hidden="1" x14ac:dyDescent="0.3">
      <c r="B5995" t="s">
        <v>1088</v>
      </c>
    </row>
    <row r="5996" spans="2:2" ht="14.4" hidden="1" x14ac:dyDescent="0.3">
      <c r="B5996" t="s">
        <v>1089</v>
      </c>
    </row>
    <row r="5997" spans="2:2" ht="14.4" hidden="1" x14ac:dyDescent="0.3">
      <c r="B5997" t="s">
        <v>16</v>
      </c>
    </row>
    <row r="5998" spans="2:2" ht="14.4" hidden="1" x14ac:dyDescent="0.3">
      <c r="B5998" t="s">
        <v>1090</v>
      </c>
    </row>
    <row r="5999" spans="2:2" ht="14.4" hidden="1" x14ac:dyDescent="0.3">
      <c r="B5999" t="s">
        <v>1091</v>
      </c>
    </row>
    <row r="6000" spans="2:2" ht="14.4" hidden="1" x14ac:dyDescent="0.3">
      <c r="B6000" t="s">
        <v>1092</v>
      </c>
    </row>
    <row r="6001" spans="2:2" ht="14.4" hidden="1" x14ac:dyDescent="0.3">
      <c r="B6001" t="s">
        <v>105</v>
      </c>
    </row>
    <row r="6002" spans="2:2" ht="14.4" hidden="1" x14ac:dyDescent="0.3">
      <c r="B6002" t="s">
        <v>1093</v>
      </c>
    </row>
    <row r="6003" spans="2:2" ht="14.4" hidden="1" x14ac:dyDescent="0.3">
      <c r="B6003" t="s">
        <v>1094</v>
      </c>
    </row>
    <row r="6004" spans="2:2" ht="14.4" hidden="1" x14ac:dyDescent="0.3">
      <c r="B6004" t="s">
        <v>1095</v>
      </c>
    </row>
    <row r="6005" spans="2:2" ht="14.4" hidden="1" x14ac:dyDescent="0.3">
      <c r="B6005" t="s">
        <v>1096</v>
      </c>
    </row>
    <row r="6006" spans="2:2" ht="14.4" hidden="1" x14ac:dyDescent="0.3">
      <c r="B6006" t="s">
        <v>1097</v>
      </c>
    </row>
    <row r="6007" spans="2:2" ht="14.4" hidden="1" x14ac:dyDescent="0.3">
      <c r="B6007" t="s">
        <v>1098</v>
      </c>
    </row>
    <row r="6008" spans="2:2" ht="14.4" hidden="1" x14ac:dyDescent="0.3">
      <c r="B6008" t="s">
        <v>1099</v>
      </c>
    </row>
    <row r="6009" spans="2:2" ht="14.4" hidden="1" x14ac:dyDescent="0.3">
      <c r="B6009" t="s">
        <v>1100</v>
      </c>
    </row>
    <row r="6010" spans="2:2" ht="14.4" hidden="1" x14ac:dyDescent="0.3">
      <c r="B6010" t="s">
        <v>1101</v>
      </c>
    </row>
    <row r="6011" spans="2:2" ht="14.4" hidden="1" x14ac:dyDescent="0.3">
      <c r="B6011" t="s">
        <v>1102</v>
      </c>
    </row>
    <row r="6012" spans="2:2" ht="14.4" hidden="1" x14ac:dyDescent="0.3">
      <c r="B6012" t="s">
        <v>1103</v>
      </c>
    </row>
    <row r="6013" spans="2:2" ht="14.4" hidden="1" x14ac:dyDescent="0.3">
      <c r="B6013" t="s">
        <v>1104</v>
      </c>
    </row>
    <row r="6014" spans="2:2" ht="14.4" hidden="1" x14ac:dyDescent="0.3">
      <c r="B6014" t="s">
        <v>1105</v>
      </c>
    </row>
    <row r="6015" spans="2:2" ht="14.4" hidden="1" x14ac:dyDescent="0.3">
      <c r="B6015" t="s">
        <v>1106</v>
      </c>
    </row>
    <row r="6016" spans="2:2" ht="14.4" hidden="1" x14ac:dyDescent="0.3">
      <c r="B6016" t="s">
        <v>1107</v>
      </c>
    </row>
    <row r="6017" spans="2:2" ht="14.4" hidden="1" x14ac:dyDescent="0.3">
      <c r="B6017" t="s">
        <v>1108</v>
      </c>
    </row>
    <row r="6018" spans="2:2" ht="14.4" hidden="1" x14ac:dyDescent="0.3">
      <c r="B6018" t="s">
        <v>1109</v>
      </c>
    </row>
    <row r="6019" spans="2:2" ht="14.4" hidden="1" x14ac:dyDescent="0.3">
      <c r="B6019" t="s">
        <v>84</v>
      </c>
    </row>
    <row r="6020" spans="2:2" ht="14.4" hidden="1" x14ac:dyDescent="0.3">
      <c r="B6020" t="s">
        <v>4468</v>
      </c>
    </row>
    <row r="6021" spans="2:2" ht="14.4" hidden="1" x14ac:dyDescent="0.3">
      <c r="B6021" t="s">
        <v>1110</v>
      </c>
    </row>
    <row r="6022" spans="2:2" ht="14.4" hidden="1" x14ac:dyDescent="0.3">
      <c r="B6022" t="s">
        <v>1111</v>
      </c>
    </row>
    <row r="6023" spans="2:2" ht="14.4" hidden="1" x14ac:dyDescent="0.3">
      <c r="B6023" t="s">
        <v>1112</v>
      </c>
    </row>
    <row r="6024" spans="2:2" ht="14.4" hidden="1" x14ac:dyDescent="0.3">
      <c r="B6024" t="s">
        <v>1113</v>
      </c>
    </row>
    <row r="6025" spans="2:2" ht="14.4" hidden="1" x14ac:dyDescent="0.3">
      <c r="B6025" t="s">
        <v>1114</v>
      </c>
    </row>
    <row r="6026" spans="2:2" ht="14.4" hidden="1" x14ac:dyDescent="0.3">
      <c r="B6026" t="s">
        <v>1115</v>
      </c>
    </row>
    <row r="6027" spans="2:2" ht="14.4" hidden="1" x14ac:dyDescent="0.3">
      <c r="B6027" t="s">
        <v>1116</v>
      </c>
    </row>
    <row r="6028" spans="2:2" ht="14.4" hidden="1" x14ac:dyDescent="0.3">
      <c r="B6028" t="s">
        <v>1117</v>
      </c>
    </row>
    <row r="6029" spans="2:2" ht="14.4" hidden="1" x14ac:dyDescent="0.3">
      <c r="B6029" t="s">
        <v>1118</v>
      </c>
    </row>
    <row r="6030" spans="2:2" ht="14.4" hidden="1" x14ac:dyDescent="0.3">
      <c r="B6030" t="s">
        <v>1119</v>
      </c>
    </row>
    <row r="6031" spans="2:2" ht="14.4" hidden="1" x14ac:dyDescent="0.3">
      <c r="B6031" t="s">
        <v>4481</v>
      </c>
    </row>
    <row r="6032" spans="2:2" ht="14.4" hidden="1" x14ac:dyDescent="0.3">
      <c r="B6032" t="s">
        <v>86</v>
      </c>
    </row>
    <row r="6033" spans="2:2" ht="14.4" hidden="1" x14ac:dyDescent="0.3">
      <c r="B6033" t="s">
        <v>86</v>
      </c>
    </row>
    <row r="6034" spans="2:2" ht="14.4" hidden="1" x14ac:dyDescent="0.3">
      <c r="B6034" t="s">
        <v>1120</v>
      </c>
    </row>
    <row r="6035" spans="2:2" ht="14.4" hidden="1" x14ac:dyDescent="0.3">
      <c r="B6035" t="s">
        <v>87</v>
      </c>
    </row>
    <row r="6036" spans="2:2" ht="14.4" hidden="1" x14ac:dyDescent="0.3">
      <c r="B6036" t="s">
        <v>1121</v>
      </c>
    </row>
    <row r="6037" spans="2:2" ht="14.4" hidden="1" x14ac:dyDescent="0.3">
      <c r="B6037" t="s">
        <v>88</v>
      </c>
    </row>
    <row r="6038" spans="2:2" ht="14.4" hidden="1" x14ac:dyDescent="0.3">
      <c r="B6038" t="s">
        <v>1122</v>
      </c>
    </row>
    <row r="6039" spans="2:2" ht="14.4" hidden="1" x14ac:dyDescent="0.3">
      <c r="B6039" t="s">
        <v>1123</v>
      </c>
    </row>
    <row r="6040" spans="2:2" ht="14.4" hidden="1" x14ac:dyDescent="0.3">
      <c r="B6040" t="s">
        <v>1124</v>
      </c>
    </row>
    <row r="6041" spans="2:2" ht="14.4" hidden="1" x14ac:dyDescent="0.3">
      <c r="B6041" t="s">
        <v>4493</v>
      </c>
    </row>
    <row r="6042" spans="2:2" ht="14.4" hidden="1" x14ac:dyDescent="0.3">
      <c r="B6042" t="s">
        <v>1125</v>
      </c>
    </row>
    <row r="6043" spans="2:2" ht="14.4" hidden="1" x14ac:dyDescent="0.3">
      <c r="B6043" t="s">
        <v>1126</v>
      </c>
    </row>
    <row r="6044" spans="2:2" ht="14.4" hidden="1" x14ac:dyDescent="0.3">
      <c r="B6044" t="s">
        <v>106</v>
      </c>
    </row>
    <row r="6045" spans="2:2" ht="14.4" hidden="1" x14ac:dyDescent="0.3">
      <c r="B6045" t="s">
        <v>1127</v>
      </c>
    </row>
    <row r="6046" spans="2:2" ht="14.4" hidden="1" x14ac:dyDescent="0.3">
      <c r="B6046" t="s">
        <v>1128</v>
      </c>
    </row>
    <row r="6047" spans="2:2" ht="14.4" hidden="1" x14ac:dyDescent="0.3">
      <c r="B6047" t="s">
        <v>1129</v>
      </c>
    </row>
    <row r="6048" spans="2:2" ht="14.4" hidden="1" x14ac:dyDescent="0.3">
      <c r="B6048" t="s">
        <v>4501</v>
      </c>
    </row>
    <row r="6049" spans="2:2" ht="14.4" hidden="1" x14ac:dyDescent="0.3">
      <c r="B6049" t="s">
        <v>1130</v>
      </c>
    </row>
    <row r="6050" spans="2:2" ht="14.4" hidden="1" x14ac:dyDescent="0.3">
      <c r="B6050" t="s">
        <v>1131</v>
      </c>
    </row>
    <row r="6051" spans="2:2" ht="14.4" hidden="1" x14ac:dyDescent="0.3">
      <c r="B6051" t="s">
        <v>1132</v>
      </c>
    </row>
    <row r="6052" spans="2:2" ht="14.4" hidden="1" x14ac:dyDescent="0.3">
      <c r="B6052" t="s">
        <v>4507</v>
      </c>
    </row>
    <row r="6053" spans="2:2" ht="14.4" hidden="1" x14ac:dyDescent="0.3">
      <c r="B6053" t="s">
        <v>1133</v>
      </c>
    </row>
    <row r="6054" spans="2:2" ht="14.4" hidden="1" x14ac:dyDescent="0.3">
      <c r="B6054" t="s">
        <v>1134</v>
      </c>
    </row>
    <row r="6055" spans="2:2" ht="14.4" hidden="1" x14ac:dyDescent="0.3">
      <c r="B6055" t="s">
        <v>1135</v>
      </c>
    </row>
    <row r="6056" spans="2:2" ht="14.4" hidden="1" x14ac:dyDescent="0.3">
      <c r="B6056" t="s">
        <v>1136</v>
      </c>
    </row>
    <row r="6057" spans="2:2" ht="14.4" hidden="1" x14ac:dyDescent="0.3">
      <c r="B6057" t="s">
        <v>4515</v>
      </c>
    </row>
    <row r="6058" spans="2:2" ht="14.4" hidden="1" x14ac:dyDescent="0.3">
      <c r="B6058" t="s">
        <v>1137</v>
      </c>
    </row>
    <row r="6059" spans="2:2" ht="14.4" hidden="1" x14ac:dyDescent="0.3">
      <c r="B6059" t="s">
        <v>1138</v>
      </c>
    </row>
    <row r="6060" spans="2:2" ht="14.4" hidden="1" x14ac:dyDescent="0.3">
      <c r="B6060" t="s">
        <v>1139</v>
      </c>
    </row>
    <row r="6061" spans="2:2" ht="14.4" hidden="1" x14ac:dyDescent="0.3">
      <c r="B6061" t="s">
        <v>1140</v>
      </c>
    </row>
    <row r="6062" spans="2:2" ht="14.4" hidden="1" x14ac:dyDescent="0.3">
      <c r="B6062" t="s">
        <v>1141</v>
      </c>
    </row>
    <row r="6063" spans="2:2" ht="14.4" hidden="1" x14ac:dyDescent="0.3">
      <c r="B6063" t="s">
        <v>1142</v>
      </c>
    </row>
    <row r="6064" spans="2:2" ht="14.4" hidden="1" x14ac:dyDescent="0.3">
      <c r="B6064" t="s">
        <v>1143</v>
      </c>
    </row>
    <row r="6065" spans="2:2" ht="14.4" hidden="1" x14ac:dyDescent="0.3">
      <c r="B6065" t="s">
        <v>1144</v>
      </c>
    </row>
    <row r="6066" spans="2:2" ht="14.4" hidden="1" x14ac:dyDescent="0.3">
      <c r="B6066" t="s">
        <v>90</v>
      </c>
    </row>
    <row r="6067" spans="2:2" ht="14.4" hidden="1" x14ac:dyDescent="0.3">
      <c r="B6067" t="s">
        <v>1145</v>
      </c>
    </row>
    <row r="6068" spans="2:2" ht="14.4" hidden="1" x14ac:dyDescent="0.3">
      <c r="B6068" t="s">
        <v>1146</v>
      </c>
    </row>
    <row r="6069" spans="2:2" ht="14.4" hidden="1" x14ac:dyDescent="0.3">
      <c r="B6069" t="s">
        <v>1147</v>
      </c>
    </row>
    <row r="6070" spans="2:2" ht="14.4" hidden="1" x14ac:dyDescent="0.3">
      <c r="B6070" t="s">
        <v>4531</v>
      </c>
    </row>
    <row r="6071" spans="2:2" ht="14.4" hidden="1" x14ac:dyDescent="0.3">
      <c r="B6071" t="s">
        <v>1148</v>
      </c>
    </row>
    <row r="6072" spans="2:2" ht="14.4" hidden="1" x14ac:dyDescent="0.3">
      <c r="B6072" t="s">
        <v>1149</v>
      </c>
    </row>
    <row r="6073" spans="2:2" ht="14.4" hidden="1" x14ac:dyDescent="0.3">
      <c r="B6073" t="s">
        <v>1150</v>
      </c>
    </row>
    <row r="6074" spans="2:2" ht="14.4" hidden="1" x14ac:dyDescent="0.3">
      <c r="B6074" t="s">
        <v>1318</v>
      </c>
    </row>
    <row r="6075" spans="2:2" ht="14.4" hidden="1" x14ac:dyDescent="0.3">
      <c r="B6075" t="s">
        <v>1151</v>
      </c>
    </row>
    <row r="6076" spans="2:2" ht="14.4" hidden="1" x14ac:dyDescent="0.3">
      <c r="B6076" t="s">
        <v>1152</v>
      </c>
    </row>
    <row r="6077" spans="2:2" ht="14.4" hidden="1" x14ac:dyDescent="0.3">
      <c r="B6077" t="s">
        <v>1153</v>
      </c>
    </row>
    <row r="6078" spans="2:2" ht="14.4" hidden="1" x14ac:dyDescent="0.3">
      <c r="B6078" t="s">
        <v>1154</v>
      </c>
    </row>
    <row r="6079" spans="2:2" ht="14.4" hidden="1" x14ac:dyDescent="0.3">
      <c r="B6079" t="s">
        <v>1155</v>
      </c>
    </row>
    <row r="6080" spans="2:2" ht="14.4" hidden="1" x14ac:dyDescent="0.3">
      <c r="B6080" t="s">
        <v>1156</v>
      </c>
    </row>
    <row r="6081" spans="2:2" ht="14.4" hidden="1" x14ac:dyDescent="0.3">
      <c r="B6081" t="s">
        <v>1157</v>
      </c>
    </row>
    <row r="6082" spans="2:2" ht="14.4" hidden="1" x14ac:dyDescent="0.3">
      <c r="B6082" t="s">
        <v>1158</v>
      </c>
    </row>
    <row r="6083" spans="2:2" ht="14.4" hidden="1" x14ac:dyDescent="0.3">
      <c r="B6083" t="s">
        <v>4546</v>
      </c>
    </row>
    <row r="6084" spans="2:2" ht="14.4" hidden="1" x14ac:dyDescent="0.3">
      <c r="B6084" t="s">
        <v>1159</v>
      </c>
    </row>
    <row r="6085" spans="2:2" ht="14.4" hidden="1" x14ac:dyDescent="0.3">
      <c r="B6085" t="s">
        <v>1160</v>
      </c>
    </row>
    <row r="6086" spans="2:2" ht="14.4" hidden="1" x14ac:dyDescent="0.3">
      <c r="B6086" t="s">
        <v>1161</v>
      </c>
    </row>
    <row r="6087" spans="2:2" ht="14.4" hidden="1" x14ac:dyDescent="0.3">
      <c r="B6087" t="s">
        <v>1319</v>
      </c>
    </row>
    <row r="6088" spans="2:2" ht="14.4" hidden="1" x14ac:dyDescent="0.3">
      <c r="B6088" t="s">
        <v>1162</v>
      </c>
    </row>
    <row r="6089" spans="2:2" ht="14.4" hidden="1" x14ac:dyDescent="0.3">
      <c r="B6089" t="s">
        <v>91</v>
      </c>
    </row>
    <row r="6090" spans="2:2" ht="14.4" hidden="1" x14ac:dyDescent="0.3">
      <c r="B6090" t="s">
        <v>92</v>
      </c>
    </row>
    <row r="6091" spans="2:2" ht="14.4" hidden="1" x14ac:dyDescent="0.3">
      <c r="B6091" t="s">
        <v>4556</v>
      </c>
    </row>
    <row r="6092" spans="2:2" ht="14.4" hidden="1" x14ac:dyDescent="0.3">
      <c r="B6092" t="s">
        <v>1163</v>
      </c>
    </row>
    <row r="6093" spans="2:2" ht="14.4" hidden="1" x14ac:dyDescent="0.3">
      <c r="B6093" t="s">
        <v>1164</v>
      </c>
    </row>
    <row r="6094" spans="2:2" ht="14.4" hidden="1" x14ac:dyDescent="0.3">
      <c r="B6094" t="s">
        <v>1164</v>
      </c>
    </row>
    <row r="6095" spans="2:2" ht="14.4" hidden="1" x14ac:dyDescent="0.3">
      <c r="B6095" t="s">
        <v>1165</v>
      </c>
    </row>
    <row r="6096" spans="2:2" ht="14.4" hidden="1" x14ac:dyDescent="0.3">
      <c r="B6096" t="s">
        <v>107</v>
      </c>
    </row>
    <row r="6097" spans="2:2" ht="14.4" hidden="1" x14ac:dyDescent="0.3">
      <c r="B6097" t="s">
        <v>1166</v>
      </c>
    </row>
    <row r="6098" spans="2:2" ht="14.4" hidden="1" x14ac:dyDescent="0.3">
      <c r="B6098" t="s">
        <v>1167</v>
      </c>
    </row>
    <row r="6099" spans="2:2" ht="14.4" hidden="1" x14ac:dyDescent="0.3">
      <c r="B6099" t="s">
        <v>1168</v>
      </c>
    </row>
    <row r="6100" spans="2:2" ht="14.4" hidden="1" x14ac:dyDescent="0.3">
      <c r="B6100" t="s">
        <v>1169</v>
      </c>
    </row>
    <row r="6101" spans="2:2" ht="14.4" hidden="1" x14ac:dyDescent="0.3">
      <c r="B6101" t="s">
        <v>4567</v>
      </c>
    </row>
    <row r="6102" spans="2:2" ht="14.4" hidden="1" x14ac:dyDescent="0.3">
      <c r="B6102" t="s">
        <v>1170</v>
      </c>
    </row>
    <row r="6103" spans="2:2" ht="14.4" hidden="1" x14ac:dyDescent="0.3">
      <c r="B6103" t="s">
        <v>1171</v>
      </c>
    </row>
    <row r="6104" spans="2:2" ht="14.4" hidden="1" x14ac:dyDescent="0.3">
      <c r="B6104" t="s">
        <v>1172</v>
      </c>
    </row>
    <row r="6105" spans="2:2" ht="14.4" hidden="1" x14ac:dyDescent="0.3">
      <c r="B6105" t="s">
        <v>1173</v>
      </c>
    </row>
    <row r="6106" spans="2:2" ht="14.4" hidden="1" x14ac:dyDescent="0.3">
      <c r="B6106" t="s">
        <v>1174</v>
      </c>
    </row>
    <row r="6107" spans="2:2" ht="14.4" hidden="1" x14ac:dyDescent="0.3">
      <c r="B6107" t="s">
        <v>85</v>
      </c>
    </row>
    <row r="6108" spans="2:2" ht="14.4" hidden="1" x14ac:dyDescent="0.3">
      <c r="B6108" t="s">
        <v>1175</v>
      </c>
    </row>
    <row r="6109" spans="2:2" ht="14.4" hidden="1" x14ac:dyDescent="0.3">
      <c r="B6109" t="s">
        <v>1176</v>
      </c>
    </row>
    <row r="6110" spans="2:2" ht="14.4" hidden="1" x14ac:dyDescent="0.3">
      <c r="B6110" t="s">
        <v>1177</v>
      </c>
    </row>
    <row r="6111" spans="2:2" ht="14.4" hidden="1" x14ac:dyDescent="0.3">
      <c r="B6111" t="s">
        <v>1178</v>
      </c>
    </row>
    <row r="6112" spans="2:2" ht="14.4" hidden="1" x14ac:dyDescent="0.3">
      <c r="B6112" t="s">
        <v>4580</v>
      </c>
    </row>
    <row r="6113" spans="2:2" ht="14.4" hidden="1" x14ac:dyDescent="0.3">
      <c r="B6113" t="s">
        <v>1179</v>
      </c>
    </row>
    <row r="6114" spans="2:2" ht="14.4" hidden="1" x14ac:dyDescent="0.3">
      <c r="B6114" t="s">
        <v>1180</v>
      </c>
    </row>
    <row r="6115" spans="2:2" ht="14.4" hidden="1" x14ac:dyDescent="0.3">
      <c r="B6115" t="s">
        <v>96</v>
      </c>
    </row>
    <row r="6116" spans="2:2" ht="14.4" hidden="1" x14ac:dyDescent="0.3">
      <c r="B6116" t="s">
        <v>1181</v>
      </c>
    </row>
    <row r="6117" spans="2:2" ht="14.4" hidden="1" x14ac:dyDescent="0.3">
      <c r="B6117" t="s">
        <v>1182</v>
      </c>
    </row>
    <row r="6118" spans="2:2" ht="14.4" hidden="1" x14ac:dyDescent="0.3">
      <c r="B6118" t="s">
        <v>1183</v>
      </c>
    </row>
    <row r="6119" spans="2:2" ht="14.4" hidden="1" x14ac:dyDescent="0.3">
      <c r="B6119" t="s">
        <v>4589</v>
      </c>
    </row>
    <row r="6120" spans="2:2" ht="14.4" hidden="1" x14ac:dyDescent="0.3">
      <c r="B6120" t="s">
        <v>1184</v>
      </c>
    </row>
    <row r="6121" spans="2:2" ht="14.4" hidden="1" x14ac:dyDescent="0.3">
      <c r="B6121" t="s">
        <v>1185</v>
      </c>
    </row>
    <row r="6122" spans="2:2" ht="14.4" hidden="1" x14ac:dyDescent="0.3">
      <c r="B6122" t="s">
        <v>4594</v>
      </c>
    </row>
    <row r="6123" spans="2:2" ht="14.4" hidden="1" x14ac:dyDescent="0.3">
      <c r="B6123" t="s">
        <v>4594</v>
      </c>
    </row>
    <row r="6124" spans="2:2" ht="14.4" hidden="1" x14ac:dyDescent="0.3">
      <c r="B6124" t="s">
        <v>1186</v>
      </c>
    </row>
    <row r="6125" spans="2:2" ht="14.4" hidden="1" x14ac:dyDescent="0.3">
      <c r="B6125" t="s">
        <v>4598</v>
      </c>
    </row>
    <row r="6126" spans="2:2" ht="14.4" hidden="1" x14ac:dyDescent="0.3">
      <c r="B6126" t="s">
        <v>1187</v>
      </c>
    </row>
    <row r="6127" spans="2:2" ht="14.4" hidden="1" x14ac:dyDescent="0.3">
      <c r="B6127" t="s">
        <v>1188</v>
      </c>
    </row>
    <row r="6128" spans="2:2" ht="14.4" hidden="1" x14ac:dyDescent="0.3">
      <c r="B6128" t="s">
        <v>1189</v>
      </c>
    </row>
    <row r="6129" spans="2:2" ht="14.4" hidden="1" x14ac:dyDescent="0.3">
      <c r="B6129" t="s">
        <v>94</v>
      </c>
    </row>
    <row r="6130" spans="2:2" ht="14.4" hidden="1" x14ac:dyDescent="0.3">
      <c r="B6130" t="s">
        <v>1190</v>
      </c>
    </row>
    <row r="6131" spans="2:2" ht="14.4" hidden="1" x14ac:dyDescent="0.3">
      <c r="B6131" t="s">
        <v>95</v>
      </c>
    </row>
    <row r="6132" spans="2:2" ht="14.4" hidden="1" x14ac:dyDescent="0.3">
      <c r="B6132" t="s">
        <v>1191</v>
      </c>
    </row>
    <row r="6133" spans="2:2" ht="14.4" hidden="1" x14ac:dyDescent="0.3">
      <c r="B6133" t="s">
        <v>4608</v>
      </c>
    </row>
    <row r="6134" spans="2:2" ht="14.4" hidden="1" x14ac:dyDescent="0.3">
      <c r="B6134" t="s">
        <v>1192</v>
      </c>
    </row>
    <row r="6135" spans="2:2" ht="14.4" hidden="1" x14ac:dyDescent="0.3">
      <c r="B6135" t="s">
        <v>1193</v>
      </c>
    </row>
    <row r="6136" spans="2:2" ht="14.4" hidden="1" x14ac:dyDescent="0.3">
      <c r="B6136" t="s">
        <v>93</v>
      </c>
    </row>
    <row r="6137" spans="2:2" ht="14.4" hidden="1" x14ac:dyDescent="0.3">
      <c r="B6137" t="s">
        <v>4614</v>
      </c>
    </row>
    <row r="6138" spans="2:2" ht="14.4" hidden="1" x14ac:dyDescent="0.3">
      <c r="B6138" t="s">
        <v>1194</v>
      </c>
    </row>
    <row r="6139" spans="2:2" ht="14.4" hidden="1" x14ac:dyDescent="0.3">
      <c r="B6139" t="s">
        <v>1195</v>
      </c>
    </row>
    <row r="6140" spans="2:2" ht="14.4" hidden="1" x14ac:dyDescent="0.3">
      <c r="B6140" t="s">
        <v>1196</v>
      </c>
    </row>
    <row r="6141" spans="2:2" ht="14.4" hidden="1" x14ac:dyDescent="0.3">
      <c r="B6141" t="s">
        <v>1197</v>
      </c>
    </row>
    <row r="6142" spans="2:2" ht="14.4" hidden="1" x14ac:dyDescent="0.3">
      <c r="B6142" t="s">
        <v>4621</v>
      </c>
    </row>
    <row r="6143" spans="2:2" ht="14.4" hidden="1" x14ac:dyDescent="0.3">
      <c r="B6143" t="s">
        <v>1198</v>
      </c>
    </row>
    <row r="6144" spans="2:2" ht="14.4" hidden="1" x14ac:dyDescent="0.3">
      <c r="B6144" t="s">
        <v>1199</v>
      </c>
    </row>
    <row r="6145" spans="2:2" ht="14.4" hidden="1" x14ac:dyDescent="0.3">
      <c r="B6145" t="s">
        <v>1200</v>
      </c>
    </row>
    <row r="6146" spans="2:2" ht="14.4" hidden="1" x14ac:dyDescent="0.3">
      <c r="B6146" t="s">
        <v>1201</v>
      </c>
    </row>
    <row r="6147" spans="2:2" ht="14.4" hidden="1" x14ac:dyDescent="0.3">
      <c r="B6147" t="s">
        <v>1202</v>
      </c>
    </row>
    <row r="6148" spans="2:2" ht="14.4" hidden="1" x14ac:dyDescent="0.3">
      <c r="B6148" t="s">
        <v>1203</v>
      </c>
    </row>
    <row r="6149" spans="2:2" ht="14.4" hidden="1" x14ac:dyDescent="0.3">
      <c r="B6149" t="s">
        <v>1204</v>
      </c>
    </row>
    <row r="6150" spans="2:2" ht="14.4" hidden="1" x14ac:dyDescent="0.3">
      <c r="B6150" t="s">
        <v>1205</v>
      </c>
    </row>
    <row r="6151" spans="2:2" ht="14.4" hidden="1" x14ac:dyDescent="0.3">
      <c r="B6151" t="s">
        <v>1206</v>
      </c>
    </row>
    <row r="6152" spans="2:2" ht="14.4" hidden="1" x14ac:dyDescent="0.3">
      <c r="B6152" t="s">
        <v>4633</v>
      </c>
    </row>
    <row r="6153" spans="2:2" ht="14.4" hidden="1" x14ac:dyDescent="0.3">
      <c r="B6153" t="s">
        <v>4636</v>
      </c>
    </row>
    <row r="6154" spans="2:2" ht="14.4" hidden="1" x14ac:dyDescent="0.3">
      <c r="B6154" t="s">
        <v>1207</v>
      </c>
    </row>
    <row r="6155" spans="2:2" ht="14.4" hidden="1" x14ac:dyDescent="0.3">
      <c r="B6155" t="s">
        <v>1208</v>
      </c>
    </row>
    <row r="6156" spans="2:2" ht="14.4" hidden="1" x14ac:dyDescent="0.3">
      <c r="B6156" t="s">
        <v>1209</v>
      </c>
    </row>
    <row r="6157" spans="2:2" ht="14.4" hidden="1" x14ac:dyDescent="0.3">
      <c r="B6157" t="s">
        <v>1321</v>
      </c>
    </row>
    <row r="6158" spans="2:2" ht="14.4" hidden="1" x14ac:dyDescent="0.3">
      <c r="B6158" t="s">
        <v>1210</v>
      </c>
    </row>
    <row r="6159" spans="2:2" ht="14.4" hidden="1" x14ac:dyDescent="0.3">
      <c r="B6159" t="s">
        <v>1211</v>
      </c>
    </row>
    <row r="6160" spans="2:2" ht="14.4" hidden="1" x14ac:dyDescent="0.3">
      <c r="B6160" t="s">
        <v>1212</v>
      </c>
    </row>
    <row r="6161" spans="2:2" ht="14.4" hidden="1" x14ac:dyDescent="0.3">
      <c r="B6161" t="s">
        <v>1213</v>
      </c>
    </row>
    <row r="6162" spans="2:2" ht="14.4" hidden="1" x14ac:dyDescent="0.3">
      <c r="B6162" t="s">
        <v>4647</v>
      </c>
    </row>
    <row r="6163" spans="2:2" ht="14.4" hidden="1" x14ac:dyDescent="0.3">
      <c r="B6163" t="s">
        <v>1214</v>
      </c>
    </row>
    <row r="6164" spans="2:2" ht="14.4" hidden="1" x14ac:dyDescent="0.3">
      <c r="B6164" t="s">
        <v>4651</v>
      </c>
    </row>
    <row r="6165" spans="2:2" ht="14.4" hidden="1" x14ac:dyDescent="0.3">
      <c r="B6165" t="s">
        <v>1215</v>
      </c>
    </row>
    <row r="6166" spans="2:2" ht="14.4" hidden="1" x14ac:dyDescent="0.3">
      <c r="B6166" t="s">
        <v>4655</v>
      </c>
    </row>
    <row r="6167" spans="2:2" ht="14.4" hidden="1" x14ac:dyDescent="0.3">
      <c r="B6167" t="s">
        <v>1216</v>
      </c>
    </row>
    <row r="6168" spans="2:2" ht="14.4" hidden="1" x14ac:dyDescent="0.3">
      <c r="B6168" t="s">
        <v>1217</v>
      </c>
    </row>
    <row r="6169" spans="2:2" ht="14.4" hidden="1" x14ac:dyDescent="0.3">
      <c r="B6169" t="s">
        <v>1218</v>
      </c>
    </row>
    <row r="6170" spans="2:2" ht="14.4" hidden="1" x14ac:dyDescent="0.3">
      <c r="B6170" t="s">
        <v>1219</v>
      </c>
    </row>
    <row r="6171" spans="2:2" ht="14.4" hidden="1" x14ac:dyDescent="0.3">
      <c r="B6171" t="s">
        <v>1220</v>
      </c>
    </row>
    <row r="6172" spans="2:2" ht="14.4" hidden="1" x14ac:dyDescent="0.3">
      <c r="B6172" t="s">
        <v>4663</v>
      </c>
    </row>
    <row r="6173" spans="2:2" ht="14.4" hidden="1" x14ac:dyDescent="0.3">
      <c r="B6173" t="s">
        <v>1221</v>
      </c>
    </row>
    <row r="6174" spans="2:2" ht="14.4" hidden="1" x14ac:dyDescent="0.3">
      <c r="B6174" t="s">
        <v>4667</v>
      </c>
    </row>
    <row r="6175" spans="2:2" ht="14.4" hidden="1" x14ac:dyDescent="0.3">
      <c r="B6175" t="s">
        <v>1222</v>
      </c>
    </row>
    <row r="6176" spans="2:2" ht="14.4" hidden="1" x14ac:dyDescent="0.3">
      <c r="B6176" t="s">
        <v>1223</v>
      </c>
    </row>
    <row r="6177" spans="2:2" ht="14.4" hidden="1" x14ac:dyDescent="0.3">
      <c r="B6177" t="s">
        <v>1224</v>
      </c>
    </row>
    <row r="6178" spans="2:2" ht="14.4" hidden="1" x14ac:dyDescent="0.3">
      <c r="B6178" t="s">
        <v>4673</v>
      </c>
    </row>
    <row r="6179" spans="2:2" ht="14.4" hidden="1" x14ac:dyDescent="0.3">
      <c r="B6179" t="s">
        <v>1320</v>
      </c>
    </row>
    <row r="6180" spans="2:2" ht="14.4" hidden="1" x14ac:dyDescent="0.3">
      <c r="B6180" t="s">
        <v>1225</v>
      </c>
    </row>
    <row r="6181" spans="2:2" ht="14.4" hidden="1" x14ac:dyDescent="0.3">
      <c r="B6181" t="s">
        <v>1226</v>
      </c>
    </row>
    <row r="6182" spans="2:2" ht="14.4" hidden="1" x14ac:dyDescent="0.3">
      <c r="B6182" t="s">
        <v>1227</v>
      </c>
    </row>
    <row r="6183" spans="2:2" ht="14.4" hidden="1" x14ac:dyDescent="0.3">
      <c r="B6183" t="s">
        <v>1228</v>
      </c>
    </row>
    <row r="6184" spans="2:2" ht="14.4" hidden="1" x14ac:dyDescent="0.3">
      <c r="B6184" t="s">
        <v>1229</v>
      </c>
    </row>
    <row r="6185" spans="2:2" ht="14.4" hidden="1" x14ac:dyDescent="0.3">
      <c r="B6185" t="s">
        <v>1229</v>
      </c>
    </row>
    <row r="6186" spans="2:2" ht="14.4" hidden="1" x14ac:dyDescent="0.3">
      <c r="B6186" t="s">
        <v>97</v>
      </c>
    </row>
    <row r="6187" spans="2:2" ht="14.4" hidden="1" x14ac:dyDescent="0.3">
      <c r="B6187" t="s">
        <v>4683</v>
      </c>
    </row>
    <row r="6188" spans="2:2" ht="14.4" hidden="1" x14ac:dyDescent="0.3">
      <c r="B6188" t="s">
        <v>1230</v>
      </c>
    </row>
    <row r="6189" spans="2:2" ht="14.4" hidden="1" x14ac:dyDescent="0.3">
      <c r="B6189" t="s">
        <v>1231</v>
      </c>
    </row>
    <row r="6190" spans="2:2" ht="14.4" hidden="1" x14ac:dyDescent="0.3">
      <c r="B6190" t="s">
        <v>1232</v>
      </c>
    </row>
    <row r="6191" spans="2:2" ht="14.4" hidden="1" x14ac:dyDescent="0.3">
      <c r="B6191" t="s">
        <v>1233</v>
      </c>
    </row>
    <row r="6192" spans="2:2" ht="14.4" hidden="1" x14ac:dyDescent="0.3">
      <c r="B6192" t="s">
        <v>1234</v>
      </c>
    </row>
    <row r="6193" spans="2:2" ht="14.4" hidden="1" x14ac:dyDescent="0.3">
      <c r="B6193" t="s">
        <v>1235</v>
      </c>
    </row>
    <row r="6194" spans="2:2" ht="14.4" hidden="1" x14ac:dyDescent="0.3">
      <c r="B6194" t="s">
        <v>1236</v>
      </c>
    </row>
    <row r="6195" spans="2:2" ht="14.4" hidden="1" x14ac:dyDescent="0.3">
      <c r="B6195" t="s">
        <v>1237</v>
      </c>
    </row>
    <row r="6196" spans="2:2" ht="14.4" hidden="1" x14ac:dyDescent="0.3">
      <c r="B6196" t="s">
        <v>1238</v>
      </c>
    </row>
    <row r="6197" spans="2:2" ht="14.4" hidden="1" x14ac:dyDescent="0.3">
      <c r="B6197" t="s">
        <v>1239</v>
      </c>
    </row>
    <row r="6198" spans="2:2" ht="14.4" hidden="1" x14ac:dyDescent="0.3">
      <c r="B6198" t="s">
        <v>1240</v>
      </c>
    </row>
    <row r="6199" spans="2:2" ht="14.4" hidden="1" x14ac:dyDescent="0.3">
      <c r="B6199" t="s">
        <v>1241</v>
      </c>
    </row>
    <row r="6200" spans="2:2" ht="14.4" hidden="1" x14ac:dyDescent="0.3">
      <c r="B6200" t="s">
        <v>4698</v>
      </c>
    </row>
    <row r="6201" spans="2:2" ht="14.4" hidden="1" x14ac:dyDescent="0.3">
      <c r="B6201" t="s">
        <v>1242</v>
      </c>
    </row>
    <row r="6202" spans="2:2" ht="14.4" hidden="1" x14ac:dyDescent="0.3">
      <c r="B6202" t="s">
        <v>1243</v>
      </c>
    </row>
    <row r="6203" spans="2:2" ht="14.4" hidden="1" x14ac:dyDescent="0.3">
      <c r="B6203" t="s">
        <v>1244</v>
      </c>
    </row>
    <row r="6204" spans="2:2" ht="14.4" hidden="1" x14ac:dyDescent="0.3">
      <c r="B6204" t="s">
        <v>1245</v>
      </c>
    </row>
    <row r="6205" spans="2:2" ht="14.4" hidden="1" x14ac:dyDescent="0.3">
      <c r="B6205" t="s">
        <v>1246</v>
      </c>
    </row>
    <row r="6206" spans="2:2" ht="14.4" hidden="1" x14ac:dyDescent="0.3">
      <c r="B6206" t="s">
        <v>1247</v>
      </c>
    </row>
    <row r="6207" spans="2:2" ht="14.4" hidden="1" x14ac:dyDescent="0.3">
      <c r="B6207" t="s">
        <v>1248</v>
      </c>
    </row>
    <row r="6208" spans="2:2" ht="14.4" hidden="1" x14ac:dyDescent="0.3">
      <c r="B6208" t="s">
        <v>1249</v>
      </c>
    </row>
    <row r="6209" spans="2:2" ht="14.4" hidden="1" x14ac:dyDescent="0.3">
      <c r="B6209" t="s">
        <v>4708</v>
      </c>
    </row>
    <row r="6210" spans="2:2" ht="14.4" hidden="1" x14ac:dyDescent="0.3">
      <c r="B6210" t="s">
        <v>108</v>
      </c>
    </row>
    <row r="6211" spans="2:2" ht="14.4" hidden="1" x14ac:dyDescent="0.3">
      <c r="B6211" t="s">
        <v>1250</v>
      </c>
    </row>
    <row r="6212" spans="2:2" ht="14.4" hidden="1" x14ac:dyDescent="0.3">
      <c r="B6212" t="s">
        <v>1251</v>
      </c>
    </row>
    <row r="6213" spans="2:2" ht="14.4" hidden="1" x14ac:dyDescent="0.3">
      <c r="B6213" t="s">
        <v>1252</v>
      </c>
    </row>
    <row r="6214" spans="2:2" ht="14.4" hidden="1" x14ac:dyDescent="0.3">
      <c r="B6214" t="s">
        <v>1253</v>
      </c>
    </row>
    <row r="6215" spans="2:2" ht="14.4" hidden="1" x14ac:dyDescent="0.3">
      <c r="B6215" t="s">
        <v>1254</v>
      </c>
    </row>
    <row r="6216" spans="2:2" ht="14.4" hidden="1" x14ac:dyDescent="0.3">
      <c r="B6216" t="s">
        <v>1255</v>
      </c>
    </row>
    <row r="6217" spans="2:2" ht="14.4" hidden="1" x14ac:dyDescent="0.3">
      <c r="B6217" t="s">
        <v>1256</v>
      </c>
    </row>
    <row r="6218" spans="2:2" ht="14.4" hidden="1" x14ac:dyDescent="0.3">
      <c r="B6218" t="s">
        <v>1257</v>
      </c>
    </row>
    <row r="6219" spans="2:2" ht="14.4" hidden="1" x14ac:dyDescent="0.3">
      <c r="B6219" t="s">
        <v>1258</v>
      </c>
    </row>
    <row r="6220" spans="2:2" ht="14.4" hidden="1" x14ac:dyDescent="0.3">
      <c r="B6220" t="s">
        <v>1259</v>
      </c>
    </row>
    <row r="6221" spans="2:2" ht="14.4" hidden="1" x14ac:dyDescent="0.3">
      <c r="B6221" t="s">
        <v>1260</v>
      </c>
    </row>
    <row r="6222" spans="2:2" ht="14.4" hidden="1" x14ac:dyDescent="0.3">
      <c r="B6222" t="s">
        <v>1261</v>
      </c>
    </row>
    <row r="6223" spans="2:2" ht="14.4" hidden="1" x14ac:dyDescent="0.3">
      <c r="B6223" t="s">
        <v>1262</v>
      </c>
    </row>
    <row r="6224" spans="2:2" ht="14.4" hidden="1" x14ac:dyDescent="0.3">
      <c r="B6224" t="s">
        <v>1263</v>
      </c>
    </row>
    <row r="6225" spans="2:2" ht="14.4" hidden="1" x14ac:dyDescent="0.3">
      <c r="B6225" t="s">
        <v>1264</v>
      </c>
    </row>
    <row r="6226" spans="2:2" ht="14.4" hidden="1" x14ac:dyDescent="0.3">
      <c r="B6226" t="s">
        <v>4727</v>
      </c>
    </row>
    <row r="6227" spans="2:2" ht="14.4" hidden="1" x14ac:dyDescent="0.3">
      <c r="B6227" t="s">
        <v>1265</v>
      </c>
    </row>
    <row r="6228" spans="2:2" ht="14.4" hidden="1" x14ac:dyDescent="0.3">
      <c r="B6228" t="s">
        <v>1266</v>
      </c>
    </row>
    <row r="6229" spans="2:2" ht="14.4" hidden="1" x14ac:dyDescent="0.3">
      <c r="B6229" t="s">
        <v>1267</v>
      </c>
    </row>
    <row r="6230" spans="2:2" ht="14.4" hidden="1" x14ac:dyDescent="0.3">
      <c r="B6230" t="s">
        <v>1268</v>
      </c>
    </row>
    <row r="6231" spans="2:2" ht="14.4" hidden="1" x14ac:dyDescent="0.3">
      <c r="B6231" t="s">
        <v>1269</v>
      </c>
    </row>
    <row r="6232" spans="2:2" ht="14.4" hidden="1" x14ac:dyDescent="0.3">
      <c r="B6232" t="s">
        <v>1270</v>
      </c>
    </row>
    <row r="6233" spans="2:2" ht="14.4" hidden="1" x14ac:dyDescent="0.3">
      <c r="B6233" t="s">
        <v>1271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BB286"/>
  <sheetViews>
    <sheetView tabSelected="1" zoomScale="70" zoomScaleNormal="70" workbookViewId="0">
      <pane xSplit="4" ySplit="1" topLeftCell="E2" activePane="bottomRight" state="frozen"/>
      <selection activeCell="J36" sqref="J36"/>
      <selection pane="topRight" activeCell="J36" sqref="J36"/>
      <selection pane="bottomLeft" activeCell="J36" sqref="J36"/>
      <selection pane="bottomRight" activeCell="G3" sqref="G3"/>
    </sheetView>
  </sheetViews>
  <sheetFormatPr defaultRowHeight="14.4" x14ac:dyDescent="0.3"/>
  <cols>
    <col min="1" max="1" width="11.88671875" customWidth="1"/>
    <col min="4" max="4" width="12.777343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2" max="42" width="19" customWidth="1"/>
    <col min="43" max="44" width="14.5546875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54" ht="90" x14ac:dyDescent="0.35">
      <c r="A1" s="32" t="s">
        <v>4741</v>
      </c>
      <c r="B1" s="32" t="s">
        <v>4742</v>
      </c>
      <c r="C1" s="33">
        <v>105</v>
      </c>
      <c r="D1" s="34">
        <f>C1/86400</f>
        <v>1.2152777777777778E-3</v>
      </c>
      <c r="E1" s="6">
        <v>2</v>
      </c>
      <c r="F1" s="6"/>
      <c r="G1" s="7" t="s">
        <v>4743</v>
      </c>
      <c r="H1" s="7" t="s">
        <v>4744</v>
      </c>
      <c r="I1" s="6" t="s">
        <v>4747</v>
      </c>
      <c r="J1" s="6" t="s">
        <v>4810</v>
      </c>
      <c r="K1" s="6" t="s">
        <v>4748</v>
      </c>
      <c r="L1" s="6" t="s">
        <v>4749</v>
      </c>
      <c r="M1" s="6" t="s">
        <v>4750</v>
      </c>
      <c r="N1" s="6" t="s">
        <v>4746</v>
      </c>
      <c r="O1" s="6" t="s">
        <v>4811</v>
      </c>
      <c r="P1" s="6" t="s">
        <v>4812</v>
      </c>
      <c r="Q1" s="6" t="s">
        <v>4773</v>
      </c>
      <c r="R1" s="6" t="s">
        <v>4774</v>
      </c>
      <c r="S1" s="6" t="s">
        <v>4770</v>
      </c>
      <c r="T1" s="6" t="s">
        <v>4745</v>
      </c>
      <c r="U1" s="6" t="s">
        <v>4771</v>
      </c>
      <c r="V1" s="6" t="s">
        <v>4772</v>
      </c>
      <c r="W1" s="6" t="s">
        <v>4766</v>
      </c>
      <c r="X1" s="6" t="s">
        <v>4767</v>
      </c>
      <c r="Y1" s="6" t="s">
        <v>4768</v>
      </c>
      <c r="Z1" s="6" t="s">
        <v>4769</v>
      </c>
      <c r="AA1" s="6" t="s">
        <v>4762</v>
      </c>
      <c r="AB1" s="6" t="s">
        <v>4763</v>
      </c>
      <c r="AC1" s="6" t="s">
        <v>4764</v>
      </c>
      <c r="AD1" s="6" t="s">
        <v>4765</v>
      </c>
      <c r="AE1" s="6" t="s">
        <v>4758</v>
      </c>
      <c r="AF1" s="6" t="s">
        <v>4759</v>
      </c>
      <c r="AG1" s="6" t="s">
        <v>4760</v>
      </c>
      <c r="AH1" s="6" t="s">
        <v>4761</v>
      </c>
      <c r="AI1" s="6" t="s">
        <v>4757</v>
      </c>
      <c r="AJ1" s="6" t="s">
        <v>4756</v>
      </c>
      <c r="AK1" s="6" t="s">
        <v>4755</v>
      </c>
      <c r="AL1" s="6" t="s">
        <v>4754</v>
      </c>
      <c r="AM1" s="6" t="s">
        <v>4751</v>
      </c>
      <c r="AN1" s="6" t="s">
        <v>4752</v>
      </c>
      <c r="AO1" s="6"/>
      <c r="AP1" s="6" t="s">
        <v>4753</v>
      </c>
      <c r="AQ1" s="6"/>
      <c r="AR1" s="6" t="s">
        <v>4794</v>
      </c>
    </row>
    <row r="2" spans="1:54" ht="40.799999999999997" x14ac:dyDescent="0.3">
      <c r="A2" s="10" t="s">
        <v>4786</v>
      </c>
      <c r="B2" s="11" t="s">
        <v>2634</v>
      </c>
      <c r="C2" s="11" t="s">
        <v>4738</v>
      </c>
      <c r="D2" s="11">
        <v>1</v>
      </c>
      <c r="E2" s="11" t="s">
        <v>4739</v>
      </c>
      <c r="F2" s="11" t="s">
        <v>4739</v>
      </c>
      <c r="G2" s="11">
        <v>12.25</v>
      </c>
      <c r="H2" s="11">
        <v>3.95</v>
      </c>
      <c r="I2" s="11">
        <v>4.05</v>
      </c>
      <c r="J2" s="11">
        <v>4.05</v>
      </c>
      <c r="K2" s="11">
        <v>4.2</v>
      </c>
      <c r="L2" s="11">
        <v>4.05</v>
      </c>
      <c r="M2" s="11">
        <v>4.1100000000000003</v>
      </c>
      <c r="N2" s="11">
        <v>4.1500000000000004</v>
      </c>
      <c r="O2" s="11">
        <v>0.1</v>
      </c>
      <c r="P2" s="11">
        <v>2.4700000000000002</v>
      </c>
      <c r="Q2" s="12">
        <v>2397895</v>
      </c>
      <c r="R2" s="11">
        <v>98.55</v>
      </c>
      <c r="S2" s="13">
        <v>507375</v>
      </c>
      <c r="T2" s="11">
        <v>4.1500000000000004</v>
      </c>
      <c r="U2" s="11">
        <v>4.2</v>
      </c>
      <c r="V2" s="13">
        <v>342774</v>
      </c>
      <c r="W2" s="13">
        <v>1072110</v>
      </c>
      <c r="X2" s="11">
        <v>4.0999999999999996</v>
      </c>
      <c r="Y2" s="11">
        <v>4.25</v>
      </c>
      <c r="Z2" s="13">
        <v>246337</v>
      </c>
      <c r="AA2" s="13">
        <v>1356769</v>
      </c>
      <c r="AB2" s="11">
        <v>4.05</v>
      </c>
      <c r="AC2" s="11">
        <v>4.3</v>
      </c>
      <c r="AD2" s="13">
        <v>270585</v>
      </c>
      <c r="AE2" s="13">
        <v>2186413</v>
      </c>
      <c r="AF2" s="11">
        <v>4</v>
      </c>
      <c r="AG2" s="11">
        <v>4.3499999999999996</v>
      </c>
      <c r="AH2" s="13">
        <v>188580</v>
      </c>
      <c r="AI2" s="13">
        <v>225841</v>
      </c>
      <c r="AJ2" s="11">
        <v>3.95</v>
      </c>
      <c r="AK2" s="11">
        <v>4.4000000000000004</v>
      </c>
      <c r="AL2" s="13">
        <v>391870</v>
      </c>
      <c r="AM2" s="13">
        <v>6228183</v>
      </c>
      <c r="AN2" s="13">
        <v>2301280</v>
      </c>
      <c r="AO2" s="14">
        <v>43304</v>
      </c>
      <c r="AP2" s="15" t="s">
        <v>4793</v>
      </c>
      <c r="AQ2" s="30"/>
      <c r="AR2" s="30">
        <f>43305+TIMEVALUE(SUBSTITUTE(AP2,";",":"))</f>
        <v>43305.451574074075</v>
      </c>
      <c r="AY2" s="17" t="str">
        <f>AP2</f>
        <v>24-JUL-2018 10;50;16</v>
      </c>
      <c r="AZ2" s="17">
        <f>BA2</f>
        <v>43301</v>
      </c>
      <c r="BA2" s="5">
        <v>43301</v>
      </c>
      <c r="BB2">
        <f>DATEVALUE("20-07-18")</f>
        <v>43301</v>
      </c>
    </row>
    <row r="3" spans="1:54" ht="28.2" customHeight="1" x14ac:dyDescent="0.3">
      <c r="A3" s="10" t="s">
        <v>4786</v>
      </c>
      <c r="B3" s="11" t="s">
        <v>2634</v>
      </c>
      <c r="C3" s="11" t="s">
        <v>4738</v>
      </c>
      <c r="D3" s="11">
        <v>1</v>
      </c>
      <c r="E3" s="11" t="s">
        <v>4739</v>
      </c>
      <c r="F3" s="11" t="s">
        <v>4739</v>
      </c>
      <c r="G3" s="11">
        <v>12.25</v>
      </c>
      <c r="H3" s="11">
        <v>3.95</v>
      </c>
      <c r="I3" s="11">
        <v>4.05</v>
      </c>
      <c r="J3" s="11">
        <v>4.05</v>
      </c>
      <c r="K3" s="11">
        <v>4.4000000000000004</v>
      </c>
      <c r="L3" s="11">
        <v>4.05</v>
      </c>
      <c r="M3" s="11">
        <v>4.18</v>
      </c>
      <c r="N3" s="11">
        <v>4.4000000000000004</v>
      </c>
      <c r="O3" s="11">
        <v>0.35</v>
      </c>
      <c r="P3" s="11">
        <v>8.64</v>
      </c>
      <c r="Q3" s="12">
        <v>4693315</v>
      </c>
      <c r="R3" s="11">
        <v>196.18</v>
      </c>
      <c r="S3" s="13">
        <v>74528</v>
      </c>
      <c r="T3" s="11">
        <v>4.3499999999999996</v>
      </c>
      <c r="U3" s="11">
        <v>4.4000000000000004</v>
      </c>
      <c r="V3" s="13">
        <v>394157</v>
      </c>
      <c r="W3" s="13">
        <v>527556</v>
      </c>
      <c r="X3" s="11">
        <v>4.3</v>
      </c>
      <c r="Y3" s="11">
        <v>4.45</v>
      </c>
      <c r="Z3" s="13">
        <v>345770</v>
      </c>
      <c r="AA3" s="13">
        <v>726800</v>
      </c>
      <c r="AB3" s="11">
        <v>4.25</v>
      </c>
      <c r="AC3" s="11">
        <v>4.5</v>
      </c>
      <c r="AD3" s="13">
        <v>251707</v>
      </c>
      <c r="AE3" s="13">
        <v>660513</v>
      </c>
      <c r="AF3" s="11">
        <v>4.2</v>
      </c>
      <c r="AG3" s="11">
        <v>4.55</v>
      </c>
      <c r="AH3" s="13">
        <v>35409</v>
      </c>
      <c r="AI3" s="13">
        <v>488432</v>
      </c>
      <c r="AJ3" s="11">
        <v>4.1500000000000004</v>
      </c>
      <c r="AK3" s="11">
        <v>4.5999999999999996</v>
      </c>
      <c r="AL3" s="13">
        <v>166505</v>
      </c>
      <c r="AM3" s="13">
        <v>6518275</v>
      </c>
      <c r="AN3" s="13">
        <v>2114432</v>
      </c>
      <c r="AO3" s="14">
        <v>43304</v>
      </c>
      <c r="AP3" s="15" t="s">
        <v>4795</v>
      </c>
      <c r="AQ3" s="30" t="s">
        <v>4740</v>
      </c>
      <c r="AR3" s="30">
        <f t="shared" ref="AR3:AR66" si="0">43305+TIMEVALUE(SUBSTITUTE(AP3,";",":"))</f>
        <v>43305.484583333331</v>
      </c>
      <c r="AY3" s="17" t="str">
        <f t="shared" ref="AY3" si="1">AP3</f>
        <v>24-JUL-2018 11;37;48</v>
      </c>
      <c r="AZ3" s="17">
        <f>BA3</f>
        <v>43301.000347222223</v>
      </c>
      <c r="BA3" s="18">
        <v>43301.000347222223</v>
      </c>
      <c r="BB3">
        <f>1/12</f>
        <v>8.3333333333333329E-2</v>
      </c>
    </row>
    <row r="4" spans="1:54" x14ac:dyDescent="0.3">
      <c r="A4" s="16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2"/>
      <c r="R4" s="11"/>
      <c r="S4" s="13"/>
      <c r="T4" s="11"/>
      <c r="U4" s="11"/>
      <c r="V4" s="13"/>
      <c r="W4" s="13"/>
      <c r="X4" s="11"/>
      <c r="Y4" s="11"/>
      <c r="Z4" s="13"/>
      <c r="AA4" s="13"/>
      <c r="AB4" s="11"/>
      <c r="AC4" s="11"/>
      <c r="AD4" s="13"/>
      <c r="AE4" s="13"/>
      <c r="AF4" s="11"/>
      <c r="AG4" s="11"/>
      <c r="AH4" s="13"/>
      <c r="AI4" s="13"/>
      <c r="AJ4" s="11"/>
      <c r="AK4" s="11"/>
      <c r="AL4" s="13"/>
      <c r="AM4" s="13"/>
      <c r="AN4" s="13"/>
      <c r="AO4" s="14"/>
      <c r="AP4" s="15"/>
      <c r="AQ4" s="30"/>
      <c r="AR4" s="30" t="e">
        <f t="shared" si="0"/>
        <v>#VALUE!</v>
      </c>
      <c r="AY4" s="17"/>
      <c r="AZ4" s="17"/>
      <c r="BA4" s="18"/>
    </row>
    <row r="5" spans="1:54" ht="40.799999999999997" x14ac:dyDescent="0.3">
      <c r="A5" s="10" t="s">
        <v>4786</v>
      </c>
      <c r="B5" s="11" t="s">
        <v>2634</v>
      </c>
      <c r="C5" s="11" t="s">
        <v>4738</v>
      </c>
      <c r="D5" s="11">
        <v>1</v>
      </c>
      <c r="E5" s="11" t="s">
        <v>4739</v>
      </c>
      <c r="F5" s="11" t="s">
        <v>4739</v>
      </c>
      <c r="G5" s="11">
        <v>12.25</v>
      </c>
      <c r="H5" s="11">
        <v>3.95</v>
      </c>
      <c r="I5" s="11">
        <v>4.05</v>
      </c>
      <c r="J5" s="11">
        <v>4.05</v>
      </c>
      <c r="K5" s="11">
        <v>4.4000000000000004</v>
      </c>
      <c r="L5" s="11">
        <v>4.05</v>
      </c>
      <c r="M5" s="11">
        <v>4.18</v>
      </c>
      <c r="N5" s="11">
        <v>4.4000000000000004</v>
      </c>
      <c r="O5" s="11">
        <v>0.35</v>
      </c>
      <c r="P5" s="11">
        <v>8.64</v>
      </c>
      <c r="Q5" s="12">
        <v>4693315</v>
      </c>
      <c r="R5" s="11">
        <v>196.18</v>
      </c>
      <c r="S5" s="13">
        <v>74528</v>
      </c>
      <c r="T5" s="11">
        <v>4.3499999999999996</v>
      </c>
      <c r="U5" s="11">
        <v>4.4000000000000004</v>
      </c>
      <c r="V5" s="13">
        <v>394157</v>
      </c>
      <c r="W5" s="13">
        <v>527556</v>
      </c>
      <c r="X5" s="11">
        <v>4.3</v>
      </c>
      <c r="Y5" s="11">
        <v>4.45</v>
      </c>
      <c r="Z5" s="13">
        <v>345770</v>
      </c>
      <c r="AA5" s="13">
        <v>726800</v>
      </c>
      <c r="AB5" s="11">
        <v>4.25</v>
      </c>
      <c r="AC5" s="11">
        <v>4.5</v>
      </c>
      <c r="AD5" s="13">
        <v>251707</v>
      </c>
      <c r="AE5" s="13">
        <v>660513</v>
      </c>
      <c r="AF5" s="11">
        <v>4.2</v>
      </c>
      <c r="AG5" s="11">
        <v>4.55</v>
      </c>
      <c r="AH5" s="13">
        <v>35409</v>
      </c>
      <c r="AI5" s="13">
        <v>488432</v>
      </c>
      <c r="AJ5" s="11">
        <v>4.1500000000000004</v>
      </c>
      <c r="AK5" s="11">
        <v>4.5999999999999996</v>
      </c>
      <c r="AL5" s="13">
        <v>166505</v>
      </c>
      <c r="AM5" s="13">
        <v>6518275</v>
      </c>
      <c r="AN5" s="13">
        <v>2114432</v>
      </c>
      <c r="AO5" s="14">
        <v>43304</v>
      </c>
      <c r="AP5" s="15" t="s">
        <v>4795</v>
      </c>
      <c r="AQ5" s="30" t="s">
        <v>4740</v>
      </c>
      <c r="AR5" s="30">
        <f t="shared" si="0"/>
        <v>43305.484583333331</v>
      </c>
      <c r="AY5" s="17"/>
      <c r="BA5" s="18"/>
    </row>
    <row r="6" spans="1:54" ht="40.799999999999997" x14ac:dyDescent="0.3">
      <c r="A6" s="10" t="s">
        <v>4786</v>
      </c>
      <c r="B6" s="11" t="s">
        <v>2634</v>
      </c>
      <c r="C6" s="11" t="s">
        <v>4738</v>
      </c>
      <c r="D6" s="11">
        <v>1</v>
      </c>
      <c r="E6" s="11" t="s">
        <v>4739</v>
      </c>
      <c r="F6" s="11" t="s">
        <v>4739</v>
      </c>
      <c r="G6" s="11">
        <v>12.25</v>
      </c>
      <c r="H6" s="11">
        <v>3.95</v>
      </c>
      <c r="I6" s="11">
        <v>4.05</v>
      </c>
      <c r="J6" s="11">
        <v>4.05</v>
      </c>
      <c r="K6" s="11">
        <v>4.4000000000000004</v>
      </c>
      <c r="L6" s="11">
        <v>4.05</v>
      </c>
      <c r="M6" s="11">
        <v>4.18</v>
      </c>
      <c r="N6" s="11">
        <v>4.4000000000000004</v>
      </c>
      <c r="O6" s="11">
        <v>0.35</v>
      </c>
      <c r="P6" s="11">
        <v>8.64</v>
      </c>
      <c r="Q6" s="12">
        <v>4693315</v>
      </c>
      <c r="R6" s="11">
        <v>196.18</v>
      </c>
      <c r="S6" s="13">
        <v>74528</v>
      </c>
      <c r="T6" s="11">
        <v>4.3499999999999996</v>
      </c>
      <c r="U6" s="11">
        <v>4.4000000000000004</v>
      </c>
      <c r="V6" s="13">
        <v>394157</v>
      </c>
      <c r="W6" s="13">
        <v>527556</v>
      </c>
      <c r="X6" s="11">
        <v>4.3</v>
      </c>
      <c r="Y6" s="11">
        <v>4.45</v>
      </c>
      <c r="Z6" s="13">
        <v>345770</v>
      </c>
      <c r="AA6" s="13">
        <v>726800</v>
      </c>
      <c r="AB6" s="11">
        <v>4.25</v>
      </c>
      <c r="AC6" s="11">
        <v>4.5</v>
      </c>
      <c r="AD6" s="13">
        <v>251707</v>
      </c>
      <c r="AE6" s="13">
        <v>660513</v>
      </c>
      <c r="AF6" s="11">
        <v>4.2</v>
      </c>
      <c r="AG6" s="11">
        <v>4.55</v>
      </c>
      <c r="AH6" s="13">
        <v>35409</v>
      </c>
      <c r="AI6" s="13">
        <v>488432</v>
      </c>
      <c r="AJ6" s="11">
        <v>4.1500000000000004</v>
      </c>
      <c r="AK6" s="11">
        <v>4.5999999999999996</v>
      </c>
      <c r="AL6" s="13">
        <v>166505</v>
      </c>
      <c r="AM6" s="13">
        <v>6518275</v>
      </c>
      <c r="AN6" s="13">
        <v>2114432</v>
      </c>
      <c r="AO6" s="14">
        <v>43304</v>
      </c>
      <c r="AP6" s="15" t="s">
        <v>4795</v>
      </c>
      <c r="AQ6" s="30" t="s">
        <v>4740</v>
      </c>
      <c r="AR6" s="30">
        <f t="shared" si="0"/>
        <v>43305.484583333331</v>
      </c>
      <c r="AY6" s="17"/>
      <c r="BA6" s="18"/>
    </row>
    <row r="7" spans="1:54" ht="40.799999999999997" x14ac:dyDescent="0.3">
      <c r="A7" s="16" t="s">
        <v>4786</v>
      </c>
      <c r="B7" s="11" t="s">
        <v>2634</v>
      </c>
      <c r="C7" s="11" t="s">
        <v>4738</v>
      </c>
      <c r="D7" s="11">
        <v>1</v>
      </c>
      <c r="E7" s="11" t="s">
        <v>4739</v>
      </c>
      <c r="F7" s="11" t="s">
        <v>4739</v>
      </c>
      <c r="G7" s="11">
        <v>12.25</v>
      </c>
      <c r="H7" s="11">
        <v>3.95</v>
      </c>
      <c r="I7" s="11">
        <v>4.05</v>
      </c>
      <c r="J7" s="11">
        <v>4.05</v>
      </c>
      <c r="K7" s="11">
        <v>4.4000000000000004</v>
      </c>
      <c r="L7" s="11">
        <v>4.05</v>
      </c>
      <c r="M7" s="11">
        <v>4.18</v>
      </c>
      <c r="N7" s="11">
        <v>4.4000000000000004</v>
      </c>
      <c r="O7" s="11">
        <v>0.35</v>
      </c>
      <c r="P7" s="11">
        <v>8.64</v>
      </c>
      <c r="Q7" s="12">
        <v>4693315</v>
      </c>
      <c r="R7" s="11">
        <v>196.18</v>
      </c>
      <c r="S7" s="13">
        <v>74528</v>
      </c>
      <c r="T7" s="11">
        <v>4.3499999999999996</v>
      </c>
      <c r="U7" s="11">
        <v>4.4000000000000004</v>
      </c>
      <c r="V7" s="13">
        <v>394157</v>
      </c>
      <c r="W7" s="13">
        <v>527556</v>
      </c>
      <c r="X7" s="11">
        <v>4.3</v>
      </c>
      <c r="Y7" s="11">
        <v>4.45</v>
      </c>
      <c r="Z7" s="13">
        <v>345770</v>
      </c>
      <c r="AA7" s="13">
        <v>726800</v>
      </c>
      <c r="AB7" s="11">
        <v>4.25</v>
      </c>
      <c r="AC7" s="11">
        <v>4.5</v>
      </c>
      <c r="AD7" s="13">
        <v>251707</v>
      </c>
      <c r="AE7" s="13">
        <v>660513</v>
      </c>
      <c r="AF7" s="11">
        <v>4.2</v>
      </c>
      <c r="AG7" s="11">
        <v>4.55</v>
      </c>
      <c r="AH7" s="13">
        <v>35409</v>
      </c>
      <c r="AI7" s="13">
        <v>488432</v>
      </c>
      <c r="AJ7" s="11">
        <v>4.1500000000000004</v>
      </c>
      <c r="AK7" s="11">
        <v>4.5999999999999996</v>
      </c>
      <c r="AL7" s="13">
        <v>166505</v>
      </c>
      <c r="AM7" s="13">
        <v>6518275</v>
      </c>
      <c r="AN7" s="13">
        <v>2114432</v>
      </c>
      <c r="AO7" s="14">
        <v>43304</v>
      </c>
      <c r="AP7" s="15" t="s">
        <v>4795</v>
      </c>
      <c r="AQ7" s="30" t="s">
        <v>4740</v>
      </c>
      <c r="AR7" s="30">
        <f t="shared" si="0"/>
        <v>43305.484583333331</v>
      </c>
      <c r="AY7" s="17"/>
      <c r="BA7" s="18"/>
    </row>
    <row r="8" spans="1:54" ht="40.799999999999997" x14ac:dyDescent="0.3">
      <c r="A8" s="10" t="s">
        <v>4786</v>
      </c>
      <c r="B8" s="11" t="s">
        <v>2634</v>
      </c>
      <c r="C8" s="11" t="s">
        <v>4738</v>
      </c>
      <c r="D8" s="11">
        <v>1</v>
      </c>
      <c r="E8" s="11" t="s">
        <v>4739</v>
      </c>
      <c r="F8" s="11" t="s">
        <v>4739</v>
      </c>
      <c r="G8" s="11">
        <v>12.25</v>
      </c>
      <c r="H8" s="11">
        <v>3.95</v>
      </c>
      <c r="I8" s="11">
        <v>4.05</v>
      </c>
      <c r="J8" s="11">
        <v>4.05</v>
      </c>
      <c r="K8" s="11">
        <v>4.45</v>
      </c>
      <c r="L8" s="11">
        <v>4.05</v>
      </c>
      <c r="M8" s="11">
        <v>4.25</v>
      </c>
      <c r="N8" s="11">
        <v>4.3499999999999996</v>
      </c>
      <c r="O8" s="11">
        <v>0.3</v>
      </c>
      <c r="P8" s="11">
        <v>7.41</v>
      </c>
      <c r="Q8" s="12">
        <v>6878210</v>
      </c>
      <c r="R8" s="11">
        <v>292.32</v>
      </c>
      <c r="S8" s="13">
        <v>439162</v>
      </c>
      <c r="T8" s="11">
        <v>4.3499999999999996</v>
      </c>
      <c r="U8" s="11">
        <v>4.4000000000000004</v>
      </c>
      <c r="V8" s="13">
        <v>201455</v>
      </c>
      <c r="W8" s="13">
        <v>850052</v>
      </c>
      <c r="X8" s="11">
        <v>4.3</v>
      </c>
      <c r="Y8" s="11">
        <v>4.45</v>
      </c>
      <c r="Z8" s="13">
        <v>351714</v>
      </c>
      <c r="AA8" s="13">
        <v>867009</v>
      </c>
      <c r="AB8" s="11">
        <v>4.25</v>
      </c>
      <c r="AC8" s="11">
        <v>4.5</v>
      </c>
      <c r="AD8" s="13">
        <v>269365</v>
      </c>
      <c r="AE8" s="13">
        <v>898365</v>
      </c>
      <c r="AF8" s="11">
        <v>4.2</v>
      </c>
      <c r="AG8" s="11">
        <v>4.55</v>
      </c>
      <c r="AH8" s="13">
        <v>65875</v>
      </c>
      <c r="AI8" s="13">
        <v>480999</v>
      </c>
      <c r="AJ8" s="11">
        <v>4.1500000000000004</v>
      </c>
      <c r="AK8" s="11">
        <v>4.5999999999999996</v>
      </c>
      <c r="AL8" s="13">
        <v>246902</v>
      </c>
      <c r="AM8" s="13">
        <v>7592345</v>
      </c>
      <c r="AN8" s="13">
        <v>2410483</v>
      </c>
      <c r="AO8" s="14">
        <v>43304</v>
      </c>
      <c r="AP8" s="15" t="s">
        <v>4796</v>
      </c>
      <c r="AQ8" s="30" t="s">
        <v>4740</v>
      </c>
      <c r="AR8" s="30">
        <f t="shared" si="0"/>
        <v>43305.488402777781</v>
      </c>
      <c r="AY8" s="17"/>
      <c r="BA8" s="18"/>
    </row>
    <row r="9" spans="1:54" ht="40.799999999999997" x14ac:dyDescent="0.3">
      <c r="A9" s="10" t="s">
        <v>4786</v>
      </c>
      <c r="B9" s="11" t="s">
        <v>2634</v>
      </c>
      <c r="C9" s="11" t="s">
        <v>4738</v>
      </c>
      <c r="D9" s="11">
        <v>1</v>
      </c>
      <c r="E9" s="11" t="s">
        <v>4739</v>
      </c>
      <c r="F9" s="11" t="s">
        <v>4739</v>
      </c>
      <c r="G9" s="11">
        <v>12.25</v>
      </c>
      <c r="H9" s="11">
        <v>3.95</v>
      </c>
      <c r="I9" s="11">
        <v>4.05</v>
      </c>
      <c r="J9" s="11">
        <v>4.05</v>
      </c>
      <c r="K9" s="11">
        <v>4.45</v>
      </c>
      <c r="L9" s="11">
        <v>4.05</v>
      </c>
      <c r="M9" s="11">
        <v>4.25</v>
      </c>
      <c r="N9" s="11">
        <v>4.3499999999999996</v>
      </c>
      <c r="O9" s="11">
        <v>0.3</v>
      </c>
      <c r="P9" s="11">
        <v>7.41</v>
      </c>
      <c r="Q9" s="12">
        <v>6878210</v>
      </c>
      <c r="R9" s="11">
        <v>292.32</v>
      </c>
      <c r="S9" s="13">
        <v>439162</v>
      </c>
      <c r="T9" s="11">
        <v>4.3499999999999996</v>
      </c>
      <c r="U9" s="11">
        <v>4.4000000000000004</v>
      </c>
      <c r="V9" s="13">
        <v>201455</v>
      </c>
      <c r="W9" s="13">
        <v>850052</v>
      </c>
      <c r="X9" s="11">
        <v>4.3</v>
      </c>
      <c r="Y9" s="11">
        <v>4.45</v>
      </c>
      <c r="Z9" s="13">
        <v>351714</v>
      </c>
      <c r="AA9" s="13">
        <v>867009</v>
      </c>
      <c r="AB9" s="11">
        <v>4.25</v>
      </c>
      <c r="AC9" s="11">
        <v>4.5</v>
      </c>
      <c r="AD9" s="13">
        <v>269365</v>
      </c>
      <c r="AE9" s="13">
        <v>898365</v>
      </c>
      <c r="AF9" s="11">
        <v>4.2</v>
      </c>
      <c r="AG9" s="11">
        <v>4.55</v>
      </c>
      <c r="AH9" s="13">
        <v>65875</v>
      </c>
      <c r="AI9" s="13">
        <v>480999</v>
      </c>
      <c r="AJ9" s="11">
        <v>4.1500000000000004</v>
      </c>
      <c r="AK9" s="11">
        <v>4.5999999999999996</v>
      </c>
      <c r="AL9" s="13">
        <v>246902</v>
      </c>
      <c r="AM9" s="13">
        <v>7592345</v>
      </c>
      <c r="AN9" s="13">
        <v>2410483</v>
      </c>
      <c r="AO9" s="14">
        <v>43304</v>
      </c>
      <c r="AP9" s="15" t="s">
        <v>4796</v>
      </c>
      <c r="AQ9" s="30" t="s">
        <v>4740</v>
      </c>
      <c r="AR9" s="30">
        <f t="shared" si="0"/>
        <v>43305.488402777781</v>
      </c>
      <c r="AY9" s="17"/>
      <c r="BA9" s="18"/>
    </row>
    <row r="10" spans="1:54" ht="40.799999999999997" x14ac:dyDescent="0.3">
      <c r="A10" s="10" t="s">
        <v>4786</v>
      </c>
      <c r="B10" s="11" t="s">
        <v>2634</v>
      </c>
      <c r="C10" s="11" t="s">
        <v>4738</v>
      </c>
      <c r="D10" s="11">
        <v>1</v>
      </c>
      <c r="E10" s="11" t="s">
        <v>4739</v>
      </c>
      <c r="F10" s="11" t="s">
        <v>4739</v>
      </c>
      <c r="G10" s="11">
        <v>12.25</v>
      </c>
      <c r="H10" s="11">
        <v>3.95</v>
      </c>
      <c r="I10" s="11">
        <v>4.05</v>
      </c>
      <c r="J10" s="11">
        <v>4.05</v>
      </c>
      <c r="K10" s="11">
        <v>4.45</v>
      </c>
      <c r="L10" s="11">
        <v>4.05</v>
      </c>
      <c r="M10" s="11">
        <v>4.25</v>
      </c>
      <c r="N10" s="11">
        <v>4.3499999999999996</v>
      </c>
      <c r="O10" s="11">
        <v>0.3</v>
      </c>
      <c r="P10" s="11">
        <v>7.41</v>
      </c>
      <c r="Q10" s="12">
        <v>7127617</v>
      </c>
      <c r="R10" s="11">
        <v>302.92</v>
      </c>
      <c r="S10" s="13">
        <v>257531</v>
      </c>
      <c r="T10" s="11">
        <v>4.3</v>
      </c>
      <c r="U10" s="11">
        <v>4.3499999999999996</v>
      </c>
      <c r="V10" s="13">
        <v>208119</v>
      </c>
      <c r="W10" s="13">
        <v>323959</v>
      </c>
      <c r="X10" s="11">
        <v>4.25</v>
      </c>
      <c r="Y10" s="11">
        <v>4.4000000000000004</v>
      </c>
      <c r="Z10" s="13">
        <v>314202</v>
      </c>
      <c r="AA10" s="13">
        <v>636365</v>
      </c>
      <c r="AB10" s="11">
        <v>4.2</v>
      </c>
      <c r="AC10" s="11">
        <v>4.45</v>
      </c>
      <c r="AD10" s="13">
        <v>348809</v>
      </c>
      <c r="AE10" s="13">
        <v>490999</v>
      </c>
      <c r="AF10" s="11">
        <v>4.1500000000000004</v>
      </c>
      <c r="AG10" s="11">
        <v>4.5</v>
      </c>
      <c r="AH10" s="13">
        <v>272465</v>
      </c>
      <c r="AI10" s="13">
        <v>648090</v>
      </c>
      <c r="AJ10" s="11">
        <v>4.0999999999999996</v>
      </c>
      <c r="AK10" s="11">
        <v>4.55</v>
      </c>
      <c r="AL10" s="13">
        <v>71525</v>
      </c>
      <c r="AM10" s="13">
        <v>5710057</v>
      </c>
      <c r="AN10" s="13">
        <v>2752698</v>
      </c>
      <c r="AO10" s="14">
        <v>43304</v>
      </c>
      <c r="AP10" s="15" t="s">
        <v>4797</v>
      </c>
      <c r="AQ10" s="30" t="s">
        <v>4740</v>
      </c>
      <c r="AR10" s="30">
        <f t="shared" si="0"/>
        <v>43305.489444444444</v>
      </c>
      <c r="AY10" s="17"/>
      <c r="BA10" s="18"/>
    </row>
    <row r="11" spans="1:54" ht="40.799999999999997" x14ac:dyDescent="0.3">
      <c r="A11" s="10" t="s">
        <v>4786</v>
      </c>
      <c r="B11" s="11" t="s">
        <v>2634</v>
      </c>
      <c r="C11" s="11" t="s">
        <v>4738</v>
      </c>
      <c r="D11" s="11">
        <v>1</v>
      </c>
      <c r="E11" s="11" t="s">
        <v>4739</v>
      </c>
      <c r="F11" s="11" t="s">
        <v>4739</v>
      </c>
      <c r="G11" s="11">
        <v>12.25</v>
      </c>
      <c r="H11" s="11">
        <v>3.95</v>
      </c>
      <c r="I11" s="11">
        <v>4.05</v>
      </c>
      <c r="J11" s="11">
        <v>4.05</v>
      </c>
      <c r="K11" s="11">
        <v>4.45</v>
      </c>
      <c r="L11" s="11">
        <v>4.05</v>
      </c>
      <c r="M11" s="11">
        <v>4.25</v>
      </c>
      <c r="N11" s="11">
        <v>4.3499999999999996</v>
      </c>
      <c r="O11" s="11">
        <v>0.3</v>
      </c>
      <c r="P11" s="11">
        <v>7.41</v>
      </c>
      <c r="Q11" s="12">
        <v>7127617</v>
      </c>
      <c r="R11" s="11">
        <v>302.92</v>
      </c>
      <c r="S11" s="13">
        <v>257531</v>
      </c>
      <c r="T11" s="11">
        <v>4.3</v>
      </c>
      <c r="U11" s="11">
        <v>4.3499999999999996</v>
      </c>
      <c r="V11" s="13">
        <v>208119</v>
      </c>
      <c r="W11" s="13">
        <v>323959</v>
      </c>
      <c r="X11" s="11">
        <v>4.25</v>
      </c>
      <c r="Y11" s="11">
        <v>4.4000000000000004</v>
      </c>
      <c r="Z11" s="13">
        <v>314202</v>
      </c>
      <c r="AA11" s="13">
        <v>636365</v>
      </c>
      <c r="AB11" s="11">
        <v>4.2</v>
      </c>
      <c r="AC11" s="11">
        <v>4.45</v>
      </c>
      <c r="AD11" s="13">
        <v>348809</v>
      </c>
      <c r="AE11" s="13">
        <v>490999</v>
      </c>
      <c r="AF11" s="11">
        <v>4.1500000000000004</v>
      </c>
      <c r="AG11" s="11">
        <v>4.5</v>
      </c>
      <c r="AH11" s="13">
        <v>272465</v>
      </c>
      <c r="AI11" s="13">
        <v>648090</v>
      </c>
      <c r="AJ11" s="11">
        <v>4.0999999999999996</v>
      </c>
      <c r="AK11" s="11">
        <v>4.55</v>
      </c>
      <c r="AL11" s="13">
        <v>71525</v>
      </c>
      <c r="AM11" s="13">
        <v>5710057</v>
      </c>
      <c r="AN11" s="13">
        <v>2752698</v>
      </c>
      <c r="AO11" s="14">
        <v>43304</v>
      </c>
      <c r="AP11" s="15" t="s">
        <v>4797</v>
      </c>
      <c r="AQ11" s="30" t="s">
        <v>4740</v>
      </c>
      <c r="AR11" s="30">
        <f t="shared" si="0"/>
        <v>43305.489444444444</v>
      </c>
      <c r="AY11" s="17"/>
      <c r="BA11" s="18"/>
    </row>
    <row r="12" spans="1:54" ht="40.799999999999997" x14ac:dyDescent="0.3">
      <c r="A12" s="10" t="s">
        <v>4786</v>
      </c>
      <c r="B12" s="11" t="s">
        <v>2634</v>
      </c>
      <c r="C12" s="11" t="s">
        <v>4738</v>
      </c>
      <c r="D12" s="11">
        <v>1</v>
      </c>
      <c r="E12" s="11" t="s">
        <v>4739</v>
      </c>
      <c r="F12" s="11" t="s">
        <v>4739</v>
      </c>
      <c r="G12" s="11">
        <v>12.25</v>
      </c>
      <c r="H12" s="11">
        <v>3.95</v>
      </c>
      <c r="I12" s="11">
        <v>4.05</v>
      </c>
      <c r="J12" s="11">
        <v>4.05</v>
      </c>
      <c r="K12" s="11">
        <v>4.45</v>
      </c>
      <c r="L12" s="11">
        <v>4.05</v>
      </c>
      <c r="M12" s="11">
        <v>4.25</v>
      </c>
      <c r="N12" s="11">
        <v>4.3</v>
      </c>
      <c r="O12" s="11">
        <v>0.25</v>
      </c>
      <c r="P12" s="11">
        <v>6.17</v>
      </c>
      <c r="Q12" s="12">
        <v>7392675</v>
      </c>
      <c r="R12" s="11">
        <v>314.19</v>
      </c>
      <c r="S12" s="13">
        <v>450209</v>
      </c>
      <c r="T12" s="11">
        <v>4.3</v>
      </c>
      <c r="U12" s="11">
        <v>4.3499999999999996</v>
      </c>
      <c r="V12" s="13">
        <v>128782</v>
      </c>
      <c r="W12" s="13">
        <v>623986</v>
      </c>
      <c r="X12" s="11">
        <v>4.25</v>
      </c>
      <c r="Y12" s="11">
        <v>4.4000000000000004</v>
      </c>
      <c r="Z12" s="13">
        <v>250649</v>
      </c>
      <c r="AA12" s="13">
        <v>943935</v>
      </c>
      <c r="AB12" s="11">
        <v>4.2</v>
      </c>
      <c r="AC12" s="11">
        <v>4.45</v>
      </c>
      <c r="AD12" s="13">
        <v>368559</v>
      </c>
      <c r="AE12" s="13">
        <v>500489</v>
      </c>
      <c r="AF12" s="11">
        <v>4.1500000000000004</v>
      </c>
      <c r="AG12" s="11">
        <v>4.5</v>
      </c>
      <c r="AH12" s="13">
        <v>274900</v>
      </c>
      <c r="AI12" s="13">
        <v>649490</v>
      </c>
      <c r="AJ12" s="11">
        <v>4.0999999999999996</v>
      </c>
      <c r="AK12" s="11">
        <v>4.55</v>
      </c>
      <c r="AL12" s="13">
        <v>66535</v>
      </c>
      <c r="AM12" s="13">
        <v>6223522</v>
      </c>
      <c r="AN12" s="13">
        <v>2778903</v>
      </c>
      <c r="AO12" s="14">
        <v>43304</v>
      </c>
      <c r="AP12" s="15" t="s">
        <v>4798</v>
      </c>
      <c r="AQ12" s="30" t="s">
        <v>4740</v>
      </c>
      <c r="AR12" s="30">
        <f t="shared" si="0"/>
        <v>43305.491527777776</v>
      </c>
      <c r="AY12" s="17"/>
      <c r="BA12" s="18"/>
    </row>
    <row r="13" spans="1:54" ht="40.799999999999997" x14ac:dyDescent="0.3">
      <c r="A13" s="10" t="s">
        <v>4786</v>
      </c>
      <c r="B13" s="11" t="s">
        <v>2634</v>
      </c>
      <c r="C13" s="11" t="s">
        <v>4738</v>
      </c>
      <c r="D13" s="11">
        <v>1</v>
      </c>
      <c r="E13" s="11" t="s">
        <v>4739</v>
      </c>
      <c r="F13" s="11" t="s">
        <v>4739</v>
      </c>
      <c r="G13" s="11">
        <v>12.25</v>
      </c>
      <c r="H13" s="11">
        <v>3.95</v>
      </c>
      <c r="I13" s="11">
        <v>4.05</v>
      </c>
      <c r="J13" s="11">
        <v>4.05</v>
      </c>
      <c r="K13" s="11">
        <v>4.45</v>
      </c>
      <c r="L13" s="11">
        <v>4.05</v>
      </c>
      <c r="M13" s="11">
        <v>4.25</v>
      </c>
      <c r="N13" s="11">
        <v>4.3</v>
      </c>
      <c r="O13" s="11">
        <v>0.25</v>
      </c>
      <c r="P13" s="11">
        <v>6.17</v>
      </c>
      <c r="Q13" s="12">
        <v>7392675</v>
      </c>
      <c r="R13" s="11">
        <v>314.19</v>
      </c>
      <c r="S13" s="13">
        <v>450209</v>
      </c>
      <c r="T13" s="11">
        <v>4.3</v>
      </c>
      <c r="U13" s="11">
        <v>4.3499999999999996</v>
      </c>
      <c r="V13" s="13">
        <v>128782</v>
      </c>
      <c r="W13" s="13">
        <v>623986</v>
      </c>
      <c r="X13" s="11">
        <v>4.25</v>
      </c>
      <c r="Y13" s="11">
        <v>4.4000000000000004</v>
      </c>
      <c r="Z13" s="13">
        <v>250649</v>
      </c>
      <c r="AA13" s="13">
        <v>943935</v>
      </c>
      <c r="AB13" s="11">
        <v>4.2</v>
      </c>
      <c r="AC13" s="11">
        <v>4.45</v>
      </c>
      <c r="AD13" s="13">
        <v>368559</v>
      </c>
      <c r="AE13" s="13">
        <v>500489</v>
      </c>
      <c r="AF13" s="11">
        <v>4.1500000000000004</v>
      </c>
      <c r="AG13" s="11">
        <v>4.5</v>
      </c>
      <c r="AH13" s="13">
        <v>274900</v>
      </c>
      <c r="AI13" s="13">
        <v>649490</v>
      </c>
      <c r="AJ13" s="11">
        <v>4.0999999999999996</v>
      </c>
      <c r="AK13" s="11">
        <v>4.55</v>
      </c>
      <c r="AL13" s="13">
        <v>66535</v>
      </c>
      <c r="AM13" s="13">
        <v>6223522</v>
      </c>
      <c r="AN13" s="13">
        <v>2778903</v>
      </c>
      <c r="AO13" s="14">
        <v>43304</v>
      </c>
      <c r="AP13" s="15" t="s">
        <v>4798</v>
      </c>
      <c r="AQ13" s="30" t="s">
        <v>4740</v>
      </c>
      <c r="AR13" s="30">
        <f t="shared" si="0"/>
        <v>43305.491527777776</v>
      </c>
      <c r="AY13" s="17"/>
      <c r="BA13" s="18"/>
    </row>
    <row r="14" spans="1:54" ht="40.799999999999997" x14ac:dyDescent="0.3">
      <c r="A14" s="10" t="s">
        <v>4786</v>
      </c>
      <c r="B14" s="11" t="s">
        <v>2634</v>
      </c>
      <c r="C14" s="11" t="s">
        <v>4738</v>
      </c>
      <c r="D14" s="11">
        <v>1</v>
      </c>
      <c r="E14" s="11" t="s">
        <v>4739</v>
      </c>
      <c r="F14" s="11" t="s">
        <v>4739</v>
      </c>
      <c r="G14" s="11">
        <v>12.25</v>
      </c>
      <c r="H14" s="11">
        <v>3.95</v>
      </c>
      <c r="I14" s="11">
        <v>4.05</v>
      </c>
      <c r="J14" s="11">
        <v>4.05</v>
      </c>
      <c r="K14" s="11">
        <v>4.45</v>
      </c>
      <c r="L14" s="11">
        <v>4.05</v>
      </c>
      <c r="M14" s="11">
        <v>4.25</v>
      </c>
      <c r="N14" s="11">
        <v>4.3</v>
      </c>
      <c r="O14" s="11">
        <v>0.25</v>
      </c>
      <c r="P14" s="11">
        <v>6.17</v>
      </c>
      <c r="Q14" s="12">
        <v>7407199</v>
      </c>
      <c r="R14" s="11">
        <v>314.81</v>
      </c>
      <c r="S14" s="13">
        <v>565695</v>
      </c>
      <c r="T14" s="11">
        <v>4.3</v>
      </c>
      <c r="U14" s="11">
        <v>4.3499999999999996</v>
      </c>
      <c r="V14" s="13">
        <v>123509</v>
      </c>
      <c r="W14" s="13">
        <v>622696</v>
      </c>
      <c r="X14" s="11">
        <v>4.25</v>
      </c>
      <c r="Y14" s="11">
        <v>4.4000000000000004</v>
      </c>
      <c r="Z14" s="13">
        <v>348825</v>
      </c>
      <c r="AA14" s="13">
        <v>958935</v>
      </c>
      <c r="AB14" s="11">
        <v>4.2</v>
      </c>
      <c r="AC14" s="11">
        <v>4.45</v>
      </c>
      <c r="AD14" s="13">
        <v>368560</v>
      </c>
      <c r="AE14" s="13">
        <v>500489</v>
      </c>
      <c r="AF14" s="11">
        <v>4.1500000000000004</v>
      </c>
      <c r="AG14" s="11">
        <v>4.5</v>
      </c>
      <c r="AH14" s="13">
        <v>271400</v>
      </c>
      <c r="AI14" s="13">
        <v>650930</v>
      </c>
      <c r="AJ14" s="11">
        <v>4.0999999999999996</v>
      </c>
      <c r="AK14" s="11">
        <v>4.55</v>
      </c>
      <c r="AL14" s="13">
        <v>47734</v>
      </c>
      <c r="AM14" s="13">
        <v>6354958</v>
      </c>
      <c r="AN14" s="13">
        <v>2869606</v>
      </c>
      <c r="AO14" s="14">
        <v>43304</v>
      </c>
      <c r="AP14" s="15" t="s">
        <v>4799</v>
      </c>
      <c r="AQ14" s="30" t="s">
        <v>4740</v>
      </c>
      <c r="AR14" s="30">
        <f t="shared" si="0"/>
        <v>43305.49291666667</v>
      </c>
      <c r="AY14" s="17"/>
      <c r="BA14" s="18"/>
    </row>
    <row r="15" spans="1:54" ht="40.799999999999997" x14ac:dyDescent="0.3">
      <c r="A15" s="10" t="s">
        <v>4786</v>
      </c>
      <c r="B15" s="11" t="s">
        <v>2634</v>
      </c>
      <c r="C15" s="11" t="s">
        <v>4738</v>
      </c>
      <c r="D15" s="11">
        <v>1</v>
      </c>
      <c r="E15" s="11" t="s">
        <v>4739</v>
      </c>
      <c r="F15" s="11" t="s">
        <v>4739</v>
      </c>
      <c r="G15" s="11">
        <v>12.25</v>
      </c>
      <c r="H15" s="11">
        <v>3.95</v>
      </c>
      <c r="I15" s="11">
        <v>4.05</v>
      </c>
      <c r="J15" s="11">
        <v>4.05</v>
      </c>
      <c r="K15" s="11">
        <v>4.45</v>
      </c>
      <c r="L15" s="11">
        <v>4.05</v>
      </c>
      <c r="M15" s="11">
        <v>4.25</v>
      </c>
      <c r="N15" s="11">
        <v>4.3</v>
      </c>
      <c r="O15" s="11">
        <v>0.25</v>
      </c>
      <c r="P15" s="11">
        <v>6.17</v>
      </c>
      <c r="Q15" s="12">
        <v>7407199</v>
      </c>
      <c r="R15" s="11">
        <v>314.81</v>
      </c>
      <c r="S15" s="13">
        <v>565695</v>
      </c>
      <c r="T15" s="11">
        <v>4.3</v>
      </c>
      <c r="U15" s="11">
        <v>4.3499999999999996</v>
      </c>
      <c r="V15" s="13">
        <v>123509</v>
      </c>
      <c r="W15" s="13">
        <v>622696</v>
      </c>
      <c r="X15" s="11">
        <v>4.25</v>
      </c>
      <c r="Y15" s="11">
        <v>4.4000000000000004</v>
      </c>
      <c r="Z15" s="13">
        <v>348825</v>
      </c>
      <c r="AA15" s="13">
        <v>958935</v>
      </c>
      <c r="AB15" s="11">
        <v>4.2</v>
      </c>
      <c r="AC15" s="11">
        <v>4.45</v>
      </c>
      <c r="AD15" s="13">
        <v>368560</v>
      </c>
      <c r="AE15" s="13">
        <v>500489</v>
      </c>
      <c r="AF15" s="11">
        <v>4.1500000000000004</v>
      </c>
      <c r="AG15" s="11">
        <v>4.5</v>
      </c>
      <c r="AH15" s="13">
        <v>271400</v>
      </c>
      <c r="AI15" s="13">
        <v>650930</v>
      </c>
      <c r="AJ15" s="11">
        <v>4.0999999999999996</v>
      </c>
      <c r="AK15" s="11">
        <v>4.55</v>
      </c>
      <c r="AL15" s="13">
        <v>47734</v>
      </c>
      <c r="AM15" s="13">
        <v>6354958</v>
      </c>
      <c r="AN15" s="13">
        <v>2869606</v>
      </c>
      <c r="AO15" s="14">
        <v>43304</v>
      </c>
      <c r="AP15" s="15" t="s">
        <v>4799</v>
      </c>
      <c r="AQ15" s="30" t="s">
        <v>4740</v>
      </c>
      <c r="AR15" s="30">
        <f t="shared" si="0"/>
        <v>43305.49291666667</v>
      </c>
      <c r="AY15" s="17"/>
      <c r="BA15" s="18"/>
    </row>
    <row r="16" spans="1:54" ht="40.799999999999997" x14ac:dyDescent="0.3">
      <c r="A16" s="10" t="s">
        <v>4786</v>
      </c>
      <c r="B16" s="11" t="s">
        <v>2634</v>
      </c>
      <c r="C16" s="11" t="s">
        <v>4738</v>
      </c>
      <c r="D16" s="11">
        <v>1</v>
      </c>
      <c r="E16" s="11" t="s">
        <v>4739</v>
      </c>
      <c r="F16" s="11" t="s">
        <v>4739</v>
      </c>
      <c r="G16" s="11">
        <v>12.25</v>
      </c>
      <c r="H16" s="11">
        <v>3.95</v>
      </c>
      <c r="I16" s="11">
        <v>4.05</v>
      </c>
      <c r="J16" s="11">
        <v>4.05</v>
      </c>
      <c r="K16" s="11">
        <v>4.45</v>
      </c>
      <c r="L16" s="11">
        <v>4.05</v>
      </c>
      <c r="M16" s="11">
        <v>4.25</v>
      </c>
      <c r="N16" s="11">
        <v>4.3</v>
      </c>
      <c r="O16" s="11">
        <v>0.25</v>
      </c>
      <c r="P16" s="11">
        <v>6.17</v>
      </c>
      <c r="Q16" s="12">
        <v>7407199</v>
      </c>
      <c r="R16" s="11">
        <v>314.81</v>
      </c>
      <c r="S16" s="13">
        <v>565695</v>
      </c>
      <c r="T16" s="11">
        <v>4.3</v>
      </c>
      <c r="U16" s="11">
        <v>4.3499999999999996</v>
      </c>
      <c r="V16" s="13">
        <v>123509</v>
      </c>
      <c r="W16" s="13">
        <v>622696</v>
      </c>
      <c r="X16" s="11">
        <v>4.25</v>
      </c>
      <c r="Y16" s="11">
        <v>4.4000000000000004</v>
      </c>
      <c r="Z16" s="13">
        <v>348825</v>
      </c>
      <c r="AA16" s="13">
        <v>958935</v>
      </c>
      <c r="AB16" s="11">
        <v>4.2</v>
      </c>
      <c r="AC16" s="11">
        <v>4.45</v>
      </c>
      <c r="AD16" s="13">
        <v>368560</v>
      </c>
      <c r="AE16" s="13">
        <v>500489</v>
      </c>
      <c r="AF16" s="11">
        <v>4.1500000000000004</v>
      </c>
      <c r="AG16" s="11">
        <v>4.5</v>
      </c>
      <c r="AH16" s="13">
        <v>271400</v>
      </c>
      <c r="AI16" s="13">
        <v>650930</v>
      </c>
      <c r="AJ16" s="11">
        <v>4.0999999999999996</v>
      </c>
      <c r="AK16" s="11">
        <v>4.55</v>
      </c>
      <c r="AL16" s="13">
        <v>47734</v>
      </c>
      <c r="AM16" s="13">
        <v>6354958</v>
      </c>
      <c r="AN16" s="13">
        <v>2869606</v>
      </c>
      <c r="AO16" s="14">
        <v>43304</v>
      </c>
      <c r="AP16" s="15" t="s">
        <v>4799</v>
      </c>
      <c r="AQ16" s="30" t="s">
        <v>4740</v>
      </c>
      <c r="AR16" s="30">
        <f t="shared" si="0"/>
        <v>43305.49291666667</v>
      </c>
      <c r="AY16" s="17"/>
      <c r="BA16" s="18"/>
    </row>
    <row r="17" spans="1:51" ht="40.799999999999997" x14ac:dyDescent="0.3">
      <c r="A17" s="10" t="s">
        <v>4786</v>
      </c>
      <c r="B17" s="11" t="s">
        <v>2634</v>
      </c>
      <c r="C17" s="11" t="s">
        <v>4738</v>
      </c>
      <c r="D17" s="11">
        <v>1</v>
      </c>
      <c r="E17" s="11" t="s">
        <v>4739</v>
      </c>
      <c r="F17" s="11" t="s">
        <v>4739</v>
      </c>
      <c r="G17" s="11">
        <v>12.25</v>
      </c>
      <c r="H17" s="11">
        <v>3.95</v>
      </c>
      <c r="I17" s="11">
        <v>4.05</v>
      </c>
      <c r="J17" s="11">
        <v>4.05</v>
      </c>
      <c r="K17" s="11">
        <v>4.45</v>
      </c>
      <c r="L17" s="11">
        <v>4.05</v>
      </c>
      <c r="M17" s="11">
        <v>4.26</v>
      </c>
      <c r="N17" s="11">
        <v>4.3</v>
      </c>
      <c r="O17" s="11">
        <v>0.25</v>
      </c>
      <c r="P17" s="11">
        <v>6.17</v>
      </c>
      <c r="Q17" s="12">
        <v>7770373</v>
      </c>
      <c r="R17" s="11">
        <v>331.02</v>
      </c>
      <c r="S17" s="13">
        <v>326914</v>
      </c>
      <c r="T17" s="11">
        <v>4.3</v>
      </c>
      <c r="U17" s="11">
        <v>4.3499999999999996</v>
      </c>
      <c r="V17" s="13">
        <v>504089</v>
      </c>
      <c r="W17" s="13">
        <v>503196</v>
      </c>
      <c r="X17" s="11">
        <v>4.25</v>
      </c>
      <c r="Y17" s="11">
        <v>4.4000000000000004</v>
      </c>
      <c r="Z17" s="13">
        <v>634034</v>
      </c>
      <c r="AA17" s="13">
        <v>665858</v>
      </c>
      <c r="AB17" s="11">
        <v>4.2</v>
      </c>
      <c r="AC17" s="11">
        <v>4.45</v>
      </c>
      <c r="AD17" s="13">
        <v>658795</v>
      </c>
      <c r="AE17" s="13">
        <v>501489</v>
      </c>
      <c r="AF17" s="11">
        <v>4.1500000000000004</v>
      </c>
      <c r="AG17" s="11">
        <v>4.5</v>
      </c>
      <c r="AH17" s="13">
        <v>493647</v>
      </c>
      <c r="AI17" s="13">
        <v>664030</v>
      </c>
      <c r="AJ17" s="11">
        <v>4.0999999999999996</v>
      </c>
      <c r="AK17" s="11">
        <v>4.55</v>
      </c>
      <c r="AL17" s="13">
        <v>53734</v>
      </c>
      <c r="AM17" s="13">
        <v>5716804</v>
      </c>
      <c r="AN17" s="13">
        <v>4014305</v>
      </c>
      <c r="AO17" s="14">
        <v>43304</v>
      </c>
      <c r="AP17" s="15" t="s">
        <v>4800</v>
      </c>
      <c r="AQ17" s="30" t="s">
        <v>4740</v>
      </c>
      <c r="AR17" s="30">
        <f t="shared" si="0"/>
        <v>43305.495000000003</v>
      </c>
      <c r="AY17" s="17"/>
    </row>
    <row r="18" spans="1:51" ht="40.799999999999997" x14ac:dyDescent="0.3">
      <c r="A18" s="10" t="s">
        <v>4786</v>
      </c>
      <c r="B18" s="11" t="s">
        <v>2634</v>
      </c>
      <c r="C18" s="11" t="s">
        <v>4738</v>
      </c>
      <c r="D18" s="11">
        <v>1</v>
      </c>
      <c r="E18" s="11" t="s">
        <v>4739</v>
      </c>
      <c r="F18" s="11" t="s">
        <v>4739</v>
      </c>
      <c r="G18" s="11">
        <v>12.25</v>
      </c>
      <c r="H18" s="11">
        <v>3.95</v>
      </c>
      <c r="I18" s="11">
        <v>4.05</v>
      </c>
      <c r="J18" s="11">
        <v>4.05</v>
      </c>
      <c r="K18" s="11">
        <v>4.45</v>
      </c>
      <c r="L18" s="11">
        <v>4.05</v>
      </c>
      <c r="M18" s="11">
        <v>4.26</v>
      </c>
      <c r="N18" s="11">
        <v>4.3</v>
      </c>
      <c r="O18" s="11">
        <v>0.25</v>
      </c>
      <c r="P18" s="11">
        <v>6.17</v>
      </c>
      <c r="Q18" s="12">
        <v>7770373</v>
      </c>
      <c r="R18" s="11">
        <v>331.02</v>
      </c>
      <c r="S18" s="13">
        <v>326914</v>
      </c>
      <c r="T18" s="11">
        <v>4.3</v>
      </c>
      <c r="U18" s="11">
        <v>4.3499999999999996</v>
      </c>
      <c r="V18" s="13">
        <v>504089</v>
      </c>
      <c r="W18" s="13">
        <v>503196</v>
      </c>
      <c r="X18" s="11">
        <v>4.25</v>
      </c>
      <c r="Y18" s="11">
        <v>4.4000000000000004</v>
      </c>
      <c r="Z18" s="13">
        <v>634034</v>
      </c>
      <c r="AA18" s="13">
        <v>665858</v>
      </c>
      <c r="AB18" s="11">
        <v>4.2</v>
      </c>
      <c r="AC18" s="11">
        <v>4.45</v>
      </c>
      <c r="AD18" s="13">
        <v>658795</v>
      </c>
      <c r="AE18" s="13">
        <v>501489</v>
      </c>
      <c r="AF18" s="11">
        <v>4.1500000000000004</v>
      </c>
      <c r="AG18" s="11">
        <v>4.5</v>
      </c>
      <c r="AH18" s="13">
        <v>493647</v>
      </c>
      <c r="AI18" s="13">
        <v>664030</v>
      </c>
      <c r="AJ18" s="11">
        <v>4.0999999999999996</v>
      </c>
      <c r="AK18" s="11">
        <v>4.55</v>
      </c>
      <c r="AL18" s="13">
        <v>53734</v>
      </c>
      <c r="AM18" s="13">
        <v>5716804</v>
      </c>
      <c r="AN18" s="13">
        <v>4014305</v>
      </c>
      <c r="AO18" s="14">
        <v>43304</v>
      </c>
      <c r="AP18" s="15" t="s">
        <v>4800</v>
      </c>
      <c r="AQ18" s="30" t="s">
        <v>4740</v>
      </c>
      <c r="AR18" s="30">
        <f t="shared" si="0"/>
        <v>43305.495000000003</v>
      </c>
      <c r="AY18" s="17"/>
    </row>
    <row r="19" spans="1:51" ht="40.799999999999997" x14ac:dyDescent="0.3">
      <c r="A19" s="10" t="s">
        <v>4786</v>
      </c>
      <c r="B19" s="11" t="s">
        <v>2634</v>
      </c>
      <c r="C19" s="11" t="s">
        <v>4738</v>
      </c>
      <c r="D19" s="11">
        <v>1</v>
      </c>
      <c r="E19" s="11" t="s">
        <v>4739</v>
      </c>
      <c r="F19" s="11" t="s">
        <v>4739</v>
      </c>
      <c r="G19" s="11">
        <v>12.25</v>
      </c>
      <c r="H19" s="11">
        <v>3.95</v>
      </c>
      <c r="I19" s="11">
        <v>4.05</v>
      </c>
      <c r="J19" s="11">
        <v>4.05</v>
      </c>
      <c r="K19" s="11">
        <v>4.45</v>
      </c>
      <c r="L19" s="11">
        <v>4.05</v>
      </c>
      <c r="M19" s="11">
        <v>4.26</v>
      </c>
      <c r="N19" s="11">
        <v>4.3</v>
      </c>
      <c r="O19" s="11">
        <v>0.25</v>
      </c>
      <c r="P19" s="11">
        <v>6.17</v>
      </c>
      <c r="Q19" s="12">
        <v>7782784</v>
      </c>
      <c r="R19" s="11">
        <v>331.55</v>
      </c>
      <c r="S19" s="13">
        <v>324464</v>
      </c>
      <c r="T19" s="11">
        <v>4.3</v>
      </c>
      <c r="U19" s="11">
        <v>4.3499999999999996</v>
      </c>
      <c r="V19" s="13">
        <v>558663</v>
      </c>
      <c r="W19" s="13">
        <v>508302</v>
      </c>
      <c r="X19" s="11">
        <v>4.25</v>
      </c>
      <c r="Y19" s="11">
        <v>4.4000000000000004</v>
      </c>
      <c r="Z19" s="13">
        <v>640634</v>
      </c>
      <c r="AA19" s="13">
        <v>665858</v>
      </c>
      <c r="AB19" s="11">
        <v>4.2</v>
      </c>
      <c r="AC19" s="11">
        <v>4.45</v>
      </c>
      <c r="AD19" s="13">
        <v>665295</v>
      </c>
      <c r="AE19" s="13">
        <v>501489</v>
      </c>
      <c r="AF19" s="11">
        <v>4.1500000000000004</v>
      </c>
      <c r="AG19" s="11">
        <v>4.5</v>
      </c>
      <c r="AH19" s="13">
        <v>493297</v>
      </c>
      <c r="AI19" s="13">
        <v>659580</v>
      </c>
      <c r="AJ19" s="11">
        <v>4.0999999999999996</v>
      </c>
      <c r="AK19" s="11">
        <v>4.55</v>
      </c>
      <c r="AL19" s="13">
        <v>53734</v>
      </c>
      <c r="AM19" s="13">
        <v>5719410</v>
      </c>
      <c r="AN19" s="13">
        <v>4090679</v>
      </c>
      <c r="AO19" s="14">
        <v>43304</v>
      </c>
      <c r="AP19" s="15" t="s">
        <v>4801</v>
      </c>
      <c r="AQ19" s="31" t="s">
        <v>4740</v>
      </c>
      <c r="AR19" s="30">
        <f t="shared" si="0"/>
        <v>43305.496041666665</v>
      </c>
    </row>
    <row r="20" spans="1:51" x14ac:dyDescent="0.3">
      <c r="A20" s="10" t="s">
        <v>4804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2"/>
      <c r="R20" s="11"/>
      <c r="S20" s="13"/>
      <c r="T20" s="11"/>
      <c r="U20" s="11"/>
      <c r="V20" s="13"/>
      <c r="W20" s="13"/>
      <c r="X20" s="11"/>
      <c r="Y20" s="11"/>
      <c r="Z20" s="13"/>
      <c r="AA20" s="13"/>
      <c r="AB20" s="11"/>
      <c r="AC20" s="11"/>
      <c r="AD20" s="13"/>
      <c r="AE20" s="13"/>
      <c r="AF20" s="11"/>
      <c r="AG20" s="11"/>
      <c r="AH20" s="13"/>
      <c r="AI20" s="13"/>
      <c r="AJ20" s="11"/>
      <c r="AK20" s="11"/>
      <c r="AL20" s="13"/>
      <c r="AM20" s="13"/>
      <c r="AN20" s="13"/>
      <c r="AO20" s="14"/>
      <c r="AP20" s="15"/>
      <c r="AQ20" s="31"/>
      <c r="AR20" s="30" t="e">
        <f t="shared" si="0"/>
        <v>#VALUE!</v>
      </c>
    </row>
    <row r="21" spans="1:51" x14ac:dyDescent="0.3">
      <c r="A21" s="10" t="s">
        <v>4804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2"/>
      <c r="R21" s="11"/>
      <c r="S21" s="13"/>
      <c r="T21" s="11"/>
      <c r="U21" s="11"/>
      <c r="V21" s="13"/>
      <c r="W21" s="13"/>
      <c r="X21" s="11"/>
      <c r="Y21" s="11"/>
      <c r="Z21" s="13"/>
      <c r="AA21" s="13"/>
      <c r="AB21" s="11"/>
      <c r="AC21" s="11"/>
      <c r="AD21" s="13"/>
      <c r="AE21" s="13"/>
      <c r="AF21" s="11"/>
      <c r="AG21" s="11"/>
      <c r="AH21" s="13"/>
      <c r="AI21" s="13"/>
      <c r="AJ21" s="11"/>
      <c r="AK21" s="11"/>
      <c r="AL21" s="13"/>
      <c r="AM21" s="13"/>
      <c r="AN21" s="13"/>
      <c r="AO21" s="14"/>
      <c r="AP21" s="15"/>
      <c r="AQ21" s="31"/>
      <c r="AR21" s="30" t="e">
        <f t="shared" si="0"/>
        <v>#VALUE!</v>
      </c>
    </row>
    <row r="22" spans="1:51" ht="40.799999999999997" x14ac:dyDescent="0.3">
      <c r="A22" s="10" t="s">
        <v>4786</v>
      </c>
      <c r="B22" s="11" t="s">
        <v>2634</v>
      </c>
      <c r="C22" s="11" t="s">
        <v>4738</v>
      </c>
      <c r="D22" s="11">
        <v>1</v>
      </c>
      <c r="E22" s="11" t="s">
        <v>4739</v>
      </c>
      <c r="F22" s="11" t="s">
        <v>4739</v>
      </c>
      <c r="G22" s="11">
        <v>12.25</v>
      </c>
      <c r="H22" s="11">
        <v>3.95</v>
      </c>
      <c r="I22" s="11">
        <v>4.05</v>
      </c>
      <c r="J22" s="11">
        <v>4.05</v>
      </c>
      <c r="K22" s="11">
        <v>4.45</v>
      </c>
      <c r="L22" s="11">
        <v>4.05</v>
      </c>
      <c r="M22" s="11">
        <v>4.26</v>
      </c>
      <c r="N22" s="11">
        <v>4.3</v>
      </c>
      <c r="O22" s="11">
        <v>0.25</v>
      </c>
      <c r="P22" s="11">
        <v>6.17</v>
      </c>
      <c r="Q22" s="12">
        <v>7909868</v>
      </c>
      <c r="R22" s="11">
        <v>336.96</v>
      </c>
      <c r="S22" s="13">
        <v>234520</v>
      </c>
      <c r="T22" s="11">
        <v>4.3</v>
      </c>
      <c r="U22" s="11">
        <v>4.3499999999999996</v>
      </c>
      <c r="V22" s="13">
        <v>636020</v>
      </c>
      <c r="W22" s="13">
        <v>505202</v>
      </c>
      <c r="X22" s="11">
        <v>4.25</v>
      </c>
      <c r="Y22" s="11">
        <v>4.4000000000000004</v>
      </c>
      <c r="Z22" s="13">
        <v>731136</v>
      </c>
      <c r="AA22" s="13">
        <v>671388</v>
      </c>
      <c r="AB22" s="11">
        <v>4.2</v>
      </c>
      <c r="AC22" s="11">
        <v>4.45</v>
      </c>
      <c r="AD22" s="13">
        <v>680995</v>
      </c>
      <c r="AE22" s="13">
        <v>498490</v>
      </c>
      <c r="AF22" s="11">
        <v>4.1500000000000004</v>
      </c>
      <c r="AG22" s="11">
        <v>4.5</v>
      </c>
      <c r="AH22" s="13">
        <v>494118</v>
      </c>
      <c r="AI22" s="13">
        <v>659580</v>
      </c>
      <c r="AJ22" s="11">
        <v>4.0999999999999996</v>
      </c>
      <c r="AK22" s="11">
        <v>4.55</v>
      </c>
      <c r="AL22" s="13">
        <v>64574</v>
      </c>
      <c r="AM22" s="13">
        <v>5628897</v>
      </c>
      <c r="AN22" s="13">
        <v>4302799</v>
      </c>
      <c r="AO22" s="14">
        <v>43304</v>
      </c>
      <c r="AP22" s="15" t="s">
        <v>4805</v>
      </c>
      <c r="AQ22" s="31" t="s">
        <v>4740</v>
      </c>
      <c r="AR22" s="30">
        <f t="shared" si="0"/>
        <v>43305.498472222222</v>
      </c>
    </row>
    <row r="23" spans="1:51" ht="40.799999999999997" x14ac:dyDescent="0.3">
      <c r="A23" s="10" t="s">
        <v>4786</v>
      </c>
      <c r="B23" s="11" t="s">
        <v>2634</v>
      </c>
      <c r="C23" s="11" t="s">
        <v>4738</v>
      </c>
      <c r="D23" s="11">
        <v>1</v>
      </c>
      <c r="E23" s="11" t="s">
        <v>4739</v>
      </c>
      <c r="F23" s="11" t="s">
        <v>4739</v>
      </c>
      <c r="G23" s="11">
        <v>12.25</v>
      </c>
      <c r="H23" s="11">
        <v>3.95</v>
      </c>
      <c r="I23" s="11">
        <v>4.05</v>
      </c>
      <c r="J23" s="11">
        <v>4.05</v>
      </c>
      <c r="K23" s="11">
        <v>4.45</v>
      </c>
      <c r="L23" s="11">
        <v>4.05</v>
      </c>
      <c r="M23" s="11">
        <v>4.26</v>
      </c>
      <c r="N23" s="11">
        <v>4.3</v>
      </c>
      <c r="O23" s="11">
        <v>0.25</v>
      </c>
      <c r="P23" s="11">
        <v>6.17</v>
      </c>
      <c r="Q23" s="12">
        <v>7909868</v>
      </c>
      <c r="R23" s="11">
        <v>336.96</v>
      </c>
      <c r="S23" s="13">
        <v>234520</v>
      </c>
      <c r="T23" s="11">
        <v>4.3</v>
      </c>
      <c r="U23" s="11">
        <v>4.3499999999999996</v>
      </c>
      <c r="V23" s="13">
        <v>636020</v>
      </c>
      <c r="W23" s="13">
        <v>505202</v>
      </c>
      <c r="X23" s="11">
        <v>4.25</v>
      </c>
      <c r="Y23" s="11">
        <v>4.4000000000000004</v>
      </c>
      <c r="Z23" s="13">
        <v>731136</v>
      </c>
      <c r="AA23" s="13">
        <v>671388</v>
      </c>
      <c r="AB23" s="11">
        <v>4.2</v>
      </c>
      <c r="AC23" s="11">
        <v>4.45</v>
      </c>
      <c r="AD23" s="13">
        <v>680995</v>
      </c>
      <c r="AE23" s="13">
        <v>498490</v>
      </c>
      <c r="AF23" s="11">
        <v>4.1500000000000004</v>
      </c>
      <c r="AG23" s="11">
        <v>4.5</v>
      </c>
      <c r="AH23" s="13">
        <v>494118</v>
      </c>
      <c r="AI23" s="13">
        <v>659580</v>
      </c>
      <c r="AJ23" s="11">
        <v>4.0999999999999996</v>
      </c>
      <c r="AK23" s="11">
        <v>4.55</v>
      </c>
      <c r="AL23" s="13">
        <v>64574</v>
      </c>
      <c r="AM23" s="13">
        <v>5628897</v>
      </c>
      <c r="AN23" s="13">
        <v>4302799</v>
      </c>
      <c r="AO23" s="14">
        <v>43304</v>
      </c>
      <c r="AP23" s="15" t="s">
        <v>4805</v>
      </c>
      <c r="AQ23" s="31" t="s">
        <v>4740</v>
      </c>
      <c r="AR23" s="30">
        <f t="shared" si="0"/>
        <v>43305.498472222222</v>
      </c>
    </row>
    <row r="24" spans="1:51" ht="40.799999999999997" x14ac:dyDescent="0.3">
      <c r="A24" s="10" t="s">
        <v>4786</v>
      </c>
      <c r="B24" s="11" t="s">
        <v>2634</v>
      </c>
      <c r="C24" s="11" t="s">
        <v>4738</v>
      </c>
      <c r="D24" s="11">
        <v>1</v>
      </c>
      <c r="E24" s="11" t="s">
        <v>4739</v>
      </c>
      <c r="F24" s="11" t="s">
        <v>4739</v>
      </c>
      <c r="G24" s="11">
        <v>12.25</v>
      </c>
      <c r="H24" s="11">
        <v>3.95</v>
      </c>
      <c r="I24" s="11">
        <v>4.05</v>
      </c>
      <c r="J24" s="11">
        <v>4.05</v>
      </c>
      <c r="K24" s="11">
        <v>4.45</v>
      </c>
      <c r="L24" s="11">
        <v>4.05</v>
      </c>
      <c r="M24" s="11">
        <v>4.26</v>
      </c>
      <c r="N24" s="11">
        <v>4.3499999999999996</v>
      </c>
      <c r="O24" s="11">
        <v>0.3</v>
      </c>
      <c r="P24" s="11">
        <v>7.41</v>
      </c>
      <c r="Q24" s="12">
        <v>8001738</v>
      </c>
      <c r="R24" s="11">
        <v>340.87</v>
      </c>
      <c r="S24" s="13">
        <v>171662</v>
      </c>
      <c r="T24" s="11">
        <v>4.3</v>
      </c>
      <c r="U24" s="11">
        <v>4.3499999999999996</v>
      </c>
      <c r="V24" s="13">
        <v>730475</v>
      </c>
      <c r="W24" s="13">
        <v>513402</v>
      </c>
      <c r="X24" s="11">
        <v>4.25</v>
      </c>
      <c r="Y24" s="11">
        <v>4.4000000000000004</v>
      </c>
      <c r="Z24" s="13">
        <v>743933</v>
      </c>
      <c r="AA24" s="13">
        <v>668649</v>
      </c>
      <c r="AB24" s="11">
        <v>4.2</v>
      </c>
      <c r="AC24" s="11">
        <v>4.45</v>
      </c>
      <c r="AD24" s="13">
        <v>712495</v>
      </c>
      <c r="AE24" s="13">
        <v>498490</v>
      </c>
      <c r="AF24" s="11">
        <v>4.1500000000000004</v>
      </c>
      <c r="AG24" s="11">
        <v>4.5</v>
      </c>
      <c r="AH24" s="13">
        <v>494118</v>
      </c>
      <c r="AI24" s="13">
        <v>660680</v>
      </c>
      <c r="AJ24" s="11">
        <v>4.0999999999999996</v>
      </c>
      <c r="AK24" s="11">
        <v>4.55</v>
      </c>
      <c r="AL24" s="13">
        <v>65974</v>
      </c>
      <c r="AM24" s="13">
        <v>5572600</v>
      </c>
      <c r="AN24" s="13">
        <v>4448151</v>
      </c>
      <c r="AO24" s="14">
        <v>43304</v>
      </c>
      <c r="AP24" s="15" t="s">
        <v>4806</v>
      </c>
      <c r="AQ24" s="31" t="s">
        <v>4740</v>
      </c>
      <c r="AR24" s="30">
        <f t="shared" si="0"/>
        <v>43305.499872685185</v>
      </c>
    </row>
    <row r="25" spans="1:51" ht="40.799999999999997" x14ac:dyDescent="0.3">
      <c r="A25" s="10" t="s">
        <v>4786</v>
      </c>
      <c r="B25" s="11" t="s">
        <v>2634</v>
      </c>
      <c r="C25" s="11" t="s">
        <v>4738</v>
      </c>
      <c r="D25" s="11">
        <v>1</v>
      </c>
      <c r="E25" s="11" t="s">
        <v>4739</v>
      </c>
      <c r="F25" s="11" t="s">
        <v>4739</v>
      </c>
      <c r="G25" s="11">
        <v>12.25</v>
      </c>
      <c r="H25" s="11">
        <v>3.95</v>
      </c>
      <c r="I25" s="11">
        <v>4.05</v>
      </c>
      <c r="J25" s="11">
        <v>4.05</v>
      </c>
      <c r="K25" s="11">
        <v>4.45</v>
      </c>
      <c r="L25" s="11">
        <v>4.05</v>
      </c>
      <c r="M25" s="11">
        <v>4.26</v>
      </c>
      <c r="N25" s="11">
        <v>4.3499999999999996</v>
      </c>
      <c r="O25" s="11">
        <v>0.3</v>
      </c>
      <c r="P25" s="11">
        <v>7.41</v>
      </c>
      <c r="Q25" s="12">
        <v>8001738</v>
      </c>
      <c r="R25" s="11">
        <v>340.87</v>
      </c>
      <c r="S25" s="13">
        <v>171662</v>
      </c>
      <c r="T25" s="11">
        <v>4.3</v>
      </c>
      <c r="U25" s="11">
        <v>4.3499999999999996</v>
      </c>
      <c r="V25" s="13">
        <v>730475</v>
      </c>
      <c r="W25" s="13">
        <v>513402</v>
      </c>
      <c r="X25" s="11">
        <v>4.25</v>
      </c>
      <c r="Y25" s="11">
        <v>4.4000000000000004</v>
      </c>
      <c r="Z25" s="13">
        <v>743933</v>
      </c>
      <c r="AA25" s="13">
        <v>668649</v>
      </c>
      <c r="AB25" s="11">
        <v>4.2</v>
      </c>
      <c r="AC25" s="11">
        <v>4.45</v>
      </c>
      <c r="AD25" s="13">
        <v>712495</v>
      </c>
      <c r="AE25" s="13">
        <v>498490</v>
      </c>
      <c r="AF25" s="11">
        <v>4.1500000000000004</v>
      </c>
      <c r="AG25" s="11">
        <v>4.5</v>
      </c>
      <c r="AH25" s="13">
        <v>494118</v>
      </c>
      <c r="AI25" s="13">
        <v>660680</v>
      </c>
      <c r="AJ25" s="11">
        <v>4.0999999999999996</v>
      </c>
      <c r="AK25" s="11">
        <v>4.55</v>
      </c>
      <c r="AL25" s="13">
        <v>65974</v>
      </c>
      <c r="AM25" s="13">
        <v>5572600</v>
      </c>
      <c r="AN25" s="13">
        <v>4448151</v>
      </c>
      <c r="AO25" s="14">
        <v>43304</v>
      </c>
      <c r="AP25" s="15" t="s">
        <v>4806</v>
      </c>
      <c r="AQ25" s="31" t="s">
        <v>4740</v>
      </c>
      <c r="AR25" s="30">
        <f t="shared" si="0"/>
        <v>43305.499872685185</v>
      </c>
    </row>
    <row r="26" spans="1:51" ht="40.799999999999997" x14ac:dyDescent="0.3">
      <c r="A26" s="10" t="s">
        <v>4786</v>
      </c>
      <c r="B26" s="11" t="s">
        <v>2634</v>
      </c>
      <c r="C26" s="11" t="s">
        <v>4738</v>
      </c>
      <c r="D26" s="11">
        <v>1</v>
      </c>
      <c r="E26" s="11" t="s">
        <v>4739</v>
      </c>
      <c r="F26" s="11" t="s">
        <v>4739</v>
      </c>
      <c r="G26" s="11">
        <v>12.25</v>
      </c>
      <c r="H26" s="11">
        <v>3.95</v>
      </c>
      <c r="I26" s="11">
        <v>4.05</v>
      </c>
      <c r="J26" s="11">
        <v>4.05</v>
      </c>
      <c r="K26" s="11">
        <v>4.45</v>
      </c>
      <c r="L26" s="11">
        <v>4.05</v>
      </c>
      <c r="M26" s="11">
        <v>4.26</v>
      </c>
      <c r="N26" s="11">
        <v>4.3499999999999996</v>
      </c>
      <c r="O26" s="11">
        <v>0.3</v>
      </c>
      <c r="P26" s="11">
        <v>7.41</v>
      </c>
      <c r="Q26" s="12">
        <v>8200652</v>
      </c>
      <c r="R26" s="11">
        <v>349.35</v>
      </c>
      <c r="S26" s="13">
        <v>209429</v>
      </c>
      <c r="T26" s="11">
        <v>4.3</v>
      </c>
      <c r="U26" s="11">
        <v>4.3499999999999996</v>
      </c>
      <c r="V26" s="13">
        <v>757545</v>
      </c>
      <c r="W26" s="13">
        <v>530487</v>
      </c>
      <c r="X26" s="11">
        <v>4.25</v>
      </c>
      <c r="Y26" s="11">
        <v>4.4000000000000004</v>
      </c>
      <c r="Z26" s="13">
        <v>740946</v>
      </c>
      <c r="AA26" s="13">
        <v>667456</v>
      </c>
      <c r="AB26" s="11">
        <v>4.2</v>
      </c>
      <c r="AC26" s="11">
        <v>4.45</v>
      </c>
      <c r="AD26" s="13">
        <v>686795</v>
      </c>
      <c r="AE26" s="13">
        <v>499790</v>
      </c>
      <c r="AF26" s="11">
        <v>4.1500000000000004</v>
      </c>
      <c r="AG26" s="11">
        <v>4.5</v>
      </c>
      <c r="AH26" s="13">
        <v>528118</v>
      </c>
      <c r="AI26" s="13">
        <v>662180</v>
      </c>
      <c r="AJ26" s="11">
        <v>4.0999999999999996</v>
      </c>
      <c r="AK26" s="11">
        <v>4.55</v>
      </c>
      <c r="AL26" s="13">
        <v>70974</v>
      </c>
      <c r="AM26" s="13">
        <v>5639959</v>
      </c>
      <c r="AN26" s="13">
        <v>4510035</v>
      </c>
      <c r="AO26" s="14">
        <v>43304</v>
      </c>
      <c r="AP26" s="15" t="s">
        <v>4807</v>
      </c>
      <c r="AQ26" s="31" t="s">
        <v>4740</v>
      </c>
      <c r="AR26" s="30">
        <f t="shared" si="0"/>
        <v>43305.501261574071</v>
      </c>
    </row>
    <row r="27" spans="1:51" ht="40.799999999999997" x14ac:dyDescent="0.3">
      <c r="A27" s="10" t="s">
        <v>4786</v>
      </c>
      <c r="B27" s="11" t="s">
        <v>2634</v>
      </c>
      <c r="C27" s="11" t="s">
        <v>4738</v>
      </c>
      <c r="D27" s="11">
        <v>1</v>
      </c>
      <c r="E27" s="11" t="s">
        <v>4739</v>
      </c>
      <c r="F27" s="11" t="s">
        <v>4739</v>
      </c>
      <c r="G27" s="11">
        <v>12.25</v>
      </c>
      <c r="H27" s="11">
        <v>3.95</v>
      </c>
      <c r="I27" s="11">
        <v>4.05</v>
      </c>
      <c r="J27" s="11">
        <v>4.05</v>
      </c>
      <c r="K27" s="11">
        <v>4.45</v>
      </c>
      <c r="L27" s="11">
        <v>4.05</v>
      </c>
      <c r="M27" s="11">
        <v>4.26</v>
      </c>
      <c r="N27" s="11">
        <v>4.3</v>
      </c>
      <c r="O27" s="11">
        <v>0.25</v>
      </c>
      <c r="P27" s="11">
        <v>6.17</v>
      </c>
      <c r="Q27" s="12">
        <v>8243929</v>
      </c>
      <c r="R27" s="11">
        <v>351.19</v>
      </c>
      <c r="S27" s="13">
        <v>216094</v>
      </c>
      <c r="T27" s="11">
        <v>4.3</v>
      </c>
      <c r="U27" s="11">
        <v>4.3499999999999996</v>
      </c>
      <c r="V27" s="13">
        <v>838552</v>
      </c>
      <c r="W27" s="13">
        <v>517387</v>
      </c>
      <c r="X27" s="11">
        <v>4.25</v>
      </c>
      <c r="Y27" s="11">
        <v>4.4000000000000004</v>
      </c>
      <c r="Z27" s="13">
        <v>748950</v>
      </c>
      <c r="AA27" s="13">
        <v>699713</v>
      </c>
      <c r="AB27" s="11">
        <v>4.2</v>
      </c>
      <c r="AC27" s="11">
        <v>4.45</v>
      </c>
      <c r="AD27" s="13">
        <v>682795</v>
      </c>
      <c r="AE27" s="13">
        <v>501295</v>
      </c>
      <c r="AF27" s="11">
        <v>4.1500000000000004</v>
      </c>
      <c r="AG27" s="11">
        <v>4.5</v>
      </c>
      <c r="AH27" s="13">
        <v>528768</v>
      </c>
      <c r="AI27" s="13">
        <v>656286</v>
      </c>
      <c r="AJ27" s="11">
        <v>4.0999999999999996</v>
      </c>
      <c r="AK27" s="11">
        <v>4.55</v>
      </c>
      <c r="AL27" s="13">
        <v>69474</v>
      </c>
      <c r="AM27" s="13">
        <v>5661427</v>
      </c>
      <c r="AN27" s="13">
        <v>4609196</v>
      </c>
      <c r="AO27" s="14">
        <v>43304</v>
      </c>
      <c r="AP27" s="15" t="s">
        <v>4808</v>
      </c>
      <c r="AQ27" s="31" t="s">
        <v>4740</v>
      </c>
      <c r="AR27" s="30">
        <f t="shared" si="0"/>
        <v>43305.502650462964</v>
      </c>
    </row>
    <row r="28" spans="1:51" ht="40.799999999999997" x14ac:dyDescent="0.3">
      <c r="A28" s="10" t="s">
        <v>4786</v>
      </c>
      <c r="B28" s="11" t="s">
        <v>2634</v>
      </c>
      <c r="C28" s="11" t="s">
        <v>4738</v>
      </c>
      <c r="D28" s="11">
        <v>1</v>
      </c>
      <c r="E28" s="11" t="s">
        <v>4739</v>
      </c>
      <c r="F28" s="11" t="s">
        <v>4739</v>
      </c>
      <c r="G28" s="11">
        <v>12.25</v>
      </c>
      <c r="H28" s="11">
        <v>3.95</v>
      </c>
      <c r="I28" s="11">
        <v>4.05</v>
      </c>
      <c r="J28" s="11">
        <v>4.05</v>
      </c>
      <c r="K28" s="11">
        <v>4.45</v>
      </c>
      <c r="L28" s="11">
        <v>4.05</v>
      </c>
      <c r="M28" s="11">
        <v>4.26</v>
      </c>
      <c r="N28" s="11">
        <v>4.3</v>
      </c>
      <c r="O28" s="11">
        <v>0.25</v>
      </c>
      <c r="P28" s="11">
        <v>6.17</v>
      </c>
      <c r="Q28" s="12">
        <v>8243929</v>
      </c>
      <c r="R28" s="11">
        <v>351.19</v>
      </c>
      <c r="S28" s="13">
        <v>216094</v>
      </c>
      <c r="T28" s="11">
        <v>4.3</v>
      </c>
      <c r="U28" s="11">
        <v>4.3499999999999996</v>
      </c>
      <c r="V28" s="13">
        <v>838552</v>
      </c>
      <c r="W28" s="13">
        <v>517387</v>
      </c>
      <c r="X28" s="11">
        <v>4.25</v>
      </c>
      <c r="Y28" s="11">
        <v>4.4000000000000004</v>
      </c>
      <c r="Z28" s="13">
        <v>748950</v>
      </c>
      <c r="AA28" s="13">
        <v>699713</v>
      </c>
      <c r="AB28" s="11">
        <v>4.2</v>
      </c>
      <c r="AC28" s="11">
        <v>4.45</v>
      </c>
      <c r="AD28" s="13">
        <v>682795</v>
      </c>
      <c r="AE28" s="13">
        <v>501295</v>
      </c>
      <c r="AF28" s="11">
        <v>4.1500000000000004</v>
      </c>
      <c r="AG28" s="11">
        <v>4.5</v>
      </c>
      <c r="AH28" s="13">
        <v>528768</v>
      </c>
      <c r="AI28" s="13">
        <v>656286</v>
      </c>
      <c r="AJ28" s="11">
        <v>4.0999999999999996</v>
      </c>
      <c r="AK28" s="11">
        <v>4.55</v>
      </c>
      <c r="AL28" s="13">
        <v>69474</v>
      </c>
      <c r="AM28" s="13">
        <v>5661427</v>
      </c>
      <c r="AN28" s="13">
        <v>4609196</v>
      </c>
      <c r="AO28" s="14">
        <v>43304</v>
      </c>
      <c r="AP28" s="15" t="s">
        <v>4808</v>
      </c>
      <c r="AQ28" s="31" t="s">
        <v>4740</v>
      </c>
      <c r="AR28" s="30">
        <f t="shared" si="0"/>
        <v>43305.502650462964</v>
      </c>
    </row>
    <row r="29" spans="1:51" ht="40.799999999999997" x14ac:dyDescent="0.3">
      <c r="A29" s="10" t="s">
        <v>4786</v>
      </c>
      <c r="B29" s="11" t="s">
        <v>2634</v>
      </c>
      <c r="C29" s="11" t="s">
        <v>4738</v>
      </c>
      <c r="D29" s="11">
        <v>1</v>
      </c>
      <c r="E29" s="11" t="s">
        <v>4739</v>
      </c>
      <c r="F29" s="11" t="s">
        <v>4739</v>
      </c>
      <c r="G29" s="11">
        <v>12.25</v>
      </c>
      <c r="H29" s="11">
        <v>3.95</v>
      </c>
      <c r="I29" s="11">
        <v>4.05</v>
      </c>
      <c r="J29" s="11">
        <v>4.05</v>
      </c>
      <c r="K29" s="11">
        <v>4.45</v>
      </c>
      <c r="L29" s="11">
        <v>4.05</v>
      </c>
      <c r="M29" s="11">
        <v>4.26</v>
      </c>
      <c r="N29" s="11">
        <v>4.3499999999999996</v>
      </c>
      <c r="O29" s="11">
        <v>0.3</v>
      </c>
      <c r="P29" s="11">
        <v>7.41</v>
      </c>
      <c r="Q29" s="12">
        <v>8272897</v>
      </c>
      <c r="R29" s="11">
        <v>352.43</v>
      </c>
      <c r="S29" s="13">
        <v>210882</v>
      </c>
      <c r="T29" s="11">
        <v>4.3</v>
      </c>
      <c r="U29" s="11">
        <v>4.3499999999999996</v>
      </c>
      <c r="V29" s="13">
        <v>826548</v>
      </c>
      <c r="W29" s="13">
        <v>521498</v>
      </c>
      <c r="X29" s="11">
        <v>4.25</v>
      </c>
      <c r="Y29" s="11">
        <v>4.4000000000000004</v>
      </c>
      <c r="Z29" s="13">
        <v>783702</v>
      </c>
      <c r="AA29" s="13">
        <v>699997</v>
      </c>
      <c r="AB29" s="11">
        <v>4.2</v>
      </c>
      <c r="AC29" s="11">
        <v>4.45</v>
      </c>
      <c r="AD29" s="13">
        <v>730996</v>
      </c>
      <c r="AE29" s="13">
        <v>501295</v>
      </c>
      <c r="AF29" s="11">
        <v>4.1500000000000004</v>
      </c>
      <c r="AG29" s="11">
        <v>4.5</v>
      </c>
      <c r="AH29" s="13">
        <v>530768</v>
      </c>
      <c r="AI29" s="13">
        <v>656786</v>
      </c>
      <c r="AJ29" s="11">
        <v>4.0999999999999996</v>
      </c>
      <c r="AK29" s="11">
        <v>4.55</v>
      </c>
      <c r="AL29" s="13">
        <v>59474</v>
      </c>
      <c r="AM29" s="13">
        <v>5661299</v>
      </c>
      <c r="AN29" s="13">
        <v>4681876</v>
      </c>
      <c r="AO29" s="14">
        <v>43304</v>
      </c>
      <c r="AP29" s="15" t="s">
        <v>4809</v>
      </c>
      <c r="AQ29" s="31" t="s">
        <v>4740</v>
      </c>
      <c r="AR29" s="30">
        <f t="shared" si="0"/>
        <v>43305.504733796297</v>
      </c>
    </row>
    <row r="30" spans="1:51" ht="40.799999999999997" x14ac:dyDescent="0.3">
      <c r="A30" s="10" t="s">
        <v>4786</v>
      </c>
      <c r="B30" s="11" t="s">
        <v>2634</v>
      </c>
      <c r="C30" s="11" t="s">
        <v>4738</v>
      </c>
      <c r="D30" s="11">
        <v>1</v>
      </c>
      <c r="E30" s="11" t="s">
        <v>4739</v>
      </c>
      <c r="F30" s="11" t="s">
        <v>4739</v>
      </c>
      <c r="G30" s="11">
        <v>12.25</v>
      </c>
      <c r="H30" s="11">
        <v>3.95</v>
      </c>
      <c r="I30" s="11">
        <v>4.05</v>
      </c>
      <c r="J30" s="11">
        <v>4.05</v>
      </c>
      <c r="K30" s="11">
        <v>4.45</v>
      </c>
      <c r="L30" s="11">
        <v>4.05</v>
      </c>
      <c r="M30" s="11">
        <v>4.26</v>
      </c>
      <c r="N30" s="11">
        <v>4.3499999999999996</v>
      </c>
      <c r="O30" s="11">
        <v>0.3</v>
      </c>
      <c r="P30" s="11">
        <v>7.41</v>
      </c>
      <c r="Q30" s="12">
        <v>8272897</v>
      </c>
      <c r="R30" s="11">
        <v>352.43</v>
      </c>
      <c r="S30" s="13">
        <v>210882</v>
      </c>
      <c r="T30" s="11">
        <v>4.3</v>
      </c>
      <c r="U30" s="11">
        <v>4.3499999999999996</v>
      </c>
      <c r="V30" s="13">
        <v>826548</v>
      </c>
      <c r="W30" s="13">
        <v>521498</v>
      </c>
      <c r="X30" s="11">
        <v>4.25</v>
      </c>
      <c r="Y30" s="11">
        <v>4.4000000000000004</v>
      </c>
      <c r="Z30" s="13">
        <v>783702</v>
      </c>
      <c r="AA30" s="13">
        <v>699997</v>
      </c>
      <c r="AB30" s="11">
        <v>4.2</v>
      </c>
      <c r="AC30" s="11">
        <v>4.45</v>
      </c>
      <c r="AD30" s="13">
        <v>730996</v>
      </c>
      <c r="AE30" s="13">
        <v>501295</v>
      </c>
      <c r="AF30" s="11">
        <v>4.1500000000000004</v>
      </c>
      <c r="AG30" s="11">
        <v>4.5</v>
      </c>
      <c r="AH30" s="13">
        <v>530768</v>
      </c>
      <c r="AI30" s="13">
        <v>656786</v>
      </c>
      <c r="AJ30" s="11">
        <v>4.0999999999999996</v>
      </c>
      <c r="AK30" s="11">
        <v>4.55</v>
      </c>
      <c r="AL30" s="13">
        <v>59474</v>
      </c>
      <c r="AM30" s="13">
        <v>5661299</v>
      </c>
      <c r="AN30" s="13">
        <v>4681876</v>
      </c>
      <c r="AO30" s="14">
        <v>43304</v>
      </c>
      <c r="AP30" s="15" t="s">
        <v>4809</v>
      </c>
      <c r="AQ30" s="31" t="s">
        <v>4740</v>
      </c>
      <c r="AR30" s="30">
        <f t="shared" si="0"/>
        <v>43305.504733796297</v>
      </c>
    </row>
    <row r="31" spans="1:51" ht="40.799999999999997" x14ac:dyDescent="0.3">
      <c r="A31" s="10" t="s">
        <v>4786</v>
      </c>
      <c r="B31" s="11" t="s">
        <v>2634</v>
      </c>
      <c r="C31" s="11" t="s">
        <v>4738</v>
      </c>
      <c r="D31" s="11">
        <v>1</v>
      </c>
      <c r="E31" s="11" t="s">
        <v>4739</v>
      </c>
      <c r="F31" s="11" t="s">
        <v>4739</v>
      </c>
      <c r="G31" s="11">
        <v>12.25</v>
      </c>
      <c r="H31" s="11">
        <v>3.95</v>
      </c>
      <c r="I31" s="11">
        <v>4.05</v>
      </c>
      <c r="J31" s="11">
        <v>4.05</v>
      </c>
      <c r="K31" s="11">
        <v>4.45</v>
      </c>
      <c r="L31" s="11">
        <v>4.05</v>
      </c>
      <c r="M31" s="11">
        <v>4.26</v>
      </c>
      <c r="N31" s="11">
        <v>4.3499999999999996</v>
      </c>
      <c r="O31" s="11">
        <v>0.3</v>
      </c>
      <c r="P31" s="11">
        <v>7.41</v>
      </c>
      <c r="Q31" s="12">
        <v>8272897</v>
      </c>
      <c r="R31" s="11">
        <v>352.43</v>
      </c>
      <c r="S31" s="13">
        <v>210882</v>
      </c>
      <c r="T31" s="11">
        <v>4.3</v>
      </c>
      <c r="U31" s="11">
        <v>4.3499999999999996</v>
      </c>
      <c r="V31" s="13">
        <v>826548</v>
      </c>
      <c r="W31" s="13">
        <v>521498</v>
      </c>
      <c r="X31" s="11">
        <v>4.25</v>
      </c>
      <c r="Y31" s="11">
        <v>4.4000000000000004</v>
      </c>
      <c r="Z31" s="13">
        <v>783702</v>
      </c>
      <c r="AA31" s="13">
        <v>699997</v>
      </c>
      <c r="AB31" s="11">
        <v>4.2</v>
      </c>
      <c r="AC31" s="11">
        <v>4.45</v>
      </c>
      <c r="AD31" s="13">
        <v>730996</v>
      </c>
      <c r="AE31" s="13">
        <v>501295</v>
      </c>
      <c r="AF31" s="11">
        <v>4.1500000000000004</v>
      </c>
      <c r="AG31" s="11">
        <v>4.5</v>
      </c>
      <c r="AH31" s="13">
        <v>530768</v>
      </c>
      <c r="AI31" s="13">
        <v>656786</v>
      </c>
      <c r="AJ31" s="11">
        <v>4.0999999999999996</v>
      </c>
      <c r="AK31" s="11">
        <v>4.55</v>
      </c>
      <c r="AL31" s="13">
        <v>59474</v>
      </c>
      <c r="AM31" s="13">
        <v>5661299</v>
      </c>
      <c r="AN31" s="13">
        <v>4681876</v>
      </c>
      <c r="AO31" s="14">
        <v>43304</v>
      </c>
      <c r="AP31" s="15" t="s">
        <v>4809</v>
      </c>
      <c r="AQ31" s="31" t="s">
        <v>4740</v>
      </c>
      <c r="AR31" s="30">
        <f t="shared" si="0"/>
        <v>43305.504733796297</v>
      </c>
    </row>
    <row r="32" spans="1:51" ht="40.799999999999997" x14ac:dyDescent="0.3">
      <c r="A32" s="10" t="s">
        <v>4786</v>
      </c>
      <c r="B32" s="11" t="s">
        <v>2634</v>
      </c>
      <c r="C32" s="11" t="s">
        <v>4738</v>
      </c>
      <c r="D32" s="11">
        <v>1</v>
      </c>
      <c r="E32" s="11" t="s">
        <v>4739</v>
      </c>
      <c r="F32" s="11" t="s">
        <v>4739</v>
      </c>
      <c r="G32" s="11">
        <v>12.25</v>
      </c>
      <c r="H32" s="11">
        <v>3.95</v>
      </c>
      <c r="I32" s="11">
        <v>4.05</v>
      </c>
      <c r="J32" s="11">
        <v>4.05</v>
      </c>
      <c r="K32" s="11">
        <v>4.45</v>
      </c>
      <c r="L32" s="11">
        <v>4.05</v>
      </c>
      <c r="M32" s="11">
        <v>4.26</v>
      </c>
      <c r="N32" s="11">
        <v>4.3499999999999996</v>
      </c>
      <c r="O32" s="11">
        <v>0.3</v>
      </c>
      <c r="P32" s="11">
        <v>7.41</v>
      </c>
      <c r="Q32" s="12">
        <v>8311174</v>
      </c>
      <c r="R32" s="11">
        <v>354.06</v>
      </c>
      <c r="S32" s="13">
        <v>266246</v>
      </c>
      <c r="T32" s="11">
        <v>4.3</v>
      </c>
      <c r="U32" s="11">
        <v>4.3499999999999996</v>
      </c>
      <c r="V32" s="13">
        <v>736260</v>
      </c>
      <c r="W32" s="13">
        <v>523598</v>
      </c>
      <c r="X32" s="11">
        <v>4.25</v>
      </c>
      <c r="Y32" s="11">
        <v>4.4000000000000004</v>
      </c>
      <c r="Z32" s="13">
        <v>820432</v>
      </c>
      <c r="AA32" s="13">
        <v>651715</v>
      </c>
      <c r="AB32" s="11">
        <v>4.2</v>
      </c>
      <c r="AC32" s="11">
        <v>4.45</v>
      </c>
      <c r="AD32" s="13">
        <v>749456</v>
      </c>
      <c r="AE32" s="13">
        <v>276794</v>
      </c>
      <c r="AF32" s="11">
        <v>4.1500000000000004</v>
      </c>
      <c r="AG32" s="11">
        <v>4.5</v>
      </c>
      <c r="AH32" s="13">
        <v>555860</v>
      </c>
      <c r="AI32" s="13">
        <v>656886</v>
      </c>
      <c r="AJ32" s="11">
        <v>4.0999999999999996</v>
      </c>
      <c r="AK32" s="11">
        <v>4.55</v>
      </c>
      <c r="AL32" s="13">
        <v>67974</v>
      </c>
      <c r="AM32" s="13">
        <v>5519760</v>
      </c>
      <c r="AN32" s="13">
        <v>4707747</v>
      </c>
      <c r="AO32" s="14">
        <v>43304</v>
      </c>
      <c r="AP32" s="15" t="s">
        <v>4813</v>
      </c>
      <c r="AQ32" s="31" t="s">
        <v>4740</v>
      </c>
      <c r="AR32" s="30">
        <f t="shared" si="0"/>
        <v>43305.508206018516</v>
      </c>
    </row>
    <row r="33" spans="1:44" ht="40.799999999999997" x14ac:dyDescent="0.3">
      <c r="A33" s="10" t="s">
        <v>4786</v>
      </c>
      <c r="B33" s="11" t="s">
        <v>2634</v>
      </c>
      <c r="C33" s="11" t="s">
        <v>4738</v>
      </c>
      <c r="D33" s="11">
        <v>1</v>
      </c>
      <c r="E33" s="11" t="s">
        <v>4739</v>
      </c>
      <c r="F33" s="11" t="s">
        <v>4739</v>
      </c>
      <c r="G33" s="11">
        <v>12.25</v>
      </c>
      <c r="H33" s="11">
        <v>3.95</v>
      </c>
      <c r="I33" s="11">
        <v>4.05</v>
      </c>
      <c r="J33" s="11">
        <v>4.05</v>
      </c>
      <c r="K33" s="11">
        <v>4.45</v>
      </c>
      <c r="L33" s="11">
        <v>4.05</v>
      </c>
      <c r="M33" s="11">
        <v>4.26</v>
      </c>
      <c r="N33" s="11">
        <v>4.3499999999999996</v>
      </c>
      <c r="O33" s="11">
        <v>0.3</v>
      </c>
      <c r="P33" s="11">
        <v>7.41</v>
      </c>
      <c r="Q33" s="12">
        <v>8311174</v>
      </c>
      <c r="R33" s="11">
        <v>354.06</v>
      </c>
      <c r="S33" s="13">
        <v>266246</v>
      </c>
      <c r="T33" s="11">
        <v>4.3</v>
      </c>
      <c r="U33" s="11">
        <v>4.3499999999999996</v>
      </c>
      <c r="V33" s="13">
        <v>736260</v>
      </c>
      <c r="W33" s="13">
        <v>523598</v>
      </c>
      <c r="X33" s="11">
        <v>4.25</v>
      </c>
      <c r="Y33" s="11">
        <v>4.4000000000000004</v>
      </c>
      <c r="Z33" s="13">
        <v>820432</v>
      </c>
      <c r="AA33" s="13">
        <v>651715</v>
      </c>
      <c r="AB33" s="11">
        <v>4.2</v>
      </c>
      <c r="AC33" s="11">
        <v>4.45</v>
      </c>
      <c r="AD33" s="13">
        <v>749456</v>
      </c>
      <c r="AE33" s="13">
        <v>276794</v>
      </c>
      <c r="AF33" s="11">
        <v>4.1500000000000004</v>
      </c>
      <c r="AG33" s="11">
        <v>4.5</v>
      </c>
      <c r="AH33" s="13">
        <v>555860</v>
      </c>
      <c r="AI33" s="13">
        <v>656886</v>
      </c>
      <c r="AJ33" s="11">
        <v>4.0999999999999996</v>
      </c>
      <c r="AK33" s="11">
        <v>4.55</v>
      </c>
      <c r="AL33" s="13">
        <v>67974</v>
      </c>
      <c r="AM33" s="13">
        <v>5519760</v>
      </c>
      <c r="AN33" s="13">
        <v>4707747</v>
      </c>
      <c r="AO33" s="14">
        <v>43304</v>
      </c>
      <c r="AP33" s="15" t="s">
        <v>4813</v>
      </c>
      <c r="AQ33" s="31" t="s">
        <v>4740</v>
      </c>
      <c r="AR33" s="30">
        <f t="shared" si="0"/>
        <v>43305.508206018516</v>
      </c>
    </row>
    <row r="34" spans="1:44" ht="40.799999999999997" x14ac:dyDescent="0.3">
      <c r="A34" s="10" t="s">
        <v>4786</v>
      </c>
      <c r="B34" s="11" t="s">
        <v>2634</v>
      </c>
      <c r="C34" s="11" t="s">
        <v>4738</v>
      </c>
      <c r="D34" s="11">
        <v>1</v>
      </c>
      <c r="E34" s="11" t="s">
        <v>4739</v>
      </c>
      <c r="F34" s="11" t="s">
        <v>4739</v>
      </c>
      <c r="G34" s="11">
        <v>12.25</v>
      </c>
      <c r="H34" s="11">
        <v>3.95</v>
      </c>
      <c r="I34" s="11">
        <v>4.05</v>
      </c>
      <c r="J34" s="11">
        <v>4.05</v>
      </c>
      <c r="K34" s="11">
        <v>4.45</v>
      </c>
      <c r="L34" s="11">
        <v>4.05</v>
      </c>
      <c r="M34" s="11">
        <v>4.26</v>
      </c>
      <c r="N34" s="11">
        <v>4.3</v>
      </c>
      <c r="O34" s="11">
        <v>0.25</v>
      </c>
      <c r="P34" s="11">
        <v>6.17</v>
      </c>
      <c r="Q34" s="12">
        <v>8384196</v>
      </c>
      <c r="R34" s="11">
        <v>357.17</v>
      </c>
      <c r="S34" s="13">
        <v>202404</v>
      </c>
      <c r="T34" s="11">
        <v>4.3</v>
      </c>
      <c r="U34" s="11">
        <v>4.3499999999999996</v>
      </c>
      <c r="V34" s="13">
        <v>743172</v>
      </c>
      <c r="W34" s="13">
        <v>513334</v>
      </c>
      <c r="X34" s="11">
        <v>4.25</v>
      </c>
      <c r="Y34" s="11">
        <v>4.4000000000000004</v>
      </c>
      <c r="Z34" s="13">
        <v>820432</v>
      </c>
      <c r="AA34" s="13">
        <v>663204</v>
      </c>
      <c r="AB34" s="11">
        <v>4.2</v>
      </c>
      <c r="AC34" s="11">
        <v>4.45</v>
      </c>
      <c r="AD34" s="13">
        <v>785956</v>
      </c>
      <c r="AE34" s="13">
        <v>276794</v>
      </c>
      <c r="AF34" s="11">
        <v>4.1500000000000004</v>
      </c>
      <c r="AG34" s="11">
        <v>4.5</v>
      </c>
      <c r="AH34" s="13">
        <v>556060</v>
      </c>
      <c r="AI34" s="13">
        <v>661586</v>
      </c>
      <c r="AJ34" s="11">
        <v>4.0999999999999996</v>
      </c>
      <c r="AK34" s="11">
        <v>4.55</v>
      </c>
      <c r="AL34" s="13">
        <v>77974</v>
      </c>
      <c r="AM34" s="13">
        <v>5465688</v>
      </c>
      <c r="AN34" s="13">
        <v>4718459</v>
      </c>
      <c r="AO34" s="14">
        <v>43304</v>
      </c>
      <c r="AP34" s="15" t="s">
        <v>4814</v>
      </c>
      <c r="AQ34" s="31" t="s">
        <v>4740</v>
      </c>
      <c r="AR34" s="30">
        <f t="shared" si="0"/>
        <v>43305.509942129633</v>
      </c>
    </row>
    <row r="35" spans="1:44" ht="40.799999999999997" x14ac:dyDescent="0.3">
      <c r="A35" s="10" t="s">
        <v>4786</v>
      </c>
      <c r="B35" s="11" t="s">
        <v>2634</v>
      </c>
      <c r="C35" s="11" t="s">
        <v>4738</v>
      </c>
      <c r="D35" s="11">
        <v>1</v>
      </c>
      <c r="E35" s="11" t="s">
        <v>4739</v>
      </c>
      <c r="F35" s="11" t="s">
        <v>4739</v>
      </c>
      <c r="G35" s="11">
        <v>12.25</v>
      </c>
      <c r="H35" s="11">
        <v>3.95</v>
      </c>
      <c r="I35" s="11">
        <v>4.05</v>
      </c>
      <c r="J35" s="11">
        <v>4.05</v>
      </c>
      <c r="K35" s="11">
        <v>4.45</v>
      </c>
      <c r="L35" s="11">
        <v>4.05</v>
      </c>
      <c r="M35" s="11">
        <v>4.26</v>
      </c>
      <c r="N35" s="11">
        <v>4.3</v>
      </c>
      <c r="O35" s="11">
        <v>0.25</v>
      </c>
      <c r="P35" s="11">
        <v>6.17</v>
      </c>
      <c r="Q35" s="12">
        <v>8384196</v>
      </c>
      <c r="R35" s="11">
        <v>357.17</v>
      </c>
      <c r="S35" s="13">
        <v>202404</v>
      </c>
      <c r="T35" s="11">
        <v>4.3</v>
      </c>
      <c r="U35" s="11">
        <v>4.3499999999999996</v>
      </c>
      <c r="V35" s="13">
        <v>743172</v>
      </c>
      <c r="W35" s="13">
        <v>513334</v>
      </c>
      <c r="X35" s="11">
        <v>4.25</v>
      </c>
      <c r="Y35" s="11">
        <v>4.4000000000000004</v>
      </c>
      <c r="Z35" s="13">
        <v>820432</v>
      </c>
      <c r="AA35" s="13">
        <v>663204</v>
      </c>
      <c r="AB35" s="11">
        <v>4.2</v>
      </c>
      <c r="AC35" s="11">
        <v>4.45</v>
      </c>
      <c r="AD35" s="13">
        <v>785956</v>
      </c>
      <c r="AE35" s="13">
        <v>276794</v>
      </c>
      <c r="AF35" s="11">
        <v>4.1500000000000004</v>
      </c>
      <c r="AG35" s="11">
        <v>4.5</v>
      </c>
      <c r="AH35" s="13">
        <v>556060</v>
      </c>
      <c r="AI35" s="13">
        <v>661586</v>
      </c>
      <c r="AJ35" s="11">
        <v>4.0999999999999996</v>
      </c>
      <c r="AK35" s="11">
        <v>4.55</v>
      </c>
      <c r="AL35" s="13">
        <v>77974</v>
      </c>
      <c r="AM35" s="13">
        <v>5465688</v>
      </c>
      <c r="AN35" s="13">
        <v>4718459</v>
      </c>
      <c r="AO35" s="14">
        <v>43304</v>
      </c>
      <c r="AP35" s="15" t="s">
        <v>4814</v>
      </c>
      <c r="AQ35" s="31" t="s">
        <v>4740</v>
      </c>
      <c r="AR35" s="30">
        <f t="shared" si="0"/>
        <v>43305.509942129633</v>
      </c>
    </row>
    <row r="36" spans="1:44" ht="40.799999999999997" x14ac:dyDescent="0.3">
      <c r="A36" s="10" t="s">
        <v>4786</v>
      </c>
      <c r="B36" s="11" t="s">
        <v>2634</v>
      </c>
      <c r="C36" s="11" t="s">
        <v>4738</v>
      </c>
      <c r="D36" s="11">
        <v>1</v>
      </c>
      <c r="E36" s="11" t="s">
        <v>4739</v>
      </c>
      <c r="F36" s="11" t="s">
        <v>4739</v>
      </c>
      <c r="G36" s="11">
        <v>12.25</v>
      </c>
      <c r="H36" s="11">
        <v>3.95</v>
      </c>
      <c r="I36" s="11">
        <v>4.05</v>
      </c>
      <c r="J36" s="11">
        <v>4.05</v>
      </c>
      <c r="K36" s="11">
        <v>4.45</v>
      </c>
      <c r="L36" s="11">
        <v>4.05</v>
      </c>
      <c r="M36" s="11">
        <v>4.2699999999999996</v>
      </c>
      <c r="N36" s="11">
        <v>4.3499999999999996</v>
      </c>
      <c r="O36" s="11">
        <v>0.3</v>
      </c>
      <c r="P36" s="11">
        <v>7.41</v>
      </c>
      <c r="Q36" s="12">
        <v>9133736</v>
      </c>
      <c r="R36" s="11">
        <v>390.01</v>
      </c>
      <c r="S36" s="13">
        <v>389850</v>
      </c>
      <c r="T36" s="11">
        <v>4.3499999999999996</v>
      </c>
      <c r="U36" s="11">
        <v>4.4000000000000004</v>
      </c>
      <c r="V36" s="13">
        <v>778869</v>
      </c>
      <c r="W36" s="13">
        <v>424011</v>
      </c>
      <c r="X36" s="11">
        <v>4.3</v>
      </c>
      <c r="Y36" s="11">
        <v>4.45</v>
      </c>
      <c r="Z36" s="13">
        <v>753274</v>
      </c>
      <c r="AA36" s="13">
        <v>462934</v>
      </c>
      <c r="AB36" s="11">
        <v>4.25</v>
      </c>
      <c r="AC36" s="11">
        <v>4.5</v>
      </c>
      <c r="AD36" s="13">
        <v>562040</v>
      </c>
      <c r="AE36" s="13">
        <v>664204</v>
      </c>
      <c r="AF36" s="11">
        <v>4.2</v>
      </c>
      <c r="AG36" s="11">
        <v>4.55</v>
      </c>
      <c r="AH36" s="13">
        <v>80574</v>
      </c>
      <c r="AI36" s="13">
        <v>284094</v>
      </c>
      <c r="AJ36" s="11">
        <v>4.1500000000000004</v>
      </c>
      <c r="AK36" s="11">
        <v>4.5999999999999996</v>
      </c>
      <c r="AL36" s="13">
        <v>252727</v>
      </c>
      <c r="AM36" s="13">
        <v>6040515</v>
      </c>
      <c r="AN36" s="13">
        <v>3922622</v>
      </c>
      <c r="AO36" s="14">
        <v>43304</v>
      </c>
      <c r="AP36" s="11" t="s">
        <v>4815</v>
      </c>
      <c r="AQ36" s="31" t="s">
        <v>4740</v>
      </c>
      <c r="AR36" s="30">
        <f t="shared" si="0"/>
        <v>43305.512372685182</v>
      </c>
    </row>
    <row r="37" spans="1:44" ht="40.799999999999997" x14ac:dyDescent="0.3">
      <c r="A37" s="10" t="s">
        <v>4786</v>
      </c>
      <c r="B37" s="11" t="s">
        <v>2634</v>
      </c>
      <c r="C37" s="11" t="s">
        <v>4738</v>
      </c>
      <c r="D37" s="11">
        <v>1</v>
      </c>
      <c r="E37" s="11" t="s">
        <v>4739</v>
      </c>
      <c r="F37" s="11" t="s">
        <v>4739</v>
      </c>
      <c r="G37" s="11">
        <v>12.25</v>
      </c>
      <c r="H37" s="11">
        <v>3.95</v>
      </c>
      <c r="I37" s="11">
        <v>4.05</v>
      </c>
      <c r="J37" s="11">
        <v>4.05</v>
      </c>
      <c r="K37" s="11">
        <v>4.45</v>
      </c>
      <c r="L37" s="11">
        <v>4.05</v>
      </c>
      <c r="M37" s="11">
        <v>4.2699999999999996</v>
      </c>
      <c r="N37" s="11">
        <v>4.3499999999999996</v>
      </c>
      <c r="O37" s="11">
        <v>0.3</v>
      </c>
      <c r="P37" s="11">
        <v>7.41</v>
      </c>
      <c r="Q37" s="12">
        <v>9133736</v>
      </c>
      <c r="R37" s="11">
        <v>390.01</v>
      </c>
      <c r="S37" s="13">
        <v>389850</v>
      </c>
      <c r="T37" s="11">
        <v>4.3499999999999996</v>
      </c>
      <c r="U37" s="11">
        <v>4.4000000000000004</v>
      </c>
      <c r="V37" s="13">
        <v>778869</v>
      </c>
      <c r="W37" s="13">
        <v>424011</v>
      </c>
      <c r="X37" s="11">
        <v>4.3</v>
      </c>
      <c r="Y37" s="11">
        <v>4.45</v>
      </c>
      <c r="Z37" s="13">
        <v>753274</v>
      </c>
      <c r="AA37" s="13">
        <v>462934</v>
      </c>
      <c r="AB37" s="11">
        <v>4.25</v>
      </c>
      <c r="AC37" s="11">
        <v>4.5</v>
      </c>
      <c r="AD37" s="13">
        <v>562040</v>
      </c>
      <c r="AE37" s="13">
        <v>664204</v>
      </c>
      <c r="AF37" s="11">
        <v>4.2</v>
      </c>
      <c r="AG37" s="11">
        <v>4.55</v>
      </c>
      <c r="AH37" s="13">
        <v>80574</v>
      </c>
      <c r="AI37" s="13">
        <v>284094</v>
      </c>
      <c r="AJ37" s="11">
        <v>4.1500000000000004</v>
      </c>
      <c r="AK37" s="11">
        <v>4.5999999999999996</v>
      </c>
      <c r="AL37" s="13">
        <v>252727</v>
      </c>
      <c r="AM37" s="13">
        <v>6040515</v>
      </c>
      <c r="AN37" s="13">
        <v>3922622</v>
      </c>
      <c r="AO37" s="14">
        <v>43304</v>
      </c>
      <c r="AP37" s="11" t="s">
        <v>4815</v>
      </c>
      <c r="AQ37" s="31" t="s">
        <v>4740</v>
      </c>
      <c r="AR37" s="30">
        <f t="shared" si="0"/>
        <v>43305.512372685182</v>
      </c>
    </row>
    <row r="38" spans="1:44" ht="40.799999999999997" x14ac:dyDescent="0.3">
      <c r="A38" s="10" t="s">
        <v>4786</v>
      </c>
      <c r="B38" s="11" t="s">
        <v>2634</v>
      </c>
      <c r="C38" s="11" t="s">
        <v>4738</v>
      </c>
      <c r="D38" s="11">
        <v>1</v>
      </c>
      <c r="E38" s="11" t="s">
        <v>4739</v>
      </c>
      <c r="F38" s="11" t="s">
        <v>4739</v>
      </c>
      <c r="G38" s="11">
        <v>12.25</v>
      </c>
      <c r="H38" s="11">
        <v>3.95</v>
      </c>
      <c r="I38" s="11">
        <v>4.05</v>
      </c>
      <c r="J38" s="11">
        <v>4.05</v>
      </c>
      <c r="K38" s="11">
        <v>4.45</v>
      </c>
      <c r="L38" s="11">
        <v>4.05</v>
      </c>
      <c r="M38" s="11">
        <v>4.2699999999999996</v>
      </c>
      <c r="N38" s="11">
        <v>4.4000000000000004</v>
      </c>
      <c r="O38" s="11">
        <v>0.35</v>
      </c>
      <c r="P38" s="11">
        <v>8.64</v>
      </c>
      <c r="Q38" s="12">
        <v>9265874</v>
      </c>
      <c r="R38" s="11">
        <v>395.65</v>
      </c>
      <c r="S38" s="13">
        <v>423305</v>
      </c>
      <c r="T38" s="11">
        <v>4.3499999999999996</v>
      </c>
      <c r="U38" s="11">
        <v>4.4000000000000004</v>
      </c>
      <c r="V38" s="13">
        <v>808283</v>
      </c>
      <c r="W38" s="13">
        <v>423611</v>
      </c>
      <c r="X38" s="11">
        <v>4.3</v>
      </c>
      <c r="Y38" s="11">
        <v>4.45</v>
      </c>
      <c r="Z38" s="13">
        <v>815475</v>
      </c>
      <c r="AA38" s="13">
        <v>462834</v>
      </c>
      <c r="AB38" s="11">
        <v>4.25</v>
      </c>
      <c r="AC38" s="11">
        <v>4.5</v>
      </c>
      <c r="AD38" s="13">
        <v>562893</v>
      </c>
      <c r="AE38" s="13">
        <v>659204</v>
      </c>
      <c r="AF38" s="11">
        <v>4.2</v>
      </c>
      <c r="AG38" s="11">
        <v>4.55</v>
      </c>
      <c r="AH38" s="13">
        <v>88174</v>
      </c>
      <c r="AI38" s="13">
        <v>283094</v>
      </c>
      <c r="AJ38" s="11">
        <v>4.1500000000000004</v>
      </c>
      <c r="AK38" s="11">
        <v>4.5999999999999996</v>
      </c>
      <c r="AL38" s="13">
        <v>311537</v>
      </c>
      <c r="AM38" s="13">
        <v>6066470</v>
      </c>
      <c r="AN38" s="13">
        <v>4083200</v>
      </c>
      <c r="AO38" s="14">
        <v>43304</v>
      </c>
      <c r="AP38" s="11" t="s">
        <v>4816</v>
      </c>
      <c r="AQ38" s="31" t="s">
        <v>4740</v>
      </c>
      <c r="AR38" s="30">
        <f t="shared" si="0"/>
        <v>43305.514456018522</v>
      </c>
    </row>
    <row r="39" spans="1:44" ht="40.799999999999997" x14ac:dyDescent="0.3">
      <c r="A39" s="10" t="s">
        <v>4786</v>
      </c>
      <c r="B39" s="11" t="s">
        <v>2634</v>
      </c>
      <c r="C39" s="11" t="s">
        <v>4738</v>
      </c>
      <c r="D39" s="11">
        <v>1</v>
      </c>
      <c r="E39" s="11" t="s">
        <v>4739</v>
      </c>
      <c r="F39" s="11" t="s">
        <v>4739</v>
      </c>
      <c r="G39" s="11">
        <v>12.25</v>
      </c>
      <c r="H39" s="11">
        <v>3.95</v>
      </c>
      <c r="I39" s="11">
        <v>4.05</v>
      </c>
      <c r="J39" s="11">
        <v>4.05</v>
      </c>
      <c r="K39" s="11">
        <v>4.45</v>
      </c>
      <c r="L39" s="11">
        <v>4.05</v>
      </c>
      <c r="M39" s="11">
        <v>4.2699999999999996</v>
      </c>
      <c r="N39" s="11">
        <v>4.4000000000000004</v>
      </c>
      <c r="O39" s="11">
        <v>0.35</v>
      </c>
      <c r="P39" s="11">
        <v>8.64</v>
      </c>
      <c r="Q39" s="12">
        <v>9265874</v>
      </c>
      <c r="R39" s="11">
        <v>395.65</v>
      </c>
      <c r="S39" s="13">
        <v>423305</v>
      </c>
      <c r="T39" s="11">
        <v>4.3499999999999996</v>
      </c>
      <c r="U39" s="11">
        <v>4.4000000000000004</v>
      </c>
      <c r="V39" s="13">
        <v>808283</v>
      </c>
      <c r="W39" s="13">
        <v>423611</v>
      </c>
      <c r="X39" s="11">
        <v>4.3</v>
      </c>
      <c r="Y39" s="11">
        <v>4.45</v>
      </c>
      <c r="Z39" s="13">
        <v>815475</v>
      </c>
      <c r="AA39" s="13">
        <v>462834</v>
      </c>
      <c r="AB39" s="11">
        <v>4.25</v>
      </c>
      <c r="AC39" s="11">
        <v>4.5</v>
      </c>
      <c r="AD39" s="13">
        <v>562893</v>
      </c>
      <c r="AE39" s="13">
        <v>659204</v>
      </c>
      <c r="AF39" s="11">
        <v>4.2</v>
      </c>
      <c r="AG39" s="11">
        <v>4.55</v>
      </c>
      <c r="AH39" s="13">
        <v>88174</v>
      </c>
      <c r="AI39" s="13">
        <v>283094</v>
      </c>
      <c r="AJ39" s="11">
        <v>4.1500000000000004</v>
      </c>
      <c r="AK39" s="11">
        <v>4.5999999999999996</v>
      </c>
      <c r="AL39" s="13">
        <v>311537</v>
      </c>
      <c r="AM39" s="13">
        <v>6066470</v>
      </c>
      <c r="AN39" s="13">
        <v>4083200</v>
      </c>
      <c r="AO39" s="14">
        <v>43304</v>
      </c>
      <c r="AP39" s="11" t="s">
        <v>4816</v>
      </c>
      <c r="AQ39" s="31" t="s">
        <v>4740</v>
      </c>
      <c r="AR39" s="30">
        <f t="shared" si="0"/>
        <v>43305.514456018522</v>
      </c>
    </row>
    <row r="40" spans="1:44" ht="40.799999999999997" x14ac:dyDescent="0.3">
      <c r="A40" s="10" t="s">
        <v>4786</v>
      </c>
      <c r="B40" s="11" t="s">
        <v>2634</v>
      </c>
      <c r="C40" s="11" t="s">
        <v>4738</v>
      </c>
      <c r="D40" s="11">
        <v>1</v>
      </c>
      <c r="E40" s="11" t="s">
        <v>4739</v>
      </c>
      <c r="F40" s="11" t="s">
        <v>4739</v>
      </c>
      <c r="G40" s="11">
        <v>12.25</v>
      </c>
      <c r="H40" s="11">
        <v>3.95</v>
      </c>
      <c r="I40" s="11">
        <v>4.05</v>
      </c>
      <c r="J40" s="11">
        <v>4.05</v>
      </c>
      <c r="K40" s="11">
        <v>4.45</v>
      </c>
      <c r="L40" s="11">
        <v>4.05</v>
      </c>
      <c r="M40" s="11">
        <v>4.2699999999999996</v>
      </c>
      <c r="N40" s="11">
        <v>4.3</v>
      </c>
      <c r="O40" s="11">
        <v>0.25</v>
      </c>
      <c r="P40" s="11">
        <v>6.17</v>
      </c>
      <c r="Q40" s="12">
        <v>9647383</v>
      </c>
      <c r="R40" s="11">
        <v>411.94</v>
      </c>
      <c r="S40" s="13">
        <v>433238</v>
      </c>
      <c r="T40" s="11">
        <v>4.3</v>
      </c>
      <c r="U40" s="11">
        <v>4.3499999999999996</v>
      </c>
      <c r="V40" s="13">
        <v>106068</v>
      </c>
      <c r="W40" s="13">
        <v>409834</v>
      </c>
      <c r="X40" s="11">
        <v>4.25</v>
      </c>
      <c r="Y40" s="11">
        <v>4.4000000000000004</v>
      </c>
      <c r="Z40" s="13">
        <v>634195</v>
      </c>
      <c r="AA40" s="13">
        <v>653504</v>
      </c>
      <c r="AB40" s="11">
        <v>4.2</v>
      </c>
      <c r="AC40" s="11">
        <v>4.45</v>
      </c>
      <c r="AD40" s="13">
        <v>678560</v>
      </c>
      <c r="AE40" s="13">
        <v>286939</v>
      </c>
      <c r="AF40" s="11">
        <v>4.1500000000000004</v>
      </c>
      <c r="AG40" s="11">
        <v>4.5</v>
      </c>
      <c r="AH40" s="13">
        <v>577693</v>
      </c>
      <c r="AI40" s="13">
        <v>660146</v>
      </c>
      <c r="AJ40" s="11">
        <v>4.0999999999999996</v>
      </c>
      <c r="AK40" s="11">
        <v>4.55</v>
      </c>
      <c r="AL40" s="13">
        <v>99174</v>
      </c>
      <c r="AM40" s="13">
        <v>5590097</v>
      </c>
      <c r="AN40" s="13">
        <v>3900640</v>
      </c>
      <c r="AO40" s="14">
        <v>43304</v>
      </c>
      <c r="AP40" s="11" t="s">
        <v>4817</v>
      </c>
      <c r="AQ40" s="31" t="s">
        <v>4740</v>
      </c>
      <c r="AR40" s="30">
        <f t="shared" si="0"/>
        <v>43305.516539351855</v>
      </c>
    </row>
    <row r="41" spans="1:44" ht="28.8" x14ac:dyDescent="0.3">
      <c r="A41" s="10" t="s">
        <v>4804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2"/>
      <c r="R41" s="11"/>
      <c r="S41" s="13"/>
      <c r="T41" s="11"/>
      <c r="U41" s="11"/>
      <c r="V41" s="13"/>
      <c r="W41" s="13"/>
      <c r="X41" s="11"/>
      <c r="Y41" s="11"/>
      <c r="Z41" s="13"/>
      <c r="AA41" s="13"/>
      <c r="AB41" s="11"/>
      <c r="AC41" s="11"/>
      <c r="AD41" s="13"/>
      <c r="AE41" s="13"/>
      <c r="AF41" s="11"/>
      <c r="AG41" s="11"/>
      <c r="AH41" s="13"/>
      <c r="AI41" s="13"/>
      <c r="AJ41" s="11"/>
      <c r="AK41" s="11"/>
      <c r="AL41" s="13"/>
      <c r="AM41" s="13"/>
      <c r="AN41" s="13"/>
      <c r="AO41" s="14"/>
      <c r="AP41" s="11"/>
      <c r="AQ41" s="31" t="s">
        <v>4740</v>
      </c>
      <c r="AR41" s="30" t="e">
        <f t="shared" si="0"/>
        <v>#VALUE!</v>
      </c>
    </row>
    <row r="42" spans="1:44" ht="28.8" x14ac:dyDescent="0.3">
      <c r="A42" s="10" t="s">
        <v>4804</v>
      </c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2"/>
      <c r="R42" s="11"/>
      <c r="S42" s="13"/>
      <c r="T42" s="11"/>
      <c r="U42" s="11"/>
      <c r="V42" s="13"/>
      <c r="W42" s="13"/>
      <c r="X42" s="11"/>
      <c r="Y42" s="11"/>
      <c r="Z42" s="13"/>
      <c r="AA42" s="13"/>
      <c r="AB42" s="11"/>
      <c r="AC42" s="11"/>
      <c r="AD42" s="13"/>
      <c r="AE42" s="13"/>
      <c r="AF42" s="11"/>
      <c r="AG42" s="11"/>
      <c r="AH42" s="13"/>
      <c r="AI42" s="13"/>
      <c r="AJ42" s="11"/>
      <c r="AK42" s="11"/>
      <c r="AL42" s="13"/>
      <c r="AM42" s="13"/>
      <c r="AN42" s="13"/>
      <c r="AO42" s="14"/>
      <c r="AP42" s="11"/>
      <c r="AQ42" s="31" t="s">
        <v>4740</v>
      </c>
      <c r="AR42" s="30" t="e">
        <f t="shared" si="0"/>
        <v>#VALUE!</v>
      </c>
    </row>
    <row r="43" spans="1:44" ht="40.799999999999997" x14ac:dyDescent="0.3">
      <c r="A43" s="10" t="s">
        <v>4786</v>
      </c>
      <c r="B43" s="11" t="s">
        <v>2634</v>
      </c>
      <c r="C43" s="11" t="s">
        <v>4738</v>
      </c>
      <c r="D43" s="11">
        <v>1</v>
      </c>
      <c r="E43" s="11" t="s">
        <v>4739</v>
      </c>
      <c r="F43" s="11" t="s">
        <v>4739</v>
      </c>
      <c r="G43" s="11">
        <v>12.25</v>
      </c>
      <c r="H43" s="11">
        <v>3.95</v>
      </c>
      <c r="I43" s="11">
        <v>4.05</v>
      </c>
      <c r="J43" s="11">
        <v>4.05</v>
      </c>
      <c r="K43" s="11">
        <v>4.45</v>
      </c>
      <c r="L43" s="11">
        <v>4.05</v>
      </c>
      <c r="M43" s="11">
        <v>4.2699999999999996</v>
      </c>
      <c r="N43" s="11">
        <v>4.3499999999999996</v>
      </c>
      <c r="O43" s="11">
        <v>0.3</v>
      </c>
      <c r="P43" s="11">
        <v>7.41</v>
      </c>
      <c r="Q43" s="12">
        <v>9943302</v>
      </c>
      <c r="R43" s="11">
        <v>424.58</v>
      </c>
      <c r="S43" s="13">
        <v>439893</v>
      </c>
      <c r="T43" s="11">
        <v>4.3499999999999996</v>
      </c>
      <c r="U43" s="11">
        <v>4.4000000000000004</v>
      </c>
      <c r="V43" s="13">
        <v>464791</v>
      </c>
      <c r="W43" s="13">
        <v>543970</v>
      </c>
      <c r="X43" s="11">
        <v>4.3</v>
      </c>
      <c r="Y43" s="11">
        <v>4.45</v>
      </c>
      <c r="Z43" s="13">
        <v>463667</v>
      </c>
      <c r="AA43" s="13">
        <v>493269</v>
      </c>
      <c r="AB43" s="11">
        <v>4.25</v>
      </c>
      <c r="AC43" s="11">
        <v>4.5</v>
      </c>
      <c r="AD43" s="13">
        <v>580504</v>
      </c>
      <c r="AE43" s="13">
        <v>658704</v>
      </c>
      <c r="AF43" s="11">
        <v>4.2</v>
      </c>
      <c r="AG43" s="11">
        <v>4.55</v>
      </c>
      <c r="AH43" s="13">
        <v>176174</v>
      </c>
      <c r="AI43" s="13">
        <v>278938</v>
      </c>
      <c r="AJ43" s="11">
        <v>4.1500000000000004</v>
      </c>
      <c r="AK43" s="11">
        <v>4.5999999999999996</v>
      </c>
      <c r="AL43" s="13">
        <v>322224</v>
      </c>
      <c r="AM43" s="13">
        <v>6212796</v>
      </c>
      <c r="AN43" s="13">
        <v>3698297</v>
      </c>
      <c r="AO43" s="14">
        <v>43304</v>
      </c>
      <c r="AP43" s="11" t="s">
        <v>4818</v>
      </c>
      <c r="AQ43" s="31" t="s">
        <v>4740</v>
      </c>
      <c r="AR43" s="30">
        <f t="shared" si="0"/>
        <v>43305.526620370372</v>
      </c>
    </row>
    <row r="44" spans="1:44" ht="40.799999999999997" x14ac:dyDescent="0.3">
      <c r="A44" s="10" t="s">
        <v>4786</v>
      </c>
      <c r="B44" s="11" t="s">
        <v>2634</v>
      </c>
      <c r="C44" s="11" t="s">
        <v>4738</v>
      </c>
      <c r="D44" s="11">
        <v>1</v>
      </c>
      <c r="E44" s="11" t="s">
        <v>4739</v>
      </c>
      <c r="F44" s="11" t="s">
        <v>4739</v>
      </c>
      <c r="G44" s="11">
        <v>12.25</v>
      </c>
      <c r="H44" s="11">
        <v>3.95</v>
      </c>
      <c r="I44" s="11">
        <v>4.05</v>
      </c>
      <c r="J44" s="11">
        <v>4.05</v>
      </c>
      <c r="K44" s="11">
        <v>4.45</v>
      </c>
      <c r="L44" s="11">
        <v>4.05</v>
      </c>
      <c r="M44" s="11">
        <v>4.2699999999999996</v>
      </c>
      <c r="N44" s="11">
        <v>4.3499999999999996</v>
      </c>
      <c r="O44" s="11">
        <v>0.3</v>
      </c>
      <c r="P44" s="11">
        <v>7.41</v>
      </c>
      <c r="Q44" s="12">
        <v>9943302</v>
      </c>
      <c r="R44" s="11">
        <v>424.58</v>
      </c>
      <c r="S44" s="13">
        <v>439893</v>
      </c>
      <c r="T44" s="11">
        <v>4.3499999999999996</v>
      </c>
      <c r="U44" s="11">
        <v>4.4000000000000004</v>
      </c>
      <c r="V44" s="13">
        <v>464791</v>
      </c>
      <c r="W44" s="13">
        <v>543970</v>
      </c>
      <c r="X44" s="11">
        <v>4.3</v>
      </c>
      <c r="Y44" s="11">
        <v>4.45</v>
      </c>
      <c r="Z44" s="13">
        <v>463667</v>
      </c>
      <c r="AA44" s="13">
        <v>493269</v>
      </c>
      <c r="AB44" s="11">
        <v>4.25</v>
      </c>
      <c r="AC44" s="11">
        <v>4.5</v>
      </c>
      <c r="AD44" s="13">
        <v>580504</v>
      </c>
      <c r="AE44" s="13">
        <v>658704</v>
      </c>
      <c r="AF44" s="11">
        <v>4.2</v>
      </c>
      <c r="AG44" s="11">
        <v>4.55</v>
      </c>
      <c r="AH44" s="13">
        <v>176174</v>
      </c>
      <c r="AI44" s="13">
        <v>278938</v>
      </c>
      <c r="AJ44" s="11">
        <v>4.1500000000000004</v>
      </c>
      <c r="AK44" s="11">
        <v>4.5999999999999996</v>
      </c>
      <c r="AL44" s="13">
        <v>322224</v>
      </c>
      <c r="AM44" s="13">
        <v>6212796</v>
      </c>
      <c r="AN44" s="13">
        <v>3698297</v>
      </c>
      <c r="AO44" s="14">
        <v>43304</v>
      </c>
      <c r="AP44" s="11" t="s">
        <v>4818</v>
      </c>
      <c r="AQ44" s="31" t="s">
        <v>4740</v>
      </c>
      <c r="AR44" s="30">
        <f t="shared" si="0"/>
        <v>43305.526620370372</v>
      </c>
    </row>
    <row r="45" spans="1:44" x14ac:dyDescent="0.3">
      <c r="A45" s="10" t="s">
        <v>4804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2"/>
      <c r="R45" s="11"/>
      <c r="S45" s="13"/>
      <c r="T45" s="11"/>
      <c r="U45" s="11"/>
      <c r="V45" s="13"/>
      <c r="W45" s="13"/>
      <c r="X45" s="11"/>
      <c r="Y45" s="11"/>
      <c r="Z45" s="13"/>
      <c r="AA45" s="13"/>
      <c r="AB45" s="11"/>
      <c r="AC45" s="11"/>
      <c r="AD45" s="13"/>
      <c r="AE45" s="13"/>
      <c r="AF45" s="11"/>
      <c r="AG45" s="11"/>
      <c r="AH45" s="13"/>
      <c r="AI45" s="13"/>
      <c r="AJ45" s="11"/>
      <c r="AK45" s="11"/>
      <c r="AL45" s="13"/>
      <c r="AM45" s="13"/>
      <c r="AN45" s="13"/>
      <c r="AO45" s="14"/>
      <c r="AP45" s="11"/>
      <c r="AQ45" s="11"/>
      <c r="AR45" s="30" t="e">
        <f t="shared" si="0"/>
        <v>#VALUE!</v>
      </c>
    </row>
    <row r="46" spans="1:44" x14ac:dyDescent="0.3">
      <c r="A46" s="10" t="s">
        <v>4804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2"/>
      <c r="R46" s="11"/>
      <c r="S46" s="13"/>
      <c r="T46" s="11"/>
      <c r="U46" s="11"/>
      <c r="V46" s="13"/>
      <c r="W46" s="13"/>
      <c r="X46" s="11"/>
      <c r="Y46" s="11"/>
      <c r="Z46" s="13"/>
      <c r="AA46" s="13"/>
      <c r="AB46" s="11"/>
      <c r="AC46" s="11"/>
      <c r="AD46" s="13"/>
      <c r="AE46" s="13"/>
      <c r="AF46" s="11"/>
      <c r="AG46" s="11"/>
      <c r="AH46" s="13"/>
      <c r="AI46" s="13"/>
      <c r="AJ46" s="11"/>
      <c r="AK46" s="11"/>
      <c r="AL46" s="13"/>
      <c r="AM46" s="13"/>
      <c r="AN46" s="13"/>
      <c r="AO46" s="14"/>
      <c r="AP46" s="11"/>
      <c r="AQ46" s="11"/>
      <c r="AR46" s="30" t="e">
        <f t="shared" si="0"/>
        <v>#VALUE!</v>
      </c>
    </row>
    <row r="47" spans="1:44" ht="40.799999999999997" x14ac:dyDescent="0.3">
      <c r="A47" s="10" t="s">
        <v>4786</v>
      </c>
      <c r="B47" s="11" t="s">
        <v>2634</v>
      </c>
      <c r="C47" s="11" t="s">
        <v>4738</v>
      </c>
      <c r="D47" s="11">
        <v>1</v>
      </c>
      <c r="E47" s="11" t="s">
        <v>4739</v>
      </c>
      <c r="F47" s="11" t="s">
        <v>4739</v>
      </c>
      <c r="G47" s="11">
        <v>12.25</v>
      </c>
      <c r="H47" s="11">
        <v>3.95</v>
      </c>
      <c r="I47" s="11">
        <v>4.05</v>
      </c>
      <c r="J47" s="11">
        <v>4.05</v>
      </c>
      <c r="K47" s="11">
        <v>4.45</v>
      </c>
      <c r="L47" s="11">
        <v>4.05</v>
      </c>
      <c r="M47" s="11">
        <v>4.28</v>
      </c>
      <c r="N47" s="11">
        <v>4.3</v>
      </c>
      <c r="O47" s="11">
        <v>0.25</v>
      </c>
      <c r="P47" s="11">
        <v>6.17</v>
      </c>
      <c r="Q47" s="12">
        <v>10479820</v>
      </c>
      <c r="R47" s="11">
        <v>448.54</v>
      </c>
      <c r="S47" s="13">
        <v>480449</v>
      </c>
      <c r="T47" s="11">
        <v>4.3</v>
      </c>
      <c r="U47" s="11">
        <v>4.3499999999999996</v>
      </c>
      <c r="V47" s="13">
        <v>214388</v>
      </c>
      <c r="W47" s="13">
        <v>632569</v>
      </c>
      <c r="X47" s="11">
        <v>4.25</v>
      </c>
      <c r="Y47" s="11">
        <v>4.4000000000000004</v>
      </c>
      <c r="Z47" s="13">
        <v>632094</v>
      </c>
      <c r="AA47" s="13">
        <v>628004</v>
      </c>
      <c r="AB47" s="11">
        <v>4.2</v>
      </c>
      <c r="AC47" s="11">
        <v>4.45</v>
      </c>
      <c r="AD47" s="13">
        <v>408847</v>
      </c>
      <c r="AE47" s="13">
        <v>277238</v>
      </c>
      <c r="AF47" s="11">
        <v>4.1500000000000004</v>
      </c>
      <c r="AG47" s="11">
        <v>4.5</v>
      </c>
      <c r="AH47" s="13">
        <v>471401</v>
      </c>
      <c r="AI47" s="13">
        <v>663197</v>
      </c>
      <c r="AJ47" s="11">
        <v>4.0999999999999996</v>
      </c>
      <c r="AK47" s="11">
        <v>4.55</v>
      </c>
      <c r="AL47" s="13">
        <v>174671</v>
      </c>
      <c r="AM47" s="13">
        <v>5874012</v>
      </c>
      <c r="AN47" s="13">
        <v>3894902</v>
      </c>
      <c r="AO47" s="14">
        <v>43304</v>
      </c>
      <c r="AP47" s="11" t="s">
        <v>4819</v>
      </c>
      <c r="AQ47" s="31" t="s">
        <v>4740</v>
      </c>
      <c r="AR47" s="30">
        <f t="shared" si="0"/>
        <v>43305.530787037038</v>
      </c>
    </row>
    <row r="48" spans="1:44" ht="40.799999999999997" x14ac:dyDescent="0.3">
      <c r="A48" s="10" t="s">
        <v>4786</v>
      </c>
      <c r="B48" s="11" t="s">
        <v>2634</v>
      </c>
      <c r="C48" s="11" t="s">
        <v>4738</v>
      </c>
      <c r="D48" s="11">
        <v>1</v>
      </c>
      <c r="E48" s="11" t="s">
        <v>4739</v>
      </c>
      <c r="F48" s="11" t="s">
        <v>4739</v>
      </c>
      <c r="G48" s="11">
        <v>12.25</v>
      </c>
      <c r="H48" s="11">
        <v>3.95</v>
      </c>
      <c r="I48" s="11">
        <v>4.05</v>
      </c>
      <c r="J48" s="11">
        <v>4.05</v>
      </c>
      <c r="K48" s="11">
        <v>4.45</v>
      </c>
      <c r="L48" s="11">
        <v>4.05</v>
      </c>
      <c r="M48" s="11">
        <v>4.28</v>
      </c>
      <c r="N48" s="11">
        <v>4.3</v>
      </c>
      <c r="O48" s="11">
        <v>0.25</v>
      </c>
      <c r="P48" s="11">
        <v>6.17</v>
      </c>
      <c r="Q48" s="12">
        <v>10479820</v>
      </c>
      <c r="R48" s="11">
        <v>448.54</v>
      </c>
      <c r="S48" s="13">
        <v>480449</v>
      </c>
      <c r="T48" s="11">
        <v>4.3</v>
      </c>
      <c r="U48" s="11">
        <v>4.3499999999999996</v>
      </c>
      <c r="V48" s="13">
        <v>214388</v>
      </c>
      <c r="W48" s="13">
        <v>632569</v>
      </c>
      <c r="X48" s="11">
        <v>4.25</v>
      </c>
      <c r="Y48" s="11">
        <v>4.4000000000000004</v>
      </c>
      <c r="Z48" s="13">
        <v>632094</v>
      </c>
      <c r="AA48" s="13">
        <v>628004</v>
      </c>
      <c r="AB48" s="11">
        <v>4.2</v>
      </c>
      <c r="AC48" s="11">
        <v>4.45</v>
      </c>
      <c r="AD48" s="13">
        <v>408847</v>
      </c>
      <c r="AE48" s="13">
        <v>277238</v>
      </c>
      <c r="AF48" s="11">
        <v>4.1500000000000004</v>
      </c>
      <c r="AG48" s="11">
        <v>4.5</v>
      </c>
      <c r="AH48" s="13">
        <v>471401</v>
      </c>
      <c r="AI48" s="13">
        <v>663197</v>
      </c>
      <c r="AJ48" s="11">
        <v>4.0999999999999996</v>
      </c>
      <c r="AK48" s="11">
        <v>4.55</v>
      </c>
      <c r="AL48" s="13">
        <v>174671</v>
      </c>
      <c r="AM48" s="13">
        <v>5874012</v>
      </c>
      <c r="AN48" s="13">
        <v>3894902</v>
      </c>
      <c r="AO48" s="14">
        <v>43304</v>
      </c>
      <c r="AP48" s="11" t="s">
        <v>4819</v>
      </c>
      <c r="AQ48" s="31" t="s">
        <v>4740</v>
      </c>
      <c r="AR48" s="30">
        <f t="shared" si="0"/>
        <v>43305.530787037038</v>
      </c>
    </row>
    <row r="49" spans="1:44" ht="40.799999999999997" x14ac:dyDescent="0.3">
      <c r="A49" s="10" t="s">
        <v>4786</v>
      </c>
      <c r="B49" s="11" t="s">
        <v>2634</v>
      </c>
      <c r="C49" s="11" t="s">
        <v>4738</v>
      </c>
      <c r="D49" s="11">
        <v>1</v>
      </c>
      <c r="E49" s="11" t="s">
        <v>4739</v>
      </c>
      <c r="F49" s="11" t="s">
        <v>4739</v>
      </c>
      <c r="G49" s="11">
        <v>12.25</v>
      </c>
      <c r="H49" s="11">
        <v>3.95</v>
      </c>
      <c r="I49" s="11">
        <v>4.05</v>
      </c>
      <c r="J49" s="11">
        <v>4.05</v>
      </c>
      <c r="K49" s="11">
        <v>4.45</v>
      </c>
      <c r="L49" s="11">
        <v>4.05</v>
      </c>
      <c r="M49" s="11">
        <v>4.28</v>
      </c>
      <c r="N49" s="11">
        <v>4.3</v>
      </c>
      <c r="O49" s="11">
        <v>0.25</v>
      </c>
      <c r="P49" s="11">
        <v>6.17</v>
      </c>
      <c r="Q49" s="12">
        <v>10538185</v>
      </c>
      <c r="R49" s="11">
        <v>451.03</v>
      </c>
      <c r="S49" s="13">
        <v>651785</v>
      </c>
      <c r="T49" s="11">
        <v>4.3</v>
      </c>
      <c r="U49" s="11">
        <v>4.3499999999999996</v>
      </c>
      <c r="V49" s="13">
        <v>201488</v>
      </c>
      <c r="W49" s="13">
        <v>707581</v>
      </c>
      <c r="X49" s="11">
        <v>4.25</v>
      </c>
      <c r="Y49" s="11">
        <v>4.4000000000000004</v>
      </c>
      <c r="Z49" s="13">
        <v>632994</v>
      </c>
      <c r="AA49" s="13">
        <v>736004</v>
      </c>
      <c r="AB49" s="11">
        <v>4.2</v>
      </c>
      <c r="AC49" s="11">
        <v>4.45</v>
      </c>
      <c r="AD49" s="13">
        <v>412347</v>
      </c>
      <c r="AE49" s="13">
        <v>529238</v>
      </c>
      <c r="AF49" s="11">
        <v>4.1500000000000004</v>
      </c>
      <c r="AG49" s="11">
        <v>4.5</v>
      </c>
      <c r="AH49" s="13">
        <v>482688</v>
      </c>
      <c r="AI49" s="13">
        <v>663201</v>
      </c>
      <c r="AJ49" s="11">
        <v>4.0999999999999996</v>
      </c>
      <c r="AK49" s="11">
        <v>4.55</v>
      </c>
      <c r="AL49" s="13">
        <v>174671</v>
      </c>
      <c r="AM49" s="13">
        <v>6370663</v>
      </c>
      <c r="AN49" s="13">
        <v>3898389</v>
      </c>
      <c r="AO49" s="14">
        <v>43304</v>
      </c>
      <c r="AP49" s="11" t="s">
        <v>4820</v>
      </c>
      <c r="AQ49" s="31" t="s">
        <v>4740</v>
      </c>
      <c r="AR49" s="30">
        <f t="shared" si="0"/>
        <v>43305.533217592594</v>
      </c>
    </row>
    <row r="50" spans="1:44" ht="40.799999999999997" x14ac:dyDescent="0.3">
      <c r="A50" s="10" t="s">
        <v>4786</v>
      </c>
      <c r="B50" s="11" t="s">
        <v>2634</v>
      </c>
      <c r="C50" s="11" t="s">
        <v>4738</v>
      </c>
      <c r="D50" s="11">
        <v>1</v>
      </c>
      <c r="E50" s="11" t="s">
        <v>4739</v>
      </c>
      <c r="F50" s="11" t="s">
        <v>4739</v>
      </c>
      <c r="G50" s="11">
        <v>12.25</v>
      </c>
      <c r="H50" s="11">
        <v>3.95</v>
      </c>
      <c r="I50" s="11">
        <v>4.05</v>
      </c>
      <c r="J50" s="11">
        <v>4.05</v>
      </c>
      <c r="K50" s="11">
        <v>4.45</v>
      </c>
      <c r="L50" s="11">
        <v>4.05</v>
      </c>
      <c r="M50" s="11">
        <v>4.26</v>
      </c>
      <c r="N50" s="11">
        <v>4.3</v>
      </c>
      <c r="O50" s="11">
        <v>0.25</v>
      </c>
      <c r="P50" s="11">
        <v>6.17</v>
      </c>
      <c r="Q50" s="12">
        <v>8243929</v>
      </c>
      <c r="R50" s="11">
        <v>351.19</v>
      </c>
      <c r="S50" s="13">
        <v>216094</v>
      </c>
      <c r="T50" s="11">
        <v>4.3</v>
      </c>
      <c r="U50" s="11">
        <v>4.3499999999999996</v>
      </c>
      <c r="V50" s="13">
        <v>838552</v>
      </c>
      <c r="W50" s="13">
        <v>517387</v>
      </c>
      <c r="X50" s="11">
        <v>4.25</v>
      </c>
      <c r="Y50" s="11">
        <v>4.4000000000000004</v>
      </c>
      <c r="Z50" s="13">
        <v>748950</v>
      </c>
      <c r="AA50" s="13">
        <v>699713</v>
      </c>
      <c r="AB50" s="11">
        <v>4.2</v>
      </c>
      <c r="AC50" s="11">
        <v>4.45</v>
      </c>
      <c r="AD50" s="13">
        <v>682795</v>
      </c>
      <c r="AE50" s="13">
        <v>501295</v>
      </c>
      <c r="AF50" s="11">
        <v>4.1500000000000004</v>
      </c>
      <c r="AG50" s="11">
        <v>4.5</v>
      </c>
      <c r="AH50" s="13">
        <v>528768</v>
      </c>
      <c r="AI50" s="13">
        <v>656286</v>
      </c>
      <c r="AJ50" s="11">
        <v>4.0999999999999996</v>
      </c>
      <c r="AK50" s="11">
        <v>4.55</v>
      </c>
      <c r="AL50" s="13">
        <v>69474</v>
      </c>
      <c r="AM50" s="13">
        <v>5661427</v>
      </c>
      <c r="AN50" s="13">
        <v>4609196</v>
      </c>
      <c r="AO50" s="14">
        <v>43304</v>
      </c>
      <c r="AP50" s="11" t="s">
        <v>4808</v>
      </c>
      <c r="AQ50" s="31" t="s">
        <v>4740</v>
      </c>
      <c r="AR50" s="30">
        <f t="shared" si="0"/>
        <v>43305.502650462964</v>
      </c>
    </row>
    <row r="51" spans="1:44" x14ac:dyDescent="0.3">
      <c r="A51" s="10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2"/>
      <c r="R51" s="11"/>
      <c r="S51" s="13"/>
      <c r="T51" s="11"/>
      <c r="U51" s="11"/>
      <c r="V51" s="13"/>
      <c r="W51" s="13"/>
      <c r="X51" s="11"/>
      <c r="Y51" s="11"/>
      <c r="Z51" s="13"/>
      <c r="AA51" s="13"/>
      <c r="AB51" s="11"/>
      <c r="AC51" s="11"/>
      <c r="AD51" s="13"/>
      <c r="AE51" s="13"/>
      <c r="AF51" s="11"/>
      <c r="AG51" s="11"/>
      <c r="AH51" s="13"/>
      <c r="AI51" s="13"/>
      <c r="AJ51" s="11"/>
      <c r="AK51" s="11"/>
      <c r="AL51" s="13"/>
      <c r="AM51" s="13"/>
      <c r="AN51" s="13"/>
      <c r="AO51" s="14"/>
      <c r="AP51" s="11"/>
      <c r="AQ51" s="11"/>
      <c r="AR51" s="30" t="e">
        <f t="shared" si="0"/>
        <v>#VALUE!</v>
      </c>
    </row>
    <row r="52" spans="1:44" ht="40.799999999999997" x14ac:dyDescent="0.3">
      <c r="A52" s="10" t="s">
        <v>4786</v>
      </c>
      <c r="B52" s="11" t="s">
        <v>2634</v>
      </c>
      <c r="C52" s="11" t="s">
        <v>4738</v>
      </c>
      <c r="D52" s="11">
        <v>1</v>
      </c>
      <c r="E52" s="11" t="s">
        <v>4739</v>
      </c>
      <c r="F52" s="11" t="s">
        <v>4739</v>
      </c>
      <c r="G52" s="11">
        <v>12.25</v>
      </c>
      <c r="H52" s="11">
        <v>3.95</v>
      </c>
      <c r="I52" s="11">
        <v>4.05</v>
      </c>
      <c r="J52" s="11">
        <v>4.05</v>
      </c>
      <c r="K52" s="11">
        <v>4.45</v>
      </c>
      <c r="L52" s="11">
        <v>4.05</v>
      </c>
      <c r="M52" s="11">
        <v>4.28</v>
      </c>
      <c r="N52" s="11">
        <v>4.3</v>
      </c>
      <c r="O52" s="11">
        <v>0.25</v>
      </c>
      <c r="P52" s="11">
        <v>6.17</v>
      </c>
      <c r="Q52" s="12">
        <v>10644871</v>
      </c>
      <c r="R52" s="11">
        <v>455.6</v>
      </c>
      <c r="S52" s="13">
        <v>692126</v>
      </c>
      <c r="T52" s="11">
        <v>4.3</v>
      </c>
      <c r="U52" s="11">
        <v>4.3499999999999996</v>
      </c>
      <c r="V52" s="13">
        <v>219166</v>
      </c>
      <c r="W52" s="13">
        <v>678631</v>
      </c>
      <c r="X52" s="11">
        <v>4.25</v>
      </c>
      <c r="Y52" s="11">
        <v>4.4000000000000004</v>
      </c>
      <c r="Z52" s="13">
        <v>625022</v>
      </c>
      <c r="AA52" s="13">
        <v>727154</v>
      </c>
      <c r="AB52" s="11">
        <v>4.2</v>
      </c>
      <c r="AC52" s="11">
        <v>4.45</v>
      </c>
      <c r="AD52" s="13">
        <v>424447</v>
      </c>
      <c r="AE52" s="13">
        <v>530288</v>
      </c>
      <c r="AF52" s="11">
        <v>4.1500000000000004</v>
      </c>
      <c r="AG52" s="11">
        <v>4.5</v>
      </c>
      <c r="AH52" s="13">
        <v>482888</v>
      </c>
      <c r="AI52" s="13">
        <v>661301</v>
      </c>
      <c r="AJ52" s="11">
        <v>4.0999999999999996</v>
      </c>
      <c r="AK52" s="11">
        <v>4.55</v>
      </c>
      <c r="AL52" s="13">
        <v>174671</v>
      </c>
      <c r="AM52" s="13">
        <v>6379254</v>
      </c>
      <c r="AN52" s="13">
        <v>3921768</v>
      </c>
      <c r="AO52" s="14">
        <v>43304</v>
      </c>
      <c r="AP52" s="11" t="s">
        <v>4821</v>
      </c>
      <c r="AQ52" s="31" t="s">
        <v>4740</v>
      </c>
      <c r="AR52" s="30">
        <f t="shared" si="0"/>
        <v>43305.53738425926</v>
      </c>
    </row>
    <row r="53" spans="1:44" ht="40.799999999999997" x14ac:dyDescent="0.3">
      <c r="A53" s="10" t="s">
        <v>4786</v>
      </c>
      <c r="B53" s="11" t="s">
        <v>2634</v>
      </c>
      <c r="C53" s="11" t="s">
        <v>4738</v>
      </c>
      <c r="D53" s="11">
        <v>1</v>
      </c>
      <c r="E53" s="11" t="s">
        <v>4739</v>
      </c>
      <c r="F53" s="11" t="s">
        <v>4739</v>
      </c>
      <c r="G53" s="11">
        <v>12.25</v>
      </c>
      <c r="H53" s="11">
        <v>3.95</v>
      </c>
      <c r="I53" s="11">
        <v>4.05</v>
      </c>
      <c r="J53" s="11">
        <v>4.05</v>
      </c>
      <c r="K53" s="11">
        <v>4.45</v>
      </c>
      <c r="L53" s="11">
        <v>4.05</v>
      </c>
      <c r="M53" s="11">
        <v>4.28</v>
      </c>
      <c r="N53" s="11">
        <v>4.3</v>
      </c>
      <c r="O53" s="11">
        <v>0.25</v>
      </c>
      <c r="P53" s="11">
        <v>6.17</v>
      </c>
      <c r="Q53" s="12">
        <v>10644871</v>
      </c>
      <c r="R53" s="11">
        <v>455.6</v>
      </c>
      <c r="S53" s="13">
        <v>692126</v>
      </c>
      <c r="T53" s="11">
        <v>4.3</v>
      </c>
      <c r="U53" s="11">
        <v>4.3499999999999996</v>
      </c>
      <c r="V53" s="13">
        <v>219166</v>
      </c>
      <c r="W53" s="13">
        <v>678631</v>
      </c>
      <c r="X53" s="11">
        <v>4.25</v>
      </c>
      <c r="Y53" s="11">
        <v>4.4000000000000004</v>
      </c>
      <c r="Z53" s="13">
        <v>625022</v>
      </c>
      <c r="AA53" s="13">
        <v>727154</v>
      </c>
      <c r="AB53" s="11">
        <v>4.2</v>
      </c>
      <c r="AC53" s="11">
        <v>4.45</v>
      </c>
      <c r="AD53" s="13">
        <v>424447</v>
      </c>
      <c r="AE53" s="13">
        <v>530288</v>
      </c>
      <c r="AF53" s="11">
        <v>4.1500000000000004</v>
      </c>
      <c r="AG53" s="11">
        <v>4.5</v>
      </c>
      <c r="AH53" s="13">
        <v>482888</v>
      </c>
      <c r="AI53" s="13">
        <v>661301</v>
      </c>
      <c r="AJ53" s="11">
        <v>4.0999999999999996</v>
      </c>
      <c r="AK53" s="11">
        <v>4.55</v>
      </c>
      <c r="AL53" s="13">
        <v>174671</v>
      </c>
      <c r="AM53" s="13">
        <v>6379254</v>
      </c>
      <c r="AN53" s="13">
        <v>3921768</v>
      </c>
      <c r="AO53" s="14">
        <v>43304</v>
      </c>
      <c r="AP53" s="11" t="s">
        <v>4821</v>
      </c>
      <c r="AQ53" s="31" t="s">
        <v>4740</v>
      </c>
      <c r="AR53" s="30">
        <f t="shared" si="0"/>
        <v>43305.53738425926</v>
      </c>
    </row>
    <row r="54" spans="1:44" ht="40.799999999999997" x14ac:dyDescent="0.3">
      <c r="A54" s="10" t="s">
        <v>4786</v>
      </c>
      <c r="B54" s="11" t="s">
        <v>2634</v>
      </c>
      <c r="C54" s="11" t="s">
        <v>4738</v>
      </c>
      <c r="D54" s="11">
        <v>1</v>
      </c>
      <c r="E54" s="11" t="s">
        <v>4739</v>
      </c>
      <c r="F54" s="11" t="s">
        <v>4739</v>
      </c>
      <c r="G54" s="11">
        <v>12.25</v>
      </c>
      <c r="H54" s="11">
        <v>3.95</v>
      </c>
      <c r="I54" s="11">
        <v>4.05</v>
      </c>
      <c r="J54" s="11">
        <v>4.05</v>
      </c>
      <c r="K54" s="11">
        <v>4.45</v>
      </c>
      <c r="L54" s="11">
        <v>4.05</v>
      </c>
      <c r="M54" s="11">
        <v>4.28</v>
      </c>
      <c r="N54" s="11">
        <v>4.3499999999999996</v>
      </c>
      <c r="O54" s="11">
        <v>0.3</v>
      </c>
      <c r="P54" s="11">
        <v>7.41</v>
      </c>
      <c r="Q54" s="12">
        <v>10656658</v>
      </c>
      <c r="R54" s="11">
        <v>456.1</v>
      </c>
      <c r="S54" s="13">
        <v>826042</v>
      </c>
      <c r="T54" s="11">
        <v>4.3</v>
      </c>
      <c r="U54" s="11">
        <v>4.3499999999999996</v>
      </c>
      <c r="V54" s="13">
        <v>226293</v>
      </c>
      <c r="W54" s="13">
        <v>678831</v>
      </c>
      <c r="X54" s="11">
        <v>4.25</v>
      </c>
      <c r="Y54" s="11">
        <v>4.4000000000000004</v>
      </c>
      <c r="Z54" s="13">
        <v>627802</v>
      </c>
      <c r="AA54" s="13">
        <v>727254</v>
      </c>
      <c r="AB54" s="11">
        <v>4.2</v>
      </c>
      <c r="AC54" s="11">
        <v>4.45</v>
      </c>
      <c r="AD54" s="13">
        <v>432683</v>
      </c>
      <c r="AE54" s="13">
        <v>531288</v>
      </c>
      <c r="AF54" s="11">
        <v>4.1500000000000004</v>
      </c>
      <c r="AG54" s="11">
        <v>4.5</v>
      </c>
      <c r="AH54" s="13">
        <v>487988</v>
      </c>
      <c r="AI54" s="13">
        <v>661551</v>
      </c>
      <c r="AJ54" s="11">
        <v>4.0999999999999996</v>
      </c>
      <c r="AK54" s="11">
        <v>4.55</v>
      </c>
      <c r="AL54" s="13">
        <v>183566</v>
      </c>
      <c r="AM54" s="13">
        <v>6514750</v>
      </c>
      <c r="AN54" s="13">
        <v>3953006</v>
      </c>
      <c r="AO54" s="14">
        <v>43304</v>
      </c>
      <c r="AP54" s="11" t="s">
        <v>4822</v>
      </c>
      <c r="AQ54" s="31" t="s">
        <v>4740</v>
      </c>
      <c r="AR54" s="30">
        <f t="shared" si="0"/>
        <v>43305.539814814816</v>
      </c>
    </row>
    <row r="55" spans="1:44" ht="40.799999999999997" x14ac:dyDescent="0.3">
      <c r="A55" s="10" t="s">
        <v>4786</v>
      </c>
      <c r="B55" s="11" t="s">
        <v>2634</v>
      </c>
      <c r="C55" s="11" t="s">
        <v>4738</v>
      </c>
      <c r="D55" s="11">
        <v>1</v>
      </c>
      <c r="E55" s="11" t="s">
        <v>4739</v>
      </c>
      <c r="F55" s="11" t="s">
        <v>4739</v>
      </c>
      <c r="G55" s="11">
        <v>12.25</v>
      </c>
      <c r="H55" s="11">
        <v>3.95</v>
      </c>
      <c r="I55" s="11">
        <v>4.05</v>
      </c>
      <c r="J55" s="11">
        <v>4.05</v>
      </c>
      <c r="K55" s="11">
        <v>4.45</v>
      </c>
      <c r="L55" s="11">
        <v>4.05</v>
      </c>
      <c r="M55" s="11">
        <v>4.28</v>
      </c>
      <c r="N55" s="11">
        <v>4.3</v>
      </c>
      <c r="O55" s="11">
        <v>0.25</v>
      </c>
      <c r="P55" s="11">
        <v>6.17</v>
      </c>
      <c r="Q55" s="12">
        <v>11389200</v>
      </c>
      <c r="R55" s="11">
        <v>487.46</v>
      </c>
      <c r="S55" s="13">
        <v>707149</v>
      </c>
      <c r="T55" s="11">
        <v>4.3</v>
      </c>
      <c r="U55" s="11">
        <v>4.3499999999999996</v>
      </c>
      <c r="V55" s="13">
        <v>313546</v>
      </c>
      <c r="W55" s="13">
        <v>655973</v>
      </c>
      <c r="X55" s="11">
        <v>4.25</v>
      </c>
      <c r="Y55" s="11">
        <v>4.4000000000000004</v>
      </c>
      <c r="Z55" s="13">
        <v>678858</v>
      </c>
      <c r="AA55" s="13">
        <v>786954</v>
      </c>
      <c r="AB55" s="11">
        <v>4.2</v>
      </c>
      <c r="AC55" s="11">
        <v>4.45</v>
      </c>
      <c r="AD55" s="13">
        <v>469451</v>
      </c>
      <c r="AE55" s="13">
        <v>466838</v>
      </c>
      <c r="AF55" s="11">
        <v>4.1500000000000004</v>
      </c>
      <c r="AG55" s="11">
        <v>4.5</v>
      </c>
      <c r="AH55" s="13">
        <v>396099</v>
      </c>
      <c r="AI55" s="13">
        <v>900616</v>
      </c>
      <c r="AJ55" s="11">
        <v>4.0999999999999996</v>
      </c>
      <c r="AK55" s="11">
        <v>4.55</v>
      </c>
      <c r="AL55" s="13">
        <v>195666</v>
      </c>
      <c r="AM55" s="13">
        <v>6601021</v>
      </c>
      <c r="AN55" s="13">
        <v>4089240</v>
      </c>
      <c r="AO55" s="14">
        <v>43304</v>
      </c>
      <c r="AP55" s="11" t="s">
        <v>4823</v>
      </c>
      <c r="AQ55" s="31" t="s">
        <v>4740</v>
      </c>
      <c r="AR55" s="30">
        <f t="shared" si="0"/>
        <v>43305.591932870368</v>
      </c>
    </row>
    <row r="56" spans="1:44" ht="40.799999999999997" x14ac:dyDescent="0.3">
      <c r="A56" s="10" t="s">
        <v>4786</v>
      </c>
      <c r="B56" s="11" t="s">
        <v>2634</v>
      </c>
      <c r="C56" s="11" t="s">
        <v>4738</v>
      </c>
      <c r="D56" s="11">
        <v>1</v>
      </c>
      <c r="E56" s="11" t="s">
        <v>4739</v>
      </c>
      <c r="F56" s="11" t="s">
        <v>4739</v>
      </c>
      <c r="G56" s="11">
        <v>12.25</v>
      </c>
      <c r="H56" s="11">
        <v>3.95</v>
      </c>
      <c r="I56" s="11">
        <v>4.05</v>
      </c>
      <c r="J56" s="11">
        <v>4.05</v>
      </c>
      <c r="K56" s="11">
        <v>4.45</v>
      </c>
      <c r="L56" s="11">
        <v>4.05</v>
      </c>
      <c r="M56" s="11">
        <v>4.28</v>
      </c>
      <c r="N56" s="11">
        <v>4.3</v>
      </c>
      <c r="O56" s="11">
        <v>0.25</v>
      </c>
      <c r="P56" s="11">
        <v>6.17</v>
      </c>
      <c r="Q56" s="12">
        <v>11389200</v>
      </c>
      <c r="R56" s="11">
        <v>487.46</v>
      </c>
      <c r="S56" s="13">
        <v>707149</v>
      </c>
      <c r="T56" s="11">
        <v>4.3</v>
      </c>
      <c r="U56" s="11">
        <v>4.3499999999999996</v>
      </c>
      <c r="V56" s="13">
        <v>313546</v>
      </c>
      <c r="W56" s="13">
        <v>655973</v>
      </c>
      <c r="X56" s="11">
        <v>4.25</v>
      </c>
      <c r="Y56" s="11">
        <v>4.4000000000000004</v>
      </c>
      <c r="Z56" s="13">
        <v>678858</v>
      </c>
      <c r="AA56" s="13">
        <v>786954</v>
      </c>
      <c r="AB56" s="11">
        <v>4.2</v>
      </c>
      <c r="AC56" s="11">
        <v>4.45</v>
      </c>
      <c r="AD56" s="13">
        <v>469451</v>
      </c>
      <c r="AE56" s="13">
        <v>466838</v>
      </c>
      <c r="AF56" s="11">
        <v>4.1500000000000004</v>
      </c>
      <c r="AG56" s="11">
        <v>4.5</v>
      </c>
      <c r="AH56" s="13">
        <v>396099</v>
      </c>
      <c r="AI56" s="13">
        <v>900616</v>
      </c>
      <c r="AJ56" s="11">
        <v>4.0999999999999996</v>
      </c>
      <c r="AK56" s="11">
        <v>4.55</v>
      </c>
      <c r="AL56" s="13">
        <v>195666</v>
      </c>
      <c r="AM56" s="13">
        <v>6601021</v>
      </c>
      <c r="AN56" s="13">
        <v>4089240</v>
      </c>
      <c r="AO56" s="14">
        <v>43304</v>
      </c>
      <c r="AP56" s="11" t="s">
        <v>4823</v>
      </c>
      <c r="AQ56" s="31" t="s">
        <v>4740</v>
      </c>
      <c r="AR56" s="30">
        <f t="shared" si="0"/>
        <v>43305.591932870368</v>
      </c>
    </row>
    <row r="57" spans="1:44" ht="40.799999999999997" x14ac:dyDescent="0.3">
      <c r="A57" s="10" t="s">
        <v>4786</v>
      </c>
      <c r="B57" s="11" t="s">
        <v>2634</v>
      </c>
      <c r="C57" s="11" t="s">
        <v>4738</v>
      </c>
      <c r="D57" s="11">
        <v>1</v>
      </c>
      <c r="E57" s="11" t="s">
        <v>4739</v>
      </c>
      <c r="F57" s="11" t="s">
        <v>4739</v>
      </c>
      <c r="G57" s="11">
        <v>12.25</v>
      </c>
      <c r="H57" s="11">
        <v>3.95</v>
      </c>
      <c r="I57" s="11">
        <v>4.05</v>
      </c>
      <c r="J57" s="11">
        <v>4.05</v>
      </c>
      <c r="K57" s="11">
        <v>4.45</v>
      </c>
      <c r="L57" s="11">
        <v>4.05</v>
      </c>
      <c r="M57" s="11">
        <v>4.28</v>
      </c>
      <c r="N57" s="11">
        <v>4.3</v>
      </c>
      <c r="O57" s="11">
        <v>0.25</v>
      </c>
      <c r="P57" s="11">
        <v>6.17</v>
      </c>
      <c r="Q57" s="12">
        <v>11389200</v>
      </c>
      <c r="R57" s="11">
        <v>487.46</v>
      </c>
      <c r="S57" s="13">
        <v>707149</v>
      </c>
      <c r="T57" s="11">
        <v>4.3</v>
      </c>
      <c r="U57" s="11">
        <v>4.3499999999999996</v>
      </c>
      <c r="V57" s="13">
        <v>313546</v>
      </c>
      <c r="W57" s="13">
        <v>655973</v>
      </c>
      <c r="X57" s="11">
        <v>4.25</v>
      </c>
      <c r="Y57" s="11">
        <v>4.4000000000000004</v>
      </c>
      <c r="Z57" s="13">
        <v>678858</v>
      </c>
      <c r="AA57" s="13">
        <v>786954</v>
      </c>
      <c r="AB57" s="11">
        <v>4.2</v>
      </c>
      <c r="AC57" s="11">
        <v>4.45</v>
      </c>
      <c r="AD57" s="13">
        <v>469451</v>
      </c>
      <c r="AE57" s="13">
        <v>466838</v>
      </c>
      <c r="AF57" s="11">
        <v>4.1500000000000004</v>
      </c>
      <c r="AG57" s="11">
        <v>4.5</v>
      </c>
      <c r="AH57" s="13">
        <v>396099</v>
      </c>
      <c r="AI57" s="13">
        <v>900616</v>
      </c>
      <c r="AJ57" s="11">
        <v>4.0999999999999996</v>
      </c>
      <c r="AK57" s="11">
        <v>4.55</v>
      </c>
      <c r="AL57" s="13">
        <v>195666</v>
      </c>
      <c r="AM57" s="13">
        <v>6601021</v>
      </c>
      <c r="AN57" s="13">
        <v>4089240</v>
      </c>
      <c r="AO57" s="14">
        <v>43304</v>
      </c>
      <c r="AP57" s="11" t="s">
        <v>4823</v>
      </c>
      <c r="AQ57" s="31" t="s">
        <v>4740</v>
      </c>
      <c r="AR57" s="30">
        <f t="shared" si="0"/>
        <v>43305.591932870368</v>
      </c>
    </row>
    <row r="58" spans="1:44" ht="40.799999999999997" x14ac:dyDescent="0.3">
      <c r="A58" s="10" t="s">
        <v>4786</v>
      </c>
      <c r="B58" s="11" t="s">
        <v>2634</v>
      </c>
      <c r="C58" s="11" t="s">
        <v>4738</v>
      </c>
      <c r="D58" s="11">
        <v>1</v>
      </c>
      <c r="E58" s="11" t="s">
        <v>4739</v>
      </c>
      <c r="F58" s="11" t="s">
        <v>4739</v>
      </c>
      <c r="G58" s="11">
        <v>12.25</v>
      </c>
      <c r="H58" s="11">
        <v>3.95</v>
      </c>
      <c r="I58" s="11">
        <v>4.05</v>
      </c>
      <c r="J58" s="11">
        <v>4.05</v>
      </c>
      <c r="K58" s="11">
        <v>4.45</v>
      </c>
      <c r="L58" s="11">
        <v>4.05</v>
      </c>
      <c r="M58" s="11">
        <v>4.28</v>
      </c>
      <c r="N58" s="11">
        <v>4.3499999999999996</v>
      </c>
      <c r="O58" s="11">
        <v>0.3</v>
      </c>
      <c r="P58" s="11">
        <v>7.41</v>
      </c>
      <c r="Q58" s="12">
        <v>11424010</v>
      </c>
      <c r="R58" s="11">
        <v>488.95</v>
      </c>
      <c r="S58" s="13">
        <v>701649</v>
      </c>
      <c r="T58" s="11">
        <v>4.3</v>
      </c>
      <c r="U58" s="11">
        <v>4.3499999999999996</v>
      </c>
      <c r="V58" s="13">
        <v>310198</v>
      </c>
      <c r="W58" s="13">
        <v>655973</v>
      </c>
      <c r="X58" s="11">
        <v>4.25</v>
      </c>
      <c r="Y58" s="11">
        <v>4.4000000000000004</v>
      </c>
      <c r="Z58" s="13">
        <v>680658</v>
      </c>
      <c r="AA58" s="13">
        <v>790954</v>
      </c>
      <c r="AB58" s="11">
        <v>4.2</v>
      </c>
      <c r="AC58" s="11">
        <v>4.45</v>
      </c>
      <c r="AD58" s="13">
        <v>481556</v>
      </c>
      <c r="AE58" s="13">
        <v>466838</v>
      </c>
      <c r="AF58" s="11">
        <v>4.1500000000000004</v>
      </c>
      <c r="AG58" s="11">
        <v>4.5</v>
      </c>
      <c r="AH58" s="13">
        <v>395809</v>
      </c>
      <c r="AI58" s="13">
        <v>900616</v>
      </c>
      <c r="AJ58" s="11">
        <v>4.0999999999999996</v>
      </c>
      <c r="AK58" s="11">
        <v>4.55</v>
      </c>
      <c r="AL58" s="13">
        <v>195666</v>
      </c>
      <c r="AM58" s="13">
        <v>6594921</v>
      </c>
      <c r="AN58" s="13">
        <v>4099161</v>
      </c>
      <c r="AO58" s="14">
        <v>43304</v>
      </c>
      <c r="AP58" s="11" t="s">
        <v>4824</v>
      </c>
      <c r="AQ58" s="31" t="s">
        <v>4740</v>
      </c>
      <c r="AR58" s="30">
        <f t="shared" si="0"/>
        <v>43305.5940162037</v>
      </c>
    </row>
    <row r="59" spans="1:44" ht="40.799999999999997" x14ac:dyDescent="0.3">
      <c r="A59" s="10" t="s">
        <v>4786</v>
      </c>
      <c r="B59" s="11" t="s">
        <v>2634</v>
      </c>
      <c r="C59" s="11" t="s">
        <v>4738</v>
      </c>
      <c r="D59" s="11">
        <v>1</v>
      </c>
      <c r="E59" s="11" t="s">
        <v>4739</v>
      </c>
      <c r="F59" s="11" t="s">
        <v>4739</v>
      </c>
      <c r="G59" s="11">
        <v>12.25</v>
      </c>
      <c r="H59" s="11">
        <v>3.95</v>
      </c>
      <c r="I59" s="11">
        <v>4.05</v>
      </c>
      <c r="J59" s="11">
        <v>4.05</v>
      </c>
      <c r="K59" s="11">
        <v>4.45</v>
      </c>
      <c r="L59" s="11">
        <v>4.05</v>
      </c>
      <c r="M59" s="11">
        <v>4.28</v>
      </c>
      <c r="N59" s="11">
        <v>4.3499999999999996</v>
      </c>
      <c r="O59" s="11">
        <v>0.3</v>
      </c>
      <c r="P59" s="11">
        <v>7.41</v>
      </c>
      <c r="Q59" s="12">
        <v>11424010</v>
      </c>
      <c r="R59" s="11">
        <v>488.95</v>
      </c>
      <c r="S59" s="13">
        <v>701649</v>
      </c>
      <c r="T59" s="11">
        <v>4.3</v>
      </c>
      <c r="U59" s="11">
        <v>4.3499999999999996</v>
      </c>
      <c r="V59" s="13">
        <v>310198</v>
      </c>
      <c r="W59" s="13">
        <v>655973</v>
      </c>
      <c r="X59" s="11">
        <v>4.25</v>
      </c>
      <c r="Y59" s="11">
        <v>4.4000000000000004</v>
      </c>
      <c r="Z59" s="13">
        <v>680658</v>
      </c>
      <c r="AA59" s="13">
        <v>790954</v>
      </c>
      <c r="AB59" s="11">
        <v>4.2</v>
      </c>
      <c r="AC59" s="11">
        <v>4.45</v>
      </c>
      <c r="AD59" s="13">
        <v>481556</v>
      </c>
      <c r="AE59" s="13">
        <v>466838</v>
      </c>
      <c r="AF59" s="11">
        <v>4.1500000000000004</v>
      </c>
      <c r="AG59" s="11">
        <v>4.5</v>
      </c>
      <c r="AH59" s="13">
        <v>395809</v>
      </c>
      <c r="AI59" s="13">
        <v>900616</v>
      </c>
      <c r="AJ59" s="11">
        <v>4.0999999999999996</v>
      </c>
      <c r="AK59" s="11">
        <v>4.55</v>
      </c>
      <c r="AL59" s="13">
        <v>195666</v>
      </c>
      <c r="AM59" s="13">
        <v>6594921</v>
      </c>
      <c r="AN59" s="13">
        <v>4099161</v>
      </c>
      <c r="AO59" s="14">
        <v>43304</v>
      </c>
      <c r="AP59" s="11" t="s">
        <v>4824</v>
      </c>
      <c r="AQ59" s="31" t="s">
        <v>4740</v>
      </c>
      <c r="AR59" s="30">
        <f t="shared" si="0"/>
        <v>43305.5940162037</v>
      </c>
    </row>
    <row r="60" spans="1:44" ht="40.799999999999997" x14ac:dyDescent="0.3">
      <c r="A60" s="10" t="s">
        <v>4786</v>
      </c>
      <c r="B60" s="11" t="s">
        <v>2634</v>
      </c>
      <c r="C60" s="11" t="s">
        <v>4738</v>
      </c>
      <c r="D60" s="11">
        <v>1</v>
      </c>
      <c r="E60" s="11" t="s">
        <v>4739</v>
      </c>
      <c r="F60" s="11" t="s">
        <v>4739</v>
      </c>
      <c r="G60" s="11">
        <v>12.25</v>
      </c>
      <c r="H60" s="11">
        <v>3.95</v>
      </c>
      <c r="I60" s="11">
        <v>4.05</v>
      </c>
      <c r="J60" s="11">
        <v>4.05</v>
      </c>
      <c r="K60" s="11">
        <v>4.45</v>
      </c>
      <c r="L60" s="11">
        <v>4.05</v>
      </c>
      <c r="M60" s="11">
        <v>4.28</v>
      </c>
      <c r="N60" s="11">
        <v>4.3499999999999996</v>
      </c>
      <c r="O60" s="11">
        <v>0.3</v>
      </c>
      <c r="P60" s="11">
        <v>7.41</v>
      </c>
      <c r="Q60" s="12">
        <v>11437697</v>
      </c>
      <c r="R60" s="11">
        <v>489.53</v>
      </c>
      <c r="S60" s="13">
        <v>743704</v>
      </c>
      <c r="T60" s="11">
        <v>4.3</v>
      </c>
      <c r="U60" s="11">
        <v>4.3499999999999996</v>
      </c>
      <c r="V60" s="13">
        <v>303201</v>
      </c>
      <c r="W60" s="13">
        <v>656073</v>
      </c>
      <c r="X60" s="11">
        <v>4.25</v>
      </c>
      <c r="Y60" s="11">
        <v>4.4000000000000004</v>
      </c>
      <c r="Z60" s="13">
        <v>677658</v>
      </c>
      <c r="AA60" s="13">
        <v>790954</v>
      </c>
      <c r="AB60" s="11">
        <v>4.2</v>
      </c>
      <c r="AC60" s="11">
        <v>4.45</v>
      </c>
      <c r="AD60" s="13">
        <v>482256</v>
      </c>
      <c r="AE60" s="13">
        <v>466838</v>
      </c>
      <c r="AF60" s="11">
        <v>4.1500000000000004</v>
      </c>
      <c r="AG60" s="11">
        <v>4.5</v>
      </c>
      <c r="AH60" s="13">
        <v>395809</v>
      </c>
      <c r="AI60" s="13">
        <v>900616</v>
      </c>
      <c r="AJ60" s="11">
        <v>4.0999999999999996</v>
      </c>
      <c r="AK60" s="11">
        <v>4.55</v>
      </c>
      <c r="AL60" s="13">
        <v>195666</v>
      </c>
      <c r="AM60" s="13">
        <v>6638076</v>
      </c>
      <c r="AN60" s="13">
        <v>4100664</v>
      </c>
      <c r="AO60" s="14">
        <v>43304</v>
      </c>
      <c r="AP60" s="11" t="s">
        <v>4825</v>
      </c>
      <c r="AQ60" s="31" t="s">
        <v>4740</v>
      </c>
      <c r="AR60" s="30">
        <f t="shared" si="0"/>
        <v>43305.595057870371</v>
      </c>
    </row>
    <row r="61" spans="1:44" ht="40.799999999999997" x14ac:dyDescent="0.3">
      <c r="A61" s="10" t="s">
        <v>4786</v>
      </c>
      <c r="B61" s="11" t="s">
        <v>2634</v>
      </c>
      <c r="C61" s="11" t="s">
        <v>4738</v>
      </c>
      <c r="D61" s="11">
        <v>1</v>
      </c>
      <c r="E61" s="11" t="s">
        <v>4739</v>
      </c>
      <c r="F61" s="11" t="s">
        <v>4739</v>
      </c>
      <c r="G61" s="11">
        <v>12.25</v>
      </c>
      <c r="H61" s="11">
        <v>3.95</v>
      </c>
      <c r="I61" s="11">
        <v>4.05</v>
      </c>
      <c r="J61" s="11">
        <v>4.05</v>
      </c>
      <c r="K61" s="11">
        <v>4.45</v>
      </c>
      <c r="L61" s="11">
        <v>4.05</v>
      </c>
      <c r="M61" s="11">
        <v>4.28</v>
      </c>
      <c r="N61" s="11">
        <v>4.3</v>
      </c>
      <c r="O61" s="11">
        <v>0.25</v>
      </c>
      <c r="P61" s="11">
        <v>6.17</v>
      </c>
      <c r="Q61" s="12">
        <v>11490613</v>
      </c>
      <c r="R61" s="11">
        <v>491.8</v>
      </c>
      <c r="S61" s="13">
        <v>760583</v>
      </c>
      <c r="T61" s="11">
        <v>4.3</v>
      </c>
      <c r="U61" s="11">
        <v>4.3499999999999996</v>
      </c>
      <c r="V61" s="13">
        <v>327568</v>
      </c>
      <c r="W61" s="13">
        <v>656073</v>
      </c>
      <c r="X61" s="11">
        <v>4.25</v>
      </c>
      <c r="Y61" s="11">
        <v>4.4000000000000004</v>
      </c>
      <c r="Z61" s="13">
        <v>677923</v>
      </c>
      <c r="AA61" s="13">
        <v>789954</v>
      </c>
      <c r="AB61" s="11">
        <v>4.2</v>
      </c>
      <c r="AC61" s="11">
        <v>4.45</v>
      </c>
      <c r="AD61" s="13">
        <v>482256</v>
      </c>
      <c r="AE61" s="13">
        <v>466838</v>
      </c>
      <c r="AF61" s="11">
        <v>4.1500000000000004</v>
      </c>
      <c r="AG61" s="11">
        <v>4.5</v>
      </c>
      <c r="AH61" s="13">
        <v>395759</v>
      </c>
      <c r="AI61" s="13">
        <v>900521</v>
      </c>
      <c r="AJ61" s="11">
        <v>4.0999999999999996</v>
      </c>
      <c r="AK61" s="11">
        <v>4.55</v>
      </c>
      <c r="AL61" s="13">
        <v>193166</v>
      </c>
      <c r="AM61" s="13">
        <v>6653860</v>
      </c>
      <c r="AN61" s="13">
        <v>4114046</v>
      </c>
      <c r="AO61" s="14">
        <v>43304</v>
      </c>
      <c r="AP61" s="11" t="s">
        <v>4826</v>
      </c>
      <c r="AQ61" s="31" t="s">
        <v>4740</v>
      </c>
      <c r="AR61" s="30">
        <f t="shared" si="0"/>
        <v>43305.59783564815</v>
      </c>
    </row>
    <row r="62" spans="1:44" ht="40.799999999999997" x14ac:dyDescent="0.3">
      <c r="A62" s="10" t="s">
        <v>4786</v>
      </c>
      <c r="B62" s="11" t="s">
        <v>2634</v>
      </c>
      <c r="C62" s="11" t="s">
        <v>4738</v>
      </c>
      <c r="D62" s="11">
        <v>1</v>
      </c>
      <c r="E62" s="11" t="s">
        <v>4739</v>
      </c>
      <c r="F62" s="11" t="s">
        <v>4739</v>
      </c>
      <c r="G62" s="11">
        <v>12.25</v>
      </c>
      <c r="H62" s="11">
        <v>3.95</v>
      </c>
      <c r="I62" s="11">
        <v>4.05</v>
      </c>
      <c r="J62" s="11">
        <v>4.05</v>
      </c>
      <c r="K62" s="11">
        <v>4.45</v>
      </c>
      <c r="L62" s="11">
        <v>4.05</v>
      </c>
      <c r="M62" s="11">
        <v>4.28</v>
      </c>
      <c r="N62" s="11">
        <v>4.3</v>
      </c>
      <c r="O62" s="11">
        <v>0.25</v>
      </c>
      <c r="P62" s="11">
        <v>6.17</v>
      </c>
      <c r="Q62" s="12">
        <v>11490613</v>
      </c>
      <c r="R62" s="11">
        <v>491.8</v>
      </c>
      <c r="S62" s="13">
        <v>760583</v>
      </c>
      <c r="T62" s="11">
        <v>4.3</v>
      </c>
      <c r="U62" s="11">
        <v>4.3499999999999996</v>
      </c>
      <c r="V62" s="13">
        <v>327568</v>
      </c>
      <c r="W62" s="13">
        <v>656073</v>
      </c>
      <c r="X62" s="11">
        <v>4.25</v>
      </c>
      <c r="Y62" s="11">
        <v>4.4000000000000004</v>
      </c>
      <c r="Z62" s="13">
        <v>677923</v>
      </c>
      <c r="AA62" s="13">
        <v>789954</v>
      </c>
      <c r="AB62" s="11">
        <v>4.2</v>
      </c>
      <c r="AC62" s="11">
        <v>4.45</v>
      </c>
      <c r="AD62" s="13">
        <v>482256</v>
      </c>
      <c r="AE62" s="13">
        <v>466838</v>
      </c>
      <c r="AF62" s="11">
        <v>4.1500000000000004</v>
      </c>
      <c r="AG62" s="11">
        <v>4.5</v>
      </c>
      <c r="AH62" s="13">
        <v>395759</v>
      </c>
      <c r="AI62" s="13">
        <v>900521</v>
      </c>
      <c r="AJ62" s="11">
        <v>4.0999999999999996</v>
      </c>
      <c r="AK62" s="11">
        <v>4.55</v>
      </c>
      <c r="AL62" s="13">
        <v>193166</v>
      </c>
      <c r="AM62" s="13">
        <v>6653860</v>
      </c>
      <c r="AN62" s="13">
        <v>4114046</v>
      </c>
      <c r="AO62" s="14">
        <v>43304</v>
      </c>
      <c r="AP62" s="11" t="s">
        <v>4826</v>
      </c>
      <c r="AQ62" s="31" t="s">
        <v>4740</v>
      </c>
      <c r="AR62" s="30">
        <f t="shared" si="0"/>
        <v>43305.59783564815</v>
      </c>
    </row>
    <row r="63" spans="1:44" ht="40.799999999999997" x14ac:dyDescent="0.3">
      <c r="A63" s="10" t="s">
        <v>4786</v>
      </c>
      <c r="B63" s="11" t="s">
        <v>2634</v>
      </c>
      <c r="C63" s="11" t="s">
        <v>4738</v>
      </c>
      <c r="D63" s="11">
        <v>1</v>
      </c>
      <c r="E63" s="11" t="s">
        <v>4739</v>
      </c>
      <c r="F63" s="11" t="s">
        <v>4739</v>
      </c>
      <c r="G63" s="11">
        <v>12.25</v>
      </c>
      <c r="H63" s="11">
        <v>3.95</v>
      </c>
      <c r="I63" s="11">
        <v>4.05</v>
      </c>
      <c r="J63" s="11">
        <v>4.05</v>
      </c>
      <c r="K63" s="11">
        <v>4.45</v>
      </c>
      <c r="L63" s="11">
        <v>4.05</v>
      </c>
      <c r="M63" s="11">
        <v>4.28</v>
      </c>
      <c r="N63" s="11">
        <v>4.3499999999999996</v>
      </c>
      <c r="O63" s="11">
        <v>0.3</v>
      </c>
      <c r="P63" s="11">
        <v>7.41</v>
      </c>
      <c r="Q63" s="12">
        <v>11512001</v>
      </c>
      <c r="R63" s="11">
        <v>492.71</v>
      </c>
      <c r="S63" s="13">
        <v>867007</v>
      </c>
      <c r="T63" s="11">
        <v>4.3</v>
      </c>
      <c r="U63" s="11">
        <v>4.3499999999999996</v>
      </c>
      <c r="V63" s="13">
        <v>317181</v>
      </c>
      <c r="W63" s="13">
        <v>656073</v>
      </c>
      <c r="X63" s="11">
        <v>4.25</v>
      </c>
      <c r="Y63" s="11">
        <v>4.4000000000000004</v>
      </c>
      <c r="Z63" s="13">
        <v>678923</v>
      </c>
      <c r="AA63" s="13">
        <v>783954</v>
      </c>
      <c r="AB63" s="11">
        <v>4.2</v>
      </c>
      <c r="AC63" s="11">
        <v>4.45</v>
      </c>
      <c r="AD63" s="13">
        <v>480356</v>
      </c>
      <c r="AE63" s="13">
        <v>466038</v>
      </c>
      <c r="AF63" s="11">
        <v>4.1500000000000004</v>
      </c>
      <c r="AG63" s="11">
        <v>4.5</v>
      </c>
      <c r="AH63" s="13">
        <v>388659</v>
      </c>
      <c r="AI63" s="13">
        <v>900521</v>
      </c>
      <c r="AJ63" s="11">
        <v>4.0999999999999996</v>
      </c>
      <c r="AK63" s="11">
        <v>4.55</v>
      </c>
      <c r="AL63" s="13">
        <v>193166</v>
      </c>
      <c r="AM63" s="13">
        <v>6753684</v>
      </c>
      <c r="AN63" s="13">
        <v>4093159</v>
      </c>
      <c r="AO63" s="14">
        <v>43304</v>
      </c>
      <c r="AP63" s="11" t="s">
        <v>4827</v>
      </c>
      <c r="AQ63" s="31" t="s">
        <v>4740</v>
      </c>
      <c r="AR63" s="30">
        <f t="shared" si="0"/>
        <v>43305.600266203706</v>
      </c>
    </row>
    <row r="64" spans="1:44" ht="40.799999999999997" x14ac:dyDescent="0.3">
      <c r="A64" s="10" t="s">
        <v>4786</v>
      </c>
      <c r="B64" s="11" t="s">
        <v>2634</v>
      </c>
      <c r="C64" s="11" t="s">
        <v>4738</v>
      </c>
      <c r="D64" s="11">
        <v>1</v>
      </c>
      <c r="E64" s="11" t="s">
        <v>4739</v>
      </c>
      <c r="F64" s="11" t="s">
        <v>4739</v>
      </c>
      <c r="G64" s="11">
        <v>12.25</v>
      </c>
      <c r="H64" s="11">
        <v>3.95</v>
      </c>
      <c r="I64" s="11">
        <v>4.05</v>
      </c>
      <c r="J64" s="11">
        <v>4.05</v>
      </c>
      <c r="K64" s="11">
        <v>4.45</v>
      </c>
      <c r="L64" s="11">
        <v>4.05</v>
      </c>
      <c r="M64" s="11">
        <v>4.28</v>
      </c>
      <c r="N64" s="11">
        <v>4.3</v>
      </c>
      <c r="O64" s="11">
        <v>0.25</v>
      </c>
      <c r="P64" s="11">
        <v>6.17</v>
      </c>
      <c r="Q64" s="12">
        <v>11525463</v>
      </c>
      <c r="R64" s="11">
        <v>493.29</v>
      </c>
      <c r="S64" s="13">
        <v>856147</v>
      </c>
      <c r="T64" s="11">
        <v>4.3</v>
      </c>
      <c r="U64" s="11">
        <v>4.3499999999999996</v>
      </c>
      <c r="V64" s="13">
        <v>324979</v>
      </c>
      <c r="W64" s="13">
        <v>656073</v>
      </c>
      <c r="X64" s="11">
        <v>4.25</v>
      </c>
      <c r="Y64" s="11">
        <v>4.4000000000000004</v>
      </c>
      <c r="Z64" s="13">
        <v>678248</v>
      </c>
      <c r="AA64" s="13">
        <v>786054</v>
      </c>
      <c r="AB64" s="11">
        <v>4.2</v>
      </c>
      <c r="AC64" s="11">
        <v>4.45</v>
      </c>
      <c r="AD64" s="13">
        <v>480356</v>
      </c>
      <c r="AE64" s="13">
        <v>466038</v>
      </c>
      <c r="AF64" s="11">
        <v>4.1500000000000004</v>
      </c>
      <c r="AG64" s="11">
        <v>4.5</v>
      </c>
      <c r="AH64" s="13">
        <v>389159</v>
      </c>
      <c r="AI64" s="13">
        <v>900121</v>
      </c>
      <c r="AJ64" s="11">
        <v>4.0999999999999996</v>
      </c>
      <c r="AK64" s="11">
        <v>4.55</v>
      </c>
      <c r="AL64" s="13">
        <v>193166</v>
      </c>
      <c r="AM64" s="13">
        <v>6744524</v>
      </c>
      <c r="AN64" s="13">
        <v>4080282</v>
      </c>
      <c r="AO64" s="14">
        <v>43304</v>
      </c>
      <c r="AP64" s="11" t="s">
        <v>4828</v>
      </c>
      <c r="AQ64" s="31" t="s">
        <v>4740</v>
      </c>
      <c r="AR64" s="30">
        <f t="shared" si="0"/>
        <v>43305.601655092592</v>
      </c>
    </row>
    <row r="65" spans="1:44" ht="40.799999999999997" x14ac:dyDescent="0.3">
      <c r="A65" s="10" t="s">
        <v>4786</v>
      </c>
      <c r="B65" s="11" t="s">
        <v>2634</v>
      </c>
      <c r="C65" s="11" t="s">
        <v>4738</v>
      </c>
      <c r="D65" s="11">
        <v>1</v>
      </c>
      <c r="E65" s="11" t="s">
        <v>4739</v>
      </c>
      <c r="F65" s="11" t="s">
        <v>4739</v>
      </c>
      <c r="G65" s="11">
        <v>12.25</v>
      </c>
      <c r="H65" s="11">
        <v>3.95</v>
      </c>
      <c r="I65" s="11">
        <v>4.05</v>
      </c>
      <c r="J65" s="11">
        <v>4.05</v>
      </c>
      <c r="K65" s="11">
        <v>4.45</v>
      </c>
      <c r="L65" s="11">
        <v>4.05</v>
      </c>
      <c r="M65" s="11">
        <v>4.28</v>
      </c>
      <c r="N65" s="11">
        <v>4.3</v>
      </c>
      <c r="O65" s="11">
        <v>0.25</v>
      </c>
      <c r="P65" s="11">
        <v>6.17</v>
      </c>
      <c r="Q65" s="12">
        <v>11525463</v>
      </c>
      <c r="R65" s="11">
        <v>493.29</v>
      </c>
      <c r="S65" s="13">
        <v>856147</v>
      </c>
      <c r="T65" s="11">
        <v>4.3</v>
      </c>
      <c r="U65" s="11">
        <v>4.3499999999999996</v>
      </c>
      <c r="V65" s="13">
        <v>324979</v>
      </c>
      <c r="W65" s="13">
        <v>656073</v>
      </c>
      <c r="X65" s="11">
        <v>4.25</v>
      </c>
      <c r="Y65" s="11">
        <v>4.4000000000000004</v>
      </c>
      <c r="Z65" s="13">
        <v>678248</v>
      </c>
      <c r="AA65" s="13">
        <v>786054</v>
      </c>
      <c r="AB65" s="11">
        <v>4.2</v>
      </c>
      <c r="AC65" s="11">
        <v>4.45</v>
      </c>
      <c r="AD65" s="13">
        <v>480356</v>
      </c>
      <c r="AE65" s="13">
        <v>466038</v>
      </c>
      <c r="AF65" s="11">
        <v>4.1500000000000004</v>
      </c>
      <c r="AG65" s="11">
        <v>4.5</v>
      </c>
      <c r="AH65" s="13">
        <v>389159</v>
      </c>
      <c r="AI65" s="13">
        <v>900121</v>
      </c>
      <c r="AJ65" s="11">
        <v>4.0999999999999996</v>
      </c>
      <c r="AK65" s="11">
        <v>4.55</v>
      </c>
      <c r="AL65" s="13">
        <v>193166</v>
      </c>
      <c r="AM65" s="13">
        <v>6744524</v>
      </c>
      <c r="AN65" s="13">
        <v>4080282</v>
      </c>
      <c r="AO65" s="14">
        <v>43304</v>
      </c>
      <c r="AP65" s="11" t="s">
        <v>4828</v>
      </c>
      <c r="AQ65" s="31" t="s">
        <v>4740</v>
      </c>
      <c r="AR65" s="30">
        <f t="shared" si="0"/>
        <v>43305.601655092592</v>
      </c>
    </row>
    <row r="66" spans="1:44" ht="40.799999999999997" x14ac:dyDescent="0.3">
      <c r="A66" s="10" t="s">
        <v>4786</v>
      </c>
      <c r="B66" s="11" t="s">
        <v>2634</v>
      </c>
      <c r="C66" s="11" t="s">
        <v>4738</v>
      </c>
      <c r="D66" s="11">
        <v>1</v>
      </c>
      <c r="E66" s="11" t="s">
        <v>4739</v>
      </c>
      <c r="F66" s="11" t="s">
        <v>4739</v>
      </c>
      <c r="G66" s="11">
        <v>12.25</v>
      </c>
      <c r="H66" s="11">
        <v>3.95</v>
      </c>
      <c r="I66" s="11">
        <v>4.05</v>
      </c>
      <c r="J66" s="11">
        <v>4.05</v>
      </c>
      <c r="K66" s="11">
        <v>4.45</v>
      </c>
      <c r="L66" s="11">
        <v>4.05</v>
      </c>
      <c r="M66" s="11">
        <v>4.28</v>
      </c>
      <c r="N66" s="11">
        <v>4.3499999999999996</v>
      </c>
      <c r="O66" s="11">
        <v>0.3</v>
      </c>
      <c r="P66" s="11">
        <v>7.41</v>
      </c>
      <c r="Q66" s="12">
        <v>11544927</v>
      </c>
      <c r="R66" s="11">
        <v>494.12</v>
      </c>
      <c r="S66" s="13">
        <v>851430</v>
      </c>
      <c r="T66" s="11">
        <v>4.3</v>
      </c>
      <c r="U66" s="11">
        <v>4.3499999999999996</v>
      </c>
      <c r="V66" s="13">
        <v>397995</v>
      </c>
      <c r="W66" s="13">
        <v>656573</v>
      </c>
      <c r="X66" s="11">
        <v>4.25</v>
      </c>
      <c r="Y66" s="11">
        <v>4.4000000000000004</v>
      </c>
      <c r="Z66" s="13">
        <v>677813</v>
      </c>
      <c r="AA66" s="13">
        <v>788054</v>
      </c>
      <c r="AB66" s="11">
        <v>4.2</v>
      </c>
      <c r="AC66" s="11">
        <v>4.45</v>
      </c>
      <c r="AD66" s="13">
        <v>480356</v>
      </c>
      <c r="AE66" s="13">
        <v>466038</v>
      </c>
      <c r="AF66" s="11">
        <v>4.1500000000000004</v>
      </c>
      <c r="AG66" s="11">
        <v>4.5</v>
      </c>
      <c r="AH66" s="13">
        <v>429159</v>
      </c>
      <c r="AI66" s="13">
        <v>900121</v>
      </c>
      <c r="AJ66" s="11">
        <v>4.0999999999999996</v>
      </c>
      <c r="AK66" s="11">
        <v>4.55</v>
      </c>
      <c r="AL66" s="13">
        <v>193166</v>
      </c>
      <c r="AM66" s="13">
        <v>6741307</v>
      </c>
      <c r="AN66" s="13">
        <v>4253863</v>
      </c>
      <c r="AO66" s="14">
        <v>43304</v>
      </c>
      <c r="AP66" s="11" t="s">
        <v>4829</v>
      </c>
      <c r="AQ66" s="31" t="s">
        <v>4740</v>
      </c>
      <c r="AR66" s="30">
        <f t="shared" si="0"/>
        <v>43305.604085648149</v>
      </c>
    </row>
    <row r="67" spans="1:44" ht="28.8" x14ac:dyDescent="0.3">
      <c r="A67" s="10" t="s">
        <v>4804</v>
      </c>
      <c r="B67" s="11" t="s">
        <v>2634</v>
      </c>
      <c r="C67" s="11" t="s">
        <v>4738</v>
      </c>
      <c r="D67" s="11">
        <v>1</v>
      </c>
      <c r="E67" s="11" t="s">
        <v>4739</v>
      </c>
      <c r="F67" s="11" t="s">
        <v>4739</v>
      </c>
      <c r="G67" s="11">
        <v>12.25</v>
      </c>
      <c r="H67" s="11">
        <v>3.95</v>
      </c>
      <c r="I67" s="11">
        <v>4.05</v>
      </c>
      <c r="J67" s="11">
        <v>4.05</v>
      </c>
      <c r="K67" s="11">
        <v>4.45</v>
      </c>
      <c r="L67" s="11">
        <v>4.05</v>
      </c>
      <c r="M67" s="11">
        <v>4.28</v>
      </c>
      <c r="N67" s="11">
        <v>4.3499999999999996</v>
      </c>
      <c r="O67" s="11">
        <v>0.3</v>
      </c>
      <c r="P67" s="11">
        <v>7.41</v>
      </c>
      <c r="Q67" s="12">
        <v>11512001</v>
      </c>
      <c r="R67" s="11">
        <v>492.71</v>
      </c>
      <c r="S67" s="13">
        <v>867007</v>
      </c>
      <c r="T67" s="11">
        <v>4.3</v>
      </c>
      <c r="U67" s="11">
        <v>4.3499999999999996</v>
      </c>
      <c r="V67" s="13">
        <v>317181</v>
      </c>
      <c r="W67" s="13">
        <v>656073</v>
      </c>
      <c r="X67" s="11">
        <v>4.25</v>
      </c>
      <c r="Y67" s="11">
        <v>4.4000000000000004</v>
      </c>
      <c r="Z67" s="13">
        <v>678923</v>
      </c>
      <c r="AA67" s="13">
        <v>783954</v>
      </c>
      <c r="AB67" s="11">
        <v>4.2</v>
      </c>
      <c r="AC67" s="11">
        <v>4.45</v>
      </c>
      <c r="AD67" s="13">
        <v>480356</v>
      </c>
      <c r="AE67" s="13">
        <v>466038</v>
      </c>
      <c r="AF67" s="11">
        <v>4.1500000000000004</v>
      </c>
      <c r="AG67" s="11">
        <v>4.5</v>
      </c>
      <c r="AH67" s="13">
        <v>388659</v>
      </c>
      <c r="AI67" s="13">
        <v>900521</v>
      </c>
      <c r="AJ67" s="11">
        <v>4.0999999999999996</v>
      </c>
      <c r="AK67" s="11">
        <v>4.55</v>
      </c>
      <c r="AL67" s="13">
        <v>193166</v>
      </c>
      <c r="AM67" s="13">
        <v>6753684</v>
      </c>
      <c r="AN67" s="13">
        <v>4093159</v>
      </c>
      <c r="AO67" s="14">
        <v>43304</v>
      </c>
      <c r="AP67" s="11" t="s">
        <v>4827</v>
      </c>
      <c r="AQ67" s="31" t="s">
        <v>4740</v>
      </c>
      <c r="AR67" s="30">
        <f t="shared" ref="AR67:AR100" si="2">43305+TIMEVALUE(SUBSTITUTE(AP67,";",":"))</f>
        <v>43305.600266203706</v>
      </c>
    </row>
    <row r="68" spans="1:44" ht="40.799999999999997" x14ac:dyDescent="0.3">
      <c r="A68" s="10" t="s">
        <v>4786</v>
      </c>
      <c r="B68" s="11" t="s">
        <v>2634</v>
      </c>
      <c r="C68" s="11" t="s">
        <v>4738</v>
      </c>
      <c r="D68" s="11">
        <v>1</v>
      </c>
      <c r="E68" s="11" t="s">
        <v>4739</v>
      </c>
      <c r="F68" s="11" t="s">
        <v>4739</v>
      </c>
      <c r="G68" s="11">
        <v>12.25</v>
      </c>
      <c r="H68" s="11">
        <v>3.95</v>
      </c>
      <c r="I68" s="11">
        <v>4.05</v>
      </c>
      <c r="J68" s="11">
        <v>4.05</v>
      </c>
      <c r="K68" s="11">
        <v>4.45</v>
      </c>
      <c r="L68" s="11">
        <v>4.05</v>
      </c>
      <c r="M68" s="11">
        <v>4.28</v>
      </c>
      <c r="N68" s="11">
        <v>4.3499999999999996</v>
      </c>
      <c r="O68" s="11">
        <v>0.3</v>
      </c>
      <c r="P68" s="11">
        <v>7.41</v>
      </c>
      <c r="Q68" s="12">
        <v>11612418</v>
      </c>
      <c r="R68" s="11">
        <v>497.01</v>
      </c>
      <c r="S68" s="13">
        <v>821837</v>
      </c>
      <c r="T68" s="11">
        <v>4.3</v>
      </c>
      <c r="U68" s="11">
        <v>4.3499999999999996</v>
      </c>
      <c r="V68" s="13">
        <v>351773</v>
      </c>
      <c r="W68" s="13">
        <v>656573</v>
      </c>
      <c r="X68" s="11">
        <v>4.25</v>
      </c>
      <c r="Y68" s="11">
        <v>4.4000000000000004</v>
      </c>
      <c r="Z68" s="13">
        <v>677173</v>
      </c>
      <c r="AA68" s="13">
        <v>787054</v>
      </c>
      <c r="AB68" s="11">
        <v>4.2</v>
      </c>
      <c r="AC68" s="11">
        <v>4.45</v>
      </c>
      <c r="AD68" s="13">
        <v>470356</v>
      </c>
      <c r="AE68" s="13">
        <v>465738</v>
      </c>
      <c r="AF68" s="11">
        <v>4.1500000000000004</v>
      </c>
      <c r="AG68" s="11">
        <v>4.5</v>
      </c>
      <c r="AH68" s="13">
        <v>439584</v>
      </c>
      <c r="AI68" s="13">
        <v>905121</v>
      </c>
      <c r="AJ68" s="11">
        <v>4.0999999999999996</v>
      </c>
      <c r="AK68" s="11">
        <v>4.55</v>
      </c>
      <c r="AL68" s="13">
        <v>194166</v>
      </c>
      <c r="AM68" s="13">
        <v>6715907</v>
      </c>
      <c r="AN68" s="13">
        <v>4100376</v>
      </c>
      <c r="AO68" s="14">
        <v>43304</v>
      </c>
      <c r="AP68" s="11" t="s">
        <v>4830</v>
      </c>
      <c r="AQ68" s="31" t="s">
        <v>4740</v>
      </c>
      <c r="AR68" s="30">
        <f t="shared" si="2"/>
        <v>43305.607905092591</v>
      </c>
    </row>
    <row r="69" spans="1:44" ht="28.8" x14ac:dyDescent="0.3">
      <c r="A69" s="10" t="s">
        <v>4804</v>
      </c>
      <c r="B69" s="11" t="s">
        <v>2634</v>
      </c>
      <c r="C69" s="11" t="s">
        <v>4738</v>
      </c>
      <c r="D69" s="11">
        <v>1</v>
      </c>
      <c r="E69" s="11" t="s">
        <v>4739</v>
      </c>
      <c r="F69" s="11" t="s">
        <v>4739</v>
      </c>
      <c r="G69" s="11">
        <v>12.25</v>
      </c>
      <c r="H69" s="11">
        <v>3.95</v>
      </c>
      <c r="I69" s="11">
        <v>4.05</v>
      </c>
      <c r="J69" s="11">
        <v>4.05</v>
      </c>
      <c r="K69" s="11">
        <v>4.45</v>
      </c>
      <c r="L69" s="11">
        <v>4.05</v>
      </c>
      <c r="M69" s="11">
        <v>4.28</v>
      </c>
      <c r="N69" s="11">
        <v>4.3</v>
      </c>
      <c r="O69" s="11">
        <v>0.25</v>
      </c>
      <c r="P69" s="11">
        <v>6.17</v>
      </c>
      <c r="Q69" s="12">
        <v>11525463</v>
      </c>
      <c r="R69" s="11">
        <v>493.29</v>
      </c>
      <c r="S69" s="13">
        <v>856147</v>
      </c>
      <c r="T69" s="11">
        <v>4.3</v>
      </c>
      <c r="U69" s="11">
        <v>4.3499999999999996</v>
      </c>
      <c r="V69" s="13">
        <v>324979</v>
      </c>
      <c r="W69" s="13">
        <v>656073</v>
      </c>
      <c r="X69" s="11">
        <v>4.25</v>
      </c>
      <c r="Y69" s="11">
        <v>4.4000000000000004</v>
      </c>
      <c r="Z69" s="13">
        <v>678248</v>
      </c>
      <c r="AA69" s="13">
        <v>786054</v>
      </c>
      <c r="AB69" s="11">
        <v>4.2</v>
      </c>
      <c r="AC69" s="11">
        <v>4.45</v>
      </c>
      <c r="AD69" s="13">
        <v>480356</v>
      </c>
      <c r="AE69" s="13">
        <v>466038</v>
      </c>
      <c r="AF69" s="11">
        <v>4.1500000000000004</v>
      </c>
      <c r="AG69" s="11">
        <v>4.5</v>
      </c>
      <c r="AH69" s="13">
        <v>389159</v>
      </c>
      <c r="AI69" s="13">
        <v>900121</v>
      </c>
      <c r="AJ69" s="11">
        <v>4.0999999999999996</v>
      </c>
      <c r="AK69" s="11">
        <v>4.55</v>
      </c>
      <c r="AL69" s="13">
        <v>193166</v>
      </c>
      <c r="AM69" s="13">
        <v>6744524</v>
      </c>
      <c r="AN69" s="13">
        <v>4080282</v>
      </c>
      <c r="AO69" s="14">
        <v>43304</v>
      </c>
      <c r="AP69" s="11" t="s">
        <v>4828</v>
      </c>
      <c r="AQ69" s="31" t="s">
        <v>4740</v>
      </c>
      <c r="AR69" s="30">
        <f t="shared" si="2"/>
        <v>43305.601655092592</v>
      </c>
    </row>
    <row r="70" spans="1:44" ht="28.8" x14ac:dyDescent="0.3">
      <c r="A70" s="10" t="s">
        <v>4804</v>
      </c>
      <c r="B70" s="11" t="s">
        <v>2634</v>
      </c>
      <c r="C70" s="11" t="s">
        <v>4738</v>
      </c>
      <c r="D70" s="11">
        <v>1</v>
      </c>
      <c r="E70" s="11" t="s">
        <v>4739</v>
      </c>
      <c r="F70" s="11" t="s">
        <v>4739</v>
      </c>
      <c r="G70" s="11">
        <v>12.25</v>
      </c>
      <c r="H70" s="11">
        <v>3.95</v>
      </c>
      <c r="I70" s="11">
        <v>4.05</v>
      </c>
      <c r="J70" s="11">
        <v>4.05</v>
      </c>
      <c r="K70" s="11">
        <v>4.45</v>
      </c>
      <c r="L70" s="11">
        <v>4.05</v>
      </c>
      <c r="M70" s="11">
        <v>4.28</v>
      </c>
      <c r="N70" s="11">
        <v>4.3499999999999996</v>
      </c>
      <c r="O70" s="11">
        <v>0.3</v>
      </c>
      <c r="P70" s="11">
        <v>7.41</v>
      </c>
      <c r="Q70" s="12">
        <v>11544927</v>
      </c>
      <c r="R70" s="11">
        <v>494.12</v>
      </c>
      <c r="S70" s="13">
        <v>851430</v>
      </c>
      <c r="T70" s="11">
        <v>4.3</v>
      </c>
      <c r="U70" s="11">
        <v>4.3499999999999996</v>
      </c>
      <c r="V70" s="13">
        <v>397995</v>
      </c>
      <c r="W70" s="13">
        <v>656573</v>
      </c>
      <c r="X70" s="11">
        <v>4.25</v>
      </c>
      <c r="Y70" s="11">
        <v>4.4000000000000004</v>
      </c>
      <c r="Z70" s="13">
        <v>677813</v>
      </c>
      <c r="AA70" s="13">
        <v>788054</v>
      </c>
      <c r="AB70" s="11">
        <v>4.2</v>
      </c>
      <c r="AC70" s="11">
        <v>4.45</v>
      </c>
      <c r="AD70" s="13">
        <v>480356</v>
      </c>
      <c r="AE70" s="13">
        <v>466038</v>
      </c>
      <c r="AF70" s="11">
        <v>4.1500000000000004</v>
      </c>
      <c r="AG70" s="11">
        <v>4.5</v>
      </c>
      <c r="AH70" s="13">
        <v>429159</v>
      </c>
      <c r="AI70" s="13">
        <v>900121</v>
      </c>
      <c r="AJ70" s="11">
        <v>4.0999999999999996</v>
      </c>
      <c r="AK70" s="11">
        <v>4.55</v>
      </c>
      <c r="AL70" s="13">
        <v>193166</v>
      </c>
      <c r="AM70" s="13">
        <v>6741307</v>
      </c>
      <c r="AN70" s="13">
        <v>4253863</v>
      </c>
      <c r="AO70" s="14">
        <v>43304</v>
      </c>
      <c r="AP70" s="11" t="s">
        <v>4829</v>
      </c>
      <c r="AQ70" s="31" t="s">
        <v>4740</v>
      </c>
      <c r="AR70" s="30">
        <f t="shared" si="2"/>
        <v>43305.604085648149</v>
      </c>
    </row>
    <row r="71" spans="1:44" ht="40.799999999999997" x14ac:dyDescent="0.3">
      <c r="A71" s="10" t="s">
        <v>4786</v>
      </c>
      <c r="B71" s="11" t="s">
        <v>2634</v>
      </c>
      <c r="C71" s="11" t="s">
        <v>4738</v>
      </c>
      <c r="D71" s="11">
        <v>1</v>
      </c>
      <c r="E71" s="11" t="s">
        <v>4739</v>
      </c>
      <c r="F71" s="11" t="s">
        <v>4739</v>
      </c>
      <c r="G71" s="11">
        <v>12.25</v>
      </c>
      <c r="H71" s="11">
        <v>3.95</v>
      </c>
      <c r="I71" s="11">
        <v>4.05</v>
      </c>
      <c r="J71" s="11">
        <v>4.05</v>
      </c>
      <c r="K71" s="11">
        <v>4.45</v>
      </c>
      <c r="L71" s="11">
        <v>4.05</v>
      </c>
      <c r="M71" s="11">
        <v>4.28</v>
      </c>
      <c r="N71" s="11">
        <v>4.3499999999999996</v>
      </c>
      <c r="O71" s="11">
        <v>0.3</v>
      </c>
      <c r="P71" s="11">
        <v>7.41</v>
      </c>
      <c r="Q71" s="12">
        <v>11671662</v>
      </c>
      <c r="R71" s="11">
        <v>499.55</v>
      </c>
      <c r="S71" s="13">
        <v>804265</v>
      </c>
      <c r="T71" s="11">
        <v>4.3</v>
      </c>
      <c r="U71" s="11">
        <v>4.3499999999999996</v>
      </c>
      <c r="V71" s="13">
        <v>313862</v>
      </c>
      <c r="W71" s="13">
        <v>656181</v>
      </c>
      <c r="X71" s="11">
        <v>4.25</v>
      </c>
      <c r="Y71" s="11">
        <v>4.4000000000000004</v>
      </c>
      <c r="Z71" s="13">
        <v>678083</v>
      </c>
      <c r="AA71" s="13">
        <v>787454</v>
      </c>
      <c r="AB71" s="11">
        <v>4.2</v>
      </c>
      <c r="AC71" s="11">
        <v>4.45</v>
      </c>
      <c r="AD71" s="13">
        <v>479106</v>
      </c>
      <c r="AE71" s="13">
        <v>465238</v>
      </c>
      <c r="AF71" s="11">
        <v>4.1500000000000004</v>
      </c>
      <c r="AG71" s="11">
        <v>4.5</v>
      </c>
      <c r="AH71" s="13">
        <v>434574</v>
      </c>
      <c r="AI71" s="13">
        <v>905126</v>
      </c>
      <c r="AJ71" s="11">
        <v>4.0999999999999996</v>
      </c>
      <c r="AK71" s="11">
        <v>4.55</v>
      </c>
      <c r="AL71" s="13">
        <v>194166</v>
      </c>
      <c r="AM71" s="13">
        <v>6597821</v>
      </c>
      <c r="AN71" s="13">
        <v>4165415</v>
      </c>
      <c r="AO71" s="14">
        <v>43304</v>
      </c>
      <c r="AP71" s="11" t="s">
        <v>4831</v>
      </c>
      <c r="AQ71" s="31" t="s">
        <v>4740</v>
      </c>
      <c r="AR71" s="30">
        <f t="shared" si="2"/>
        <v>43305.610682870371</v>
      </c>
    </row>
    <row r="72" spans="1:44" ht="40.799999999999997" x14ac:dyDescent="0.3">
      <c r="A72" s="10" t="s">
        <v>4786</v>
      </c>
      <c r="B72" s="11" t="s">
        <v>2634</v>
      </c>
      <c r="C72" s="11" t="s">
        <v>4738</v>
      </c>
      <c r="D72" s="11">
        <v>1</v>
      </c>
      <c r="E72" s="11" t="s">
        <v>4739</v>
      </c>
      <c r="F72" s="11" t="s">
        <v>4739</v>
      </c>
      <c r="G72" s="11">
        <v>12.25</v>
      </c>
      <c r="H72" s="11">
        <v>3.95</v>
      </c>
      <c r="I72" s="11">
        <v>4.05</v>
      </c>
      <c r="J72" s="11">
        <v>4.05</v>
      </c>
      <c r="K72" s="11">
        <v>4.45</v>
      </c>
      <c r="L72" s="11">
        <v>4.05</v>
      </c>
      <c r="M72" s="11">
        <v>4.28</v>
      </c>
      <c r="N72" s="11">
        <v>4.3499999999999996</v>
      </c>
      <c r="O72" s="11">
        <v>0.3</v>
      </c>
      <c r="P72" s="11">
        <v>7.41</v>
      </c>
      <c r="Q72" s="12">
        <v>11671662</v>
      </c>
      <c r="R72" s="11">
        <v>499.55</v>
      </c>
      <c r="S72" s="13">
        <v>804265</v>
      </c>
      <c r="T72" s="11">
        <v>4.3</v>
      </c>
      <c r="U72" s="11">
        <v>4.3499999999999996</v>
      </c>
      <c r="V72" s="13">
        <v>313862</v>
      </c>
      <c r="W72" s="13">
        <v>656181</v>
      </c>
      <c r="X72" s="11">
        <v>4.25</v>
      </c>
      <c r="Y72" s="11">
        <v>4.4000000000000004</v>
      </c>
      <c r="Z72" s="13">
        <v>678083</v>
      </c>
      <c r="AA72" s="13">
        <v>787454</v>
      </c>
      <c r="AB72" s="11">
        <v>4.2</v>
      </c>
      <c r="AC72" s="11">
        <v>4.45</v>
      </c>
      <c r="AD72" s="13">
        <v>479106</v>
      </c>
      <c r="AE72" s="13">
        <v>465238</v>
      </c>
      <c r="AF72" s="11">
        <v>4.1500000000000004</v>
      </c>
      <c r="AG72" s="11">
        <v>4.5</v>
      </c>
      <c r="AH72" s="13">
        <v>434574</v>
      </c>
      <c r="AI72" s="13">
        <v>905126</v>
      </c>
      <c r="AJ72" s="11">
        <v>4.0999999999999996</v>
      </c>
      <c r="AK72" s="11">
        <v>4.55</v>
      </c>
      <c r="AL72" s="13">
        <v>194166</v>
      </c>
      <c r="AM72" s="13">
        <v>6597821</v>
      </c>
      <c r="AN72" s="13">
        <v>4165415</v>
      </c>
      <c r="AO72" s="14">
        <v>43304</v>
      </c>
      <c r="AP72" s="11" t="s">
        <v>4831</v>
      </c>
      <c r="AQ72" s="31" t="s">
        <v>4740</v>
      </c>
      <c r="AR72" s="30">
        <f t="shared" si="2"/>
        <v>43305.610682870371</v>
      </c>
    </row>
    <row r="73" spans="1:44" ht="40.799999999999997" x14ac:dyDescent="0.3">
      <c r="A73" s="10" t="s">
        <v>4786</v>
      </c>
      <c r="B73" s="11" t="s">
        <v>2634</v>
      </c>
      <c r="C73" s="11" t="s">
        <v>4738</v>
      </c>
      <c r="D73" s="11">
        <v>1</v>
      </c>
      <c r="E73" s="11" t="s">
        <v>4739</v>
      </c>
      <c r="F73" s="11" t="s">
        <v>4739</v>
      </c>
      <c r="G73" s="11">
        <v>12.25</v>
      </c>
      <c r="H73" s="11">
        <v>3.95</v>
      </c>
      <c r="I73" s="11">
        <v>4.05</v>
      </c>
      <c r="J73" s="11">
        <v>4.05</v>
      </c>
      <c r="K73" s="11">
        <v>4.45</v>
      </c>
      <c r="L73" s="11">
        <v>4.05</v>
      </c>
      <c r="M73" s="11">
        <v>4.28</v>
      </c>
      <c r="N73" s="11">
        <v>4.3499999999999996</v>
      </c>
      <c r="O73" s="11">
        <v>0.3</v>
      </c>
      <c r="P73" s="11">
        <v>7.41</v>
      </c>
      <c r="Q73" s="12">
        <v>11675414</v>
      </c>
      <c r="R73" s="11">
        <v>499.71</v>
      </c>
      <c r="S73" s="13">
        <v>807207</v>
      </c>
      <c r="T73" s="11">
        <v>4.3</v>
      </c>
      <c r="U73" s="11">
        <v>4.3499999999999996</v>
      </c>
      <c r="V73" s="13">
        <v>411170</v>
      </c>
      <c r="W73" s="13">
        <v>656231</v>
      </c>
      <c r="X73" s="11">
        <v>4.25</v>
      </c>
      <c r="Y73" s="11">
        <v>4.4000000000000004</v>
      </c>
      <c r="Z73" s="13">
        <v>679355</v>
      </c>
      <c r="AA73" s="13">
        <v>788204</v>
      </c>
      <c r="AB73" s="11">
        <v>4.2</v>
      </c>
      <c r="AC73" s="11">
        <v>4.45</v>
      </c>
      <c r="AD73" s="13">
        <v>474106</v>
      </c>
      <c r="AE73" s="13">
        <v>465238</v>
      </c>
      <c r="AF73" s="11">
        <v>4.1500000000000004</v>
      </c>
      <c r="AG73" s="11">
        <v>4.5</v>
      </c>
      <c r="AH73" s="13">
        <v>435574</v>
      </c>
      <c r="AI73" s="13">
        <v>904376</v>
      </c>
      <c r="AJ73" s="11">
        <v>4.0999999999999996</v>
      </c>
      <c r="AK73" s="11">
        <v>4.55</v>
      </c>
      <c r="AL73" s="13">
        <v>194166</v>
      </c>
      <c r="AM73" s="13">
        <v>6600413</v>
      </c>
      <c r="AN73" s="13">
        <v>4249995</v>
      </c>
      <c r="AO73" s="14">
        <v>43304</v>
      </c>
      <c r="AP73" s="11" t="s">
        <v>4832</v>
      </c>
      <c r="AQ73" s="31" t="s">
        <v>4740</v>
      </c>
      <c r="AR73" s="30">
        <f t="shared" si="2"/>
        <v>43305.612071759257</v>
      </c>
    </row>
    <row r="74" spans="1:44" ht="40.799999999999997" x14ac:dyDescent="0.3">
      <c r="A74" s="10" t="s">
        <v>4786</v>
      </c>
      <c r="B74" s="11" t="s">
        <v>2634</v>
      </c>
      <c r="C74" s="11" t="s">
        <v>4738</v>
      </c>
      <c r="D74" s="11">
        <v>1</v>
      </c>
      <c r="E74" s="11" t="s">
        <v>4739</v>
      </c>
      <c r="F74" s="11" t="s">
        <v>4739</v>
      </c>
      <c r="G74" s="11">
        <v>12.25</v>
      </c>
      <c r="H74" s="11">
        <v>3.95</v>
      </c>
      <c r="I74" s="11">
        <v>4.05</v>
      </c>
      <c r="J74" s="11">
        <v>4.05</v>
      </c>
      <c r="K74" s="11">
        <v>4.45</v>
      </c>
      <c r="L74" s="11">
        <v>4.05</v>
      </c>
      <c r="M74" s="11">
        <v>4.28</v>
      </c>
      <c r="N74" s="11">
        <v>4.3499999999999996</v>
      </c>
      <c r="O74" s="11">
        <v>0.3</v>
      </c>
      <c r="P74" s="11">
        <v>7.41</v>
      </c>
      <c r="Q74" s="12">
        <v>11675414</v>
      </c>
      <c r="R74" s="11">
        <v>499.71</v>
      </c>
      <c r="S74" s="13">
        <v>807207</v>
      </c>
      <c r="T74" s="11">
        <v>4.3</v>
      </c>
      <c r="U74" s="11">
        <v>4.3499999999999996</v>
      </c>
      <c r="V74" s="13">
        <v>411170</v>
      </c>
      <c r="W74" s="13">
        <v>656231</v>
      </c>
      <c r="X74" s="11">
        <v>4.25</v>
      </c>
      <c r="Y74" s="11">
        <v>4.4000000000000004</v>
      </c>
      <c r="Z74" s="13">
        <v>679355</v>
      </c>
      <c r="AA74" s="13">
        <v>788204</v>
      </c>
      <c r="AB74" s="11">
        <v>4.2</v>
      </c>
      <c r="AC74" s="11">
        <v>4.45</v>
      </c>
      <c r="AD74" s="13">
        <v>474106</v>
      </c>
      <c r="AE74" s="13">
        <v>465238</v>
      </c>
      <c r="AF74" s="11">
        <v>4.1500000000000004</v>
      </c>
      <c r="AG74" s="11">
        <v>4.5</v>
      </c>
      <c r="AH74" s="13">
        <v>435574</v>
      </c>
      <c r="AI74" s="13">
        <v>904376</v>
      </c>
      <c r="AJ74" s="11">
        <v>4.0999999999999996</v>
      </c>
      <c r="AK74" s="11">
        <v>4.55</v>
      </c>
      <c r="AL74" s="13">
        <v>194166</v>
      </c>
      <c r="AM74" s="13">
        <v>6600413</v>
      </c>
      <c r="AN74" s="13">
        <v>4249995</v>
      </c>
      <c r="AO74" s="14">
        <v>43304</v>
      </c>
      <c r="AP74" s="11" t="s">
        <v>4832</v>
      </c>
      <c r="AQ74" s="31" t="s">
        <v>4740</v>
      </c>
      <c r="AR74" s="30">
        <f t="shared" si="2"/>
        <v>43305.612071759257</v>
      </c>
    </row>
    <row r="75" spans="1:44" ht="40.799999999999997" x14ac:dyDescent="0.3">
      <c r="A75" s="10" t="s">
        <v>4786</v>
      </c>
      <c r="B75" s="11" t="s">
        <v>2634</v>
      </c>
      <c r="C75" s="11" t="s">
        <v>4738</v>
      </c>
      <c r="D75" s="11">
        <v>1</v>
      </c>
      <c r="E75" s="11" t="s">
        <v>4739</v>
      </c>
      <c r="F75" s="11" t="s">
        <v>4739</v>
      </c>
      <c r="G75" s="11">
        <v>12.25</v>
      </c>
      <c r="H75" s="11">
        <v>3.95</v>
      </c>
      <c r="I75" s="11">
        <v>4.05</v>
      </c>
      <c r="J75" s="11">
        <v>4.05</v>
      </c>
      <c r="K75" s="11">
        <v>4.45</v>
      </c>
      <c r="L75" s="11">
        <v>4.05</v>
      </c>
      <c r="M75" s="11">
        <v>4.28</v>
      </c>
      <c r="N75" s="11">
        <v>4.3499999999999996</v>
      </c>
      <c r="O75" s="11">
        <v>0.3</v>
      </c>
      <c r="P75" s="11">
        <v>7.41</v>
      </c>
      <c r="Q75" s="12">
        <v>11708841</v>
      </c>
      <c r="R75" s="11">
        <v>501.14</v>
      </c>
      <c r="S75" s="13">
        <v>912519</v>
      </c>
      <c r="T75" s="11">
        <v>4.3</v>
      </c>
      <c r="U75" s="11">
        <v>4.3499999999999996</v>
      </c>
      <c r="V75" s="13">
        <v>316999</v>
      </c>
      <c r="W75" s="13">
        <v>658231</v>
      </c>
      <c r="X75" s="11">
        <v>4.25</v>
      </c>
      <c r="Y75" s="11">
        <v>4.4000000000000004</v>
      </c>
      <c r="Z75" s="13">
        <v>693008</v>
      </c>
      <c r="AA75" s="13">
        <v>788204</v>
      </c>
      <c r="AB75" s="11">
        <v>4.2</v>
      </c>
      <c r="AC75" s="11">
        <v>4.45</v>
      </c>
      <c r="AD75" s="13">
        <v>475656</v>
      </c>
      <c r="AE75" s="13">
        <v>269238</v>
      </c>
      <c r="AF75" s="11">
        <v>4.1500000000000004</v>
      </c>
      <c r="AG75" s="11">
        <v>4.5</v>
      </c>
      <c r="AH75" s="13">
        <v>438104</v>
      </c>
      <c r="AI75" s="13">
        <v>904376</v>
      </c>
      <c r="AJ75" s="11">
        <v>4.0999999999999996</v>
      </c>
      <c r="AK75" s="11">
        <v>4.55</v>
      </c>
      <c r="AL75" s="13">
        <v>191666</v>
      </c>
      <c r="AM75" s="13">
        <v>6511725</v>
      </c>
      <c r="AN75" s="13">
        <v>4168657</v>
      </c>
      <c r="AO75" s="14">
        <v>43304</v>
      </c>
      <c r="AP75" s="11" t="s">
        <v>4833</v>
      </c>
      <c r="AQ75" s="31" t="s">
        <v>4740</v>
      </c>
      <c r="AR75" s="30">
        <f t="shared" si="2"/>
        <v>43305.614861111113</v>
      </c>
    </row>
    <row r="76" spans="1:44" ht="40.799999999999997" x14ac:dyDescent="0.3">
      <c r="A76" s="10" t="s">
        <v>4786</v>
      </c>
      <c r="B76" s="11" t="s">
        <v>2634</v>
      </c>
      <c r="C76" s="11" t="s">
        <v>4738</v>
      </c>
      <c r="D76" s="11">
        <v>1</v>
      </c>
      <c r="E76" s="11" t="s">
        <v>4739</v>
      </c>
      <c r="F76" s="11" t="s">
        <v>4739</v>
      </c>
      <c r="G76" s="11">
        <v>12.25</v>
      </c>
      <c r="H76" s="11">
        <v>3.95</v>
      </c>
      <c r="I76" s="11">
        <v>4.05</v>
      </c>
      <c r="J76" s="11">
        <v>4.05</v>
      </c>
      <c r="K76" s="11">
        <v>4.45</v>
      </c>
      <c r="L76" s="11">
        <v>4.05</v>
      </c>
      <c r="M76" s="11">
        <v>4.28</v>
      </c>
      <c r="N76" s="11">
        <v>4.3499999999999996</v>
      </c>
      <c r="O76" s="11">
        <v>0.3</v>
      </c>
      <c r="P76" s="11">
        <v>7.41</v>
      </c>
      <c r="Q76" s="12">
        <v>11708841</v>
      </c>
      <c r="R76" s="11">
        <v>501.14</v>
      </c>
      <c r="S76" s="13">
        <v>912519</v>
      </c>
      <c r="T76" s="11">
        <v>4.3</v>
      </c>
      <c r="U76" s="11">
        <v>4.3499999999999996</v>
      </c>
      <c r="V76" s="13">
        <v>316999</v>
      </c>
      <c r="W76" s="13">
        <v>658231</v>
      </c>
      <c r="X76" s="11">
        <v>4.25</v>
      </c>
      <c r="Y76" s="11">
        <v>4.4000000000000004</v>
      </c>
      <c r="Z76" s="13">
        <v>693008</v>
      </c>
      <c r="AA76" s="13">
        <v>788204</v>
      </c>
      <c r="AB76" s="11">
        <v>4.2</v>
      </c>
      <c r="AC76" s="11">
        <v>4.45</v>
      </c>
      <c r="AD76" s="13">
        <v>475656</v>
      </c>
      <c r="AE76" s="13">
        <v>269238</v>
      </c>
      <c r="AF76" s="11">
        <v>4.1500000000000004</v>
      </c>
      <c r="AG76" s="11">
        <v>4.5</v>
      </c>
      <c r="AH76" s="13">
        <v>438104</v>
      </c>
      <c r="AI76" s="13">
        <v>904376</v>
      </c>
      <c r="AJ76" s="11">
        <v>4.0999999999999996</v>
      </c>
      <c r="AK76" s="11">
        <v>4.55</v>
      </c>
      <c r="AL76" s="13">
        <v>191666</v>
      </c>
      <c r="AM76" s="13">
        <v>6511725</v>
      </c>
      <c r="AN76" s="13">
        <v>4168657</v>
      </c>
      <c r="AO76" s="14">
        <v>43304</v>
      </c>
      <c r="AP76" s="11" t="s">
        <v>4833</v>
      </c>
      <c r="AQ76" s="31" t="s">
        <v>4740</v>
      </c>
      <c r="AR76" s="30">
        <f t="shared" si="2"/>
        <v>43305.614861111113</v>
      </c>
    </row>
    <row r="77" spans="1:44" ht="40.799999999999997" x14ac:dyDescent="0.3">
      <c r="A77" s="10" t="s">
        <v>4786</v>
      </c>
      <c r="B77" s="11" t="s">
        <v>2634</v>
      </c>
      <c r="C77" s="11" t="s">
        <v>4738</v>
      </c>
      <c r="D77" s="11">
        <v>1</v>
      </c>
      <c r="E77" s="11" t="s">
        <v>4739</v>
      </c>
      <c r="F77" s="11" t="s">
        <v>4739</v>
      </c>
      <c r="G77" s="11">
        <v>12.25</v>
      </c>
      <c r="H77" s="11">
        <v>3.95</v>
      </c>
      <c r="I77" s="11">
        <v>4.05</v>
      </c>
      <c r="J77" s="11">
        <v>4.05</v>
      </c>
      <c r="K77" s="11">
        <v>4.45</v>
      </c>
      <c r="L77" s="11">
        <v>4.05</v>
      </c>
      <c r="M77" s="11">
        <v>4.28</v>
      </c>
      <c r="N77" s="11">
        <v>4.3499999999999996</v>
      </c>
      <c r="O77" s="11">
        <v>0.3</v>
      </c>
      <c r="P77" s="11">
        <v>7.41</v>
      </c>
      <c r="Q77" s="12">
        <v>11731213</v>
      </c>
      <c r="R77" s="11">
        <v>502.1</v>
      </c>
      <c r="S77" s="13">
        <v>988937</v>
      </c>
      <c r="T77" s="11">
        <v>4.3</v>
      </c>
      <c r="U77" s="11">
        <v>4.3499999999999996</v>
      </c>
      <c r="V77" s="13">
        <v>308368</v>
      </c>
      <c r="W77" s="13">
        <v>659231</v>
      </c>
      <c r="X77" s="11">
        <v>4.25</v>
      </c>
      <c r="Y77" s="11">
        <v>4.4000000000000004</v>
      </c>
      <c r="Z77" s="13">
        <v>704008</v>
      </c>
      <c r="AA77" s="13">
        <v>789704</v>
      </c>
      <c r="AB77" s="11">
        <v>4.2</v>
      </c>
      <c r="AC77" s="11">
        <v>4.45</v>
      </c>
      <c r="AD77" s="13">
        <v>481656</v>
      </c>
      <c r="AE77" s="13">
        <v>271238</v>
      </c>
      <c r="AF77" s="11">
        <v>4.1500000000000004</v>
      </c>
      <c r="AG77" s="11">
        <v>4.5</v>
      </c>
      <c r="AH77" s="13">
        <v>433104</v>
      </c>
      <c r="AI77" s="13">
        <v>905026</v>
      </c>
      <c r="AJ77" s="11">
        <v>4.0999999999999996</v>
      </c>
      <c r="AK77" s="11">
        <v>4.55</v>
      </c>
      <c r="AL77" s="13">
        <v>198666</v>
      </c>
      <c r="AM77" s="13">
        <v>6586693</v>
      </c>
      <c r="AN77" s="13">
        <v>4191576</v>
      </c>
      <c r="AO77" s="14">
        <v>43304</v>
      </c>
      <c r="AP77" s="11" t="s">
        <v>4834</v>
      </c>
      <c r="AQ77" s="31" t="s">
        <v>4740</v>
      </c>
      <c r="AR77" s="30">
        <f t="shared" si="2"/>
        <v>43305.617291666669</v>
      </c>
    </row>
    <row r="78" spans="1:44" ht="40.799999999999997" x14ac:dyDescent="0.3">
      <c r="A78" s="10" t="s">
        <v>4786</v>
      </c>
      <c r="B78" s="11" t="s">
        <v>2634</v>
      </c>
      <c r="C78" s="11" t="s">
        <v>4738</v>
      </c>
      <c r="D78" s="11">
        <v>1</v>
      </c>
      <c r="E78" s="11" t="s">
        <v>4739</v>
      </c>
      <c r="F78" s="11" t="s">
        <v>4739</v>
      </c>
      <c r="G78" s="11">
        <v>12.25</v>
      </c>
      <c r="H78" s="11">
        <v>3.95</v>
      </c>
      <c r="I78" s="11">
        <v>4.05</v>
      </c>
      <c r="J78" s="11">
        <v>4.05</v>
      </c>
      <c r="K78" s="11">
        <v>4.45</v>
      </c>
      <c r="L78" s="11">
        <v>4.05</v>
      </c>
      <c r="M78" s="11">
        <v>4.28</v>
      </c>
      <c r="N78" s="11">
        <v>4.3499999999999996</v>
      </c>
      <c r="O78" s="11">
        <v>0.3</v>
      </c>
      <c r="P78" s="11">
        <v>7.41</v>
      </c>
      <c r="Q78" s="12">
        <v>11731213</v>
      </c>
      <c r="R78" s="11">
        <v>502.1</v>
      </c>
      <c r="S78" s="13">
        <v>988937</v>
      </c>
      <c r="T78" s="11">
        <v>4.3</v>
      </c>
      <c r="U78" s="11">
        <v>4.3499999999999996</v>
      </c>
      <c r="V78" s="13">
        <v>308368</v>
      </c>
      <c r="W78" s="13">
        <v>659231</v>
      </c>
      <c r="X78" s="11">
        <v>4.25</v>
      </c>
      <c r="Y78" s="11">
        <v>4.4000000000000004</v>
      </c>
      <c r="Z78" s="13">
        <v>704008</v>
      </c>
      <c r="AA78" s="13">
        <v>789704</v>
      </c>
      <c r="AB78" s="11">
        <v>4.2</v>
      </c>
      <c r="AC78" s="11">
        <v>4.45</v>
      </c>
      <c r="AD78" s="13">
        <v>481656</v>
      </c>
      <c r="AE78" s="13">
        <v>271238</v>
      </c>
      <c r="AF78" s="11">
        <v>4.1500000000000004</v>
      </c>
      <c r="AG78" s="11">
        <v>4.5</v>
      </c>
      <c r="AH78" s="13">
        <v>433104</v>
      </c>
      <c r="AI78" s="13">
        <v>905026</v>
      </c>
      <c r="AJ78" s="11">
        <v>4.0999999999999996</v>
      </c>
      <c r="AK78" s="11">
        <v>4.55</v>
      </c>
      <c r="AL78" s="13">
        <v>198666</v>
      </c>
      <c r="AM78" s="13">
        <v>6586693</v>
      </c>
      <c r="AN78" s="13">
        <v>4191576</v>
      </c>
      <c r="AO78" s="14">
        <v>43304</v>
      </c>
      <c r="AP78" s="11" t="s">
        <v>4834</v>
      </c>
      <c r="AQ78" s="31" t="s">
        <v>4740</v>
      </c>
      <c r="AR78" s="30">
        <f t="shared" si="2"/>
        <v>43305.617291666669</v>
      </c>
    </row>
    <row r="79" spans="1:44" ht="40.799999999999997" x14ac:dyDescent="0.3">
      <c r="A79" s="10" t="s">
        <v>4786</v>
      </c>
      <c r="B79" s="11" t="s">
        <v>2634</v>
      </c>
      <c r="C79" s="11" t="s">
        <v>4738</v>
      </c>
      <c r="D79" s="11">
        <v>1</v>
      </c>
      <c r="E79" s="11" t="s">
        <v>4739</v>
      </c>
      <c r="F79" s="11" t="s">
        <v>4739</v>
      </c>
      <c r="G79" s="11">
        <v>12.25</v>
      </c>
      <c r="H79" s="11">
        <v>3.95</v>
      </c>
      <c r="I79" s="11">
        <v>4.05</v>
      </c>
      <c r="J79" s="11">
        <v>4.05</v>
      </c>
      <c r="K79" s="11">
        <v>4.45</v>
      </c>
      <c r="L79" s="11">
        <v>4.05</v>
      </c>
      <c r="M79" s="11">
        <v>4.28</v>
      </c>
      <c r="N79" s="11">
        <v>4.3</v>
      </c>
      <c r="O79" s="11">
        <v>0.25</v>
      </c>
      <c r="P79" s="11">
        <v>6.17</v>
      </c>
      <c r="Q79" s="12">
        <v>11744435</v>
      </c>
      <c r="R79" s="11">
        <v>502.66</v>
      </c>
      <c r="S79" s="13">
        <v>888350</v>
      </c>
      <c r="T79" s="11">
        <v>4.3</v>
      </c>
      <c r="U79" s="11">
        <v>4.3499999999999996</v>
      </c>
      <c r="V79" s="13">
        <v>306736</v>
      </c>
      <c r="W79" s="13">
        <v>659231</v>
      </c>
      <c r="X79" s="11">
        <v>4.25</v>
      </c>
      <c r="Y79" s="11">
        <v>4.4000000000000004</v>
      </c>
      <c r="Z79" s="13">
        <v>705628</v>
      </c>
      <c r="AA79" s="13">
        <v>787704</v>
      </c>
      <c r="AB79" s="11">
        <v>4.2</v>
      </c>
      <c r="AC79" s="11">
        <v>4.45</v>
      </c>
      <c r="AD79" s="13">
        <v>481556</v>
      </c>
      <c r="AE79" s="13">
        <v>271238</v>
      </c>
      <c r="AF79" s="11">
        <v>4.1500000000000004</v>
      </c>
      <c r="AG79" s="11">
        <v>4.5</v>
      </c>
      <c r="AH79" s="13">
        <v>428004</v>
      </c>
      <c r="AI79" s="13">
        <v>907466</v>
      </c>
      <c r="AJ79" s="11">
        <v>4.0999999999999996</v>
      </c>
      <c r="AK79" s="11">
        <v>4.55</v>
      </c>
      <c r="AL79" s="13">
        <v>198666</v>
      </c>
      <c r="AM79" s="13">
        <v>6486306</v>
      </c>
      <c r="AN79" s="13">
        <v>4185964</v>
      </c>
      <c r="AO79" s="14">
        <v>43304</v>
      </c>
      <c r="AP79" s="11" t="s">
        <v>4835</v>
      </c>
      <c r="AQ79" s="31" t="s">
        <v>4740</v>
      </c>
      <c r="AR79" s="30">
        <f t="shared" si="2"/>
        <v>43305.620069444441</v>
      </c>
    </row>
    <row r="80" spans="1:44" ht="40.799999999999997" x14ac:dyDescent="0.3">
      <c r="A80" s="10" t="s">
        <v>4786</v>
      </c>
      <c r="B80" s="11" t="s">
        <v>2634</v>
      </c>
      <c r="C80" s="11" t="s">
        <v>4738</v>
      </c>
      <c r="D80" s="11">
        <v>1</v>
      </c>
      <c r="E80" s="11" t="s">
        <v>4739</v>
      </c>
      <c r="F80" s="11" t="s">
        <v>4739</v>
      </c>
      <c r="G80" s="11">
        <v>12.25</v>
      </c>
      <c r="H80" s="11">
        <v>3.95</v>
      </c>
      <c r="I80" s="11">
        <v>4.05</v>
      </c>
      <c r="J80" s="11">
        <v>4.05</v>
      </c>
      <c r="K80" s="11">
        <v>4.45</v>
      </c>
      <c r="L80" s="11">
        <v>4.05</v>
      </c>
      <c r="M80" s="11">
        <v>4.28</v>
      </c>
      <c r="N80" s="11">
        <v>4.3</v>
      </c>
      <c r="O80" s="11">
        <v>0.25</v>
      </c>
      <c r="P80" s="11">
        <v>6.17</v>
      </c>
      <c r="Q80" s="12">
        <v>11744435</v>
      </c>
      <c r="R80" s="11">
        <v>502.66</v>
      </c>
      <c r="S80" s="13">
        <v>888350</v>
      </c>
      <c r="T80" s="11">
        <v>4.3</v>
      </c>
      <c r="U80" s="11">
        <v>4.3499999999999996</v>
      </c>
      <c r="V80" s="13">
        <v>306736</v>
      </c>
      <c r="W80" s="13">
        <v>659231</v>
      </c>
      <c r="X80" s="11">
        <v>4.25</v>
      </c>
      <c r="Y80" s="11">
        <v>4.4000000000000004</v>
      </c>
      <c r="Z80" s="13">
        <v>705628</v>
      </c>
      <c r="AA80" s="13">
        <v>787704</v>
      </c>
      <c r="AB80" s="11">
        <v>4.2</v>
      </c>
      <c r="AC80" s="11">
        <v>4.45</v>
      </c>
      <c r="AD80" s="13">
        <v>481556</v>
      </c>
      <c r="AE80" s="13">
        <v>271238</v>
      </c>
      <c r="AF80" s="11">
        <v>4.1500000000000004</v>
      </c>
      <c r="AG80" s="11">
        <v>4.5</v>
      </c>
      <c r="AH80" s="13">
        <v>428004</v>
      </c>
      <c r="AI80" s="13">
        <v>907466</v>
      </c>
      <c r="AJ80" s="11">
        <v>4.0999999999999996</v>
      </c>
      <c r="AK80" s="11">
        <v>4.55</v>
      </c>
      <c r="AL80" s="13">
        <v>198666</v>
      </c>
      <c r="AM80" s="13">
        <v>6486306</v>
      </c>
      <c r="AN80" s="13">
        <v>4185964</v>
      </c>
      <c r="AO80" s="14">
        <v>43304</v>
      </c>
      <c r="AP80" s="11" t="s">
        <v>4835</v>
      </c>
      <c r="AQ80" s="31" t="s">
        <v>4740</v>
      </c>
      <c r="AR80" s="30">
        <f t="shared" si="2"/>
        <v>43305.620069444441</v>
      </c>
    </row>
    <row r="81" spans="1:44" ht="40.799999999999997" x14ac:dyDescent="0.3">
      <c r="A81" s="10" t="s">
        <v>4786</v>
      </c>
      <c r="B81" s="11" t="s">
        <v>2634</v>
      </c>
      <c r="C81" s="11" t="s">
        <v>4738</v>
      </c>
      <c r="D81" s="11">
        <v>1</v>
      </c>
      <c r="E81" s="11" t="s">
        <v>4739</v>
      </c>
      <c r="F81" s="11" t="s">
        <v>4739</v>
      </c>
      <c r="G81" s="11">
        <v>12.25</v>
      </c>
      <c r="H81" s="11">
        <v>3.95</v>
      </c>
      <c r="I81" s="11">
        <v>4.05</v>
      </c>
      <c r="J81" s="11">
        <v>4.05</v>
      </c>
      <c r="K81" s="11">
        <v>4.45</v>
      </c>
      <c r="L81" s="11">
        <v>4.05</v>
      </c>
      <c r="M81" s="11">
        <v>4.28</v>
      </c>
      <c r="N81" s="11">
        <v>4.3</v>
      </c>
      <c r="O81" s="11">
        <v>0.25</v>
      </c>
      <c r="P81" s="11">
        <v>6.17</v>
      </c>
      <c r="Q81" s="12">
        <v>11821939</v>
      </c>
      <c r="R81" s="11">
        <v>505.98</v>
      </c>
      <c r="S81" s="13">
        <v>819457</v>
      </c>
      <c r="T81" s="11">
        <v>4.3</v>
      </c>
      <c r="U81" s="11">
        <v>4.3499999999999996</v>
      </c>
      <c r="V81" s="13">
        <v>455713</v>
      </c>
      <c r="W81" s="13">
        <v>659181</v>
      </c>
      <c r="X81" s="11">
        <v>4.25</v>
      </c>
      <c r="Y81" s="11">
        <v>4.4000000000000004</v>
      </c>
      <c r="Z81" s="13">
        <v>670020</v>
      </c>
      <c r="AA81" s="13">
        <v>787754</v>
      </c>
      <c r="AB81" s="11">
        <v>4.2</v>
      </c>
      <c r="AC81" s="11">
        <v>4.45</v>
      </c>
      <c r="AD81" s="13">
        <v>483256</v>
      </c>
      <c r="AE81" s="13">
        <v>281238</v>
      </c>
      <c r="AF81" s="11">
        <v>4.1500000000000004</v>
      </c>
      <c r="AG81" s="11">
        <v>4.5</v>
      </c>
      <c r="AH81" s="13">
        <v>424004</v>
      </c>
      <c r="AI81" s="13">
        <v>807466</v>
      </c>
      <c r="AJ81" s="11">
        <v>4.0999999999999996</v>
      </c>
      <c r="AK81" s="11">
        <v>4.55</v>
      </c>
      <c r="AL81" s="13">
        <v>198666</v>
      </c>
      <c r="AM81" s="13">
        <v>5978413</v>
      </c>
      <c r="AN81" s="13">
        <v>4297088</v>
      </c>
      <c r="AO81" s="14">
        <v>43304</v>
      </c>
      <c r="AP81" s="11" t="s">
        <v>4836</v>
      </c>
      <c r="AQ81" s="31" t="s">
        <v>4740</v>
      </c>
      <c r="AR81" s="30">
        <f t="shared" si="2"/>
        <v>43305.622152777774</v>
      </c>
    </row>
    <row r="82" spans="1:44" ht="40.799999999999997" x14ac:dyDescent="0.3">
      <c r="A82" s="10" t="s">
        <v>4786</v>
      </c>
      <c r="B82" s="11" t="s">
        <v>2634</v>
      </c>
      <c r="C82" s="11" t="s">
        <v>4738</v>
      </c>
      <c r="D82" s="11">
        <v>1</v>
      </c>
      <c r="E82" s="11" t="s">
        <v>4739</v>
      </c>
      <c r="F82" s="11" t="s">
        <v>4739</v>
      </c>
      <c r="G82" s="11">
        <v>12.25</v>
      </c>
      <c r="H82" s="11">
        <v>3.95</v>
      </c>
      <c r="I82" s="11">
        <v>4.05</v>
      </c>
      <c r="J82" s="11">
        <v>4.05</v>
      </c>
      <c r="K82" s="11">
        <v>4.45</v>
      </c>
      <c r="L82" s="11">
        <v>4.05</v>
      </c>
      <c r="M82" s="11">
        <v>4.28</v>
      </c>
      <c r="N82" s="11">
        <v>4.3</v>
      </c>
      <c r="O82" s="11">
        <v>0.25</v>
      </c>
      <c r="P82" s="11">
        <v>6.17</v>
      </c>
      <c r="Q82" s="12">
        <v>11821939</v>
      </c>
      <c r="R82" s="11">
        <v>505.98</v>
      </c>
      <c r="S82" s="13">
        <v>819457</v>
      </c>
      <c r="T82" s="11">
        <v>4.3</v>
      </c>
      <c r="U82" s="11">
        <v>4.3499999999999996</v>
      </c>
      <c r="V82" s="13">
        <v>455713</v>
      </c>
      <c r="W82" s="13">
        <v>659181</v>
      </c>
      <c r="X82" s="11">
        <v>4.25</v>
      </c>
      <c r="Y82" s="11">
        <v>4.4000000000000004</v>
      </c>
      <c r="Z82" s="13">
        <v>670020</v>
      </c>
      <c r="AA82" s="13">
        <v>787754</v>
      </c>
      <c r="AB82" s="11">
        <v>4.2</v>
      </c>
      <c r="AC82" s="11">
        <v>4.45</v>
      </c>
      <c r="AD82" s="13">
        <v>483256</v>
      </c>
      <c r="AE82" s="13">
        <v>281238</v>
      </c>
      <c r="AF82" s="11">
        <v>4.1500000000000004</v>
      </c>
      <c r="AG82" s="11">
        <v>4.5</v>
      </c>
      <c r="AH82" s="13">
        <v>424004</v>
      </c>
      <c r="AI82" s="13">
        <v>807466</v>
      </c>
      <c r="AJ82" s="11">
        <v>4.0999999999999996</v>
      </c>
      <c r="AK82" s="11">
        <v>4.55</v>
      </c>
      <c r="AL82" s="13">
        <v>198666</v>
      </c>
      <c r="AM82" s="13">
        <v>5978413</v>
      </c>
      <c r="AN82" s="13">
        <v>4297088</v>
      </c>
      <c r="AO82" s="14">
        <v>43304</v>
      </c>
      <c r="AP82" s="11" t="s">
        <v>4836</v>
      </c>
      <c r="AQ82" s="31" t="s">
        <v>4740</v>
      </c>
      <c r="AR82" s="30">
        <f t="shared" si="2"/>
        <v>43305.622152777774</v>
      </c>
    </row>
    <row r="83" spans="1:44" ht="40.799999999999997" x14ac:dyDescent="0.3">
      <c r="A83" s="10" t="s">
        <v>4786</v>
      </c>
      <c r="B83" s="11" t="s">
        <v>2634</v>
      </c>
      <c r="C83" s="11" t="s">
        <v>4738</v>
      </c>
      <c r="D83" s="11">
        <v>1</v>
      </c>
      <c r="E83" s="11" t="s">
        <v>4739</v>
      </c>
      <c r="F83" s="11" t="s">
        <v>4739</v>
      </c>
      <c r="G83" s="11">
        <v>12.25</v>
      </c>
      <c r="H83" s="11">
        <v>3.95</v>
      </c>
      <c r="I83" s="11">
        <v>4.05</v>
      </c>
      <c r="J83" s="11">
        <v>4.05</v>
      </c>
      <c r="K83" s="11">
        <v>4.45</v>
      </c>
      <c r="L83" s="11">
        <v>4.05</v>
      </c>
      <c r="M83" s="11">
        <v>4.28</v>
      </c>
      <c r="N83" s="11">
        <v>4.3</v>
      </c>
      <c r="O83" s="11">
        <v>0.25</v>
      </c>
      <c r="P83" s="11">
        <v>6.17</v>
      </c>
      <c r="Q83" s="12">
        <v>11842716</v>
      </c>
      <c r="R83" s="11">
        <v>506.87</v>
      </c>
      <c r="S83" s="13">
        <v>812427</v>
      </c>
      <c r="T83" s="11">
        <v>4.3</v>
      </c>
      <c r="U83" s="11">
        <v>4.3499999999999996</v>
      </c>
      <c r="V83" s="13">
        <v>445727</v>
      </c>
      <c r="W83" s="13">
        <v>659181</v>
      </c>
      <c r="X83" s="11">
        <v>4.25</v>
      </c>
      <c r="Y83" s="11">
        <v>4.4000000000000004</v>
      </c>
      <c r="Z83" s="13">
        <v>691031</v>
      </c>
      <c r="AA83" s="13">
        <v>788764</v>
      </c>
      <c r="AB83" s="11">
        <v>4.2</v>
      </c>
      <c r="AC83" s="11">
        <v>4.45</v>
      </c>
      <c r="AD83" s="13">
        <v>483256</v>
      </c>
      <c r="AE83" s="13">
        <v>335085</v>
      </c>
      <c r="AF83" s="11">
        <v>4.1500000000000004</v>
      </c>
      <c r="AG83" s="11">
        <v>4.5</v>
      </c>
      <c r="AH83" s="13">
        <v>384209</v>
      </c>
      <c r="AI83" s="13">
        <v>807466</v>
      </c>
      <c r="AJ83" s="11">
        <v>4.0999999999999996</v>
      </c>
      <c r="AK83" s="11">
        <v>4.55</v>
      </c>
      <c r="AL83" s="13">
        <v>199166</v>
      </c>
      <c r="AM83" s="13">
        <v>5891503</v>
      </c>
      <c r="AN83" s="13">
        <v>4259168</v>
      </c>
      <c r="AO83" s="14">
        <v>43304</v>
      </c>
      <c r="AP83" s="11" t="s">
        <v>4837</v>
      </c>
      <c r="AQ83" s="31" t="s">
        <v>4740</v>
      </c>
      <c r="AR83" s="30">
        <f t="shared" si="2"/>
        <v>43305.623541666668</v>
      </c>
    </row>
    <row r="84" spans="1:44" ht="40.799999999999997" x14ac:dyDescent="0.3">
      <c r="A84" s="10" t="s">
        <v>4786</v>
      </c>
      <c r="B84" s="11" t="s">
        <v>2634</v>
      </c>
      <c r="C84" s="11" t="s">
        <v>4738</v>
      </c>
      <c r="D84" s="11">
        <v>1</v>
      </c>
      <c r="E84" s="11" t="s">
        <v>4739</v>
      </c>
      <c r="F84" s="11" t="s">
        <v>4739</v>
      </c>
      <c r="G84" s="11">
        <v>12.25</v>
      </c>
      <c r="H84" s="11">
        <v>3.95</v>
      </c>
      <c r="I84" s="11">
        <v>4.05</v>
      </c>
      <c r="J84" s="11">
        <v>4.05</v>
      </c>
      <c r="K84" s="11">
        <v>4.45</v>
      </c>
      <c r="L84" s="11">
        <v>4.05</v>
      </c>
      <c r="M84" s="11">
        <v>4.28</v>
      </c>
      <c r="N84" s="11">
        <v>4.3</v>
      </c>
      <c r="O84" s="11">
        <v>0.25</v>
      </c>
      <c r="P84" s="11">
        <v>6.17</v>
      </c>
      <c r="Q84" s="12">
        <v>11901538</v>
      </c>
      <c r="R84" s="11">
        <v>509.39</v>
      </c>
      <c r="S84" s="13">
        <v>784209</v>
      </c>
      <c r="T84" s="11">
        <v>4.3</v>
      </c>
      <c r="U84" s="11">
        <v>4.3499999999999996</v>
      </c>
      <c r="V84" s="13">
        <v>428290</v>
      </c>
      <c r="W84" s="13">
        <v>662181</v>
      </c>
      <c r="X84" s="11">
        <v>4.25</v>
      </c>
      <c r="Y84" s="11">
        <v>4.4000000000000004</v>
      </c>
      <c r="Z84" s="13">
        <v>690799</v>
      </c>
      <c r="AA84" s="13">
        <v>788764</v>
      </c>
      <c r="AB84" s="11">
        <v>4.2</v>
      </c>
      <c r="AC84" s="11">
        <v>4.45</v>
      </c>
      <c r="AD84" s="13">
        <v>481046</v>
      </c>
      <c r="AE84" s="13">
        <v>378485</v>
      </c>
      <c r="AF84" s="11">
        <v>4.1500000000000004</v>
      </c>
      <c r="AG84" s="11">
        <v>4.5</v>
      </c>
      <c r="AH84" s="13">
        <v>384209</v>
      </c>
      <c r="AI84" s="13">
        <v>760566</v>
      </c>
      <c r="AJ84" s="11">
        <v>4.0999999999999996</v>
      </c>
      <c r="AK84" s="11">
        <v>4.55</v>
      </c>
      <c r="AL84" s="13">
        <v>198666</v>
      </c>
      <c r="AM84" s="13">
        <v>5865086</v>
      </c>
      <c r="AN84" s="13">
        <v>4235364</v>
      </c>
      <c r="AO84" s="14">
        <v>43304</v>
      </c>
      <c r="AP84" s="11" t="s">
        <v>4838</v>
      </c>
      <c r="AQ84" s="31" t="s">
        <v>4740</v>
      </c>
      <c r="AR84" s="30">
        <f t="shared" si="2"/>
        <v>43305.625625000001</v>
      </c>
    </row>
    <row r="85" spans="1:44" ht="40.799999999999997" x14ac:dyDescent="0.3">
      <c r="A85" s="10" t="s">
        <v>4786</v>
      </c>
      <c r="B85" s="11" t="s">
        <v>2634</v>
      </c>
      <c r="C85" s="11" t="s">
        <v>4738</v>
      </c>
      <c r="D85" s="11">
        <v>1</v>
      </c>
      <c r="E85" s="11" t="s">
        <v>4739</v>
      </c>
      <c r="F85" s="11" t="s">
        <v>4739</v>
      </c>
      <c r="G85" s="11">
        <v>12.25</v>
      </c>
      <c r="H85" s="11">
        <v>3.95</v>
      </c>
      <c r="I85" s="11">
        <v>4.05</v>
      </c>
      <c r="J85" s="11">
        <v>4.05</v>
      </c>
      <c r="K85" s="11">
        <v>4.45</v>
      </c>
      <c r="L85" s="11">
        <v>4.05</v>
      </c>
      <c r="M85" s="11">
        <v>4.28</v>
      </c>
      <c r="N85" s="11">
        <v>4.3</v>
      </c>
      <c r="O85" s="11">
        <v>0.25</v>
      </c>
      <c r="P85" s="11">
        <v>6.17</v>
      </c>
      <c r="Q85" s="12">
        <v>11910782</v>
      </c>
      <c r="R85" s="11">
        <v>509.78</v>
      </c>
      <c r="S85" s="13">
        <v>859169</v>
      </c>
      <c r="T85" s="11">
        <v>4.3</v>
      </c>
      <c r="U85" s="11">
        <v>4.3499999999999996</v>
      </c>
      <c r="V85" s="13">
        <v>424910</v>
      </c>
      <c r="W85" s="13">
        <v>662181</v>
      </c>
      <c r="X85" s="11">
        <v>4.25</v>
      </c>
      <c r="Y85" s="11">
        <v>4.4000000000000004</v>
      </c>
      <c r="Z85" s="13">
        <v>695799</v>
      </c>
      <c r="AA85" s="13">
        <v>778764</v>
      </c>
      <c r="AB85" s="11">
        <v>4.2</v>
      </c>
      <c r="AC85" s="11">
        <v>4.45</v>
      </c>
      <c r="AD85" s="13">
        <v>478046</v>
      </c>
      <c r="AE85" s="13">
        <v>378485</v>
      </c>
      <c r="AF85" s="11">
        <v>4.1500000000000004</v>
      </c>
      <c r="AG85" s="11">
        <v>4.5</v>
      </c>
      <c r="AH85" s="13">
        <v>384309</v>
      </c>
      <c r="AI85" s="13">
        <v>760566</v>
      </c>
      <c r="AJ85" s="11">
        <v>4.0999999999999996</v>
      </c>
      <c r="AK85" s="11">
        <v>4.55</v>
      </c>
      <c r="AL85" s="13">
        <v>198153</v>
      </c>
      <c r="AM85" s="13">
        <v>5934815</v>
      </c>
      <c r="AN85" s="13">
        <v>4232571</v>
      </c>
      <c r="AO85" s="14">
        <v>43304</v>
      </c>
      <c r="AP85" s="11" t="s">
        <v>4839</v>
      </c>
      <c r="AQ85" s="31" t="s">
        <v>4740</v>
      </c>
      <c r="AR85" s="30">
        <f t="shared" si="2"/>
        <v>43305.627013888887</v>
      </c>
    </row>
    <row r="86" spans="1:44" ht="40.799999999999997" x14ac:dyDescent="0.3">
      <c r="A86" s="10" t="s">
        <v>4786</v>
      </c>
      <c r="B86" s="11" t="s">
        <v>2634</v>
      </c>
      <c r="C86" s="11" t="s">
        <v>4738</v>
      </c>
      <c r="D86" s="11">
        <v>1</v>
      </c>
      <c r="E86" s="11" t="s">
        <v>4739</v>
      </c>
      <c r="F86" s="11" t="s">
        <v>4739</v>
      </c>
      <c r="G86" s="11">
        <v>12.25</v>
      </c>
      <c r="H86" s="11">
        <v>3.95</v>
      </c>
      <c r="I86" s="11">
        <v>4.05</v>
      </c>
      <c r="J86" s="11">
        <v>4.05</v>
      </c>
      <c r="K86" s="11">
        <v>4.45</v>
      </c>
      <c r="L86" s="11">
        <v>4.05</v>
      </c>
      <c r="M86" s="11">
        <v>4.28</v>
      </c>
      <c r="N86" s="11">
        <v>4.3</v>
      </c>
      <c r="O86" s="11">
        <v>0.25</v>
      </c>
      <c r="P86" s="11">
        <v>6.17</v>
      </c>
      <c r="Q86" s="12">
        <v>11910782</v>
      </c>
      <c r="R86" s="11">
        <v>509.78</v>
      </c>
      <c r="S86" s="13">
        <v>859169</v>
      </c>
      <c r="T86" s="11">
        <v>4.3</v>
      </c>
      <c r="U86" s="11">
        <v>4.3499999999999996</v>
      </c>
      <c r="V86" s="13">
        <v>424910</v>
      </c>
      <c r="W86" s="13">
        <v>662181</v>
      </c>
      <c r="X86" s="11">
        <v>4.25</v>
      </c>
      <c r="Y86" s="11">
        <v>4.4000000000000004</v>
      </c>
      <c r="Z86" s="13">
        <v>695799</v>
      </c>
      <c r="AA86" s="13">
        <v>778764</v>
      </c>
      <c r="AB86" s="11">
        <v>4.2</v>
      </c>
      <c r="AC86" s="11">
        <v>4.45</v>
      </c>
      <c r="AD86" s="13">
        <v>478046</v>
      </c>
      <c r="AE86" s="13">
        <v>378485</v>
      </c>
      <c r="AF86" s="11">
        <v>4.1500000000000004</v>
      </c>
      <c r="AG86" s="11">
        <v>4.5</v>
      </c>
      <c r="AH86" s="13">
        <v>384309</v>
      </c>
      <c r="AI86" s="13">
        <v>760566</v>
      </c>
      <c r="AJ86" s="11">
        <v>4.0999999999999996</v>
      </c>
      <c r="AK86" s="11">
        <v>4.55</v>
      </c>
      <c r="AL86" s="13">
        <v>198153</v>
      </c>
      <c r="AM86" s="13">
        <v>5934815</v>
      </c>
      <c r="AN86" s="13">
        <v>4232571</v>
      </c>
      <c r="AO86" s="14">
        <v>43304</v>
      </c>
      <c r="AP86" s="11" t="s">
        <v>4839</v>
      </c>
      <c r="AQ86" s="31" t="s">
        <v>4740</v>
      </c>
      <c r="AR86" s="30">
        <f t="shared" si="2"/>
        <v>43305.627013888887</v>
      </c>
    </row>
    <row r="87" spans="1:44" ht="40.799999999999997" x14ac:dyDescent="0.3">
      <c r="A87" s="10" t="s">
        <v>4786</v>
      </c>
      <c r="B87" s="11" t="s">
        <v>2634</v>
      </c>
      <c r="C87" s="11" t="s">
        <v>4738</v>
      </c>
      <c r="D87" s="11">
        <v>1</v>
      </c>
      <c r="E87" s="11" t="s">
        <v>4739</v>
      </c>
      <c r="F87" s="11" t="s">
        <v>4739</v>
      </c>
      <c r="G87" s="11">
        <v>12.25</v>
      </c>
      <c r="H87" s="11">
        <v>3.95</v>
      </c>
      <c r="I87" s="11">
        <v>4.05</v>
      </c>
      <c r="J87" s="11">
        <v>4.05</v>
      </c>
      <c r="K87" s="11">
        <v>4.45</v>
      </c>
      <c r="L87" s="11">
        <v>4.05</v>
      </c>
      <c r="M87" s="11">
        <v>4.28</v>
      </c>
      <c r="N87" s="11">
        <v>4.3</v>
      </c>
      <c r="O87" s="11">
        <v>0.25</v>
      </c>
      <c r="P87" s="11">
        <v>6.17</v>
      </c>
      <c r="Q87" s="12">
        <v>11956663</v>
      </c>
      <c r="R87" s="11">
        <v>511.75</v>
      </c>
      <c r="S87" s="13">
        <v>837271</v>
      </c>
      <c r="T87" s="11">
        <v>4.3</v>
      </c>
      <c r="U87" s="11">
        <v>4.3499999999999996</v>
      </c>
      <c r="V87" s="13">
        <v>396119</v>
      </c>
      <c r="W87" s="13">
        <v>409021</v>
      </c>
      <c r="X87" s="11">
        <v>4.25</v>
      </c>
      <c r="Y87" s="11">
        <v>4.4000000000000004</v>
      </c>
      <c r="Z87" s="13">
        <v>718430</v>
      </c>
      <c r="AA87" s="13">
        <v>793264</v>
      </c>
      <c r="AB87" s="11">
        <v>4.2</v>
      </c>
      <c r="AC87" s="11">
        <v>4.45</v>
      </c>
      <c r="AD87" s="13">
        <v>478046</v>
      </c>
      <c r="AE87" s="13">
        <v>378485</v>
      </c>
      <c r="AF87" s="11">
        <v>4.1500000000000004</v>
      </c>
      <c r="AG87" s="11">
        <v>4.5</v>
      </c>
      <c r="AH87" s="13">
        <v>406509</v>
      </c>
      <c r="AI87" s="13">
        <v>764566</v>
      </c>
      <c r="AJ87" s="11">
        <v>4.0999999999999996</v>
      </c>
      <c r="AK87" s="11">
        <v>4.55</v>
      </c>
      <c r="AL87" s="13">
        <v>198153</v>
      </c>
      <c r="AM87" s="13">
        <v>5675246</v>
      </c>
      <c r="AN87" s="13">
        <v>4227780</v>
      </c>
      <c r="AO87" s="14">
        <v>43304</v>
      </c>
      <c r="AP87" s="11" t="s">
        <v>4840</v>
      </c>
      <c r="AQ87" s="31" t="s">
        <v>4740</v>
      </c>
      <c r="AR87" s="30">
        <f t="shared" si="2"/>
        <v>43305.63013888889</v>
      </c>
    </row>
    <row r="88" spans="1:44" ht="40.799999999999997" x14ac:dyDescent="0.3">
      <c r="A88" s="10" t="s">
        <v>4786</v>
      </c>
      <c r="B88" s="11" t="s">
        <v>2634</v>
      </c>
      <c r="C88" s="11" t="s">
        <v>4738</v>
      </c>
      <c r="D88" s="11">
        <v>1</v>
      </c>
      <c r="E88" s="11" t="s">
        <v>4739</v>
      </c>
      <c r="F88" s="11" t="s">
        <v>4739</v>
      </c>
      <c r="G88" s="11">
        <v>12.25</v>
      </c>
      <c r="H88" s="11">
        <v>3.95</v>
      </c>
      <c r="I88" s="11">
        <v>4.05</v>
      </c>
      <c r="J88" s="11">
        <v>4.05</v>
      </c>
      <c r="K88" s="11">
        <v>4.45</v>
      </c>
      <c r="L88" s="11">
        <v>4.05</v>
      </c>
      <c r="M88" s="11">
        <v>4.28</v>
      </c>
      <c r="N88" s="11">
        <v>4.3</v>
      </c>
      <c r="O88" s="11">
        <v>0.25</v>
      </c>
      <c r="P88" s="11">
        <v>6.17</v>
      </c>
      <c r="Q88" s="12">
        <v>11956663</v>
      </c>
      <c r="R88" s="11">
        <v>511.75</v>
      </c>
      <c r="S88" s="13">
        <v>837271</v>
      </c>
      <c r="T88" s="11">
        <v>4.3</v>
      </c>
      <c r="U88" s="11">
        <v>4.3499999999999996</v>
      </c>
      <c r="V88" s="13">
        <v>396119</v>
      </c>
      <c r="W88" s="13">
        <v>409021</v>
      </c>
      <c r="X88" s="11">
        <v>4.25</v>
      </c>
      <c r="Y88" s="11">
        <v>4.4000000000000004</v>
      </c>
      <c r="Z88" s="13">
        <v>718430</v>
      </c>
      <c r="AA88" s="13">
        <v>793264</v>
      </c>
      <c r="AB88" s="11">
        <v>4.2</v>
      </c>
      <c r="AC88" s="11">
        <v>4.45</v>
      </c>
      <c r="AD88" s="13">
        <v>478046</v>
      </c>
      <c r="AE88" s="13">
        <v>378485</v>
      </c>
      <c r="AF88" s="11">
        <v>4.1500000000000004</v>
      </c>
      <c r="AG88" s="11">
        <v>4.5</v>
      </c>
      <c r="AH88" s="13">
        <v>406509</v>
      </c>
      <c r="AI88" s="13">
        <v>764566</v>
      </c>
      <c r="AJ88" s="11">
        <v>4.0999999999999996</v>
      </c>
      <c r="AK88" s="11">
        <v>4.55</v>
      </c>
      <c r="AL88" s="13">
        <v>198153</v>
      </c>
      <c r="AM88" s="13">
        <v>5675246</v>
      </c>
      <c r="AN88" s="13">
        <v>4227780</v>
      </c>
      <c r="AO88" s="14">
        <v>43304</v>
      </c>
      <c r="AP88" s="11" t="s">
        <v>4840</v>
      </c>
      <c r="AQ88" s="31" t="s">
        <v>4740</v>
      </c>
      <c r="AR88" s="30">
        <f t="shared" si="2"/>
        <v>43305.63013888889</v>
      </c>
    </row>
    <row r="89" spans="1:44" ht="40.799999999999997" x14ac:dyDescent="0.3">
      <c r="A89" s="10" t="s">
        <v>4786</v>
      </c>
      <c r="B89" s="11" t="s">
        <v>2634</v>
      </c>
      <c r="C89" s="11" t="s">
        <v>4738</v>
      </c>
      <c r="D89" s="11">
        <v>1</v>
      </c>
      <c r="E89" s="11" t="s">
        <v>4739</v>
      </c>
      <c r="F89" s="11" t="s">
        <v>4739</v>
      </c>
      <c r="G89" s="11">
        <v>12.25</v>
      </c>
      <c r="H89" s="11">
        <v>3.95</v>
      </c>
      <c r="I89" s="11">
        <v>4.05</v>
      </c>
      <c r="J89" s="11">
        <v>4.05</v>
      </c>
      <c r="K89" s="11">
        <v>4.45</v>
      </c>
      <c r="L89" s="11">
        <v>4.05</v>
      </c>
      <c r="M89" s="11">
        <v>4.28</v>
      </c>
      <c r="N89" s="11">
        <v>4.3</v>
      </c>
      <c r="O89" s="11">
        <v>0.25</v>
      </c>
      <c r="P89" s="11">
        <v>6.17</v>
      </c>
      <c r="Q89" s="12">
        <v>11960864</v>
      </c>
      <c r="R89" s="11">
        <v>511.92</v>
      </c>
      <c r="S89" s="13">
        <v>832115</v>
      </c>
      <c r="T89" s="11">
        <v>4.3</v>
      </c>
      <c r="U89" s="11">
        <v>4.3499999999999996</v>
      </c>
      <c r="V89" s="13">
        <v>396919</v>
      </c>
      <c r="W89" s="13">
        <v>409417</v>
      </c>
      <c r="X89" s="11">
        <v>4.25</v>
      </c>
      <c r="Y89" s="11">
        <v>4.4000000000000004</v>
      </c>
      <c r="Z89" s="13">
        <v>695004</v>
      </c>
      <c r="AA89" s="13">
        <v>793264</v>
      </c>
      <c r="AB89" s="11">
        <v>4.2</v>
      </c>
      <c r="AC89" s="11">
        <v>4.45</v>
      </c>
      <c r="AD89" s="13">
        <v>473957</v>
      </c>
      <c r="AE89" s="13">
        <v>378485</v>
      </c>
      <c r="AF89" s="11">
        <v>4.1500000000000004</v>
      </c>
      <c r="AG89" s="11">
        <v>4.5</v>
      </c>
      <c r="AH89" s="13">
        <v>406509</v>
      </c>
      <c r="AI89" s="13">
        <v>764566</v>
      </c>
      <c r="AJ89" s="11">
        <v>4.0999999999999996</v>
      </c>
      <c r="AK89" s="11">
        <v>4.55</v>
      </c>
      <c r="AL89" s="13">
        <v>198153</v>
      </c>
      <c r="AM89" s="13">
        <v>5666486</v>
      </c>
      <c r="AN89" s="13">
        <v>4199065</v>
      </c>
      <c r="AO89" s="14">
        <v>43304</v>
      </c>
      <c r="AP89" s="11" t="s">
        <v>4841</v>
      </c>
      <c r="AQ89" s="31" t="s">
        <v>4740</v>
      </c>
      <c r="AR89" s="30">
        <f t="shared" si="2"/>
        <v>43305.630833333336</v>
      </c>
    </row>
    <row r="90" spans="1:44" ht="40.799999999999997" x14ac:dyDescent="0.3">
      <c r="A90" s="10" t="s">
        <v>4786</v>
      </c>
      <c r="B90" s="11" t="s">
        <v>2634</v>
      </c>
      <c r="C90" s="11" t="s">
        <v>4738</v>
      </c>
      <c r="D90" s="11">
        <v>1</v>
      </c>
      <c r="E90" s="11" t="s">
        <v>4739</v>
      </c>
      <c r="F90" s="11" t="s">
        <v>4739</v>
      </c>
      <c r="G90" s="11">
        <v>12.25</v>
      </c>
      <c r="H90" s="11">
        <v>3.95</v>
      </c>
      <c r="I90" s="11">
        <v>4.05</v>
      </c>
      <c r="J90" s="11">
        <v>4.05</v>
      </c>
      <c r="K90" s="11">
        <v>4.45</v>
      </c>
      <c r="L90" s="11">
        <v>4.05</v>
      </c>
      <c r="M90" s="11">
        <v>4.28</v>
      </c>
      <c r="N90" s="11">
        <v>4.3</v>
      </c>
      <c r="O90" s="11">
        <v>0.25</v>
      </c>
      <c r="P90" s="11">
        <v>6.17</v>
      </c>
      <c r="Q90" s="12">
        <v>11999657</v>
      </c>
      <c r="R90" s="11">
        <v>513.59</v>
      </c>
      <c r="S90" s="13">
        <v>822097</v>
      </c>
      <c r="T90" s="11">
        <v>4.3</v>
      </c>
      <c r="U90" s="11">
        <v>4.3499999999999996</v>
      </c>
      <c r="V90" s="13">
        <v>464529</v>
      </c>
      <c r="W90" s="13">
        <v>413913</v>
      </c>
      <c r="X90" s="11">
        <v>4.25</v>
      </c>
      <c r="Y90" s="11">
        <v>4.4000000000000004</v>
      </c>
      <c r="Z90" s="13">
        <v>668615</v>
      </c>
      <c r="AA90" s="13">
        <v>793257</v>
      </c>
      <c r="AB90" s="11">
        <v>4.2</v>
      </c>
      <c r="AC90" s="11">
        <v>4.45</v>
      </c>
      <c r="AD90" s="13">
        <v>474257</v>
      </c>
      <c r="AE90" s="13">
        <v>374445</v>
      </c>
      <c r="AF90" s="11">
        <v>4.1500000000000004</v>
      </c>
      <c r="AG90" s="11">
        <v>4.5</v>
      </c>
      <c r="AH90" s="13">
        <v>405008</v>
      </c>
      <c r="AI90" s="13">
        <v>764115</v>
      </c>
      <c r="AJ90" s="11">
        <v>4.0999999999999996</v>
      </c>
      <c r="AK90" s="11">
        <v>4.55</v>
      </c>
      <c r="AL90" s="13">
        <v>200653</v>
      </c>
      <c r="AM90" s="13">
        <v>5653463</v>
      </c>
      <c r="AN90" s="13">
        <v>4231585</v>
      </c>
      <c r="AO90" s="14">
        <v>43304</v>
      </c>
      <c r="AP90" s="11" t="s">
        <v>4842</v>
      </c>
      <c r="AQ90" s="31" t="s">
        <v>4740</v>
      </c>
      <c r="AR90" s="30">
        <f t="shared" si="2"/>
        <v>43305.633611111109</v>
      </c>
    </row>
    <row r="91" spans="1:44" ht="40.799999999999997" x14ac:dyDescent="0.3">
      <c r="A91" s="10" t="s">
        <v>4786</v>
      </c>
      <c r="B91" s="11" t="s">
        <v>2634</v>
      </c>
      <c r="C91" s="11" t="s">
        <v>4738</v>
      </c>
      <c r="D91" s="11">
        <v>1</v>
      </c>
      <c r="E91" s="11" t="s">
        <v>4739</v>
      </c>
      <c r="F91" s="11" t="s">
        <v>4739</v>
      </c>
      <c r="G91" s="11">
        <v>12.25</v>
      </c>
      <c r="H91" s="11">
        <v>3.95</v>
      </c>
      <c r="I91" s="11">
        <v>4.05</v>
      </c>
      <c r="J91" s="11">
        <v>4.05</v>
      </c>
      <c r="K91" s="11">
        <v>4.45</v>
      </c>
      <c r="L91" s="11">
        <v>4.05</v>
      </c>
      <c r="M91" s="11">
        <v>4.28</v>
      </c>
      <c r="N91" s="11">
        <v>4.3</v>
      </c>
      <c r="O91" s="11">
        <v>0.25</v>
      </c>
      <c r="P91" s="11">
        <v>6.17</v>
      </c>
      <c r="Q91" s="12">
        <v>11999657</v>
      </c>
      <c r="R91" s="11">
        <v>513.59</v>
      </c>
      <c r="S91" s="13">
        <v>822097</v>
      </c>
      <c r="T91" s="11">
        <v>4.3</v>
      </c>
      <c r="U91" s="11">
        <v>4.3499999999999996</v>
      </c>
      <c r="V91" s="13">
        <v>464529</v>
      </c>
      <c r="W91" s="13">
        <v>413913</v>
      </c>
      <c r="X91" s="11">
        <v>4.25</v>
      </c>
      <c r="Y91" s="11">
        <v>4.4000000000000004</v>
      </c>
      <c r="Z91" s="13">
        <v>668615</v>
      </c>
      <c r="AA91" s="13">
        <v>793257</v>
      </c>
      <c r="AB91" s="11">
        <v>4.2</v>
      </c>
      <c r="AC91" s="11">
        <v>4.45</v>
      </c>
      <c r="AD91" s="13">
        <v>474257</v>
      </c>
      <c r="AE91" s="13">
        <v>374445</v>
      </c>
      <c r="AF91" s="11">
        <v>4.1500000000000004</v>
      </c>
      <c r="AG91" s="11">
        <v>4.5</v>
      </c>
      <c r="AH91" s="13">
        <v>405008</v>
      </c>
      <c r="AI91" s="13">
        <v>764115</v>
      </c>
      <c r="AJ91" s="11">
        <v>4.0999999999999996</v>
      </c>
      <c r="AK91" s="11">
        <v>4.55</v>
      </c>
      <c r="AL91" s="13">
        <v>200653</v>
      </c>
      <c r="AM91" s="13">
        <v>5653463</v>
      </c>
      <c r="AN91" s="13">
        <v>4231585</v>
      </c>
      <c r="AO91" s="14">
        <v>43304</v>
      </c>
      <c r="AP91" s="11" t="s">
        <v>4842</v>
      </c>
      <c r="AQ91" s="31" t="s">
        <v>4740</v>
      </c>
      <c r="AR91" s="30">
        <f t="shared" si="2"/>
        <v>43305.633611111109</v>
      </c>
    </row>
    <row r="92" spans="1:44" ht="40.799999999999997" x14ac:dyDescent="0.3">
      <c r="A92" s="10" t="s">
        <v>4786</v>
      </c>
      <c r="B92" s="11" t="s">
        <v>2634</v>
      </c>
      <c r="C92" s="11" t="s">
        <v>4738</v>
      </c>
      <c r="D92" s="11">
        <v>1</v>
      </c>
      <c r="E92" s="11" t="s">
        <v>4739</v>
      </c>
      <c r="F92" s="11" t="s">
        <v>4739</v>
      </c>
      <c r="G92" s="11">
        <v>12.25</v>
      </c>
      <c r="H92" s="11">
        <v>3.95</v>
      </c>
      <c r="I92" s="11">
        <v>4.05</v>
      </c>
      <c r="J92" s="11">
        <v>4.05</v>
      </c>
      <c r="K92" s="11">
        <v>4.45</v>
      </c>
      <c r="L92" s="11">
        <v>4.05</v>
      </c>
      <c r="M92" s="11">
        <v>4.28</v>
      </c>
      <c r="N92" s="11">
        <v>4.3499999999999996</v>
      </c>
      <c r="O92" s="11">
        <v>0.3</v>
      </c>
      <c r="P92" s="11">
        <v>7.41</v>
      </c>
      <c r="Q92" s="12">
        <v>12034322</v>
      </c>
      <c r="R92" s="11">
        <v>515.07000000000005</v>
      </c>
      <c r="S92" s="13">
        <v>1042808</v>
      </c>
      <c r="T92" s="11">
        <v>4.3</v>
      </c>
      <c r="U92" s="11">
        <v>4.3499999999999996</v>
      </c>
      <c r="V92" s="13">
        <v>489046</v>
      </c>
      <c r="W92" s="13">
        <v>707873</v>
      </c>
      <c r="X92" s="11">
        <v>4.25</v>
      </c>
      <c r="Y92" s="11">
        <v>4.4000000000000004</v>
      </c>
      <c r="Z92" s="13">
        <v>654615</v>
      </c>
      <c r="AA92" s="13">
        <v>792857</v>
      </c>
      <c r="AB92" s="11">
        <v>4.2</v>
      </c>
      <c r="AC92" s="11">
        <v>4.45</v>
      </c>
      <c r="AD92" s="13">
        <v>375357</v>
      </c>
      <c r="AE92" s="13">
        <v>371945</v>
      </c>
      <c r="AF92" s="11">
        <v>4.1500000000000004</v>
      </c>
      <c r="AG92" s="11">
        <v>4.5</v>
      </c>
      <c r="AH92" s="13">
        <v>396008</v>
      </c>
      <c r="AI92" s="13">
        <v>565264</v>
      </c>
      <c r="AJ92" s="11">
        <v>4.0999999999999996</v>
      </c>
      <c r="AK92" s="11">
        <v>4.55</v>
      </c>
      <c r="AL92" s="13">
        <v>191753</v>
      </c>
      <c r="AM92" s="13">
        <v>5725583</v>
      </c>
      <c r="AN92" s="13">
        <v>4106802</v>
      </c>
      <c r="AO92" s="14">
        <v>43304</v>
      </c>
      <c r="AP92" s="11" t="s">
        <v>4843</v>
      </c>
      <c r="AQ92" s="31" t="s">
        <v>4740</v>
      </c>
      <c r="AR92" s="30">
        <f t="shared" si="2"/>
        <v>43305.636041666665</v>
      </c>
    </row>
    <row r="93" spans="1:44" ht="40.799999999999997" x14ac:dyDescent="0.3">
      <c r="A93" s="10" t="s">
        <v>4786</v>
      </c>
      <c r="B93" s="11" t="s">
        <v>2634</v>
      </c>
      <c r="C93" s="11" t="s">
        <v>4738</v>
      </c>
      <c r="D93" s="11">
        <v>1</v>
      </c>
      <c r="E93" s="11" t="s">
        <v>4739</v>
      </c>
      <c r="F93" s="11" t="s">
        <v>4739</v>
      </c>
      <c r="G93" s="11">
        <v>12.25</v>
      </c>
      <c r="H93" s="11">
        <v>3.95</v>
      </c>
      <c r="I93" s="11">
        <v>4.05</v>
      </c>
      <c r="J93" s="11">
        <v>4.05</v>
      </c>
      <c r="K93" s="11">
        <v>4.45</v>
      </c>
      <c r="L93" s="11">
        <v>4.05</v>
      </c>
      <c r="M93" s="11">
        <v>4.28</v>
      </c>
      <c r="N93" s="11">
        <v>4.3499999999999996</v>
      </c>
      <c r="O93" s="11">
        <v>0.3</v>
      </c>
      <c r="P93" s="11">
        <v>7.41</v>
      </c>
      <c r="Q93" s="12">
        <v>12034322</v>
      </c>
      <c r="R93" s="11">
        <v>515.07000000000005</v>
      </c>
      <c r="S93" s="13">
        <v>1042808</v>
      </c>
      <c r="T93" s="11">
        <v>4.3</v>
      </c>
      <c r="U93" s="11">
        <v>4.3499999999999996</v>
      </c>
      <c r="V93" s="13">
        <v>489046</v>
      </c>
      <c r="W93" s="13">
        <v>707873</v>
      </c>
      <c r="X93" s="11">
        <v>4.25</v>
      </c>
      <c r="Y93" s="11">
        <v>4.4000000000000004</v>
      </c>
      <c r="Z93" s="13">
        <v>654615</v>
      </c>
      <c r="AA93" s="13">
        <v>792857</v>
      </c>
      <c r="AB93" s="11">
        <v>4.2</v>
      </c>
      <c r="AC93" s="11">
        <v>4.45</v>
      </c>
      <c r="AD93" s="13">
        <v>375357</v>
      </c>
      <c r="AE93" s="13">
        <v>371945</v>
      </c>
      <c r="AF93" s="11">
        <v>4.1500000000000004</v>
      </c>
      <c r="AG93" s="11">
        <v>4.5</v>
      </c>
      <c r="AH93" s="13">
        <v>396008</v>
      </c>
      <c r="AI93" s="13">
        <v>565264</v>
      </c>
      <c r="AJ93" s="11">
        <v>4.0999999999999996</v>
      </c>
      <c r="AK93" s="11">
        <v>4.55</v>
      </c>
      <c r="AL93" s="13">
        <v>191753</v>
      </c>
      <c r="AM93" s="13">
        <v>5725583</v>
      </c>
      <c r="AN93" s="13">
        <v>4106802</v>
      </c>
      <c r="AO93" s="14">
        <v>43304</v>
      </c>
      <c r="AP93" s="11" t="s">
        <v>4843</v>
      </c>
      <c r="AQ93" s="31" t="s">
        <v>4740</v>
      </c>
      <c r="AR93" s="30">
        <f t="shared" si="2"/>
        <v>43305.636041666665</v>
      </c>
    </row>
    <row r="94" spans="1:44" ht="40.799999999999997" x14ac:dyDescent="0.3">
      <c r="A94" s="10" t="s">
        <v>4786</v>
      </c>
      <c r="B94" s="11" t="s">
        <v>2634</v>
      </c>
      <c r="C94" s="11" t="s">
        <v>4738</v>
      </c>
      <c r="D94" s="11">
        <v>1</v>
      </c>
      <c r="E94" s="11" t="s">
        <v>4739</v>
      </c>
      <c r="F94" s="11" t="s">
        <v>4739</v>
      </c>
      <c r="G94" s="11">
        <v>12.25</v>
      </c>
      <c r="H94" s="11">
        <v>3.95</v>
      </c>
      <c r="I94" s="11">
        <v>4.05</v>
      </c>
      <c r="J94" s="11">
        <v>4.05</v>
      </c>
      <c r="K94" s="11">
        <v>4.45</v>
      </c>
      <c r="L94" s="11">
        <v>4.05</v>
      </c>
      <c r="M94" s="11">
        <v>4.28</v>
      </c>
      <c r="N94" s="11">
        <v>4.3499999999999996</v>
      </c>
      <c r="O94" s="11">
        <v>0.3</v>
      </c>
      <c r="P94" s="11">
        <v>7.41</v>
      </c>
      <c r="Q94" s="12">
        <v>12107740</v>
      </c>
      <c r="R94" s="11">
        <v>518.21</v>
      </c>
      <c r="S94" s="13">
        <v>1095825</v>
      </c>
      <c r="T94" s="11">
        <v>4.3</v>
      </c>
      <c r="U94" s="11">
        <v>4.3499999999999996</v>
      </c>
      <c r="V94" s="13">
        <v>539264</v>
      </c>
      <c r="W94" s="13">
        <v>707874</v>
      </c>
      <c r="X94" s="11">
        <v>4.25</v>
      </c>
      <c r="Y94" s="11">
        <v>4.4000000000000004</v>
      </c>
      <c r="Z94" s="13">
        <v>594848</v>
      </c>
      <c r="AA94" s="13">
        <v>1008206</v>
      </c>
      <c r="AB94" s="11">
        <v>4.2</v>
      </c>
      <c r="AC94" s="11">
        <v>4.45</v>
      </c>
      <c r="AD94" s="13">
        <v>385767</v>
      </c>
      <c r="AE94" s="13">
        <v>618145</v>
      </c>
      <c r="AF94" s="11">
        <v>4.1500000000000004</v>
      </c>
      <c r="AG94" s="11">
        <v>4.5</v>
      </c>
      <c r="AH94" s="13">
        <v>396007</v>
      </c>
      <c r="AI94" s="13">
        <v>550264</v>
      </c>
      <c r="AJ94" s="11">
        <v>4.0999999999999996</v>
      </c>
      <c r="AK94" s="11">
        <v>4.55</v>
      </c>
      <c r="AL94" s="13">
        <v>191753</v>
      </c>
      <c r="AM94" s="13">
        <v>6219342</v>
      </c>
      <c r="AN94" s="13">
        <v>4109262</v>
      </c>
      <c r="AO94" s="14">
        <v>43304</v>
      </c>
      <c r="AP94" s="11" t="s">
        <v>4844</v>
      </c>
      <c r="AQ94" s="31" t="s">
        <v>4740</v>
      </c>
      <c r="AR94" s="30">
        <f t="shared" si="2"/>
        <v>43305.638136574074</v>
      </c>
    </row>
    <row r="95" spans="1:44" ht="40.799999999999997" x14ac:dyDescent="0.3">
      <c r="A95" s="10" t="s">
        <v>4786</v>
      </c>
      <c r="B95" s="11" t="s">
        <v>2634</v>
      </c>
      <c r="C95" s="11" t="s">
        <v>4738</v>
      </c>
      <c r="D95" s="11">
        <v>1</v>
      </c>
      <c r="E95" s="11" t="s">
        <v>4739</v>
      </c>
      <c r="F95" s="11" t="s">
        <v>4739</v>
      </c>
      <c r="G95" s="11">
        <v>12.25</v>
      </c>
      <c r="H95" s="11">
        <v>3.95</v>
      </c>
      <c r="I95" s="11">
        <v>4.05</v>
      </c>
      <c r="J95" s="11">
        <v>4.05</v>
      </c>
      <c r="K95" s="11">
        <v>4.45</v>
      </c>
      <c r="L95" s="11">
        <v>4.05</v>
      </c>
      <c r="M95" s="11">
        <v>4.28</v>
      </c>
      <c r="N95" s="11">
        <v>4.3499999999999996</v>
      </c>
      <c r="O95" s="11">
        <v>0.3</v>
      </c>
      <c r="P95" s="11">
        <v>7.41</v>
      </c>
      <c r="Q95" s="12">
        <v>12107740</v>
      </c>
      <c r="R95" s="11">
        <v>518.21</v>
      </c>
      <c r="S95" s="13">
        <v>1095825</v>
      </c>
      <c r="T95" s="11">
        <v>4.3</v>
      </c>
      <c r="U95" s="11">
        <v>4.3499999999999996</v>
      </c>
      <c r="V95" s="13">
        <v>539264</v>
      </c>
      <c r="W95" s="13">
        <v>707874</v>
      </c>
      <c r="X95" s="11">
        <v>4.25</v>
      </c>
      <c r="Y95" s="11">
        <v>4.4000000000000004</v>
      </c>
      <c r="Z95" s="13">
        <v>594848</v>
      </c>
      <c r="AA95" s="13">
        <v>1008206</v>
      </c>
      <c r="AB95" s="11">
        <v>4.2</v>
      </c>
      <c r="AC95" s="11">
        <v>4.45</v>
      </c>
      <c r="AD95" s="13">
        <v>385767</v>
      </c>
      <c r="AE95" s="13">
        <v>618145</v>
      </c>
      <c r="AF95" s="11">
        <v>4.1500000000000004</v>
      </c>
      <c r="AG95" s="11">
        <v>4.5</v>
      </c>
      <c r="AH95" s="13">
        <v>396007</v>
      </c>
      <c r="AI95" s="13">
        <v>550264</v>
      </c>
      <c r="AJ95" s="11">
        <v>4.0999999999999996</v>
      </c>
      <c r="AK95" s="11">
        <v>4.55</v>
      </c>
      <c r="AL95" s="13">
        <v>191753</v>
      </c>
      <c r="AM95" s="13">
        <v>6219342</v>
      </c>
      <c r="AN95" s="13">
        <v>4109262</v>
      </c>
      <c r="AO95" s="14">
        <v>43304</v>
      </c>
      <c r="AP95" s="11" t="s">
        <v>4844</v>
      </c>
      <c r="AQ95" s="31" t="s">
        <v>4740</v>
      </c>
      <c r="AR95" s="30">
        <f t="shared" si="2"/>
        <v>43305.638136574074</v>
      </c>
    </row>
    <row r="96" spans="1:44" ht="40.799999999999997" x14ac:dyDescent="0.3">
      <c r="A96" s="10" t="s">
        <v>4786</v>
      </c>
      <c r="B96" s="11" t="s">
        <v>2634</v>
      </c>
      <c r="C96" s="11" t="s">
        <v>4738</v>
      </c>
      <c r="D96" s="11">
        <v>1</v>
      </c>
      <c r="E96" s="11" t="s">
        <v>4739</v>
      </c>
      <c r="F96" s="11" t="s">
        <v>4739</v>
      </c>
      <c r="G96" s="11">
        <v>12.25</v>
      </c>
      <c r="H96" s="11">
        <v>3.95</v>
      </c>
      <c r="I96" s="11">
        <v>4.05</v>
      </c>
      <c r="J96" s="11">
        <v>4.05</v>
      </c>
      <c r="K96" s="11">
        <v>4.45</v>
      </c>
      <c r="L96" s="11">
        <v>4.05</v>
      </c>
      <c r="M96" s="11">
        <v>4.28</v>
      </c>
      <c r="N96" s="11">
        <v>4.3499999999999996</v>
      </c>
      <c r="O96" s="11">
        <v>0.3</v>
      </c>
      <c r="P96" s="11">
        <v>7.41</v>
      </c>
      <c r="Q96" s="12">
        <v>12222989</v>
      </c>
      <c r="R96" s="11">
        <v>523.14</v>
      </c>
      <c r="S96" s="13">
        <v>1202563</v>
      </c>
      <c r="T96" s="11">
        <v>4.3</v>
      </c>
      <c r="U96" s="11">
        <v>4.3499999999999996</v>
      </c>
      <c r="V96" s="13">
        <v>504569</v>
      </c>
      <c r="W96" s="13">
        <v>807374</v>
      </c>
      <c r="X96" s="11">
        <v>4.25</v>
      </c>
      <c r="Y96" s="11">
        <v>4.4000000000000004</v>
      </c>
      <c r="Z96" s="13">
        <v>590490</v>
      </c>
      <c r="AA96" s="13">
        <v>1008806</v>
      </c>
      <c r="AB96" s="11">
        <v>4.2</v>
      </c>
      <c r="AC96" s="11">
        <v>4.45</v>
      </c>
      <c r="AD96" s="13">
        <v>375437</v>
      </c>
      <c r="AE96" s="13">
        <v>618045</v>
      </c>
      <c r="AF96" s="11">
        <v>4.1500000000000004</v>
      </c>
      <c r="AG96" s="11">
        <v>4.5</v>
      </c>
      <c r="AH96" s="13">
        <v>395907</v>
      </c>
      <c r="AI96" s="13">
        <v>548523</v>
      </c>
      <c r="AJ96" s="11">
        <v>4.0999999999999996</v>
      </c>
      <c r="AK96" s="11">
        <v>4.55</v>
      </c>
      <c r="AL96" s="13">
        <v>191753</v>
      </c>
      <c r="AM96" s="13">
        <v>6420675</v>
      </c>
      <c r="AN96" s="13">
        <v>4059779</v>
      </c>
      <c r="AO96" s="14">
        <v>43304</v>
      </c>
      <c r="AP96" s="11" t="s">
        <v>4845</v>
      </c>
      <c r="AQ96" s="31" t="s">
        <v>4740</v>
      </c>
      <c r="AR96" s="30">
        <f t="shared" si="2"/>
        <v>43305.640219907407</v>
      </c>
    </row>
    <row r="97" spans="1:44" ht="40.799999999999997" x14ac:dyDescent="0.3">
      <c r="A97" s="10" t="s">
        <v>4786</v>
      </c>
      <c r="B97" s="11" t="s">
        <v>2634</v>
      </c>
      <c r="C97" s="11" t="s">
        <v>4738</v>
      </c>
      <c r="D97" s="11">
        <v>1</v>
      </c>
      <c r="E97" s="11" t="s">
        <v>4739</v>
      </c>
      <c r="F97" s="11" t="s">
        <v>4739</v>
      </c>
      <c r="G97" s="11">
        <v>12.25</v>
      </c>
      <c r="H97" s="11">
        <v>3.95</v>
      </c>
      <c r="I97" s="11">
        <v>4.05</v>
      </c>
      <c r="J97" s="11">
        <v>4.05</v>
      </c>
      <c r="K97" s="11">
        <v>4.45</v>
      </c>
      <c r="L97" s="11">
        <v>4.05</v>
      </c>
      <c r="M97" s="11">
        <v>4.28</v>
      </c>
      <c r="N97" s="11">
        <v>4.3499999999999996</v>
      </c>
      <c r="O97" s="11">
        <v>0.3</v>
      </c>
      <c r="P97" s="11">
        <v>7.41</v>
      </c>
      <c r="Q97" s="12">
        <v>12222989</v>
      </c>
      <c r="R97" s="11">
        <v>523.14</v>
      </c>
      <c r="S97" s="13">
        <v>1202563</v>
      </c>
      <c r="T97" s="11">
        <v>4.3</v>
      </c>
      <c r="U97" s="11">
        <v>4.3499999999999996</v>
      </c>
      <c r="V97" s="13">
        <v>504569</v>
      </c>
      <c r="W97" s="13">
        <v>807374</v>
      </c>
      <c r="X97" s="11">
        <v>4.25</v>
      </c>
      <c r="Y97" s="11">
        <v>4.4000000000000004</v>
      </c>
      <c r="Z97" s="13">
        <v>590490</v>
      </c>
      <c r="AA97" s="13">
        <v>1008806</v>
      </c>
      <c r="AB97" s="11">
        <v>4.2</v>
      </c>
      <c r="AC97" s="11">
        <v>4.45</v>
      </c>
      <c r="AD97" s="13">
        <v>375437</v>
      </c>
      <c r="AE97" s="13">
        <v>618045</v>
      </c>
      <c r="AF97" s="11">
        <v>4.1500000000000004</v>
      </c>
      <c r="AG97" s="11">
        <v>4.5</v>
      </c>
      <c r="AH97" s="13">
        <v>395907</v>
      </c>
      <c r="AI97" s="13">
        <v>548523</v>
      </c>
      <c r="AJ97" s="11">
        <v>4.0999999999999996</v>
      </c>
      <c r="AK97" s="11">
        <v>4.55</v>
      </c>
      <c r="AL97" s="13">
        <v>191753</v>
      </c>
      <c r="AM97" s="13">
        <v>6420675</v>
      </c>
      <c r="AN97" s="13">
        <v>4059779</v>
      </c>
      <c r="AO97" s="14">
        <v>43304</v>
      </c>
      <c r="AP97" s="11" t="s">
        <v>4845</v>
      </c>
      <c r="AQ97" s="31" t="s">
        <v>4740</v>
      </c>
      <c r="AR97" s="30">
        <f t="shared" si="2"/>
        <v>43305.640219907407</v>
      </c>
    </row>
    <row r="98" spans="1:44" ht="40.799999999999997" x14ac:dyDescent="0.3">
      <c r="A98" s="10" t="s">
        <v>4786</v>
      </c>
      <c r="B98" s="11" t="s">
        <v>2634</v>
      </c>
      <c r="C98" s="11" t="s">
        <v>4738</v>
      </c>
      <c r="D98" s="11">
        <v>1</v>
      </c>
      <c r="E98" s="11" t="s">
        <v>4739</v>
      </c>
      <c r="F98" s="11" t="s">
        <v>4739</v>
      </c>
      <c r="G98" s="11">
        <v>12.25</v>
      </c>
      <c r="H98" s="11">
        <v>3.95</v>
      </c>
      <c r="I98" s="11">
        <v>4.05</v>
      </c>
      <c r="J98" s="11">
        <v>4.05</v>
      </c>
      <c r="K98" s="11">
        <v>4.45</v>
      </c>
      <c r="L98" s="11">
        <v>4.05</v>
      </c>
      <c r="M98" s="11">
        <v>4.28</v>
      </c>
      <c r="N98" s="11">
        <v>4.3499999999999996</v>
      </c>
      <c r="O98" s="11">
        <v>0.3</v>
      </c>
      <c r="P98" s="11">
        <v>7.41</v>
      </c>
      <c r="Q98" s="12">
        <v>12491265</v>
      </c>
      <c r="R98" s="11">
        <v>534.63</v>
      </c>
      <c r="S98" s="13">
        <v>1051023</v>
      </c>
      <c r="T98" s="11">
        <v>4.3</v>
      </c>
      <c r="U98" s="11">
        <v>4.3499999999999996</v>
      </c>
      <c r="V98" s="13">
        <v>473144</v>
      </c>
      <c r="W98" s="13">
        <v>823215</v>
      </c>
      <c r="X98" s="11">
        <v>4.25</v>
      </c>
      <c r="Y98" s="11">
        <v>4.4000000000000004</v>
      </c>
      <c r="Z98" s="13">
        <v>735725</v>
      </c>
      <c r="AA98" s="13">
        <v>1005306</v>
      </c>
      <c r="AB98" s="11">
        <v>4.2</v>
      </c>
      <c r="AC98" s="11">
        <v>4.45</v>
      </c>
      <c r="AD98" s="13">
        <v>378987</v>
      </c>
      <c r="AE98" s="13">
        <v>618045</v>
      </c>
      <c r="AF98" s="11">
        <v>4.1500000000000004</v>
      </c>
      <c r="AG98" s="11">
        <v>4.5</v>
      </c>
      <c r="AH98" s="13">
        <v>396002</v>
      </c>
      <c r="AI98" s="13">
        <v>548423</v>
      </c>
      <c r="AJ98" s="11">
        <v>4.0999999999999996</v>
      </c>
      <c r="AK98" s="11">
        <v>4.55</v>
      </c>
      <c r="AL98" s="13">
        <v>186753</v>
      </c>
      <c r="AM98" s="13">
        <v>6276366</v>
      </c>
      <c r="AN98" s="13">
        <v>4169473</v>
      </c>
      <c r="AO98" s="14">
        <v>43304</v>
      </c>
      <c r="AP98" s="11" t="s">
        <v>4846</v>
      </c>
      <c r="AQ98" s="31" t="s">
        <v>4740</v>
      </c>
      <c r="AR98" s="30">
        <f t="shared" si="2"/>
        <v>43305.642997685187</v>
      </c>
    </row>
    <row r="99" spans="1:44" ht="40.799999999999997" x14ac:dyDescent="0.3">
      <c r="A99" s="10" t="s">
        <v>4786</v>
      </c>
      <c r="B99" s="11" t="s">
        <v>2634</v>
      </c>
      <c r="C99" s="11" t="s">
        <v>4738</v>
      </c>
      <c r="D99" s="11">
        <v>1</v>
      </c>
      <c r="E99" s="11" t="s">
        <v>4739</v>
      </c>
      <c r="F99" s="11" t="s">
        <v>4739</v>
      </c>
      <c r="G99" s="11">
        <v>12.25</v>
      </c>
      <c r="H99" s="11">
        <v>3.95</v>
      </c>
      <c r="I99" s="11">
        <v>4.05</v>
      </c>
      <c r="J99" s="11">
        <v>4.05</v>
      </c>
      <c r="K99" s="11">
        <v>4.45</v>
      </c>
      <c r="L99" s="11">
        <v>4.05</v>
      </c>
      <c r="M99" s="11">
        <v>4.28</v>
      </c>
      <c r="N99" s="11">
        <v>4.3499999999999996</v>
      </c>
      <c r="O99" s="11">
        <v>0.3</v>
      </c>
      <c r="P99" s="11">
        <v>7.41</v>
      </c>
      <c r="Q99" s="12">
        <v>12491265</v>
      </c>
      <c r="R99" s="11">
        <v>534.63</v>
      </c>
      <c r="S99" s="13">
        <v>1051023</v>
      </c>
      <c r="T99" s="11">
        <v>4.3</v>
      </c>
      <c r="U99" s="11">
        <v>4.3499999999999996</v>
      </c>
      <c r="V99" s="13">
        <v>473144</v>
      </c>
      <c r="W99" s="13">
        <v>823215</v>
      </c>
      <c r="X99" s="11">
        <v>4.25</v>
      </c>
      <c r="Y99" s="11">
        <v>4.4000000000000004</v>
      </c>
      <c r="Z99" s="13">
        <v>735725</v>
      </c>
      <c r="AA99" s="13">
        <v>1005306</v>
      </c>
      <c r="AB99" s="11">
        <v>4.2</v>
      </c>
      <c r="AC99" s="11">
        <v>4.45</v>
      </c>
      <c r="AD99" s="13">
        <v>378987</v>
      </c>
      <c r="AE99" s="13">
        <v>618045</v>
      </c>
      <c r="AF99" s="11">
        <v>4.1500000000000004</v>
      </c>
      <c r="AG99" s="11">
        <v>4.5</v>
      </c>
      <c r="AH99" s="13">
        <v>396002</v>
      </c>
      <c r="AI99" s="13">
        <v>548423</v>
      </c>
      <c r="AJ99" s="11">
        <v>4.0999999999999996</v>
      </c>
      <c r="AK99" s="11">
        <v>4.55</v>
      </c>
      <c r="AL99" s="13">
        <v>186753</v>
      </c>
      <c r="AM99" s="13">
        <v>6276366</v>
      </c>
      <c r="AN99" s="13">
        <v>4169473</v>
      </c>
      <c r="AO99" s="14">
        <v>43304</v>
      </c>
      <c r="AP99" s="11" t="s">
        <v>4846</v>
      </c>
      <c r="AQ99" s="31" t="s">
        <v>4740</v>
      </c>
      <c r="AR99" s="30">
        <f t="shared" si="2"/>
        <v>43305.642997685187</v>
      </c>
    </row>
    <row r="100" spans="1:44" ht="40.799999999999997" x14ac:dyDescent="0.3">
      <c r="A100" s="10" t="s">
        <v>4786</v>
      </c>
      <c r="B100" s="11" t="s">
        <v>2634</v>
      </c>
      <c r="C100" s="11" t="s">
        <v>4738</v>
      </c>
      <c r="D100" s="11">
        <v>1</v>
      </c>
      <c r="E100" s="11" t="s">
        <v>4739</v>
      </c>
      <c r="F100" s="11" t="s">
        <v>4739</v>
      </c>
      <c r="G100" s="11">
        <v>12.25</v>
      </c>
      <c r="H100" s="11">
        <v>3.95</v>
      </c>
      <c r="I100" s="11">
        <v>4.05</v>
      </c>
      <c r="J100" s="11">
        <v>4.05</v>
      </c>
      <c r="K100" s="11">
        <v>4.45</v>
      </c>
      <c r="L100" s="11">
        <v>4.05</v>
      </c>
      <c r="M100" s="11">
        <v>4.28</v>
      </c>
      <c r="N100" s="11">
        <v>4.3499999999999996</v>
      </c>
      <c r="O100" s="11">
        <v>0.3</v>
      </c>
      <c r="P100" s="11">
        <v>7.41</v>
      </c>
      <c r="Q100" s="12">
        <v>12668996</v>
      </c>
      <c r="R100" s="11">
        <v>542.23</v>
      </c>
      <c r="S100" s="13">
        <v>947948</v>
      </c>
      <c r="T100" s="11">
        <v>4.3</v>
      </c>
      <c r="U100" s="11">
        <v>4.3499999999999996</v>
      </c>
      <c r="V100" s="13">
        <v>386801</v>
      </c>
      <c r="W100" s="13">
        <v>726781</v>
      </c>
      <c r="X100" s="11">
        <v>4.25</v>
      </c>
      <c r="Y100" s="11">
        <v>4.4000000000000004</v>
      </c>
      <c r="Z100" s="13">
        <v>735516</v>
      </c>
      <c r="AA100" s="13">
        <v>1001606</v>
      </c>
      <c r="AB100" s="11">
        <v>4.2</v>
      </c>
      <c r="AC100" s="11">
        <v>4.45</v>
      </c>
      <c r="AD100" s="13">
        <v>372417</v>
      </c>
      <c r="AE100" s="13">
        <v>611745</v>
      </c>
      <c r="AF100" s="11">
        <v>4.1500000000000004</v>
      </c>
      <c r="AG100" s="11">
        <v>4.5</v>
      </c>
      <c r="AH100" s="13">
        <v>393902</v>
      </c>
      <c r="AI100" s="13">
        <v>546013</v>
      </c>
      <c r="AJ100" s="11">
        <v>4.0999999999999996</v>
      </c>
      <c r="AK100" s="11">
        <v>4.55</v>
      </c>
      <c r="AL100" s="13">
        <v>181753</v>
      </c>
      <c r="AM100" s="13">
        <v>6057748</v>
      </c>
      <c r="AN100" s="13">
        <v>3959251</v>
      </c>
      <c r="AO100" s="14">
        <v>43304</v>
      </c>
      <c r="AP100" s="11" t="s">
        <v>4847</v>
      </c>
      <c r="AQ100" s="31" t="s">
        <v>4740</v>
      </c>
      <c r="AR100" s="30">
        <f t="shared" si="2"/>
        <v>43305.645775462966</v>
      </c>
    </row>
    <row r="101" spans="1:44" ht="40.799999999999997" x14ac:dyDescent="0.3">
      <c r="A101" s="10" t="s">
        <v>4786</v>
      </c>
      <c r="B101" s="11" t="s">
        <v>2634</v>
      </c>
      <c r="C101" s="11" t="s">
        <v>4738</v>
      </c>
      <c r="D101" s="11">
        <v>1</v>
      </c>
      <c r="E101" s="11" t="s">
        <v>4739</v>
      </c>
      <c r="F101" s="11" t="s">
        <v>4739</v>
      </c>
      <c r="G101" s="11">
        <v>12.25</v>
      </c>
      <c r="H101" s="11">
        <v>3.95</v>
      </c>
      <c r="I101" s="11">
        <v>4.05</v>
      </c>
      <c r="J101" s="11">
        <v>4.05</v>
      </c>
      <c r="K101" s="11">
        <v>4.45</v>
      </c>
      <c r="L101" s="11">
        <v>4.05</v>
      </c>
      <c r="M101" s="11">
        <v>4.28</v>
      </c>
      <c r="N101" s="11">
        <v>4.3499999999999996</v>
      </c>
      <c r="O101" s="11">
        <v>0.3</v>
      </c>
      <c r="P101" s="11">
        <v>7.41</v>
      </c>
      <c r="Q101" s="12">
        <v>12668996</v>
      </c>
      <c r="R101" s="11">
        <v>542.23</v>
      </c>
      <c r="S101" s="13">
        <v>947948</v>
      </c>
      <c r="T101" s="11">
        <v>4.3</v>
      </c>
      <c r="U101" s="11">
        <v>4.3499999999999996</v>
      </c>
      <c r="V101" s="13">
        <v>386801</v>
      </c>
      <c r="W101" s="13">
        <v>726781</v>
      </c>
      <c r="X101" s="11">
        <v>4.25</v>
      </c>
      <c r="Y101" s="11">
        <v>4.4000000000000004</v>
      </c>
      <c r="Z101" s="13">
        <v>735516</v>
      </c>
      <c r="AA101" s="13">
        <v>1001606</v>
      </c>
      <c r="AB101" s="11">
        <v>4.2</v>
      </c>
      <c r="AC101" s="11">
        <v>4.45</v>
      </c>
      <c r="AD101" s="13">
        <v>372417</v>
      </c>
      <c r="AE101" s="13">
        <v>611745</v>
      </c>
      <c r="AF101" s="11">
        <v>4.1500000000000004</v>
      </c>
      <c r="AG101" s="11">
        <v>4.5</v>
      </c>
      <c r="AH101" s="13">
        <v>393902</v>
      </c>
      <c r="AI101" s="13">
        <v>546013</v>
      </c>
      <c r="AJ101" s="11">
        <v>4.0999999999999996</v>
      </c>
      <c r="AK101" s="11">
        <v>4.55</v>
      </c>
      <c r="AL101" s="13">
        <v>181753</v>
      </c>
      <c r="AM101" s="13">
        <v>6057748</v>
      </c>
      <c r="AN101" s="13">
        <v>3959251</v>
      </c>
      <c r="AO101" s="14">
        <v>43304</v>
      </c>
      <c r="AP101" s="11" t="s">
        <v>4847</v>
      </c>
      <c r="AQ101" s="31" t="s">
        <v>4740</v>
      </c>
      <c r="AR101" s="30"/>
    </row>
    <row r="102" spans="1:44" ht="40.799999999999997" x14ac:dyDescent="0.3">
      <c r="A102" s="10" t="s">
        <v>4786</v>
      </c>
      <c r="B102" s="11" t="s">
        <v>2634</v>
      </c>
      <c r="C102" s="11" t="s">
        <v>4738</v>
      </c>
      <c r="D102" s="11">
        <v>1</v>
      </c>
      <c r="E102" s="11" t="s">
        <v>4739</v>
      </c>
      <c r="F102" s="11" t="s">
        <v>4739</v>
      </c>
      <c r="G102" s="11">
        <v>12.25</v>
      </c>
      <c r="H102" s="11">
        <v>3.95</v>
      </c>
      <c r="I102" s="11">
        <v>4.05</v>
      </c>
      <c r="J102" s="11">
        <v>4.05</v>
      </c>
      <c r="K102" s="11">
        <v>4.45</v>
      </c>
      <c r="L102" s="11">
        <v>4.05</v>
      </c>
      <c r="M102" s="11">
        <v>4.29</v>
      </c>
      <c r="N102" s="11">
        <v>4.3499999999999996</v>
      </c>
      <c r="O102" s="11">
        <v>0.3</v>
      </c>
      <c r="P102" s="11">
        <v>7.41</v>
      </c>
      <c r="Q102" s="12">
        <v>12755684</v>
      </c>
      <c r="R102" s="11">
        <v>547.22</v>
      </c>
      <c r="S102" s="13">
        <v>998265</v>
      </c>
      <c r="T102" s="11">
        <v>4.3</v>
      </c>
      <c r="U102" s="11">
        <v>4.3499999999999996</v>
      </c>
      <c r="V102" s="13">
        <v>213646</v>
      </c>
      <c r="W102" s="13">
        <v>726781</v>
      </c>
      <c r="X102" s="11">
        <v>4.25</v>
      </c>
      <c r="Y102" s="11">
        <v>4.4000000000000004</v>
      </c>
      <c r="Z102" s="13">
        <v>735483</v>
      </c>
      <c r="AA102" s="13">
        <v>1001606</v>
      </c>
      <c r="AB102" s="11">
        <v>4.2</v>
      </c>
      <c r="AC102" s="11">
        <v>4.45</v>
      </c>
      <c r="AD102" s="13">
        <v>372417</v>
      </c>
      <c r="AE102" s="13">
        <v>611745</v>
      </c>
      <c r="AF102" s="11">
        <v>4.1500000000000004</v>
      </c>
      <c r="AG102" s="11">
        <v>4.5</v>
      </c>
      <c r="AH102" s="13">
        <v>393902</v>
      </c>
      <c r="AI102" s="13">
        <v>546013</v>
      </c>
      <c r="AJ102" s="11">
        <v>4.0999999999999996</v>
      </c>
      <c r="AK102" s="11">
        <v>4.55</v>
      </c>
      <c r="AL102" s="13">
        <v>181753</v>
      </c>
      <c r="AM102" s="13">
        <v>6108065</v>
      </c>
      <c r="AN102" s="13">
        <v>3786063</v>
      </c>
      <c r="AO102" s="14">
        <v>43304</v>
      </c>
      <c r="AP102" s="11" t="s">
        <v>4848</v>
      </c>
      <c r="AQ102" s="31" t="s">
        <v>4740</v>
      </c>
      <c r="AR102" s="30"/>
    </row>
    <row r="103" spans="1:44" ht="40.799999999999997" x14ac:dyDescent="0.3">
      <c r="A103" s="10" t="s">
        <v>4786</v>
      </c>
      <c r="B103" s="11" t="s">
        <v>2634</v>
      </c>
      <c r="C103" s="11" t="s">
        <v>4738</v>
      </c>
      <c r="D103" s="11">
        <v>1</v>
      </c>
      <c r="E103" s="11" t="s">
        <v>4739</v>
      </c>
      <c r="F103" s="11" t="s">
        <v>4739</v>
      </c>
      <c r="G103" s="11">
        <v>12.25</v>
      </c>
      <c r="H103" s="11">
        <v>3.95</v>
      </c>
      <c r="I103" s="11">
        <v>4.05</v>
      </c>
      <c r="J103" s="11">
        <v>4.05</v>
      </c>
      <c r="K103" s="11">
        <v>4.45</v>
      </c>
      <c r="L103" s="11">
        <v>4.05</v>
      </c>
      <c r="M103" s="11">
        <v>4.29</v>
      </c>
      <c r="N103" s="11">
        <v>4.3499999999999996</v>
      </c>
      <c r="O103" s="11">
        <v>0.3</v>
      </c>
      <c r="P103" s="11">
        <v>7.41</v>
      </c>
      <c r="Q103" s="12">
        <v>12757354</v>
      </c>
      <c r="R103" s="11">
        <v>547.29</v>
      </c>
      <c r="S103" s="13">
        <v>223716</v>
      </c>
      <c r="T103" s="11">
        <v>4.3</v>
      </c>
      <c r="U103" s="11" t="s">
        <v>4739</v>
      </c>
      <c r="V103" s="13" t="s">
        <v>4739</v>
      </c>
      <c r="W103" s="13" t="s">
        <v>4739</v>
      </c>
      <c r="X103" s="11" t="s">
        <v>4739</v>
      </c>
      <c r="Y103" s="11" t="s">
        <v>4739</v>
      </c>
      <c r="Z103" s="13" t="s">
        <v>4739</v>
      </c>
      <c r="AA103" s="13" t="s">
        <v>4739</v>
      </c>
      <c r="AB103" s="11" t="s">
        <v>4739</v>
      </c>
      <c r="AC103" s="11" t="s">
        <v>4739</v>
      </c>
      <c r="AD103" s="13" t="s">
        <v>4739</v>
      </c>
      <c r="AE103" s="13" t="s">
        <v>4739</v>
      </c>
      <c r="AF103" s="11" t="s">
        <v>4739</v>
      </c>
      <c r="AG103" s="11" t="s">
        <v>4739</v>
      </c>
      <c r="AH103" s="13" t="s">
        <v>4739</v>
      </c>
      <c r="AI103" s="13" t="s">
        <v>4739</v>
      </c>
      <c r="AJ103" s="11" t="s">
        <v>4739</v>
      </c>
      <c r="AK103" s="11" t="s">
        <v>4739</v>
      </c>
      <c r="AL103" s="13" t="s">
        <v>4739</v>
      </c>
      <c r="AM103" s="13">
        <v>223716</v>
      </c>
      <c r="AN103" s="13" t="s">
        <v>4739</v>
      </c>
      <c r="AO103" s="14">
        <v>43304</v>
      </c>
      <c r="AP103" s="11" t="s">
        <v>4849</v>
      </c>
      <c r="AQ103" s="31" t="s">
        <v>4740</v>
      </c>
      <c r="AR103" s="30"/>
    </row>
    <row r="104" spans="1:44" ht="40.799999999999997" x14ac:dyDescent="0.3">
      <c r="A104" s="10" t="s">
        <v>4786</v>
      </c>
      <c r="B104" s="11" t="s">
        <v>2634</v>
      </c>
      <c r="C104" s="11" t="s">
        <v>4738</v>
      </c>
      <c r="D104" s="11">
        <v>1</v>
      </c>
      <c r="E104" s="11" t="s">
        <v>4739</v>
      </c>
      <c r="F104" s="11" t="s">
        <v>4739</v>
      </c>
      <c r="G104" s="11">
        <v>12.25</v>
      </c>
      <c r="H104" s="11">
        <v>3.95</v>
      </c>
      <c r="I104" s="11">
        <v>4.05</v>
      </c>
      <c r="J104" s="11">
        <v>4.05</v>
      </c>
      <c r="K104" s="11">
        <v>4.45</v>
      </c>
      <c r="L104" s="11">
        <v>4.05</v>
      </c>
      <c r="M104" s="11">
        <v>4.29</v>
      </c>
      <c r="N104" s="11">
        <v>4.3499999999999996</v>
      </c>
      <c r="O104" s="11">
        <v>0.3</v>
      </c>
      <c r="P104" s="11">
        <v>7.41</v>
      </c>
      <c r="Q104" s="12">
        <v>12757354</v>
      </c>
      <c r="R104" s="11">
        <v>547.29</v>
      </c>
      <c r="S104" s="13">
        <v>223716</v>
      </c>
      <c r="T104" s="11">
        <v>4.3</v>
      </c>
      <c r="U104" s="11" t="s">
        <v>4739</v>
      </c>
      <c r="V104" s="13" t="s">
        <v>4739</v>
      </c>
      <c r="W104" s="13" t="s">
        <v>4739</v>
      </c>
      <c r="X104" s="11" t="s">
        <v>4739</v>
      </c>
      <c r="Y104" s="11" t="s">
        <v>4739</v>
      </c>
      <c r="Z104" s="13" t="s">
        <v>4739</v>
      </c>
      <c r="AA104" s="13" t="s">
        <v>4739</v>
      </c>
      <c r="AB104" s="11" t="s">
        <v>4739</v>
      </c>
      <c r="AC104" s="11" t="s">
        <v>4739</v>
      </c>
      <c r="AD104" s="13" t="s">
        <v>4739</v>
      </c>
      <c r="AE104" s="13" t="s">
        <v>4739</v>
      </c>
      <c r="AF104" s="11" t="s">
        <v>4739</v>
      </c>
      <c r="AG104" s="11" t="s">
        <v>4739</v>
      </c>
      <c r="AH104" s="13" t="s">
        <v>4739</v>
      </c>
      <c r="AI104" s="13" t="s">
        <v>4739</v>
      </c>
      <c r="AJ104" s="11" t="s">
        <v>4739</v>
      </c>
      <c r="AK104" s="11" t="s">
        <v>4739</v>
      </c>
      <c r="AL104" s="13" t="s">
        <v>4739</v>
      </c>
      <c r="AM104" s="13">
        <v>223716</v>
      </c>
      <c r="AN104" s="13" t="s">
        <v>4739</v>
      </c>
      <c r="AO104" s="14">
        <v>43304</v>
      </c>
      <c r="AP104" s="11" t="s">
        <v>4849</v>
      </c>
      <c r="AQ104" s="31" t="s">
        <v>4740</v>
      </c>
      <c r="AR104" s="30"/>
    </row>
    <row r="105" spans="1:44" ht="40.799999999999997" x14ac:dyDescent="0.3">
      <c r="A105" s="10" t="s">
        <v>4786</v>
      </c>
      <c r="B105" s="11" t="s">
        <v>2634</v>
      </c>
      <c r="C105" s="11" t="s">
        <v>4738</v>
      </c>
      <c r="D105" s="11">
        <v>1</v>
      </c>
      <c r="E105" s="11" t="s">
        <v>4739</v>
      </c>
      <c r="F105" s="11" t="s">
        <v>4739</v>
      </c>
      <c r="G105" s="11">
        <v>12.25</v>
      </c>
      <c r="H105" s="11">
        <v>3.95</v>
      </c>
      <c r="I105" s="11">
        <v>4.05</v>
      </c>
      <c r="J105" s="11">
        <v>4.05</v>
      </c>
      <c r="K105" s="11">
        <v>4.45</v>
      </c>
      <c r="L105" s="11">
        <v>4.05</v>
      </c>
      <c r="M105" s="11">
        <v>4.29</v>
      </c>
      <c r="N105" s="11">
        <v>4.3499999999999996</v>
      </c>
      <c r="O105" s="11">
        <v>0.3</v>
      </c>
      <c r="P105" s="11">
        <v>7.41</v>
      </c>
      <c r="Q105" s="12">
        <v>12757354</v>
      </c>
      <c r="R105" s="11">
        <v>547.29</v>
      </c>
      <c r="S105" s="13">
        <v>223716</v>
      </c>
      <c r="T105" s="11">
        <v>4.3</v>
      </c>
      <c r="U105" s="11" t="s">
        <v>4739</v>
      </c>
      <c r="V105" s="13" t="s">
        <v>4739</v>
      </c>
      <c r="W105" s="13" t="s">
        <v>4739</v>
      </c>
      <c r="X105" s="11" t="s">
        <v>4739</v>
      </c>
      <c r="Y105" s="11" t="s">
        <v>4739</v>
      </c>
      <c r="Z105" s="13" t="s">
        <v>4739</v>
      </c>
      <c r="AA105" s="13" t="s">
        <v>4739</v>
      </c>
      <c r="AB105" s="11" t="s">
        <v>4739</v>
      </c>
      <c r="AC105" s="11" t="s">
        <v>4739</v>
      </c>
      <c r="AD105" s="13" t="s">
        <v>4739</v>
      </c>
      <c r="AE105" s="13" t="s">
        <v>4739</v>
      </c>
      <c r="AF105" s="11" t="s">
        <v>4739</v>
      </c>
      <c r="AG105" s="11" t="s">
        <v>4739</v>
      </c>
      <c r="AH105" s="13" t="s">
        <v>4739</v>
      </c>
      <c r="AI105" s="13" t="s">
        <v>4739</v>
      </c>
      <c r="AJ105" s="11" t="s">
        <v>4739</v>
      </c>
      <c r="AK105" s="11" t="s">
        <v>4739</v>
      </c>
      <c r="AL105" s="13" t="s">
        <v>4739</v>
      </c>
      <c r="AM105" s="13">
        <v>223716</v>
      </c>
      <c r="AN105" s="13" t="s">
        <v>4739</v>
      </c>
      <c r="AO105" s="14">
        <v>43304</v>
      </c>
      <c r="AP105" s="11" t="s">
        <v>4849</v>
      </c>
      <c r="AQ105" s="31" t="s">
        <v>4740</v>
      </c>
      <c r="AR105" s="30"/>
    </row>
    <row r="106" spans="1:44" ht="40.799999999999997" x14ac:dyDescent="0.3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2"/>
      <c r="R106" s="11"/>
      <c r="S106" s="13"/>
      <c r="T106" s="11"/>
      <c r="U106" s="11"/>
      <c r="V106" s="13"/>
      <c r="W106" s="13"/>
      <c r="X106" s="11"/>
      <c r="Y106" s="11"/>
      <c r="Z106" s="13"/>
      <c r="AA106" s="13"/>
      <c r="AB106" s="11"/>
      <c r="AC106" s="11"/>
      <c r="AD106" s="13"/>
      <c r="AE106" s="13"/>
      <c r="AF106" s="11"/>
      <c r="AG106" s="11"/>
      <c r="AH106" s="13"/>
      <c r="AI106" s="13"/>
      <c r="AJ106" s="11"/>
      <c r="AK106" s="11"/>
      <c r="AL106" s="13"/>
      <c r="AM106" s="13"/>
      <c r="AN106" s="13"/>
      <c r="AO106" s="14"/>
      <c r="AP106" s="11"/>
      <c r="AQ106" s="31"/>
      <c r="AR106" s="30"/>
    </row>
    <row r="107" spans="1:44" ht="40.799999999999997" x14ac:dyDescent="0.3">
      <c r="A107" s="10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2"/>
      <c r="R107" s="11"/>
      <c r="S107" s="13"/>
      <c r="T107" s="11"/>
      <c r="U107" s="11"/>
      <c r="V107" s="13"/>
      <c r="W107" s="13"/>
      <c r="X107" s="11"/>
      <c r="Y107" s="11"/>
      <c r="Z107" s="13"/>
      <c r="AA107" s="13"/>
      <c r="AB107" s="11"/>
      <c r="AC107" s="11"/>
      <c r="AD107" s="13"/>
      <c r="AE107" s="13"/>
      <c r="AF107" s="11"/>
      <c r="AG107" s="11"/>
      <c r="AH107" s="13"/>
      <c r="AI107" s="13"/>
      <c r="AJ107" s="11"/>
      <c r="AK107" s="11"/>
      <c r="AL107" s="13"/>
      <c r="AM107" s="13"/>
      <c r="AN107" s="13"/>
      <c r="AO107" s="14"/>
      <c r="AP107" s="11"/>
      <c r="AQ107" s="31"/>
      <c r="AR107" s="30"/>
    </row>
    <row r="108" spans="1:44" ht="40.799999999999997" x14ac:dyDescent="0.3">
      <c r="A108" s="10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2"/>
      <c r="R108" s="11"/>
      <c r="S108" s="13"/>
      <c r="T108" s="11"/>
      <c r="U108" s="11"/>
      <c r="V108" s="13"/>
      <c r="W108" s="13"/>
      <c r="X108" s="11"/>
      <c r="Y108" s="11"/>
      <c r="Z108" s="13"/>
      <c r="AA108" s="13"/>
      <c r="AB108" s="11"/>
      <c r="AC108" s="11"/>
      <c r="AD108" s="13"/>
      <c r="AE108" s="13"/>
      <c r="AF108" s="11"/>
      <c r="AG108" s="11"/>
      <c r="AH108" s="13"/>
      <c r="AI108" s="13"/>
      <c r="AJ108" s="11"/>
      <c r="AK108" s="11"/>
      <c r="AL108" s="13"/>
      <c r="AM108" s="13"/>
      <c r="AN108" s="13"/>
      <c r="AO108" s="14"/>
      <c r="AP108" s="11"/>
      <c r="AQ108" s="31"/>
      <c r="AR108" s="30"/>
    </row>
    <row r="109" spans="1:44" ht="40.799999999999997" x14ac:dyDescent="0.3">
      <c r="A109" s="10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2"/>
      <c r="R109" s="11"/>
      <c r="S109" s="13"/>
      <c r="T109" s="11"/>
      <c r="U109" s="11"/>
      <c r="V109" s="13"/>
      <c r="W109" s="13"/>
      <c r="X109" s="11"/>
      <c r="Y109" s="11"/>
      <c r="Z109" s="13"/>
      <c r="AA109" s="13"/>
      <c r="AB109" s="11"/>
      <c r="AC109" s="11"/>
      <c r="AD109" s="13"/>
      <c r="AE109" s="13"/>
      <c r="AF109" s="11"/>
      <c r="AG109" s="11"/>
      <c r="AH109" s="13"/>
      <c r="AI109" s="13"/>
      <c r="AJ109" s="11"/>
      <c r="AK109" s="11"/>
      <c r="AL109" s="13"/>
      <c r="AM109" s="13"/>
      <c r="AN109" s="13"/>
      <c r="AO109" s="14"/>
      <c r="AP109" s="11"/>
      <c r="AQ109" s="31"/>
      <c r="AR109" s="30"/>
    </row>
    <row r="110" spans="1:44" ht="40.799999999999997" x14ac:dyDescent="0.3">
      <c r="A110" s="10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2"/>
      <c r="R110" s="11"/>
      <c r="S110" s="13"/>
      <c r="T110" s="11"/>
      <c r="U110" s="11"/>
      <c r="V110" s="13"/>
      <c r="W110" s="13"/>
      <c r="X110" s="11"/>
      <c r="Y110" s="11"/>
      <c r="Z110" s="13"/>
      <c r="AA110" s="13"/>
      <c r="AB110" s="11"/>
      <c r="AC110" s="11"/>
      <c r="AD110" s="13"/>
      <c r="AE110" s="13"/>
      <c r="AF110" s="11"/>
      <c r="AG110" s="11"/>
      <c r="AH110" s="13"/>
      <c r="AI110" s="13"/>
      <c r="AJ110" s="11"/>
      <c r="AK110" s="11"/>
      <c r="AL110" s="13"/>
      <c r="AM110" s="13"/>
      <c r="AN110" s="13"/>
      <c r="AO110" s="14"/>
      <c r="AP110" s="11"/>
      <c r="AQ110" s="31"/>
      <c r="AR110" s="30"/>
    </row>
    <row r="111" spans="1:44" ht="40.799999999999997" x14ac:dyDescent="0.3">
      <c r="A111" s="10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2"/>
      <c r="R111" s="11"/>
      <c r="S111" s="13"/>
      <c r="T111" s="11"/>
      <c r="U111" s="11"/>
      <c r="V111" s="13"/>
      <c r="W111" s="13"/>
      <c r="X111" s="11"/>
      <c r="Y111" s="11"/>
      <c r="Z111" s="13"/>
      <c r="AA111" s="13"/>
      <c r="AB111" s="11"/>
      <c r="AC111" s="11"/>
      <c r="AD111" s="13"/>
      <c r="AE111" s="13"/>
      <c r="AF111" s="11"/>
      <c r="AG111" s="11"/>
      <c r="AH111" s="13"/>
      <c r="AI111" s="13"/>
      <c r="AJ111" s="11"/>
      <c r="AK111" s="11"/>
      <c r="AL111" s="13"/>
      <c r="AM111" s="13"/>
      <c r="AN111" s="13"/>
      <c r="AO111" s="14"/>
      <c r="AP111" s="11"/>
      <c r="AQ111" s="31"/>
      <c r="AR111" s="30"/>
    </row>
    <row r="112" spans="1:44" ht="40.799999999999997" x14ac:dyDescent="0.3">
      <c r="A112" s="10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2"/>
      <c r="R112" s="11"/>
      <c r="S112" s="13"/>
      <c r="T112" s="11"/>
      <c r="U112" s="11"/>
      <c r="V112" s="13"/>
      <c r="W112" s="13"/>
      <c r="X112" s="11"/>
      <c r="Y112" s="11"/>
      <c r="Z112" s="13"/>
      <c r="AA112" s="13"/>
      <c r="AB112" s="11"/>
      <c r="AC112" s="11"/>
      <c r="AD112" s="13"/>
      <c r="AE112" s="13"/>
      <c r="AF112" s="11"/>
      <c r="AG112" s="11"/>
      <c r="AH112" s="13"/>
      <c r="AI112" s="13"/>
      <c r="AJ112" s="11"/>
      <c r="AK112" s="11"/>
      <c r="AL112" s="13"/>
      <c r="AM112" s="13"/>
      <c r="AN112" s="13"/>
      <c r="AO112" s="14"/>
      <c r="AP112" s="11"/>
      <c r="AQ112" s="31"/>
      <c r="AR112" s="30"/>
    </row>
    <row r="113" spans="1:44" ht="40.799999999999997" x14ac:dyDescent="0.3">
      <c r="A113" s="10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2"/>
      <c r="R113" s="11"/>
      <c r="S113" s="13"/>
      <c r="T113" s="11"/>
      <c r="U113" s="11"/>
      <c r="V113" s="13"/>
      <c r="W113" s="13"/>
      <c r="X113" s="11"/>
      <c r="Y113" s="11"/>
      <c r="Z113" s="13"/>
      <c r="AA113" s="13"/>
      <c r="AB113" s="11"/>
      <c r="AC113" s="11"/>
      <c r="AD113" s="13"/>
      <c r="AE113" s="13"/>
      <c r="AF113" s="11"/>
      <c r="AG113" s="11"/>
      <c r="AH113" s="13"/>
      <c r="AI113" s="13"/>
      <c r="AJ113" s="11"/>
      <c r="AK113" s="11"/>
      <c r="AL113" s="13"/>
      <c r="AM113" s="13"/>
      <c r="AN113" s="13"/>
      <c r="AO113" s="14"/>
      <c r="AP113" s="11"/>
      <c r="AQ113" s="31"/>
      <c r="AR113" s="30"/>
    </row>
    <row r="114" spans="1:44" ht="40.799999999999997" x14ac:dyDescent="0.3">
      <c r="A114" s="10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2"/>
      <c r="R114" s="11"/>
      <c r="S114" s="13"/>
      <c r="T114" s="11"/>
      <c r="U114" s="11"/>
      <c r="V114" s="13"/>
      <c r="W114" s="13"/>
      <c r="X114" s="11"/>
      <c r="Y114" s="11"/>
      <c r="Z114" s="13"/>
      <c r="AA114" s="13"/>
      <c r="AB114" s="11"/>
      <c r="AC114" s="11"/>
      <c r="AD114" s="13"/>
      <c r="AE114" s="13"/>
      <c r="AF114" s="11"/>
      <c r="AG114" s="11"/>
      <c r="AH114" s="13"/>
      <c r="AI114" s="13"/>
      <c r="AJ114" s="11"/>
      <c r="AK114" s="11"/>
      <c r="AL114" s="13"/>
      <c r="AM114" s="13"/>
      <c r="AN114" s="13"/>
      <c r="AO114" s="14"/>
      <c r="AP114" s="11"/>
      <c r="AQ114" s="31"/>
      <c r="AR114" s="30"/>
    </row>
    <row r="115" spans="1:44" ht="40.799999999999997" x14ac:dyDescent="0.3">
      <c r="A115" s="10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2"/>
      <c r="R115" s="11"/>
      <c r="S115" s="13"/>
      <c r="T115" s="11"/>
      <c r="U115" s="11"/>
      <c r="V115" s="13"/>
      <c r="W115" s="13"/>
      <c r="X115" s="11"/>
      <c r="Y115" s="11"/>
      <c r="Z115" s="13"/>
      <c r="AA115" s="13"/>
      <c r="AB115" s="11"/>
      <c r="AC115" s="11"/>
      <c r="AD115" s="13"/>
      <c r="AE115" s="13"/>
      <c r="AF115" s="11"/>
      <c r="AG115" s="11"/>
      <c r="AH115" s="13"/>
      <c r="AI115" s="13"/>
      <c r="AJ115" s="11"/>
      <c r="AK115" s="11"/>
      <c r="AL115" s="13"/>
      <c r="AM115" s="13"/>
      <c r="AN115" s="13"/>
      <c r="AO115" s="14"/>
      <c r="AP115" s="11"/>
      <c r="AQ115" s="31"/>
      <c r="AR115" s="30"/>
    </row>
    <row r="116" spans="1:44" ht="40.799999999999997" x14ac:dyDescent="0.3">
      <c r="A116" s="10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2"/>
      <c r="R116" s="11"/>
      <c r="S116" s="13"/>
      <c r="T116" s="11"/>
      <c r="U116" s="11"/>
      <c r="V116" s="13"/>
      <c r="W116" s="13"/>
      <c r="X116" s="11"/>
      <c r="Y116" s="11"/>
      <c r="Z116" s="13"/>
      <c r="AA116" s="13"/>
      <c r="AB116" s="11"/>
      <c r="AC116" s="11"/>
      <c r="AD116" s="13"/>
      <c r="AE116" s="13"/>
      <c r="AF116" s="11"/>
      <c r="AG116" s="11"/>
      <c r="AH116" s="13"/>
      <c r="AI116" s="13"/>
      <c r="AJ116" s="11"/>
      <c r="AK116" s="11"/>
      <c r="AL116" s="13"/>
      <c r="AM116" s="13"/>
      <c r="AN116" s="13"/>
      <c r="AO116" s="14"/>
      <c r="AP116" s="11"/>
      <c r="AQ116" s="31"/>
      <c r="AR116" s="30"/>
    </row>
    <row r="117" spans="1:44" ht="40.799999999999997" x14ac:dyDescent="0.3">
      <c r="A117" s="10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2"/>
      <c r="R117" s="11"/>
      <c r="S117" s="13"/>
      <c r="T117" s="11"/>
      <c r="U117" s="11"/>
      <c r="V117" s="13"/>
      <c r="W117" s="13"/>
      <c r="X117" s="11"/>
      <c r="Y117" s="11"/>
      <c r="Z117" s="13"/>
      <c r="AA117" s="13"/>
      <c r="AB117" s="11"/>
      <c r="AC117" s="11"/>
      <c r="AD117" s="13"/>
      <c r="AE117" s="13"/>
      <c r="AF117" s="11"/>
      <c r="AG117" s="11"/>
      <c r="AH117" s="13"/>
      <c r="AI117" s="13"/>
      <c r="AJ117" s="11"/>
      <c r="AK117" s="11"/>
      <c r="AL117" s="13"/>
      <c r="AM117" s="13"/>
      <c r="AN117" s="13"/>
      <c r="AO117" s="14"/>
      <c r="AP117" s="11"/>
      <c r="AQ117" s="31"/>
      <c r="AR117" s="30"/>
    </row>
    <row r="118" spans="1:44" ht="40.799999999999997" x14ac:dyDescent="0.3">
      <c r="A118" s="10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2"/>
      <c r="R118" s="11"/>
      <c r="S118" s="13"/>
      <c r="T118" s="11"/>
      <c r="U118" s="11"/>
      <c r="V118" s="13"/>
      <c r="W118" s="13"/>
      <c r="X118" s="11"/>
      <c r="Y118" s="11"/>
      <c r="Z118" s="13"/>
      <c r="AA118" s="13"/>
      <c r="AB118" s="11"/>
      <c r="AC118" s="11"/>
      <c r="AD118" s="13"/>
      <c r="AE118" s="13"/>
      <c r="AF118" s="11"/>
      <c r="AG118" s="11"/>
      <c r="AH118" s="13"/>
      <c r="AI118" s="13"/>
      <c r="AJ118" s="11"/>
      <c r="AK118" s="11"/>
      <c r="AL118" s="13"/>
      <c r="AM118" s="13"/>
      <c r="AN118" s="13"/>
      <c r="AO118" s="14"/>
      <c r="AP118" s="11"/>
      <c r="AQ118" s="31"/>
      <c r="AR118" s="30"/>
    </row>
    <row r="119" spans="1:44" ht="40.799999999999997" x14ac:dyDescent="0.3">
      <c r="A119" s="10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2"/>
      <c r="R119" s="11"/>
      <c r="S119" s="13"/>
      <c r="T119" s="11"/>
      <c r="U119" s="11"/>
      <c r="V119" s="13"/>
      <c r="W119" s="13"/>
      <c r="X119" s="11"/>
      <c r="Y119" s="11"/>
      <c r="Z119" s="13"/>
      <c r="AA119" s="13"/>
      <c r="AB119" s="11"/>
      <c r="AC119" s="11"/>
      <c r="AD119" s="13"/>
      <c r="AE119" s="13"/>
      <c r="AF119" s="11"/>
      <c r="AG119" s="11"/>
      <c r="AH119" s="13"/>
      <c r="AI119" s="13"/>
      <c r="AJ119" s="11"/>
      <c r="AK119" s="11"/>
      <c r="AL119" s="13"/>
      <c r="AM119" s="13"/>
      <c r="AN119" s="13"/>
      <c r="AO119" s="14"/>
      <c r="AP119" s="11"/>
      <c r="AQ119" s="31"/>
      <c r="AR119" s="30"/>
    </row>
    <row r="120" spans="1:44" ht="40.799999999999997" x14ac:dyDescent="0.3">
      <c r="A120" s="10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2"/>
      <c r="R120" s="11"/>
      <c r="S120" s="13"/>
      <c r="T120" s="11"/>
      <c r="U120" s="11"/>
      <c r="V120" s="13"/>
      <c r="W120" s="13"/>
      <c r="X120" s="11"/>
      <c r="Y120" s="11"/>
      <c r="Z120" s="13"/>
      <c r="AA120" s="13"/>
      <c r="AB120" s="11"/>
      <c r="AC120" s="11"/>
      <c r="AD120" s="13"/>
      <c r="AE120" s="13"/>
      <c r="AF120" s="11"/>
      <c r="AG120" s="11"/>
      <c r="AH120" s="13"/>
      <c r="AI120" s="13"/>
      <c r="AJ120" s="11"/>
      <c r="AK120" s="11"/>
      <c r="AL120" s="13"/>
      <c r="AM120" s="13"/>
      <c r="AN120" s="13"/>
      <c r="AO120" s="14"/>
      <c r="AP120" s="11"/>
      <c r="AQ120" s="31"/>
      <c r="AR120" s="30"/>
    </row>
    <row r="121" spans="1:44" ht="40.799999999999997" x14ac:dyDescent="0.3">
      <c r="A121" s="10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2"/>
      <c r="R121" s="11"/>
      <c r="S121" s="13"/>
      <c r="T121" s="11"/>
      <c r="U121" s="11"/>
      <c r="V121" s="13"/>
      <c r="W121" s="13"/>
      <c r="X121" s="11"/>
      <c r="Y121" s="11"/>
      <c r="Z121" s="13"/>
      <c r="AA121" s="13"/>
      <c r="AB121" s="11"/>
      <c r="AC121" s="11"/>
      <c r="AD121" s="13"/>
      <c r="AE121" s="13"/>
      <c r="AF121" s="11"/>
      <c r="AG121" s="11"/>
      <c r="AH121" s="13"/>
      <c r="AI121" s="13"/>
      <c r="AJ121" s="11"/>
      <c r="AK121" s="11"/>
      <c r="AL121" s="13"/>
      <c r="AM121" s="13"/>
      <c r="AN121" s="13"/>
      <c r="AO121" s="14"/>
      <c r="AP121" s="11"/>
      <c r="AQ121" s="31"/>
      <c r="AR121" s="30"/>
    </row>
    <row r="122" spans="1:44" ht="40.799999999999997" x14ac:dyDescent="0.3">
      <c r="A122" s="10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2"/>
      <c r="R122" s="11"/>
      <c r="S122" s="13"/>
      <c r="T122" s="11"/>
      <c r="U122" s="11"/>
      <c r="V122" s="13"/>
      <c r="W122" s="13"/>
      <c r="X122" s="11"/>
      <c r="Y122" s="11"/>
      <c r="Z122" s="13"/>
      <c r="AA122" s="13"/>
      <c r="AB122" s="11"/>
      <c r="AC122" s="11"/>
      <c r="AD122" s="13"/>
      <c r="AE122" s="13"/>
      <c r="AF122" s="11"/>
      <c r="AG122" s="11"/>
      <c r="AH122" s="13"/>
      <c r="AI122" s="13"/>
      <c r="AJ122" s="11"/>
      <c r="AK122" s="11"/>
      <c r="AL122" s="13"/>
      <c r="AM122" s="13"/>
      <c r="AN122" s="13"/>
      <c r="AO122" s="14"/>
      <c r="AP122" s="11"/>
      <c r="AQ122" s="31"/>
      <c r="AR122" s="30"/>
    </row>
    <row r="123" spans="1:44" ht="40.799999999999997" x14ac:dyDescent="0.3">
      <c r="A123" s="10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2"/>
      <c r="R123" s="11"/>
      <c r="S123" s="13"/>
      <c r="T123" s="11"/>
      <c r="U123" s="11"/>
      <c r="V123" s="13"/>
      <c r="W123" s="13"/>
      <c r="X123" s="11"/>
      <c r="Y123" s="11"/>
      <c r="Z123" s="13"/>
      <c r="AA123" s="13"/>
      <c r="AB123" s="11"/>
      <c r="AC123" s="11"/>
      <c r="AD123" s="13"/>
      <c r="AE123" s="13"/>
      <c r="AF123" s="11"/>
      <c r="AG123" s="11"/>
      <c r="AH123" s="13"/>
      <c r="AI123" s="13"/>
      <c r="AJ123" s="11"/>
      <c r="AK123" s="11"/>
      <c r="AL123" s="13"/>
      <c r="AM123" s="13"/>
      <c r="AN123" s="13"/>
      <c r="AO123" s="14"/>
      <c r="AP123" s="11"/>
      <c r="AQ123" s="31"/>
      <c r="AR123" s="30"/>
    </row>
    <row r="124" spans="1:44" ht="40.799999999999997" x14ac:dyDescent="0.3">
      <c r="A124" s="10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2"/>
      <c r="R124" s="11"/>
      <c r="S124" s="13"/>
      <c r="T124" s="11"/>
      <c r="U124" s="11"/>
      <c r="V124" s="13"/>
      <c r="W124" s="13"/>
      <c r="X124" s="11"/>
      <c r="Y124" s="11"/>
      <c r="Z124" s="13"/>
      <c r="AA124" s="13"/>
      <c r="AB124" s="11"/>
      <c r="AC124" s="11"/>
      <c r="AD124" s="13"/>
      <c r="AE124" s="13"/>
      <c r="AF124" s="11"/>
      <c r="AG124" s="11"/>
      <c r="AH124" s="13"/>
      <c r="AI124" s="13"/>
      <c r="AJ124" s="11"/>
      <c r="AK124" s="11"/>
      <c r="AL124" s="13"/>
      <c r="AM124" s="13"/>
      <c r="AN124" s="13"/>
      <c r="AO124" s="14"/>
      <c r="AP124" s="11"/>
      <c r="AQ124" s="31"/>
      <c r="AR124" s="30"/>
    </row>
    <row r="125" spans="1:44" ht="40.799999999999997" x14ac:dyDescent="0.3">
      <c r="A125" s="10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2"/>
      <c r="R125" s="11"/>
      <c r="S125" s="13"/>
      <c r="T125" s="11"/>
      <c r="U125" s="11"/>
      <c r="V125" s="13"/>
      <c r="W125" s="13"/>
      <c r="X125" s="11"/>
      <c r="Y125" s="11"/>
      <c r="Z125" s="13"/>
      <c r="AA125" s="13"/>
      <c r="AB125" s="11"/>
      <c r="AC125" s="11"/>
      <c r="AD125" s="13"/>
      <c r="AE125" s="13"/>
      <c r="AF125" s="11"/>
      <c r="AG125" s="11"/>
      <c r="AH125" s="13"/>
      <c r="AI125" s="13"/>
      <c r="AJ125" s="11"/>
      <c r="AK125" s="11"/>
      <c r="AL125" s="13"/>
      <c r="AM125" s="13"/>
      <c r="AN125" s="13"/>
      <c r="AO125" s="14"/>
      <c r="AP125" s="11"/>
      <c r="AQ125" s="31"/>
      <c r="AR125" s="30"/>
    </row>
    <row r="126" spans="1:44" ht="40.799999999999997" x14ac:dyDescent="0.3">
      <c r="A126" s="10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2"/>
      <c r="R126" s="11"/>
      <c r="S126" s="13"/>
      <c r="T126" s="11"/>
      <c r="U126" s="11"/>
      <c r="V126" s="13"/>
      <c r="W126" s="13"/>
      <c r="X126" s="11"/>
      <c r="Y126" s="11"/>
      <c r="Z126" s="13"/>
      <c r="AA126" s="13"/>
      <c r="AB126" s="11"/>
      <c r="AC126" s="11"/>
      <c r="AD126" s="13"/>
      <c r="AE126" s="13"/>
      <c r="AF126" s="11"/>
      <c r="AG126" s="11"/>
      <c r="AH126" s="13"/>
      <c r="AI126" s="13"/>
      <c r="AJ126" s="11"/>
      <c r="AK126" s="11"/>
      <c r="AL126" s="13"/>
      <c r="AM126" s="13"/>
      <c r="AN126" s="13"/>
      <c r="AO126" s="14"/>
      <c r="AP126" s="11"/>
      <c r="AQ126" s="31"/>
      <c r="AR126" s="30"/>
    </row>
    <row r="127" spans="1:44" ht="40.799999999999997" x14ac:dyDescent="0.3">
      <c r="A127" s="10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2"/>
      <c r="R127" s="11"/>
      <c r="S127" s="13"/>
      <c r="T127" s="11"/>
      <c r="U127" s="11"/>
      <c r="V127" s="13"/>
      <c r="W127" s="13"/>
      <c r="X127" s="11"/>
      <c r="Y127" s="11"/>
      <c r="Z127" s="13"/>
      <c r="AA127" s="13"/>
      <c r="AB127" s="11"/>
      <c r="AC127" s="11"/>
      <c r="AD127" s="13"/>
      <c r="AE127" s="13"/>
      <c r="AF127" s="11"/>
      <c r="AG127" s="11"/>
      <c r="AH127" s="13"/>
      <c r="AI127" s="13"/>
      <c r="AJ127" s="11"/>
      <c r="AK127" s="11"/>
      <c r="AL127" s="13"/>
      <c r="AM127" s="13"/>
      <c r="AN127" s="13"/>
      <c r="AO127" s="14"/>
      <c r="AP127" s="11"/>
      <c r="AQ127" s="31"/>
      <c r="AR127" s="30"/>
    </row>
    <row r="128" spans="1:44" ht="40.799999999999997" x14ac:dyDescent="0.3">
      <c r="A128" s="10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2"/>
      <c r="R128" s="11"/>
      <c r="S128" s="13"/>
      <c r="T128" s="11"/>
      <c r="U128" s="11"/>
      <c r="V128" s="13"/>
      <c r="W128" s="13"/>
      <c r="X128" s="11"/>
      <c r="Y128" s="11"/>
      <c r="Z128" s="13"/>
      <c r="AA128" s="13"/>
      <c r="AB128" s="11"/>
      <c r="AC128" s="11"/>
      <c r="AD128" s="13"/>
      <c r="AE128" s="13"/>
      <c r="AF128" s="11"/>
      <c r="AG128" s="11"/>
      <c r="AH128" s="13"/>
      <c r="AI128" s="13"/>
      <c r="AJ128" s="11"/>
      <c r="AK128" s="11"/>
      <c r="AL128" s="13"/>
      <c r="AM128" s="13"/>
      <c r="AN128" s="13"/>
      <c r="AO128" s="14"/>
      <c r="AP128" s="11"/>
      <c r="AQ128" s="31"/>
      <c r="AR128" s="30"/>
    </row>
    <row r="129" spans="1:44" ht="40.799999999999997" x14ac:dyDescent="0.3">
      <c r="A129" s="10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2"/>
      <c r="R129" s="11"/>
      <c r="S129" s="13"/>
      <c r="T129" s="11"/>
      <c r="U129" s="11"/>
      <c r="V129" s="13"/>
      <c r="W129" s="13"/>
      <c r="X129" s="11"/>
      <c r="Y129" s="11"/>
      <c r="Z129" s="13"/>
      <c r="AA129" s="13"/>
      <c r="AB129" s="11"/>
      <c r="AC129" s="11"/>
      <c r="AD129" s="13"/>
      <c r="AE129" s="13"/>
      <c r="AF129" s="11"/>
      <c r="AG129" s="11"/>
      <c r="AH129" s="13"/>
      <c r="AI129" s="13"/>
      <c r="AJ129" s="11"/>
      <c r="AK129" s="11"/>
      <c r="AL129" s="13"/>
      <c r="AM129" s="13"/>
      <c r="AN129" s="13"/>
      <c r="AO129" s="14"/>
      <c r="AP129" s="11"/>
      <c r="AQ129" s="31"/>
      <c r="AR129" s="30"/>
    </row>
    <row r="130" spans="1:44" ht="40.799999999999997" x14ac:dyDescent="0.3">
      <c r="A130" s="10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2"/>
      <c r="R130" s="11"/>
      <c r="S130" s="13"/>
      <c r="T130" s="11"/>
      <c r="U130" s="11"/>
      <c r="V130" s="13"/>
      <c r="W130" s="13"/>
      <c r="X130" s="11"/>
      <c r="Y130" s="11"/>
      <c r="Z130" s="13"/>
      <c r="AA130" s="13"/>
      <c r="AB130" s="11"/>
      <c r="AC130" s="11"/>
      <c r="AD130" s="13"/>
      <c r="AE130" s="13"/>
      <c r="AF130" s="11"/>
      <c r="AG130" s="11"/>
      <c r="AH130" s="13"/>
      <c r="AI130" s="13"/>
      <c r="AJ130" s="11"/>
      <c r="AK130" s="11"/>
      <c r="AL130" s="13"/>
      <c r="AM130" s="13"/>
      <c r="AN130" s="13"/>
      <c r="AO130" s="14"/>
      <c r="AP130" s="11"/>
      <c r="AQ130" s="31"/>
      <c r="AR130" s="30"/>
    </row>
    <row r="131" spans="1:44" ht="40.799999999999997" x14ac:dyDescent="0.3">
      <c r="A131" s="10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2"/>
      <c r="R131" s="11"/>
      <c r="S131" s="13"/>
      <c r="T131" s="11"/>
      <c r="U131" s="11"/>
      <c r="V131" s="13"/>
      <c r="W131" s="13"/>
      <c r="X131" s="11"/>
      <c r="Y131" s="11"/>
      <c r="Z131" s="13"/>
      <c r="AA131" s="13"/>
      <c r="AB131" s="11"/>
      <c r="AC131" s="11"/>
      <c r="AD131" s="13"/>
      <c r="AE131" s="13"/>
      <c r="AF131" s="11"/>
      <c r="AG131" s="11"/>
      <c r="AH131" s="13"/>
      <c r="AI131" s="13"/>
      <c r="AJ131" s="11"/>
      <c r="AK131" s="11"/>
      <c r="AL131" s="13"/>
      <c r="AM131" s="13"/>
      <c r="AN131" s="13"/>
      <c r="AO131" s="14"/>
      <c r="AP131" s="11"/>
      <c r="AQ131" s="31"/>
      <c r="AR131" s="30"/>
    </row>
    <row r="132" spans="1:44" ht="40.799999999999997" x14ac:dyDescent="0.3">
      <c r="A132" s="10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2"/>
      <c r="R132" s="11"/>
      <c r="S132" s="13"/>
      <c r="T132" s="11"/>
      <c r="U132" s="11"/>
      <c r="V132" s="13"/>
      <c r="W132" s="13"/>
      <c r="X132" s="11"/>
      <c r="Y132" s="11"/>
      <c r="Z132" s="13"/>
      <c r="AA132" s="13"/>
      <c r="AB132" s="11"/>
      <c r="AC132" s="11"/>
      <c r="AD132" s="13"/>
      <c r="AE132" s="13"/>
      <c r="AF132" s="11"/>
      <c r="AG132" s="11"/>
      <c r="AH132" s="13"/>
      <c r="AI132" s="13"/>
      <c r="AJ132" s="11"/>
      <c r="AK132" s="11"/>
      <c r="AL132" s="13"/>
      <c r="AM132" s="13"/>
      <c r="AN132" s="13"/>
      <c r="AO132" s="14"/>
      <c r="AP132" s="11"/>
      <c r="AQ132" s="31"/>
      <c r="AR132" s="30"/>
    </row>
    <row r="133" spans="1:44" ht="40.799999999999997" x14ac:dyDescent="0.3">
      <c r="A133" s="10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2"/>
      <c r="R133" s="11"/>
      <c r="S133" s="13"/>
      <c r="T133" s="11"/>
      <c r="U133" s="11"/>
      <c r="V133" s="13"/>
      <c r="W133" s="13"/>
      <c r="X133" s="11"/>
      <c r="Y133" s="11"/>
      <c r="Z133" s="13"/>
      <c r="AA133" s="13"/>
      <c r="AB133" s="11"/>
      <c r="AC133" s="11"/>
      <c r="AD133" s="13"/>
      <c r="AE133" s="13"/>
      <c r="AF133" s="11"/>
      <c r="AG133" s="11"/>
      <c r="AH133" s="13"/>
      <c r="AI133" s="13"/>
      <c r="AJ133" s="11"/>
      <c r="AK133" s="11"/>
      <c r="AL133" s="13"/>
      <c r="AM133" s="13"/>
      <c r="AN133" s="13"/>
      <c r="AO133" s="14"/>
      <c r="AP133" s="11"/>
      <c r="AQ133" s="31"/>
      <c r="AR133" s="30"/>
    </row>
    <row r="134" spans="1:44" ht="40.799999999999997" x14ac:dyDescent="0.3">
      <c r="A134" s="10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2"/>
      <c r="R134" s="11"/>
      <c r="S134" s="13"/>
      <c r="T134" s="11"/>
      <c r="U134" s="11"/>
      <c r="V134" s="13"/>
      <c r="W134" s="13"/>
      <c r="X134" s="11"/>
      <c r="Y134" s="11"/>
      <c r="Z134" s="13"/>
      <c r="AA134" s="13"/>
      <c r="AB134" s="11"/>
      <c r="AC134" s="11"/>
      <c r="AD134" s="13"/>
      <c r="AE134" s="13"/>
      <c r="AF134" s="11"/>
      <c r="AG134" s="11"/>
      <c r="AH134" s="13"/>
      <c r="AI134" s="13"/>
      <c r="AJ134" s="11"/>
      <c r="AK134" s="11"/>
      <c r="AL134" s="13"/>
      <c r="AM134" s="13"/>
      <c r="AN134" s="13"/>
      <c r="AO134" s="14"/>
      <c r="AP134" s="11"/>
      <c r="AQ134" s="31"/>
      <c r="AR134" s="30"/>
    </row>
    <row r="135" spans="1:44" ht="40.799999999999997" x14ac:dyDescent="0.3">
      <c r="A135" s="10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2"/>
      <c r="R135" s="11"/>
      <c r="S135" s="13"/>
      <c r="T135" s="11"/>
      <c r="U135" s="11"/>
      <c r="V135" s="13"/>
      <c r="W135" s="13"/>
      <c r="X135" s="11"/>
      <c r="Y135" s="11"/>
      <c r="Z135" s="13"/>
      <c r="AA135" s="13"/>
      <c r="AB135" s="11"/>
      <c r="AC135" s="11"/>
      <c r="AD135" s="13"/>
      <c r="AE135" s="13"/>
      <c r="AF135" s="11"/>
      <c r="AG135" s="11"/>
      <c r="AH135" s="13"/>
      <c r="AI135" s="13"/>
      <c r="AJ135" s="11"/>
      <c r="AK135" s="11"/>
      <c r="AL135" s="13"/>
      <c r="AM135" s="13"/>
      <c r="AN135" s="13"/>
      <c r="AO135" s="14"/>
      <c r="AP135" s="11"/>
      <c r="AQ135" s="31"/>
      <c r="AR135" s="30"/>
    </row>
    <row r="136" spans="1:44" ht="40.799999999999997" x14ac:dyDescent="0.3">
      <c r="A136" s="10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2"/>
      <c r="R136" s="11"/>
      <c r="S136" s="13"/>
      <c r="T136" s="11"/>
      <c r="U136" s="11"/>
      <c r="V136" s="13"/>
      <c r="W136" s="13"/>
      <c r="X136" s="11"/>
      <c r="Y136" s="11"/>
      <c r="Z136" s="13"/>
      <c r="AA136" s="13"/>
      <c r="AB136" s="11"/>
      <c r="AC136" s="11"/>
      <c r="AD136" s="13"/>
      <c r="AE136" s="13"/>
      <c r="AF136" s="11"/>
      <c r="AG136" s="11"/>
      <c r="AH136" s="13"/>
      <c r="AI136" s="13"/>
      <c r="AJ136" s="11"/>
      <c r="AK136" s="11"/>
      <c r="AL136" s="13"/>
      <c r="AM136" s="13"/>
      <c r="AN136" s="13"/>
      <c r="AO136" s="14"/>
      <c r="AP136" s="11"/>
      <c r="AQ136" s="31"/>
      <c r="AR136" s="30"/>
    </row>
    <row r="137" spans="1:44" ht="40.799999999999997" x14ac:dyDescent="0.3">
      <c r="A137" s="10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2"/>
      <c r="R137" s="11"/>
      <c r="S137" s="13"/>
      <c r="T137" s="11"/>
      <c r="U137" s="11"/>
      <c r="V137" s="13"/>
      <c r="W137" s="13"/>
      <c r="X137" s="11"/>
      <c r="Y137" s="11"/>
      <c r="Z137" s="13"/>
      <c r="AA137" s="13"/>
      <c r="AB137" s="11"/>
      <c r="AC137" s="11"/>
      <c r="AD137" s="13"/>
      <c r="AE137" s="13"/>
      <c r="AF137" s="11"/>
      <c r="AG137" s="11"/>
      <c r="AH137" s="13"/>
      <c r="AI137" s="13"/>
      <c r="AJ137" s="11"/>
      <c r="AK137" s="11"/>
      <c r="AL137" s="13"/>
      <c r="AM137" s="13"/>
      <c r="AN137" s="13"/>
      <c r="AO137" s="14"/>
      <c r="AP137" s="11"/>
      <c r="AQ137" s="31"/>
      <c r="AR137" s="30"/>
    </row>
    <row r="138" spans="1:44" ht="40.799999999999997" x14ac:dyDescent="0.3">
      <c r="A138" s="10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2"/>
      <c r="R138" s="11"/>
      <c r="S138" s="13"/>
      <c r="T138" s="11"/>
      <c r="U138" s="11"/>
      <c r="V138" s="13"/>
      <c r="W138" s="13"/>
      <c r="X138" s="11"/>
      <c r="Y138" s="11"/>
      <c r="Z138" s="13"/>
      <c r="AA138" s="13"/>
      <c r="AB138" s="11"/>
      <c r="AC138" s="11"/>
      <c r="AD138" s="13"/>
      <c r="AE138" s="13"/>
      <c r="AF138" s="11"/>
      <c r="AG138" s="11"/>
      <c r="AH138" s="13"/>
      <c r="AI138" s="13"/>
      <c r="AJ138" s="11"/>
      <c r="AK138" s="11"/>
      <c r="AL138" s="13"/>
      <c r="AM138" s="13"/>
      <c r="AN138" s="13"/>
      <c r="AO138" s="14"/>
      <c r="AP138" s="11"/>
      <c r="AQ138" s="31"/>
      <c r="AR138" s="30"/>
    </row>
    <row r="139" spans="1:44" ht="40.799999999999997" x14ac:dyDescent="0.3">
      <c r="A139" s="10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2"/>
      <c r="R139" s="11"/>
      <c r="S139" s="13"/>
      <c r="T139" s="11"/>
      <c r="U139" s="11"/>
      <c r="V139" s="13"/>
      <c r="W139" s="13"/>
      <c r="X139" s="11"/>
      <c r="Y139" s="11"/>
      <c r="Z139" s="13"/>
      <c r="AA139" s="13"/>
      <c r="AB139" s="11"/>
      <c r="AC139" s="11"/>
      <c r="AD139" s="13"/>
      <c r="AE139" s="13"/>
      <c r="AF139" s="11"/>
      <c r="AG139" s="11"/>
      <c r="AH139" s="13"/>
      <c r="AI139" s="13"/>
      <c r="AJ139" s="11"/>
      <c r="AK139" s="11"/>
      <c r="AL139" s="13"/>
      <c r="AM139" s="13"/>
      <c r="AN139" s="13"/>
      <c r="AO139" s="14"/>
      <c r="AP139" s="11"/>
      <c r="AQ139" s="31"/>
      <c r="AR139" s="30"/>
    </row>
    <row r="140" spans="1:44" ht="40.799999999999997" x14ac:dyDescent="0.3">
      <c r="A140" s="10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2"/>
      <c r="R140" s="11"/>
      <c r="S140" s="13"/>
      <c r="T140" s="11"/>
      <c r="U140" s="11"/>
      <c r="V140" s="13"/>
      <c r="W140" s="13"/>
      <c r="X140" s="11"/>
      <c r="Y140" s="11"/>
      <c r="Z140" s="13"/>
      <c r="AA140" s="13"/>
      <c r="AB140" s="11"/>
      <c r="AC140" s="11"/>
      <c r="AD140" s="13"/>
      <c r="AE140" s="13"/>
      <c r="AF140" s="11"/>
      <c r="AG140" s="11"/>
      <c r="AH140" s="13"/>
      <c r="AI140" s="13"/>
      <c r="AJ140" s="11"/>
      <c r="AK140" s="11"/>
      <c r="AL140" s="13"/>
      <c r="AM140" s="13"/>
      <c r="AN140" s="13"/>
      <c r="AO140" s="14"/>
      <c r="AP140" s="11"/>
      <c r="AQ140" s="31"/>
      <c r="AR140" s="30"/>
    </row>
    <row r="141" spans="1:44" ht="40.799999999999997" x14ac:dyDescent="0.3">
      <c r="A141" s="10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2"/>
      <c r="R141" s="11"/>
      <c r="S141" s="13"/>
      <c r="T141" s="11"/>
      <c r="U141" s="11"/>
      <c r="V141" s="13"/>
      <c r="W141" s="13"/>
      <c r="X141" s="11"/>
      <c r="Y141" s="11"/>
      <c r="Z141" s="13"/>
      <c r="AA141" s="13"/>
      <c r="AB141" s="11"/>
      <c r="AC141" s="11"/>
      <c r="AD141" s="13"/>
      <c r="AE141" s="13"/>
      <c r="AF141" s="11"/>
      <c r="AG141" s="11"/>
      <c r="AH141" s="13"/>
      <c r="AI141" s="13"/>
      <c r="AJ141" s="11"/>
      <c r="AK141" s="11"/>
      <c r="AL141" s="13"/>
      <c r="AM141" s="13"/>
      <c r="AN141" s="13"/>
      <c r="AO141" s="14"/>
      <c r="AP141" s="11"/>
      <c r="AQ141" s="31"/>
      <c r="AR141" s="30"/>
    </row>
    <row r="142" spans="1:44" ht="40.799999999999997" x14ac:dyDescent="0.3">
      <c r="A142" s="10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2"/>
      <c r="R142" s="11"/>
      <c r="S142" s="13"/>
      <c r="T142" s="11"/>
      <c r="U142" s="11"/>
      <c r="V142" s="13"/>
      <c r="W142" s="13"/>
      <c r="X142" s="11"/>
      <c r="Y142" s="11"/>
      <c r="Z142" s="13"/>
      <c r="AA142" s="13"/>
      <c r="AB142" s="11"/>
      <c r="AC142" s="11"/>
      <c r="AD142" s="13"/>
      <c r="AE142" s="13"/>
      <c r="AF142" s="11"/>
      <c r="AG142" s="11"/>
      <c r="AH142" s="13"/>
      <c r="AI142" s="13"/>
      <c r="AJ142" s="11"/>
      <c r="AK142" s="11"/>
      <c r="AL142" s="13"/>
      <c r="AM142" s="13"/>
      <c r="AN142" s="13"/>
      <c r="AO142" s="14"/>
      <c r="AP142" s="11"/>
      <c r="AQ142" s="31"/>
      <c r="AR142" s="30"/>
    </row>
    <row r="143" spans="1:44" ht="40.799999999999997" x14ac:dyDescent="0.3">
      <c r="A143" s="10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2"/>
      <c r="R143" s="11"/>
      <c r="S143" s="13"/>
      <c r="T143" s="11"/>
      <c r="U143" s="11"/>
      <c r="V143" s="13"/>
      <c r="W143" s="13"/>
      <c r="X143" s="11"/>
      <c r="Y143" s="11"/>
      <c r="Z143" s="13"/>
      <c r="AA143" s="13"/>
      <c r="AB143" s="11"/>
      <c r="AC143" s="11"/>
      <c r="AD143" s="13"/>
      <c r="AE143" s="13"/>
      <c r="AF143" s="11"/>
      <c r="AG143" s="11"/>
      <c r="AH143" s="13"/>
      <c r="AI143" s="13"/>
      <c r="AJ143" s="11"/>
      <c r="AK143" s="11"/>
      <c r="AL143" s="13"/>
      <c r="AM143" s="13"/>
      <c r="AN143" s="13"/>
      <c r="AO143" s="14"/>
      <c r="AP143" s="11"/>
      <c r="AQ143" s="31"/>
      <c r="AR143" s="30"/>
    </row>
    <row r="144" spans="1:44" ht="40.799999999999997" x14ac:dyDescent="0.3">
      <c r="A144" s="10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2"/>
      <c r="R144" s="11"/>
      <c r="S144" s="13"/>
      <c r="T144" s="11"/>
      <c r="U144" s="11"/>
      <c r="V144" s="13"/>
      <c r="W144" s="13"/>
      <c r="X144" s="11"/>
      <c r="Y144" s="11"/>
      <c r="Z144" s="13"/>
      <c r="AA144" s="13"/>
      <c r="AB144" s="11"/>
      <c r="AC144" s="11"/>
      <c r="AD144" s="13"/>
      <c r="AE144" s="13"/>
      <c r="AF144" s="11"/>
      <c r="AG144" s="11"/>
      <c r="AH144" s="13"/>
      <c r="AI144" s="13"/>
      <c r="AJ144" s="11"/>
      <c r="AK144" s="11"/>
      <c r="AL144" s="13"/>
      <c r="AM144" s="13"/>
      <c r="AN144" s="13"/>
      <c r="AO144" s="14"/>
      <c r="AP144" s="11"/>
      <c r="AQ144" s="31"/>
      <c r="AR144" s="30"/>
    </row>
    <row r="145" spans="1:44" ht="40.799999999999997" x14ac:dyDescent="0.3">
      <c r="A145" s="10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2"/>
      <c r="R145" s="11"/>
      <c r="S145" s="13"/>
      <c r="T145" s="11"/>
      <c r="U145" s="11"/>
      <c r="V145" s="13"/>
      <c r="W145" s="13"/>
      <c r="X145" s="11"/>
      <c r="Y145" s="11"/>
      <c r="Z145" s="13"/>
      <c r="AA145" s="13"/>
      <c r="AB145" s="11"/>
      <c r="AC145" s="11"/>
      <c r="AD145" s="13"/>
      <c r="AE145" s="13"/>
      <c r="AF145" s="11"/>
      <c r="AG145" s="11"/>
      <c r="AH145" s="13"/>
      <c r="AI145" s="13"/>
      <c r="AJ145" s="11"/>
      <c r="AK145" s="11"/>
      <c r="AL145" s="13"/>
      <c r="AM145" s="13"/>
      <c r="AN145" s="13"/>
      <c r="AO145" s="14"/>
      <c r="AP145" s="11"/>
      <c r="AQ145" s="31"/>
      <c r="AR145" s="30"/>
    </row>
    <row r="146" spans="1:44" ht="40.799999999999997" x14ac:dyDescent="0.3">
      <c r="A146" s="10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2"/>
      <c r="R146" s="11"/>
      <c r="S146" s="13"/>
      <c r="T146" s="11"/>
      <c r="U146" s="11"/>
      <c r="V146" s="13"/>
      <c r="W146" s="13"/>
      <c r="X146" s="11"/>
      <c r="Y146" s="11"/>
      <c r="Z146" s="13"/>
      <c r="AA146" s="13"/>
      <c r="AB146" s="11"/>
      <c r="AC146" s="11"/>
      <c r="AD146" s="13"/>
      <c r="AE146" s="13"/>
      <c r="AF146" s="11"/>
      <c r="AG146" s="11"/>
      <c r="AH146" s="13"/>
      <c r="AI146" s="13"/>
      <c r="AJ146" s="11"/>
      <c r="AK146" s="11"/>
      <c r="AL146" s="13"/>
      <c r="AM146" s="13"/>
      <c r="AN146" s="13"/>
      <c r="AO146" s="14"/>
      <c r="AP146" s="11"/>
      <c r="AQ146" s="31"/>
      <c r="AR146" s="30"/>
    </row>
    <row r="147" spans="1:44" ht="40.799999999999997" x14ac:dyDescent="0.3">
      <c r="A147" s="10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2"/>
      <c r="R147" s="11"/>
      <c r="S147" s="13"/>
      <c r="T147" s="11"/>
      <c r="U147" s="11"/>
      <c r="V147" s="13"/>
      <c r="W147" s="13"/>
      <c r="X147" s="11"/>
      <c r="Y147" s="11"/>
      <c r="Z147" s="13"/>
      <c r="AA147" s="13"/>
      <c r="AB147" s="11"/>
      <c r="AC147" s="11"/>
      <c r="AD147" s="13"/>
      <c r="AE147" s="13"/>
      <c r="AF147" s="11"/>
      <c r="AG147" s="11"/>
      <c r="AH147" s="13"/>
      <c r="AI147" s="13"/>
      <c r="AJ147" s="11"/>
      <c r="AK147" s="11"/>
      <c r="AL147" s="13"/>
      <c r="AM147" s="13"/>
      <c r="AN147" s="13"/>
      <c r="AO147" s="14"/>
      <c r="AP147" s="11"/>
      <c r="AQ147" s="31"/>
      <c r="AR147" s="30"/>
    </row>
    <row r="148" spans="1:44" ht="40.799999999999997" x14ac:dyDescent="0.3">
      <c r="A148" s="10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2"/>
      <c r="R148" s="11"/>
      <c r="S148" s="13"/>
      <c r="T148" s="11"/>
      <c r="U148" s="11"/>
      <c r="V148" s="13"/>
      <c r="W148" s="13"/>
      <c r="X148" s="11"/>
      <c r="Y148" s="11"/>
      <c r="Z148" s="13"/>
      <c r="AA148" s="13"/>
      <c r="AB148" s="11"/>
      <c r="AC148" s="11"/>
      <c r="AD148" s="13"/>
      <c r="AE148" s="13"/>
      <c r="AF148" s="11"/>
      <c r="AG148" s="11"/>
      <c r="AH148" s="13"/>
      <c r="AI148" s="13"/>
      <c r="AJ148" s="11"/>
      <c r="AK148" s="11"/>
      <c r="AL148" s="13"/>
      <c r="AM148" s="13"/>
      <c r="AN148" s="13"/>
      <c r="AO148" s="14"/>
      <c r="AP148" s="11"/>
      <c r="AQ148" s="31"/>
      <c r="AR148" s="30"/>
    </row>
    <row r="149" spans="1:44" ht="40.799999999999997" x14ac:dyDescent="0.3">
      <c r="A149" s="10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2"/>
      <c r="R149" s="11"/>
      <c r="S149" s="13"/>
      <c r="T149" s="11"/>
      <c r="U149" s="11"/>
      <c r="V149" s="13"/>
      <c r="W149" s="13"/>
      <c r="X149" s="11"/>
      <c r="Y149" s="11"/>
      <c r="Z149" s="13"/>
      <c r="AA149" s="13"/>
      <c r="AB149" s="11"/>
      <c r="AC149" s="11"/>
      <c r="AD149" s="13"/>
      <c r="AE149" s="13"/>
      <c r="AF149" s="11"/>
      <c r="AG149" s="11"/>
      <c r="AH149" s="13"/>
      <c r="AI149" s="13"/>
      <c r="AJ149" s="11"/>
      <c r="AK149" s="11"/>
      <c r="AL149" s="13"/>
      <c r="AM149" s="13"/>
      <c r="AN149" s="13"/>
      <c r="AO149" s="14"/>
      <c r="AP149" s="11"/>
      <c r="AQ149" s="31"/>
      <c r="AR149" s="30"/>
    </row>
    <row r="150" spans="1:44" ht="40.799999999999997" x14ac:dyDescent="0.3">
      <c r="A150" s="10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2"/>
      <c r="R150" s="11"/>
      <c r="S150" s="13"/>
      <c r="T150" s="11"/>
      <c r="U150" s="11"/>
      <c r="V150" s="13"/>
      <c r="W150" s="13"/>
      <c r="X150" s="11"/>
      <c r="Y150" s="11"/>
      <c r="Z150" s="13"/>
      <c r="AA150" s="13"/>
      <c r="AB150" s="11"/>
      <c r="AC150" s="11"/>
      <c r="AD150" s="13"/>
      <c r="AE150" s="13"/>
      <c r="AF150" s="11"/>
      <c r="AG150" s="11"/>
      <c r="AH150" s="13"/>
      <c r="AI150" s="13"/>
      <c r="AJ150" s="11"/>
      <c r="AK150" s="11"/>
      <c r="AL150" s="13"/>
      <c r="AM150" s="13"/>
      <c r="AN150" s="13"/>
      <c r="AO150" s="14"/>
      <c r="AP150" s="11"/>
      <c r="AQ150" s="31"/>
      <c r="AR150" s="30"/>
    </row>
    <row r="151" spans="1:44" ht="40.799999999999997" x14ac:dyDescent="0.3">
      <c r="A151" s="10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2"/>
      <c r="R151" s="11"/>
      <c r="S151" s="13"/>
      <c r="T151" s="11"/>
      <c r="U151" s="11"/>
      <c r="V151" s="13"/>
      <c r="W151" s="13"/>
      <c r="X151" s="11"/>
      <c r="Y151" s="11"/>
      <c r="Z151" s="13"/>
      <c r="AA151" s="13"/>
      <c r="AB151" s="11"/>
      <c r="AC151" s="11"/>
      <c r="AD151" s="13"/>
      <c r="AE151" s="13"/>
      <c r="AF151" s="11"/>
      <c r="AG151" s="11"/>
      <c r="AH151" s="13"/>
      <c r="AI151" s="13"/>
      <c r="AJ151" s="11"/>
      <c r="AK151" s="11"/>
      <c r="AL151" s="13"/>
      <c r="AM151" s="13"/>
      <c r="AN151" s="13"/>
      <c r="AO151" s="14"/>
      <c r="AP151" s="11"/>
      <c r="AQ151" s="31"/>
      <c r="AR151" s="30"/>
    </row>
    <row r="152" spans="1:44" ht="40.799999999999997" x14ac:dyDescent="0.3">
      <c r="A152" s="10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2"/>
      <c r="R152" s="11"/>
      <c r="S152" s="13"/>
      <c r="T152" s="11"/>
      <c r="U152" s="11"/>
      <c r="V152" s="13"/>
      <c r="W152" s="13"/>
      <c r="X152" s="11"/>
      <c r="Y152" s="11"/>
      <c r="Z152" s="13"/>
      <c r="AA152" s="13"/>
      <c r="AB152" s="11"/>
      <c r="AC152" s="11"/>
      <c r="AD152" s="13"/>
      <c r="AE152" s="13"/>
      <c r="AF152" s="11"/>
      <c r="AG152" s="11"/>
      <c r="AH152" s="13"/>
      <c r="AI152" s="13"/>
      <c r="AJ152" s="11"/>
      <c r="AK152" s="11"/>
      <c r="AL152" s="13"/>
      <c r="AM152" s="13"/>
      <c r="AN152" s="13"/>
      <c r="AO152" s="14"/>
      <c r="AP152" s="11"/>
      <c r="AQ152" s="31"/>
      <c r="AR152" s="30"/>
    </row>
    <row r="153" spans="1:44" ht="40.799999999999997" x14ac:dyDescent="0.3">
      <c r="A153" s="10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2"/>
      <c r="R153" s="11"/>
      <c r="S153" s="13"/>
      <c r="T153" s="11"/>
      <c r="U153" s="11"/>
      <c r="V153" s="13"/>
      <c r="W153" s="13"/>
      <c r="X153" s="11"/>
      <c r="Y153" s="11"/>
      <c r="Z153" s="13"/>
      <c r="AA153" s="13"/>
      <c r="AB153" s="11"/>
      <c r="AC153" s="11"/>
      <c r="AD153" s="13"/>
      <c r="AE153" s="13"/>
      <c r="AF153" s="11"/>
      <c r="AG153" s="11"/>
      <c r="AH153" s="13"/>
      <c r="AI153" s="13"/>
      <c r="AJ153" s="11"/>
      <c r="AK153" s="11"/>
      <c r="AL153" s="13"/>
      <c r="AM153" s="13"/>
      <c r="AN153" s="13"/>
      <c r="AO153" s="14"/>
      <c r="AP153" s="11"/>
      <c r="AQ153" s="31"/>
      <c r="AR153" s="30"/>
    </row>
    <row r="154" spans="1:44" ht="40.799999999999997" x14ac:dyDescent="0.3">
      <c r="A154" s="10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2"/>
      <c r="R154" s="11"/>
      <c r="S154" s="13"/>
      <c r="T154" s="11"/>
      <c r="U154" s="11"/>
      <c r="V154" s="13"/>
      <c r="W154" s="13"/>
      <c r="X154" s="11"/>
      <c r="Y154" s="11"/>
      <c r="Z154" s="13"/>
      <c r="AA154" s="13"/>
      <c r="AB154" s="11"/>
      <c r="AC154" s="11"/>
      <c r="AD154" s="13"/>
      <c r="AE154" s="13"/>
      <c r="AF154" s="11"/>
      <c r="AG154" s="11"/>
      <c r="AH154" s="13"/>
      <c r="AI154" s="13"/>
      <c r="AJ154" s="11"/>
      <c r="AK154" s="11"/>
      <c r="AL154" s="13"/>
      <c r="AM154" s="13"/>
      <c r="AN154" s="13"/>
      <c r="AO154" s="14"/>
      <c r="AP154" s="11"/>
      <c r="AQ154" s="31"/>
      <c r="AR154" s="30"/>
    </row>
    <row r="155" spans="1:44" ht="40.799999999999997" x14ac:dyDescent="0.3">
      <c r="A155" s="10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2"/>
      <c r="R155" s="11"/>
      <c r="S155" s="13"/>
      <c r="T155" s="11"/>
      <c r="U155" s="11"/>
      <c r="V155" s="13"/>
      <c r="W155" s="13"/>
      <c r="X155" s="11"/>
      <c r="Y155" s="11"/>
      <c r="Z155" s="13"/>
      <c r="AA155" s="13"/>
      <c r="AB155" s="11"/>
      <c r="AC155" s="11"/>
      <c r="AD155" s="13"/>
      <c r="AE155" s="13"/>
      <c r="AF155" s="11"/>
      <c r="AG155" s="11"/>
      <c r="AH155" s="13"/>
      <c r="AI155" s="13"/>
      <c r="AJ155" s="11"/>
      <c r="AK155" s="11"/>
      <c r="AL155" s="13"/>
      <c r="AM155" s="13"/>
      <c r="AN155" s="13"/>
      <c r="AO155" s="14"/>
      <c r="AP155" s="11"/>
      <c r="AQ155" s="31"/>
      <c r="AR155" s="30"/>
    </row>
    <row r="156" spans="1:44" ht="40.799999999999997" x14ac:dyDescent="0.3">
      <c r="A156" s="10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2"/>
      <c r="R156" s="11"/>
      <c r="S156" s="13"/>
      <c r="T156" s="11"/>
      <c r="U156" s="11"/>
      <c r="V156" s="13"/>
      <c r="W156" s="13"/>
      <c r="X156" s="11"/>
      <c r="Y156" s="11"/>
      <c r="Z156" s="13"/>
      <c r="AA156" s="13"/>
      <c r="AB156" s="11"/>
      <c r="AC156" s="11"/>
      <c r="AD156" s="13"/>
      <c r="AE156" s="13"/>
      <c r="AF156" s="11"/>
      <c r="AG156" s="11"/>
      <c r="AH156" s="13"/>
      <c r="AI156" s="13"/>
      <c r="AJ156" s="11"/>
      <c r="AK156" s="11"/>
      <c r="AL156" s="13"/>
      <c r="AM156" s="13"/>
      <c r="AN156" s="13"/>
      <c r="AO156" s="14"/>
      <c r="AP156" s="11"/>
      <c r="AQ156" s="31"/>
      <c r="AR156" s="30"/>
    </row>
    <row r="157" spans="1:44" ht="40.799999999999997" x14ac:dyDescent="0.3">
      <c r="A157" s="10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2"/>
      <c r="R157" s="11"/>
      <c r="S157" s="13"/>
      <c r="T157" s="11"/>
      <c r="U157" s="11"/>
      <c r="V157" s="13"/>
      <c r="W157" s="13"/>
      <c r="X157" s="11"/>
      <c r="Y157" s="11"/>
      <c r="Z157" s="13"/>
      <c r="AA157" s="13"/>
      <c r="AB157" s="11"/>
      <c r="AC157" s="11"/>
      <c r="AD157" s="13"/>
      <c r="AE157" s="13"/>
      <c r="AF157" s="11"/>
      <c r="AG157" s="11"/>
      <c r="AH157" s="13"/>
      <c r="AI157" s="13"/>
      <c r="AJ157" s="11"/>
      <c r="AK157" s="11"/>
      <c r="AL157" s="13"/>
      <c r="AM157" s="13"/>
      <c r="AN157" s="13"/>
      <c r="AO157" s="14"/>
      <c r="AP157" s="11"/>
      <c r="AQ157" s="31"/>
      <c r="AR157" s="30"/>
    </row>
    <row r="158" spans="1:44" ht="40.799999999999997" x14ac:dyDescent="0.3">
      <c r="A158" s="10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2"/>
      <c r="R158" s="11"/>
      <c r="S158" s="13"/>
      <c r="T158" s="11"/>
      <c r="U158" s="11"/>
      <c r="V158" s="13"/>
      <c r="W158" s="13"/>
      <c r="X158" s="11"/>
      <c r="Y158" s="11"/>
      <c r="Z158" s="13"/>
      <c r="AA158" s="13"/>
      <c r="AB158" s="11"/>
      <c r="AC158" s="11"/>
      <c r="AD158" s="13"/>
      <c r="AE158" s="13"/>
      <c r="AF158" s="11"/>
      <c r="AG158" s="11"/>
      <c r="AH158" s="13"/>
      <c r="AI158" s="13"/>
      <c r="AJ158" s="11"/>
      <c r="AK158" s="11"/>
      <c r="AL158" s="13"/>
      <c r="AM158" s="13"/>
      <c r="AN158" s="13"/>
      <c r="AO158" s="14"/>
      <c r="AP158" s="11"/>
      <c r="AQ158" s="31"/>
      <c r="AR158" s="30"/>
    </row>
    <row r="159" spans="1:44" ht="40.799999999999997" x14ac:dyDescent="0.3">
      <c r="A159" s="10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2"/>
      <c r="R159" s="11"/>
      <c r="S159" s="13"/>
      <c r="T159" s="11"/>
      <c r="U159" s="11"/>
      <c r="V159" s="13"/>
      <c r="W159" s="13"/>
      <c r="X159" s="11"/>
      <c r="Y159" s="11"/>
      <c r="Z159" s="13"/>
      <c r="AA159" s="13"/>
      <c r="AB159" s="11"/>
      <c r="AC159" s="11"/>
      <c r="AD159" s="13"/>
      <c r="AE159" s="13"/>
      <c r="AF159" s="11"/>
      <c r="AG159" s="11"/>
      <c r="AH159" s="13"/>
      <c r="AI159" s="13"/>
      <c r="AJ159" s="11"/>
      <c r="AK159" s="11"/>
      <c r="AL159" s="13"/>
      <c r="AM159" s="13"/>
      <c r="AN159" s="13"/>
      <c r="AO159" s="14"/>
      <c r="AP159" s="11"/>
      <c r="AQ159" s="31"/>
      <c r="AR159" s="30"/>
    </row>
    <row r="160" spans="1:44" ht="40.799999999999997" x14ac:dyDescent="0.3">
      <c r="A160" s="10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2"/>
      <c r="R160" s="11"/>
      <c r="S160" s="13"/>
      <c r="T160" s="11"/>
      <c r="U160" s="11"/>
      <c r="V160" s="13"/>
      <c r="W160" s="13"/>
      <c r="X160" s="11"/>
      <c r="Y160" s="11"/>
      <c r="Z160" s="13"/>
      <c r="AA160" s="13"/>
      <c r="AB160" s="11"/>
      <c r="AC160" s="11"/>
      <c r="AD160" s="13"/>
      <c r="AE160" s="13"/>
      <c r="AF160" s="11"/>
      <c r="AG160" s="11"/>
      <c r="AH160" s="13"/>
      <c r="AI160" s="13"/>
      <c r="AJ160" s="11"/>
      <c r="AK160" s="11"/>
      <c r="AL160" s="13"/>
      <c r="AM160" s="13"/>
      <c r="AN160" s="13"/>
      <c r="AO160" s="14"/>
      <c r="AP160" s="11"/>
      <c r="AQ160" s="31"/>
      <c r="AR160" s="30"/>
    </row>
    <row r="161" spans="1:44" ht="40.799999999999997" x14ac:dyDescent="0.3">
      <c r="A161" s="10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2"/>
      <c r="R161" s="11"/>
      <c r="S161" s="13"/>
      <c r="T161" s="11"/>
      <c r="U161" s="11"/>
      <c r="V161" s="13"/>
      <c r="W161" s="13"/>
      <c r="X161" s="11"/>
      <c r="Y161" s="11"/>
      <c r="Z161" s="13"/>
      <c r="AA161" s="13"/>
      <c r="AB161" s="11"/>
      <c r="AC161" s="11"/>
      <c r="AD161" s="13"/>
      <c r="AE161" s="13"/>
      <c r="AF161" s="11"/>
      <c r="AG161" s="11"/>
      <c r="AH161" s="13"/>
      <c r="AI161" s="13"/>
      <c r="AJ161" s="11"/>
      <c r="AK161" s="11"/>
      <c r="AL161" s="13"/>
      <c r="AM161" s="13"/>
      <c r="AN161" s="13"/>
      <c r="AO161" s="14"/>
      <c r="AP161" s="11"/>
      <c r="AQ161" s="31"/>
      <c r="AR161" s="30"/>
    </row>
    <row r="162" spans="1:44" ht="40.799999999999997" x14ac:dyDescent="0.3">
      <c r="A162" s="10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2"/>
      <c r="R162" s="11"/>
      <c r="S162" s="13"/>
      <c r="T162" s="11"/>
      <c r="U162" s="11"/>
      <c r="V162" s="13"/>
      <c r="W162" s="13"/>
      <c r="X162" s="11"/>
      <c r="Y162" s="11"/>
      <c r="Z162" s="13"/>
      <c r="AA162" s="13"/>
      <c r="AB162" s="11"/>
      <c r="AC162" s="11"/>
      <c r="AD162" s="13"/>
      <c r="AE162" s="13"/>
      <c r="AF162" s="11"/>
      <c r="AG162" s="11"/>
      <c r="AH162" s="13"/>
      <c r="AI162" s="13"/>
      <c r="AJ162" s="11"/>
      <c r="AK162" s="11"/>
      <c r="AL162" s="13"/>
      <c r="AM162" s="13"/>
      <c r="AN162" s="13"/>
      <c r="AO162" s="14"/>
      <c r="AP162" s="11"/>
      <c r="AQ162" s="31"/>
      <c r="AR162" s="30"/>
    </row>
    <row r="163" spans="1:44" ht="40.799999999999997" x14ac:dyDescent="0.3">
      <c r="A163" s="10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2"/>
      <c r="R163" s="11"/>
      <c r="S163" s="13"/>
      <c r="T163" s="11"/>
      <c r="U163" s="11"/>
      <c r="V163" s="13"/>
      <c r="W163" s="13"/>
      <c r="X163" s="11"/>
      <c r="Y163" s="11"/>
      <c r="Z163" s="13"/>
      <c r="AA163" s="13"/>
      <c r="AB163" s="11"/>
      <c r="AC163" s="11"/>
      <c r="AD163" s="13"/>
      <c r="AE163" s="13"/>
      <c r="AF163" s="11"/>
      <c r="AG163" s="11"/>
      <c r="AH163" s="13"/>
      <c r="AI163" s="13"/>
      <c r="AJ163" s="11"/>
      <c r="AK163" s="11"/>
      <c r="AL163" s="13"/>
      <c r="AM163" s="13"/>
      <c r="AN163" s="13"/>
      <c r="AO163" s="14"/>
      <c r="AP163" s="11"/>
      <c r="AQ163" s="31"/>
      <c r="AR163" s="30"/>
    </row>
    <row r="164" spans="1:44" ht="40.799999999999997" x14ac:dyDescent="0.3">
      <c r="A164" s="10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2"/>
      <c r="R164" s="11"/>
      <c r="S164" s="13"/>
      <c r="T164" s="11"/>
      <c r="U164" s="11"/>
      <c r="V164" s="13"/>
      <c r="W164" s="13"/>
      <c r="X164" s="11"/>
      <c r="Y164" s="11"/>
      <c r="Z164" s="13"/>
      <c r="AA164" s="13"/>
      <c r="AB164" s="11"/>
      <c r="AC164" s="11"/>
      <c r="AD164" s="13"/>
      <c r="AE164" s="13"/>
      <c r="AF164" s="11"/>
      <c r="AG164" s="11"/>
      <c r="AH164" s="13"/>
      <c r="AI164" s="13"/>
      <c r="AJ164" s="11"/>
      <c r="AK164" s="11"/>
      <c r="AL164" s="13"/>
      <c r="AM164" s="13"/>
      <c r="AN164" s="13"/>
      <c r="AO164" s="14"/>
      <c r="AP164" s="11"/>
      <c r="AQ164" s="31"/>
      <c r="AR164" s="30"/>
    </row>
    <row r="165" spans="1:44" ht="40.799999999999997" x14ac:dyDescent="0.3">
      <c r="A165" s="10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2"/>
      <c r="R165" s="11"/>
      <c r="S165" s="13"/>
      <c r="T165" s="11"/>
      <c r="U165" s="11"/>
      <c r="V165" s="13"/>
      <c r="W165" s="13"/>
      <c r="X165" s="11"/>
      <c r="Y165" s="11"/>
      <c r="Z165" s="13"/>
      <c r="AA165" s="13"/>
      <c r="AB165" s="11"/>
      <c r="AC165" s="11"/>
      <c r="AD165" s="13"/>
      <c r="AE165" s="13"/>
      <c r="AF165" s="11"/>
      <c r="AG165" s="11"/>
      <c r="AH165" s="13"/>
      <c r="AI165" s="13"/>
      <c r="AJ165" s="11"/>
      <c r="AK165" s="11"/>
      <c r="AL165" s="13"/>
      <c r="AM165" s="13"/>
      <c r="AN165" s="13"/>
      <c r="AO165" s="14"/>
      <c r="AP165" s="11"/>
      <c r="AQ165" s="31"/>
      <c r="AR165" s="30"/>
    </row>
    <row r="166" spans="1:44" ht="40.799999999999997" x14ac:dyDescent="0.3">
      <c r="A166" s="10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2"/>
      <c r="R166" s="11"/>
      <c r="S166" s="13"/>
      <c r="T166" s="11"/>
      <c r="U166" s="11"/>
      <c r="V166" s="13"/>
      <c r="W166" s="13"/>
      <c r="X166" s="11"/>
      <c r="Y166" s="11"/>
      <c r="Z166" s="13"/>
      <c r="AA166" s="13"/>
      <c r="AB166" s="11"/>
      <c r="AC166" s="11"/>
      <c r="AD166" s="13"/>
      <c r="AE166" s="13"/>
      <c r="AF166" s="11"/>
      <c r="AG166" s="11"/>
      <c r="AH166" s="13"/>
      <c r="AI166" s="13"/>
      <c r="AJ166" s="11"/>
      <c r="AK166" s="11"/>
      <c r="AL166" s="13"/>
      <c r="AM166" s="13"/>
      <c r="AN166" s="13"/>
      <c r="AO166" s="14"/>
      <c r="AP166" s="11"/>
      <c r="AQ166" s="31"/>
      <c r="AR166" s="30"/>
    </row>
    <row r="167" spans="1:44" ht="40.799999999999997" x14ac:dyDescent="0.3">
      <c r="A167" s="10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2"/>
      <c r="R167" s="11"/>
      <c r="S167" s="13"/>
      <c r="T167" s="11"/>
      <c r="U167" s="11"/>
      <c r="V167" s="13"/>
      <c r="W167" s="13"/>
      <c r="X167" s="11"/>
      <c r="Y167" s="11"/>
      <c r="Z167" s="13"/>
      <c r="AA167" s="13"/>
      <c r="AB167" s="11"/>
      <c r="AC167" s="11"/>
      <c r="AD167" s="13"/>
      <c r="AE167" s="13"/>
      <c r="AF167" s="11"/>
      <c r="AG167" s="11"/>
      <c r="AH167" s="13"/>
      <c r="AI167" s="13"/>
      <c r="AJ167" s="11"/>
      <c r="AK167" s="11"/>
      <c r="AL167" s="13"/>
      <c r="AM167" s="13"/>
      <c r="AN167" s="13"/>
      <c r="AO167" s="14"/>
      <c r="AP167" s="11"/>
      <c r="AQ167" s="31"/>
      <c r="AR167" s="30"/>
    </row>
    <row r="168" spans="1:44" ht="40.799999999999997" x14ac:dyDescent="0.3">
      <c r="A168" s="10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2"/>
      <c r="R168" s="11"/>
      <c r="S168" s="13"/>
      <c r="T168" s="11"/>
      <c r="U168" s="11"/>
      <c r="V168" s="13"/>
      <c r="W168" s="13"/>
      <c r="X168" s="11"/>
      <c r="Y168" s="11"/>
      <c r="Z168" s="13"/>
      <c r="AA168" s="13"/>
      <c r="AB168" s="11"/>
      <c r="AC168" s="11"/>
      <c r="AD168" s="13"/>
      <c r="AE168" s="13"/>
      <c r="AF168" s="11"/>
      <c r="AG168" s="11"/>
      <c r="AH168" s="13"/>
      <c r="AI168" s="13"/>
      <c r="AJ168" s="11"/>
      <c r="AK168" s="11"/>
      <c r="AL168" s="13"/>
      <c r="AM168" s="13"/>
      <c r="AN168" s="13"/>
      <c r="AO168" s="14"/>
      <c r="AP168" s="11"/>
      <c r="AQ168" s="31"/>
      <c r="AR168" s="30"/>
    </row>
    <row r="169" spans="1:44" ht="40.799999999999997" x14ac:dyDescent="0.3">
      <c r="A169" s="10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2"/>
      <c r="R169" s="11"/>
      <c r="S169" s="13"/>
      <c r="T169" s="11"/>
      <c r="U169" s="11"/>
      <c r="V169" s="13"/>
      <c r="W169" s="13"/>
      <c r="X169" s="11"/>
      <c r="Y169" s="11"/>
      <c r="Z169" s="13"/>
      <c r="AA169" s="13"/>
      <c r="AB169" s="11"/>
      <c r="AC169" s="11"/>
      <c r="AD169" s="13"/>
      <c r="AE169" s="13"/>
      <c r="AF169" s="11"/>
      <c r="AG169" s="11"/>
      <c r="AH169" s="13"/>
      <c r="AI169" s="13"/>
      <c r="AJ169" s="11"/>
      <c r="AK169" s="11"/>
      <c r="AL169" s="13"/>
      <c r="AM169" s="13"/>
      <c r="AN169" s="13"/>
      <c r="AO169" s="14"/>
      <c r="AP169" s="11"/>
      <c r="AQ169" s="31"/>
      <c r="AR169" s="30"/>
    </row>
    <row r="170" spans="1:44" ht="40.799999999999997" x14ac:dyDescent="0.3">
      <c r="A170" s="10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2"/>
      <c r="R170" s="11"/>
      <c r="S170" s="13"/>
      <c r="T170" s="11"/>
      <c r="U170" s="11"/>
      <c r="V170" s="13"/>
      <c r="W170" s="13"/>
      <c r="X170" s="11"/>
      <c r="Y170" s="11"/>
      <c r="Z170" s="13"/>
      <c r="AA170" s="13"/>
      <c r="AB170" s="11"/>
      <c r="AC170" s="11"/>
      <c r="AD170" s="13"/>
      <c r="AE170" s="13"/>
      <c r="AF170" s="11"/>
      <c r="AG170" s="11"/>
      <c r="AH170" s="13"/>
      <c r="AI170" s="13"/>
      <c r="AJ170" s="11"/>
      <c r="AK170" s="11"/>
      <c r="AL170" s="13"/>
      <c r="AM170" s="13"/>
      <c r="AN170" s="13"/>
      <c r="AO170" s="14"/>
      <c r="AP170" s="11"/>
      <c r="AQ170" s="31"/>
      <c r="AR170" s="30"/>
    </row>
    <row r="171" spans="1:44" ht="40.799999999999997" x14ac:dyDescent="0.3">
      <c r="A171" s="10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2"/>
      <c r="R171" s="11"/>
      <c r="S171" s="13"/>
      <c r="T171" s="11"/>
      <c r="U171" s="11"/>
      <c r="V171" s="13"/>
      <c r="W171" s="13"/>
      <c r="X171" s="11"/>
      <c r="Y171" s="11"/>
      <c r="Z171" s="13"/>
      <c r="AA171" s="13"/>
      <c r="AB171" s="11"/>
      <c r="AC171" s="11"/>
      <c r="AD171" s="13"/>
      <c r="AE171" s="13"/>
      <c r="AF171" s="11"/>
      <c r="AG171" s="11"/>
      <c r="AH171" s="13"/>
      <c r="AI171" s="13"/>
      <c r="AJ171" s="11"/>
      <c r="AK171" s="11"/>
      <c r="AL171" s="13"/>
      <c r="AM171" s="13"/>
      <c r="AN171" s="13"/>
      <c r="AO171" s="14"/>
      <c r="AP171" s="11"/>
      <c r="AQ171" s="31"/>
      <c r="AR171" s="30"/>
    </row>
    <row r="172" spans="1:44" ht="40.799999999999997" x14ac:dyDescent="0.3">
      <c r="A172" s="10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2"/>
      <c r="R172" s="11"/>
      <c r="S172" s="13"/>
      <c r="T172" s="11"/>
      <c r="U172" s="11"/>
      <c r="V172" s="13"/>
      <c r="W172" s="13"/>
      <c r="X172" s="11"/>
      <c r="Y172" s="11"/>
      <c r="Z172" s="13"/>
      <c r="AA172" s="13"/>
      <c r="AB172" s="11"/>
      <c r="AC172" s="11"/>
      <c r="AD172" s="13"/>
      <c r="AE172" s="13"/>
      <c r="AF172" s="11"/>
      <c r="AG172" s="11"/>
      <c r="AH172" s="13"/>
      <c r="AI172" s="13"/>
      <c r="AJ172" s="11"/>
      <c r="AK172" s="11"/>
      <c r="AL172" s="13"/>
      <c r="AM172" s="13"/>
      <c r="AN172" s="13"/>
      <c r="AO172" s="14"/>
      <c r="AP172" s="11"/>
      <c r="AQ172" s="31"/>
      <c r="AR172" s="30"/>
    </row>
    <row r="173" spans="1:44" ht="40.799999999999997" x14ac:dyDescent="0.3">
      <c r="A173" s="10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2"/>
      <c r="R173" s="11"/>
      <c r="S173" s="13"/>
      <c r="T173" s="11"/>
      <c r="U173" s="11"/>
      <c r="V173" s="13"/>
      <c r="W173" s="13"/>
      <c r="X173" s="11"/>
      <c r="Y173" s="11"/>
      <c r="Z173" s="13"/>
      <c r="AA173" s="13"/>
      <c r="AB173" s="11"/>
      <c r="AC173" s="11"/>
      <c r="AD173" s="13"/>
      <c r="AE173" s="13"/>
      <c r="AF173" s="11"/>
      <c r="AG173" s="11"/>
      <c r="AH173" s="13"/>
      <c r="AI173" s="13"/>
      <c r="AJ173" s="11"/>
      <c r="AK173" s="11"/>
      <c r="AL173" s="13"/>
      <c r="AM173" s="13"/>
      <c r="AN173" s="13"/>
      <c r="AO173" s="14"/>
      <c r="AP173" s="11"/>
      <c r="AQ173" s="31"/>
      <c r="AR173" s="30"/>
    </row>
    <row r="174" spans="1:44" ht="40.799999999999997" x14ac:dyDescent="0.3">
      <c r="A174" s="10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2"/>
      <c r="R174" s="11"/>
      <c r="S174" s="13"/>
      <c r="T174" s="11"/>
      <c r="U174" s="11"/>
      <c r="V174" s="13"/>
      <c r="W174" s="13"/>
      <c r="X174" s="11"/>
      <c r="Y174" s="11"/>
      <c r="Z174" s="13"/>
      <c r="AA174" s="13"/>
      <c r="AB174" s="11"/>
      <c r="AC174" s="11"/>
      <c r="AD174" s="13"/>
      <c r="AE174" s="13"/>
      <c r="AF174" s="11"/>
      <c r="AG174" s="11"/>
      <c r="AH174" s="13"/>
      <c r="AI174" s="13"/>
      <c r="AJ174" s="11"/>
      <c r="AK174" s="11"/>
      <c r="AL174" s="13"/>
      <c r="AM174" s="13"/>
      <c r="AN174" s="13"/>
      <c r="AO174" s="14"/>
      <c r="AP174" s="11"/>
      <c r="AQ174" s="31"/>
      <c r="AR174" s="30"/>
    </row>
    <row r="175" spans="1:44" ht="40.799999999999997" x14ac:dyDescent="0.3">
      <c r="A175" s="10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2"/>
      <c r="R175" s="11"/>
      <c r="S175" s="13"/>
      <c r="T175" s="11"/>
      <c r="U175" s="11"/>
      <c r="V175" s="13"/>
      <c r="W175" s="13"/>
      <c r="X175" s="11"/>
      <c r="Y175" s="11"/>
      <c r="Z175" s="13"/>
      <c r="AA175" s="13"/>
      <c r="AB175" s="11"/>
      <c r="AC175" s="11"/>
      <c r="AD175" s="13"/>
      <c r="AE175" s="13"/>
      <c r="AF175" s="11"/>
      <c r="AG175" s="11"/>
      <c r="AH175" s="13"/>
      <c r="AI175" s="13"/>
      <c r="AJ175" s="11"/>
      <c r="AK175" s="11"/>
      <c r="AL175" s="13"/>
      <c r="AM175" s="13"/>
      <c r="AN175" s="13"/>
      <c r="AO175" s="14"/>
      <c r="AP175" s="11"/>
      <c r="AQ175" s="31"/>
      <c r="AR175" s="30"/>
    </row>
    <row r="176" spans="1:44" ht="40.799999999999997" x14ac:dyDescent="0.3">
      <c r="A176" s="10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2"/>
      <c r="R176" s="11"/>
      <c r="S176" s="13"/>
      <c r="T176" s="11"/>
      <c r="U176" s="11"/>
      <c r="V176" s="13"/>
      <c r="W176" s="13"/>
      <c r="X176" s="11"/>
      <c r="Y176" s="11"/>
      <c r="Z176" s="13"/>
      <c r="AA176" s="13"/>
      <c r="AB176" s="11"/>
      <c r="AC176" s="11"/>
      <c r="AD176" s="13"/>
      <c r="AE176" s="13"/>
      <c r="AF176" s="11"/>
      <c r="AG176" s="11"/>
      <c r="AH176" s="13"/>
      <c r="AI176" s="13"/>
      <c r="AJ176" s="11"/>
      <c r="AK176" s="11"/>
      <c r="AL176" s="13"/>
      <c r="AM176" s="13"/>
      <c r="AN176" s="13"/>
      <c r="AO176" s="14"/>
      <c r="AP176" s="11"/>
      <c r="AQ176" s="31"/>
      <c r="AR176" s="30"/>
    </row>
    <row r="177" spans="1:44" ht="40.799999999999997" x14ac:dyDescent="0.3">
      <c r="A177" s="10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2"/>
      <c r="R177" s="11"/>
      <c r="S177" s="13"/>
      <c r="T177" s="11"/>
      <c r="U177" s="11"/>
      <c r="V177" s="13"/>
      <c r="W177" s="13"/>
      <c r="X177" s="11"/>
      <c r="Y177" s="11"/>
      <c r="Z177" s="13"/>
      <c r="AA177" s="13"/>
      <c r="AB177" s="11"/>
      <c r="AC177" s="11"/>
      <c r="AD177" s="13"/>
      <c r="AE177" s="13"/>
      <c r="AF177" s="11"/>
      <c r="AG177" s="11"/>
      <c r="AH177" s="13"/>
      <c r="AI177" s="13"/>
      <c r="AJ177" s="11"/>
      <c r="AK177" s="11"/>
      <c r="AL177" s="13"/>
      <c r="AM177" s="13"/>
      <c r="AN177" s="13"/>
      <c r="AO177" s="14"/>
      <c r="AP177" s="11"/>
      <c r="AQ177" s="31"/>
      <c r="AR177" s="30"/>
    </row>
    <row r="178" spans="1:44" ht="40.799999999999997" x14ac:dyDescent="0.3">
      <c r="A178" s="10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2"/>
      <c r="R178" s="11"/>
      <c r="S178" s="13"/>
      <c r="T178" s="11"/>
      <c r="U178" s="11"/>
      <c r="V178" s="13"/>
      <c r="W178" s="13"/>
      <c r="X178" s="11"/>
      <c r="Y178" s="11"/>
      <c r="Z178" s="13"/>
      <c r="AA178" s="13"/>
      <c r="AB178" s="11"/>
      <c r="AC178" s="11"/>
      <c r="AD178" s="13"/>
      <c r="AE178" s="13"/>
      <c r="AF178" s="11"/>
      <c r="AG178" s="11"/>
      <c r="AH178" s="13"/>
      <c r="AI178" s="13"/>
      <c r="AJ178" s="11"/>
      <c r="AK178" s="11"/>
      <c r="AL178" s="13"/>
      <c r="AM178" s="13"/>
      <c r="AN178" s="13"/>
      <c r="AO178" s="14"/>
      <c r="AP178" s="11"/>
      <c r="AQ178" s="31"/>
      <c r="AR178" s="30"/>
    </row>
    <row r="179" spans="1:44" ht="40.799999999999997" x14ac:dyDescent="0.3">
      <c r="A179" s="10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2"/>
      <c r="R179" s="11"/>
      <c r="S179" s="13"/>
      <c r="T179" s="11"/>
      <c r="U179" s="11"/>
      <c r="V179" s="13"/>
      <c r="W179" s="13"/>
      <c r="X179" s="11"/>
      <c r="Y179" s="11"/>
      <c r="Z179" s="13"/>
      <c r="AA179" s="13"/>
      <c r="AB179" s="11"/>
      <c r="AC179" s="11"/>
      <c r="AD179" s="13"/>
      <c r="AE179" s="13"/>
      <c r="AF179" s="11"/>
      <c r="AG179" s="11"/>
      <c r="AH179" s="13"/>
      <c r="AI179" s="13"/>
      <c r="AJ179" s="11"/>
      <c r="AK179" s="11"/>
      <c r="AL179" s="13"/>
      <c r="AM179" s="13"/>
      <c r="AN179" s="13"/>
      <c r="AO179" s="14"/>
      <c r="AP179" s="11"/>
      <c r="AQ179" s="31"/>
      <c r="AR179" s="30"/>
    </row>
    <row r="180" spans="1:44" ht="40.799999999999997" x14ac:dyDescent="0.3">
      <c r="A180" s="10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2"/>
      <c r="R180" s="11"/>
      <c r="S180" s="13"/>
      <c r="T180" s="11"/>
      <c r="U180" s="11"/>
      <c r="V180" s="13"/>
      <c r="W180" s="13"/>
      <c r="X180" s="11"/>
      <c r="Y180" s="11"/>
      <c r="Z180" s="13"/>
      <c r="AA180" s="13"/>
      <c r="AB180" s="11"/>
      <c r="AC180" s="11"/>
      <c r="AD180" s="13"/>
      <c r="AE180" s="13"/>
      <c r="AF180" s="11"/>
      <c r="AG180" s="11"/>
      <c r="AH180" s="13"/>
      <c r="AI180" s="13"/>
      <c r="AJ180" s="11"/>
      <c r="AK180" s="11"/>
      <c r="AL180" s="13"/>
      <c r="AM180" s="13"/>
      <c r="AN180" s="13"/>
      <c r="AO180" s="14"/>
      <c r="AP180" s="11"/>
      <c r="AQ180" s="31"/>
      <c r="AR180" s="30"/>
    </row>
    <row r="181" spans="1:44" ht="40.799999999999997" x14ac:dyDescent="0.3">
      <c r="A181" s="10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2"/>
      <c r="R181" s="11"/>
      <c r="S181" s="13"/>
      <c r="T181" s="11"/>
      <c r="U181" s="11"/>
      <c r="V181" s="13"/>
      <c r="W181" s="13"/>
      <c r="X181" s="11"/>
      <c r="Y181" s="11"/>
      <c r="Z181" s="13"/>
      <c r="AA181" s="13"/>
      <c r="AB181" s="11"/>
      <c r="AC181" s="11"/>
      <c r="AD181" s="13"/>
      <c r="AE181" s="13"/>
      <c r="AF181" s="11"/>
      <c r="AG181" s="11"/>
      <c r="AH181" s="13"/>
      <c r="AI181" s="13"/>
      <c r="AJ181" s="11"/>
      <c r="AK181" s="11"/>
      <c r="AL181" s="13"/>
      <c r="AM181" s="13"/>
      <c r="AN181" s="13"/>
      <c r="AO181" s="14"/>
      <c r="AP181" s="11"/>
      <c r="AQ181" s="31"/>
      <c r="AR181" s="30"/>
    </row>
    <row r="182" spans="1:44" ht="40.799999999999997" x14ac:dyDescent="0.3">
      <c r="A182" s="10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2"/>
      <c r="R182" s="11"/>
      <c r="S182" s="13"/>
      <c r="T182" s="11"/>
      <c r="U182" s="11"/>
      <c r="V182" s="13"/>
      <c r="W182" s="13"/>
      <c r="X182" s="11"/>
      <c r="Y182" s="11"/>
      <c r="Z182" s="13"/>
      <c r="AA182" s="13"/>
      <c r="AB182" s="11"/>
      <c r="AC182" s="11"/>
      <c r="AD182" s="13"/>
      <c r="AE182" s="13"/>
      <c r="AF182" s="11"/>
      <c r="AG182" s="11"/>
      <c r="AH182" s="13"/>
      <c r="AI182" s="13"/>
      <c r="AJ182" s="11"/>
      <c r="AK182" s="11"/>
      <c r="AL182" s="13"/>
      <c r="AM182" s="13"/>
      <c r="AN182" s="13"/>
      <c r="AO182" s="14"/>
      <c r="AP182" s="11"/>
      <c r="AQ182" s="31"/>
      <c r="AR182" s="30"/>
    </row>
    <row r="183" spans="1:44" ht="40.799999999999997" x14ac:dyDescent="0.3">
      <c r="A183" s="10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2"/>
      <c r="R183" s="11"/>
      <c r="S183" s="13"/>
      <c r="T183" s="11"/>
      <c r="U183" s="11"/>
      <c r="V183" s="13"/>
      <c r="W183" s="13"/>
      <c r="X183" s="11"/>
      <c r="Y183" s="11"/>
      <c r="Z183" s="13"/>
      <c r="AA183" s="13"/>
      <c r="AB183" s="11"/>
      <c r="AC183" s="11"/>
      <c r="AD183" s="13"/>
      <c r="AE183" s="13"/>
      <c r="AF183" s="11"/>
      <c r="AG183" s="11"/>
      <c r="AH183" s="13"/>
      <c r="AI183" s="13"/>
      <c r="AJ183" s="11"/>
      <c r="AK183" s="11"/>
      <c r="AL183" s="13"/>
      <c r="AM183" s="13"/>
      <c r="AN183" s="13"/>
      <c r="AO183" s="14"/>
      <c r="AP183" s="11"/>
      <c r="AQ183" s="31"/>
      <c r="AR183" s="30"/>
    </row>
    <row r="184" spans="1:44" ht="40.799999999999997" x14ac:dyDescent="0.3">
      <c r="A184" s="10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2"/>
      <c r="R184" s="11"/>
      <c r="S184" s="13"/>
      <c r="T184" s="11"/>
      <c r="U184" s="11"/>
      <c r="V184" s="13"/>
      <c r="W184" s="13"/>
      <c r="X184" s="11"/>
      <c r="Y184" s="11"/>
      <c r="Z184" s="13"/>
      <c r="AA184" s="13"/>
      <c r="AB184" s="11"/>
      <c r="AC184" s="11"/>
      <c r="AD184" s="13"/>
      <c r="AE184" s="13"/>
      <c r="AF184" s="11"/>
      <c r="AG184" s="11"/>
      <c r="AH184" s="13"/>
      <c r="AI184" s="13"/>
      <c r="AJ184" s="11"/>
      <c r="AK184" s="11"/>
      <c r="AL184" s="13"/>
      <c r="AM184" s="13"/>
      <c r="AN184" s="13"/>
      <c r="AO184" s="14"/>
      <c r="AP184" s="11"/>
      <c r="AQ184" s="31"/>
      <c r="AR184" s="30"/>
    </row>
    <row r="185" spans="1:44" ht="40.799999999999997" x14ac:dyDescent="0.3">
      <c r="A185" s="10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2"/>
      <c r="R185" s="11"/>
      <c r="S185" s="13"/>
      <c r="T185" s="11"/>
      <c r="U185" s="11"/>
      <c r="V185" s="13"/>
      <c r="W185" s="13"/>
      <c r="X185" s="11"/>
      <c r="Y185" s="11"/>
      <c r="Z185" s="13"/>
      <c r="AA185" s="13"/>
      <c r="AB185" s="11"/>
      <c r="AC185" s="11"/>
      <c r="AD185" s="13"/>
      <c r="AE185" s="13"/>
      <c r="AF185" s="11"/>
      <c r="AG185" s="11"/>
      <c r="AH185" s="13"/>
      <c r="AI185" s="13"/>
      <c r="AJ185" s="11"/>
      <c r="AK185" s="11"/>
      <c r="AL185" s="13"/>
      <c r="AM185" s="13"/>
      <c r="AN185" s="13"/>
      <c r="AO185" s="14"/>
      <c r="AP185" s="11"/>
      <c r="AQ185" s="31"/>
      <c r="AR185" s="30"/>
    </row>
    <row r="186" spans="1:44" ht="40.799999999999997" x14ac:dyDescent="0.3">
      <c r="A186" s="10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2"/>
      <c r="R186" s="11"/>
      <c r="S186" s="13"/>
      <c r="T186" s="11"/>
      <c r="U186" s="11"/>
      <c r="V186" s="13"/>
      <c r="W186" s="13"/>
      <c r="X186" s="11"/>
      <c r="Y186" s="11"/>
      <c r="Z186" s="13"/>
      <c r="AA186" s="13"/>
      <c r="AB186" s="11"/>
      <c r="AC186" s="11"/>
      <c r="AD186" s="13"/>
      <c r="AE186" s="13"/>
      <c r="AF186" s="11"/>
      <c r="AG186" s="11"/>
      <c r="AH186" s="13"/>
      <c r="AI186" s="13"/>
      <c r="AJ186" s="11"/>
      <c r="AK186" s="11"/>
      <c r="AL186" s="13"/>
      <c r="AM186" s="13"/>
      <c r="AN186" s="13"/>
      <c r="AO186" s="14"/>
      <c r="AP186" s="11"/>
      <c r="AQ186" s="31"/>
      <c r="AR186" s="30"/>
    </row>
    <row r="187" spans="1:44" ht="40.799999999999997" x14ac:dyDescent="0.3">
      <c r="A187" s="10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2"/>
      <c r="R187" s="11"/>
      <c r="S187" s="13"/>
      <c r="T187" s="11"/>
      <c r="U187" s="11"/>
      <c r="V187" s="13"/>
      <c r="W187" s="13"/>
      <c r="X187" s="11"/>
      <c r="Y187" s="11"/>
      <c r="Z187" s="13"/>
      <c r="AA187" s="13"/>
      <c r="AB187" s="11"/>
      <c r="AC187" s="11"/>
      <c r="AD187" s="13"/>
      <c r="AE187" s="13"/>
      <c r="AF187" s="11"/>
      <c r="AG187" s="11"/>
      <c r="AH187" s="13"/>
      <c r="AI187" s="13"/>
      <c r="AJ187" s="11"/>
      <c r="AK187" s="11"/>
      <c r="AL187" s="13"/>
      <c r="AM187" s="13"/>
      <c r="AN187" s="13"/>
      <c r="AO187" s="14"/>
      <c r="AP187" s="11"/>
      <c r="AQ187" s="31"/>
      <c r="AR187" s="30"/>
    </row>
    <row r="188" spans="1:44" ht="40.799999999999997" x14ac:dyDescent="0.3">
      <c r="A188" s="10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2"/>
      <c r="R188" s="11"/>
      <c r="S188" s="13"/>
      <c r="T188" s="11"/>
      <c r="U188" s="11"/>
      <c r="V188" s="13"/>
      <c r="W188" s="13"/>
      <c r="X188" s="11"/>
      <c r="Y188" s="11"/>
      <c r="Z188" s="13"/>
      <c r="AA188" s="13"/>
      <c r="AB188" s="11"/>
      <c r="AC188" s="11"/>
      <c r="AD188" s="13"/>
      <c r="AE188" s="13"/>
      <c r="AF188" s="11"/>
      <c r="AG188" s="11"/>
      <c r="AH188" s="13"/>
      <c r="AI188" s="13"/>
      <c r="AJ188" s="11"/>
      <c r="AK188" s="11"/>
      <c r="AL188" s="13"/>
      <c r="AM188" s="13"/>
      <c r="AN188" s="13"/>
      <c r="AO188" s="14"/>
      <c r="AP188" s="11"/>
      <c r="AQ188" s="31"/>
      <c r="AR188" s="30"/>
    </row>
    <row r="189" spans="1:44" ht="40.799999999999997" x14ac:dyDescent="0.3">
      <c r="A189" s="10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2"/>
      <c r="R189" s="11"/>
      <c r="S189" s="13"/>
      <c r="T189" s="11"/>
      <c r="U189" s="11"/>
      <c r="V189" s="13"/>
      <c r="W189" s="13"/>
      <c r="X189" s="11"/>
      <c r="Y189" s="11"/>
      <c r="Z189" s="13"/>
      <c r="AA189" s="13"/>
      <c r="AB189" s="11"/>
      <c r="AC189" s="11"/>
      <c r="AD189" s="13"/>
      <c r="AE189" s="13"/>
      <c r="AF189" s="11"/>
      <c r="AG189" s="11"/>
      <c r="AH189" s="13"/>
      <c r="AI189" s="13"/>
      <c r="AJ189" s="11"/>
      <c r="AK189" s="11"/>
      <c r="AL189" s="13"/>
      <c r="AM189" s="13"/>
      <c r="AN189" s="13"/>
      <c r="AO189" s="14"/>
      <c r="AP189" s="11"/>
      <c r="AQ189" s="31"/>
      <c r="AR189" s="30"/>
    </row>
    <row r="190" spans="1:44" ht="40.799999999999997" x14ac:dyDescent="0.3">
      <c r="A190" s="10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2"/>
      <c r="R190" s="11"/>
      <c r="S190" s="13"/>
      <c r="T190" s="11"/>
      <c r="U190" s="11"/>
      <c r="V190" s="13"/>
      <c r="W190" s="13"/>
      <c r="X190" s="11"/>
      <c r="Y190" s="11"/>
      <c r="Z190" s="13"/>
      <c r="AA190" s="13"/>
      <c r="AB190" s="11"/>
      <c r="AC190" s="11"/>
      <c r="AD190" s="13"/>
      <c r="AE190" s="13"/>
      <c r="AF190" s="11"/>
      <c r="AG190" s="11"/>
      <c r="AH190" s="13"/>
      <c r="AI190" s="13"/>
      <c r="AJ190" s="11"/>
      <c r="AK190" s="11"/>
      <c r="AL190" s="13"/>
      <c r="AM190" s="13"/>
      <c r="AN190" s="13"/>
      <c r="AO190" s="14"/>
      <c r="AP190" s="11"/>
      <c r="AQ190" s="31"/>
      <c r="AR190" s="30"/>
    </row>
    <row r="191" spans="1:44" ht="40.799999999999997" x14ac:dyDescent="0.3">
      <c r="A191" s="10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2"/>
      <c r="R191" s="11"/>
      <c r="S191" s="13"/>
      <c r="T191" s="11"/>
      <c r="U191" s="11"/>
      <c r="V191" s="13"/>
      <c r="W191" s="13"/>
      <c r="X191" s="11"/>
      <c r="Y191" s="11"/>
      <c r="Z191" s="13"/>
      <c r="AA191" s="13"/>
      <c r="AB191" s="11"/>
      <c r="AC191" s="11"/>
      <c r="AD191" s="13"/>
      <c r="AE191" s="13"/>
      <c r="AF191" s="11"/>
      <c r="AG191" s="11"/>
      <c r="AH191" s="13"/>
      <c r="AI191" s="13"/>
      <c r="AJ191" s="11"/>
      <c r="AK191" s="11"/>
      <c r="AL191" s="13"/>
      <c r="AM191" s="13"/>
      <c r="AN191" s="13"/>
      <c r="AO191" s="14"/>
      <c r="AP191" s="11"/>
      <c r="AQ191" s="31"/>
      <c r="AR191" s="30"/>
    </row>
    <row r="192" spans="1:44" ht="40.799999999999997" x14ac:dyDescent="0.3">
      <c r="A192" s="10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2"/>
      <c r="R192" s="11"/>
      <c r="S192" s="13"/>
      <c r="T192" s="11"/>
      <c r="U192" s="11"/>
      <c r="V192" s="13"/>
      <c r="W192" s="13"/>
      <c r="X192" s="11"/>
      <c r="Y192" s="11"/>
      <c r="Z192" s="13"/>
      <c r="AA192" s="13"/>
      <c r="AB192" s="11"/>
      <c r="AC192" s="11"/>
      <c r="AD192" s="13"/>
      <c r="AE192" s="13"/>
      <c r="AF192" s="11"/>
      <c r="AG192" s="11"/>
      <c r="AH192" s="13"/>
      <c r="AI192" s="13"/>
      <c r="AJ192" s="11"/>
      <c r="AK192" s="11"/>
      <c r="AL192" s="13"/>
      <c r="AM192" s="13"/>
      <c r="AN192" s="13"/>
      <c r="AO192" s="14"/>
      <c r="AP192" s="11"/>
      <c r="AQ192" s="31"/>
      <c r="AR192" s="30"/>
    </row>
    <row r="193" spans="1:44" ht="40.799999999999997" x14ac:dyDescent="0.3">
      <c r="A193" s="10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2"/>
      <c r="R193" s="11"/>
      <c r="S193" s="13"/>
      <c r="T193" s="11"/>
      <c r="U193" s="11"/>
      <c r="V193" s="13"/>
      <c r="W193" s="13"/>
      <c r="X193" s="11"/>
      <c r="Y193" s="11"/>
      <c r="Z193" s="13"/>
      <c r="AA193" s="13"/>
      <c r="AB193" s="11"/>
      <c r="AC193" s="11"/>
      <c r="AD193" s="13"/>
      <c r="AE193" s="13"/>
      <c r="AF193" s="11"/>
      <c r="AG193" s="11"/>
      <c r="AH193" s="13"/>
      <c r="AI193" s="13"/>
      <c r="AJ193" s="11"/>
      <c r="AK193" s="11"/>
      <c r="AL193" s="13"/>
      <c r="AM193" s="13"/>
      <c r="AN193" s="13"/>
      <c r="AO193" s="14"/>
      <c r="AP193" s="11"/>
      <c r="AQ193" s="31"/>
      <c r="AR193" s="30"/>
    </row>
    <row r="194" spans="1:44" ht="40.799999999999997" x14ac:dyDescent="0.3">
      <c r="A194" s="10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2"/>
      <c r="R194" s="11"/>
      <c r="S194" s="13"/>
      <c r="T194" s="11"/>
      <c r="U194" s="11"/>
      <c r="V194" s="13"/>
      <c r="W194" s="13"/>
      <c r="X194" s="11"/>
      <c r="Y194" s="11"/>
      <c r="Z194" s="13"/>
      <c r="AA194" s="13"/>
      <c r="AB194" s="11"/>
      <c r="AC194" s="11"/>
      <c r="AD194" s="13"/>
      <c r="AE194" s="13"/>
      <c r="AF194" s="11"/>
      <c r="AG194" s="11"/>
      <c r="AH194" s="13"/>
      <c r="AI194" s="13"/>
      <c r="AJ194" s="11"/>
      <c r="AK194" s="11"/>
      <c r="AL194" s="13"/>
      <c r="AM194" s="13"/>
      <c r="AN194" s="13"/>
      <c r="AO194" s="14"/>
      <c r="AP194" s="11"/>
      <c r="AQ194" s="31"/>
      <c r="AR194" s="30"/>
    </row>
    <row r="195" spans="1:44" ht="40.799999999999997" x14ac:dyDescent="0.3">
      <c r="A195" s="10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2"/>
      <c r="R195" s="11"/>
      <c r="S195" s="13"/>
      <c r="T195" s="11"/>
      <c r="U195" s="11"/>
      <c r="V195" s="13"/>
      <c r="W195" s="13"/>
      <c r="X195" s="11"/>
      <c r="Y195" s="11"/>
      <c r="Z195" s="13"/>
      <c r="AA195" s="13"/>
      <c r="AB195" s="11"/>
      <c r="AC195" s="11"/>
      <c r="AD195" s="13"/>
      <c r="AE195" s="13"/>
      <c r="AF195" s="11"/>
      <c r="AG195" s="11"/>
      <c r="AH195" s="13"/>
      <c r="AI195" s="13"/>
      <c r="AJ195" s="11"/>
      <c r="AK195" s="11"/>
      <c r="AL195" s="13"/>
      <c r="AM195" s="13"/>
      <c r="AN195" s="13"/>
      <c r="AO195" s="14"/>
      <c r="AP195" s="11"/>
      <c r="AQ195" s="31"/>
      <c r="AR195" s="30"/>
    </row>
    <row r="196" spans="1:44" ht="40.799999999999997" x14ac:dyDescent="0.3">
      <c r="A196" s="10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2"/>
      <c r="R196" s="11"/>
      <c r="S196" s="13"/>
      <c r="T196" s="11"/>
      <c r="U196" s="11"/>
      <c r="V196" s="13"/>
      <c r="W196" s="13"/>
      <c r="X196" s="11"/>
      <c r="Y196" s="11"/>
      <c r="Z196" s="13"/>
      <c r="AA196" s="13"/>
      <c r="AB196" s="11"/>
      <c r="AC196" s="11"/>
      <c r="AD196" s="13"/>
      <c r="AE196" s="13"/>
      <c r="AF196" s="11"/>
      <c r="AG196" s="11"/>
      <c r="AH196" s="13"/>
      <c r="AI196" s="13"/>
      <c r="AJ196" s="11"/>
      <c r="AK196" s="11"/>
      <c r="AL196" s="13"/>
      <c r="AM196" s="13"/>
      <c r="AN196" s="13"/>
      <c r="AO196" s="14"/>
      <c r="AP196" s="11"/>
      <c r="AQ196" s="31"/>
      <c r="AR196" s="30"/>
    </row>
    <row r="197" spans="1:44" ht="40.799999999999997" x14ac:dyDescent="0.3">
      <c r="A197" s="10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2"/>
      <c r="R197" s="11"/>
      <c r="S197" s="13"/>
      <c r="T197" s="11"/>
      <c r="U197" s="11"/>
      <c r="V197" s="13"/>
      <c r="W197" s="13"/>
      <c r="X197" s="11"/>
      <c r="Y197" s="11"/>
      <c r="Z197" s="13"/>
      <c r="AA197" s="13"/>
      <c r="AB197" s="11"/>
      <c r="AC197" s="11"/>
      <c r="AD197" s="13"/>
      <c r="AE197" s="13"/>
      <c r="AF197" s="11"/>
      <c r="AG197" s="11"/>
      <c r="AH197" s="13"/>
      <c r="AI197" s="13"/>
      <c r="AJ197" s="11"/>
      <c r="AK197" s="11"/>
      <c r="AL197" s="13"/>
      <c r="AM197" s="13"/>
      <c r="AN197" s="13"/>
      <c r="AO197" s="14"/>
      <c r="AP197" s="11"/>
      <c r="AQ197" s="31"/>
      <c r="AR197" s="30"/>
    </row>
    <row r="198" spans="1:44" ht="40.799999999999997" x14ac:dyDescent="0.3">
      <c r="A198" s="10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2"/>
      <c r="R198" s="11"/>
      <c r="S198" s="13"/>
      <c r="T198" s="11"/>
      <c r="U198" s="11"/>
      <c r="V198" s="13"/>
      <c r="W198" s="13"/>
      <c r="X198" s="11"/>
      <c r="Y198" s="11"/>
      <c r="Z198" s="13"/>
      <c r="AA198" s="13"/>
      <c r="AB198" s="11"/>
      <c r="AC198" s="11"/>
      <c r="AD198" s="13"/>
      <c r="AE198" s="13"/>
      <c r="AF198" s="11"/>
      <c r="AG198" s="11"/>
      <c r="AH198" s="13"/>
      <c r="AI198" s="13"/>
      <c r="AJ198" s="11"/>
      <c r="AK198" s="11"/>
      <c r="AL198" s="13"/>
      <c r="AM198" s="13"/>
      <c r="AN198" s="13"/>
      <c r="AO198" s="14"/>
      <c r="AP198" s="11"/>
      <c r="AQ198" s="31"/>
      <c r="AR198" s="30"/>
    </row>
    <row r="199" spans="1:44" ht="40.799999999999997" x14ac:dyDescent="0.3">
      <c r="A199" s="10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2"/>
      <c r="R199" s="11"/>
      <c r="S199" s="13"/>
      <c r="T199" s="11"/>
      <c r="U199" s="11"/>
      <c r="V199" s="13"/>
      <c r="W199" s="13"/>
      <c r="X199" s="11"/>
      <c r="Y199" s="11"/>
      <c r="Z199" s="13"/>
      <c r="AA199" s="13"/>
      <c r="AB199" s="11"/>
      <c r="AC199" s="11"/>
      <c r="AD199" s="13"/>
      <c r="AE199" s="13"/>
      <c r="AF199" s="11"/>
      <c r="AG199" s="11"/>
      <c r="AH199" s="13"/>
      <c r="AI199" s="13"/>
      <c r="AJ199" s="11"/>
      <c r="AK199" s="11"/>
      <c r="AL199" s="13"/>
      <c r="AM199" s="13"/>
      <c r="AN199" s="13"/>
      <c r="AO199" s="14"/>
      <c r="AP199" s="11"/>
      <c r="AQ199" s="31"/>
      <c r="AR199" s="30"/>
    </row>
    <row r="200" spans="1:44" ht="40.799999999999997" x14ac:dyDescent="0.3">
      <c r="A200" s="10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2"/>
      <c r="R200" s="11"/>
      <c r="S200" s="13"/>
      <c r="T200" s="11"/>
      <c r="U200" s="11"/>
      <c r="V200" s="13"/>
      <c r="W200" s="13"/>
      <c r="X200" s="11"/>
      <c r="Y200" s="11"/>
      <c r="Z200" s="13"/>
      <c r="AA200" s="13"/>
      <c r="AB200" s="11"/>
      <c r="AC200" s="11"/>
      <c r="AD200" s="13"/>
      <c r="AE200" s="13"/>
      <c r="AF200" s="11"/>
      <c r="AG200" s="11"/>
      <c r="AH200" s="13"/>
      <c r="AI200" s="13"/>
      <c r="AJ200" s="11"/>
      <c r="AK200" s="11"/>
      <c r="AL200" s="13"/>
      <c r="AM200" s="13"/>
      <c r="AN200" s="13"/>
      <c r="AO200" s="14"/>
      <c r="AP200" s="11"/>
      <c r="AQ200" s="31"/>
      <c r="AR200" s="30"/>
    </row>
    <row r="201" spans="1:44" ht="40.799999999999997" x14ac:dyDescent="0.3">
      <c r="A201" s="10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2"/>
      <c r="R201" s="11"/>
      <c r="S201" s="13"/>
      <c r="T201" s="11"/>
      <c r="U201" s="11"/>
      <c r="V201" s="13"/>
      <c r="W201" s="13"/>
      <c r="X201" s="11"/>
      <c r="Y201" s="11"/>
      <c r="Z201" s="13"/>
      <c r="AA201" s="13"/>
      <c r="AB201" s="11"/>
      <c r="AC201" s="11"/>
      <c r="AD201" s="13"/>
      <c r="AE201" s="13"/>
      <c r="AF201" s="11"/>
      <c r="AG201" s="11"/>
      <c r="AH201" s="13"/>
      <c r="AI201" s="13"/>
      <c r="AJ201" s="11"/>
      <c r="AK201" s="11"/>
      <c r="AL201" s="13"/>
      <c r="AM201" s="13"/>
      <c r="AN201" s="13"/>
      <c r="AO201" s="14"/>
      <c r="AP201" s="11"/>
      <c r="AQ201" s="31"/>
      <c r="AR201" s="30"/>
    </row>
    <row r="202" spans="1:44" ht="40.799999999999997" x14ac:dyDescent="0.3">
      <c r="A202" s="10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2"/>
      <c r="R202" s="11"/>
      <c r="S202" s="13"/>
      <c r="T202" s="11"/>
      <c r="U202" s="11"/>
      <c r="V202" s="13"/>
      <c r="W202" s="13"/>
      <c r="X202" s="11"/>
      <c r="Y202" s="11"/>
      <c r="Z202" s="13"/>
      <c r="AA202" s="13"/>
      <c r="AB202" s="11"/>
      <c r="AC202" s="11"/>
      <c r="AD202" s="13"/>
      <c r="AE202" s="13"/>
      <c r="AF202" s="11"/>
      <c r="AG202" s="11"/>
      <c r="AH202" s="13"/>
      <c r="AI202" s="13"/>
      <c r="AJ202" s="11"/>
      <c r="AK202" s="11"/>
      <c r="AL202" s="13"/>
      <c r="AM202" s="13"/>
      <c r="AN202" s="13"/>
      <c r="AO202" s="14"/>
      <c r="AP202" s="11"/>
      <c r="AQ202" s="31"/>
      <c r="AR202" s="30"/>
    </row>
    <row r="203" spans="1:44" ht="40.799999999999997" x14ac:dyDescent="0.3">
      <c r="A203" s="10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2"/>
      <c r="R203" s="11"/>
      <c r="S203" s="13"/>
      <c r="T203" s="11"/>
      <c r="U203" s="11"/>
      <c r="V203" s="13"/>
      <c r="W203" s="13"/>
      <c r="X203" s="11"/>
      <c r="Y203" s="11"/>
      <c r="Z203" s="13"/>
      <c r="AA203" s="13"/>
      <c r="AB203" s="11"/>
      <c r="AC203" s="11"/>
      <c r="AD203" s="13"/>
      <c r="AE203" s="13"/>
      <c r="AF203" s="11"/>
      <c r="AG203" s="11"/>
      <c r="AH203" s="13"/>
      <c r="AI203" s="13"/>
      <c r="AJ203" s="11"/>
      <c r="AK203" s="11"/>
      <c r="AL203" s="13"/>
      <c r="AM203" s="13"/>
      <c r="AN203" s="13"/>
      <c r="AO203" s="14"/>
      <c r="AP203" s="11"/>
      <c r="AQ203" s="31"/>
      <c r="AR203" s="30"/>
    </row>
    <row r="204" spans="1:44" ht="40.799999999999997" x14ac:dyDescent="0.3">
      <c r="A204" s="10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2"/>
      <c r="R204" s="11"/>
      <c r="S204" s="13"/>
      <c r="T204" s="11"/>
      <c r="U204" s="11"/>
      <c r="V204" s="13"/>
      <c r="W204" s="13"/>
      <c r="X204" s="11"/>
      <c r="Y204" s="11"/>
      <c r="Z204" s="13"/>
      <c r="AA204" s="13"/>
      <c r="AB204" s="11"/>
      <c r="AC204" s="11"/>
      <c r="AD204" s="13"/>
      <c r="AE204" s="13"/>
      <c r="AF204" s="11"/>
      <c r="AG204" s="11"/>
      <c r="AH204" s="13"/>
      <c r="AI204" s="13"/>
      <c r="AJ204" s="11"/>
      <c r="AK204" s="11"/>
      <c r="AL204" s="13"/>
      <c r="AM204" s="13"/>
      <c r="AN204" s="13"/>
      <c r="AO204" s="14"/>
      <c r="AP204" s="11"/>
      <c r="AQ204" s="31"/>
      <c r="AR204" s="30"/>
    </row>
    <row r="205" spans="1:44" ht="40.799999999999997" x14ac:dyDescent="0.3">
      <c r="A205" s="10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2"/>
      <c r="R205" s="11"/>
      <c r="S205" s="13"/>
      <c r="T205" s="11"/>
      <c r="U205" s="11"/>
      <c r="V205" s="13"/>
      <c r="W205" s="13"/>
      <c r="X205" s="11"/>
      <c r="Y205" s="11"/>
      <c r="Z205" s="13"/>
      <c r="AA205" s="13"/>
      <c r="AB205" s="11"/>
      <c r="AC205" s="11"/>
      <c r="AD205" s="13"/>
      <c r="AE205" s="13"/>
      <c r="AF205" s="11"/>
      <c r="AG205" s="11"/>
      <c r="AH205" s="13"/>
      <c r="AI205" s="13"/>
      <c r="AJ205" s="11"/>
      <c r="AK205" s="11"/>
      <c r="AL205" s="13"/>
      <c r="AM205" s="13"/>
      <c r="AN205" s="13"/>
      <c r="AO205" s="14"/>
      <c r="AP205" s="11"/>
      <c r="AQ205" s="31"/>
      <c r="AR205" s="30"/>
    </row>
    <row r="206" spans="1:44" ht="40.799999999999997" x14ac:dyDescent="0.3">
      <c r="A206" s="10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2"/>
      <c r="R206" s="11"/>
      <c r="S206" s="13"/>
      <c r="T206" s="11"/>
      <c r="U206" s="11"/>
      <c r="V206" s="13"/>
      <c r="W206" s="13"/>
      <c r="X206" s="11"/>
      <c r="Y206" s="11"/>
      <c r="Z206" s="13"/>
      <c r="AA206" s="13"/>
      <c r="AB206" s="11"/>
      <c r="AC206" s="11"/>
      <c r="AD206" s="13"/>
      <c r="AE206" s="13"/>
      <c r="AF206" s="11"/>
      <c r="AG206" s="11"/>
      <c r="AH206" s="13"/>
      <c r="AI206" s="13"/>
      <c r="AJ206" s="11"/>
      <c r="AK206" s="11"/>
      <c r="AL206" s="13"/>
      <c r="AM206" s="13"/>
      <c r="AN206" s="13"/>
      <c r="AO206" s="14"/>
      <c r="AP206" s="11"/>
      <c r="AQ206" s="31"/>
      <c r="AR206" s="30"/>
    </row>
    <row r="207" spans="1:44" ht="40.799999999999997" x14ac:dyDescent="0.3">
      <c r="A207" s="10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2"/>
      <c r="R207" s="11"/>
      <c r="S207" s="13"/>
      <c r="T207" s="11"/>
      <c r="U207" s="11"/>
      <c r="V207" s="13"/>
      <c r="W207" s="13"/>
      <c r="X207" s="11"/>
      <c r="Y207" s="11"/>
      <c r="Z207" s="13"/>
      <c r="AA207" s="13"/>
      <c r="AB207" s="11"/>
      <c r="AC207" s="11"/>
      <c r="AD207" s="13"/>
      <c r="AE207" s="13"/>
      <c r="AF207" s="11"/>
      <c r="AG207" s="11"/>
      <c r="AH207" s="13"/>
      <c r="AI207" s="13"/>
      <c r="AJ207" s="11"/>
      <c r="AK207" s="11"/>
      <c r="AL207" s="13"/>
      <c r="AM207" s="13"/>
      <c r="AN207" s="13"/>
      <c r="AO207" s="14"/>
      <c r="AP207" s="11"/>
      <c r="AQ207" s="31"/>
      <c r="AR207" s="30"/>
    </row>
    <row r="208" spans="1:44" ht="40.799999999999997" x14ac:dyDescent="0.3">
      <c r="A208" s="10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2"/>
      <c r="R208" s="11"/>
      <c r="S208" s="13"/>
      <c r="T208" s="11"/>
      <c r="U208" s="11"/>
      <c r="V208" s="13"/>
      <c r="W208" s="13"/>
      <c r="X208" s="11"/>
      <c r="Y208" s="11"/>
      <c r="Z208" s="13"/>
      <c r="AA208" s="13"/>
      <c r="AB208" s="11"/>
      <c r="AC208" s="11"/>
      <c r="AD208" s="13"/>
      <c r="AE208" s="13"/>
      <c r="AF208" s="11"/>
      <c r="AG208" s="11"/>
      <c r="AH208" s="13"/>
      <c r="AI208" s="13"/>
      <c r="AJ208" s="11"/>
      <c r="AK208" s="11"/>
      <c r="AL208" s="13"/>
      <c r="AM208" s="13"/>
      <c r="AN208" s="13"/>
      <c r="AO208" s="14"/>
      <c r="AP208" s="11"/>
      <c r="AQ208" s="31"/>
      <c r="AR208" s="30"/>
    </row>
    <row r="209" spans="1:44" ht="40.799999999999997" x14ac:dyDescent="0.3">
      <c r="A209" s="10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2"/>
      <c r="R209" s="11"/>
      <c r="S209" s="13"/>
      <c r="T209" s="11"/>
      <c r="U209" s="11"/>
      <c r="V209" s="13"/>
      <c r="W209" s="13"/>
      <c r="X209" s="11"/>
      <c r="Y209" s="11"/>
      <c r="Z209" s="13"/>
      <c r="AA209" s="13"/>
      <c r="AB209" s="11"/>
      <c r="AC209" s="11"/>
      <c r="AD209" s="13"/>
      <c r="AE209" s="13"/>
      <c r="AF209" s="11"/>
      <c r="AG209" s="11"/>
      <c r="AH209" s="13"/>
      <c r="AI209" s="13"/>
      <c r="AJ209" s="11"/>
      <c r="AK209" s="11"/>
      <c r="AL209" s="13"/>
      <c r="AM209" s="13"/>
      <c r="AN209" s="13"/>
      <c r="AO209" s="14"/>
      <c r="AP209" s="11"/>
      <c r="AQ209" s="31"/>
      <c r="AR209" s="30"/>
    </row>
    <row r="210" spans="1:44" ht="40.799999999999997" x14ac:dyDescent="0.3">
      <c r="A210" s="10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2"/>
      <c r="R210" s="11"/>
      <c r="S210" s="13"/>
      <c r="T210" s="11"/>
      <c r="U210" s="11"/>
      <c r="V210" s="13"/>
      <c r="W210" s="13"/>
      <c r="X210" s="11"/>
      <c r="Y210" s="11"/>
      <c r="Z210" s="13"/>
      <c r="AA210" s="13"/>
      <c r="AB210" s="11"/>
      <c r="AC210" s="11"/>
      <c r="AD210" s="13"/>
      <c r="AE210" s="13"/>
      <c r="AF210" s="11"/>
      <c r="AG210" s="11"/>
      <c r="AH210" s="13"/>
      <c r="AI210" s="13"/>
      <c r="AJ210" s="11"/>
      <c r="AK210" s="11"/>
      <c r="AL210" s="13"/>
      <c r="AM210" s="13"/>
      <c r="AN210" s="13"/>
      <c r="AO210" s="14"/>
      <c r="AP210" s="11"/>
      <c r="AQ210" s="31"/>
      <c r="AR210" s="30"/>
    </row>
    <row r="211" spans="1:44" ht="40.799999999999997" x14ac:dyDescent="0.3">
      <c r="A211" s="10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2"/>
      <c r="R211" s="11"/>
      <c r="S211" s="13"/>
      <c r="T211" s="11"/>
      <c r="U211" s="11"/>
      <c r="V211" s="13"/>
      <c r="W211" s="13"/>
      <c r="X211" s="11"/>
      <c r="Y211" s="11"/>
      <c r="Z211" s="13"/>
      <c r="AA211" s="13"/>
      <c r="AB211" s="11"/>
      <c r="AC211" s="11"/>
      <c r="AD211" s="13"/>
      <c r="AE211" s="13"/>
      <c r="AF211" s="11"/>
      <c r="AG211" s="11"/>
      <c r="AH211" s="13"/>
      <c r="AI211" s="13"/>
      <c r="AJ211" s="11"/>
      <c r="AK211" s="11"/>
      <c r="AL211" s="13"/>
      <c r="AM211" s="13"/>
      <c r="AN211" s="13"/>
      <c r="AO211" s="14"/>
      <c r="AP211" s="11"/>
      <c r="AQ211" s="31"/>
      <c r="AR211" s="30"/>
    </row>
    <row r="212" spans="1:44" ht="40.799999999999997" x14ac:dyDescent="0.3">
      <c r="A212" s="10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2"/>
      <c r="R212" s="11"/>
      <c r="S212" s="13"/>
      <c r="T212" s="11"/>
      <c r="U212" s="11"/>
      <c r="V212" s="13"/>
      <c r="W212" s="13"/>
      <c r="X212" s="11"/>
      <c r="Y212" s="11"/>
      <c r="Z212" s="13"/>
      <c r="AA212" s="13"/>
      <c r="AB212" s="11"/>
      <c r="AC212" s="11"/>
      <c r="AD212" s="13"/>
      <c r="AE212" s="13"/>
      <c r="AF212" s="11"/>
      <c r="AG212" s="11"/>
      <c r="AH212" s="13"/>
      <c r="AI212" s="13"/>
      <c r="AJ212" s="11"/>
      <c r="AK212" s="11"/>
      <c r="AL212" s="13"/>
      <c r="AM212" s="13"/>
      <c r="AN212" s="13"/>
      <c r="AO212" s="14"/>
      <c r="AP212" s="11"/>
      <c r="AQ212" s="31"/>
      <c r="AR212" s="30"/>
    </row>
    <row r="213" spans="1:44" ht="40.799999999999997" x14ac:dyDescent="0.3">
      <c r="A213" s="10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2"/>
      <c r="R213" s="11"/>
      <c r="S213" s="13"/>
      <c r="T213" s="11"/>
      <c r="U213" s="11"/>
      <c r="V213" s="13"/>
      <c r="W213" s="13"/>
      <c r="X213" s="11"/>
      <c r="Y213" s="11"/>
      <c r="Z213" s="13"/>
      <c r="AA213" s="13"/>
      <c r="AB213" s="11"/>
      <c r="AC213" s="11"/>
      <c r="AD213" s="13"/>
      <c r="AE213" s="13"/>
      <c r="AF213" s="11"/>
      <c r="AG213" s="11"/>
      <c r="AH213" s="13"/>
      <c r="AI213" s="13"/>
      <c r="AJ213" s="11"/>
      <c r="AK213" s="11"/>
      <c r="AL213" s="13"/>
      <c r="AM213" s="13"/>
      <c r="AN213" s="13"/>
      <c r="AO213" s="14"/>
      <c r="AP213" s="11"/>
      <c r="AQ213" s="31"/>
      <c r="AR213" s="30"/>
    </row>
    <row r="214" spans="1:44" ht="40.799999999999997" x14ac:dyDescent="0.3">
      <c r="A214" s="10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2"/>
      <c r="R214" s="11"/>
      <c r="S214" s="13"/>
      <c r="T214" s="11"/>
      <c r="U214" s="11"/>
      <c r="V214" s="13"/>
      <c r="W214" s="13"/>
      <c r="X214" s="11"/>
      <c r="Y214" s="11"/>
      <c r="Z214" s="13"/>
      <c r="AA214" s="13"/>
      <c r="AB214" s="11"/>
      <c r="AC214" s="11"/>
      <c r="AD214" s="13"/>
      <c r="AE214" s="13"/>
      <c r="AF214" s="11"/>
      <c r="AG214" s="11"/>
      <c r="AH214" s="13"/>
      <c r="AI214" s="13"/>
      <c r="AJ214" s="11"/>
      <c r="AK214" s="11"/>
      <c r="AL214" s="13"/>
      <c r="AM214" s="13"/>
      <c r="AN214" s="13"/>
      <c r="AO214" s="14"/>
      <c r="AP214" s="11"/>
      <c r="AQ214" s="31"/>
      <c r="AR214" s="30"/>
    </row>
    <row r="215" spans="1:44" ht="40.799999999999997" x14ac:dyDescent="0.3">
      <c r="A215" s="10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2"/>
      <c r="R215" s="11"/>
      <c r="S215" s="13"/>
      <c r="T215" s="11"/>
      <c r="U215" s="11"/>
      <c r="V215" s="13"/>
      <c r="W215" s="13"/>
      <c r="X215" s="11"/>
      <c r="Y215" s="11"/>
      <c r="Z215" s="13"/>
      <c r="AA215" s="13"/>
      <c r="AB215" s="11"/>
      <c r="AC215" s="11"/>
      <c r="AD215" s="13"/>
      <c r="AE215" s="13"/>
      <c r="AF215" s="11"/>
      <c r="AG215" s="11"/>
      <c r="AH215" s="13"/>
      <c r="AI215" s="13"/>
      <c r="AJ215" s="11"/>
      <c r="AK215" s="11"/>
      <c r="AL215" s="13"/>
      <c r="AM215" s="13"/>
      <c r="AN215" s="13"/>
      <c r="AO215" s="14"/>
      <c r="AP215" s="11"/>
      <c r="AQ215" s="31"/>
      <c r="AR215" s="30"/>
    </row>
    <row r="216" spans="1:44" ht="40.799999999999997" x14ac:dyDescent="0.3">
      <c r="A216" s="10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2"/>
      <c r="R216" s="11"/>
      <c r="S216" s="13"/>
      <c r="T216" s="11"/>
      <c r="U216" s="11"/>
      <c r="V216" s="13"/>
      <c r="W216" s="13"/>
      <c r="X216" s="11"/>
      <c r="Y216" s="11"/>
      <c r="Z216" s="13"/>
      <c r="AA216" s="13"/>
      <c r="AB216" s="11"/>
      <c r="AC216" s="11"/>
      <c r="AD216" s="13"/>
      <c r="AE216" s="13"/>
      <c r="AF216" s="11"/>
      <c r="AG216" s="11"/>
      <c r="AH216" s="13"/>
      <c r="AI216" s="13"/>
      <c r="AJ216" s="11"/>
      <c r="AK216" s="11"/>
      <c r="AL216" s="13"/>
      <c r="AM216" s="13"/>
      <c r="AN216" s="13"/>
      <c r="AO216" s="14"/>
      <c r="AP216" s="11"/>
      <c r="AQ216" s="31"/>
      <c r="AR216" s="30"/>
    </row>
    <row r="217" spans="1:44" ht="40.799999999999997" x14ac:dyDescent="0.3">
      <c r="A217" s="10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2"/>
      <c r="R217" s="11"/>
      <c r="S217" s="13"/>
      <c r="T217" s="11"/>
      <c r="U217" s="11"/>
      <c r="V217" s="13"/>
      <c r="W217" s="13"/>
      <c r="X217" s="11"/>
      <c r="Y217" s="11"/>
      <c r="Z217" s="13"/>
      <c r="AA217" s="13"/>
      <c r="AB217" s="11"/>
      <c r="AC217" s="11"/>
      <c r="AD217" s="13"/>
      <c r="AE217" s="13"/>
      <c r="AF217" s="11"/>
      <c r="AG217" s="11"/>
      <c r="AH217" s="13"/>
      <c r="AI217" s="13"/>
      <c r="AJ217" s="11"/>
      <c r="AK217" s="11"/>
      <c r="AL217" s="13"/>
      <c r="AM217" s="13"/>
      <c r="AN217" s="13"/>
      <c r="AO217" s="14"/>
      <c r="AP217" s="11"/>
      <c r="AQ217" s="31"/>
      <c r="AR217" s="30"/>
    </row>
    <row r="218" spans="1:44" ht="40.799999999999997" x14ac:dyDescent="0.3">
      <c r="A218" s="10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2"/>
      <c r="R218" s="11"/>
      <c r="S218" s="13"/>
      <c r="T218" s="11"/>
      <c r="U218" s="11"/>
      <c r="V218" s="13"/>
      <c r="W218" s="13"/>
      <c r="X218" s="11"/>
      <c r="Y218" s="11"/>
      <c r="Z218" s="13"/>
      <c r="AA218" s="13"/>
      <c r="AB218" s="11"/>
      <c r="AC218" s="11"/>
      <c r="AD218" s="13"/>
      <c r="AE218" s="13"/>
      <c r="AF218" s="11"/>
      <c r="AG218" s="11"/>
      <c r="AH218" s="13"/>
      <c r="AI218" s="13"/>
      <c r="AJ218" s="11"/>
      <c r="AK218" s="11"/>
      <c r="AL218" s="13"/>
      <c r="AM218" s="13"/>
      <c r="AN218" s="13"/>
      <c r="AO218" s="14"/>
      <c r="AP218" s="11"/>
      <c r="AQ218" s="31"/>
      <c r="AR218" s="30"/>
    </row>
    <row r="219" spans="1:44" ht="40.799999999999997" x14ac:dyDescent="0.3">
      <c r="A219" s="10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2"/>
      <c r="R219" s="11"/>
      <c r="S219" s="13"/>
      <c r="T219" s="11"/>
      <c r="U219" s="11"/>
      <c r="V219" s="13"/>
      <c r="W219" s="13"/>
      <c r="X219" s="11"/>
      <c r="Y219" s="11"/>
      <c r="Z219" s="13"/>
      <c r="AA219" s="13"/>
      <c r="AB219" s="11"/>
      <c r="AC219" s="11"/>
      <c r="AD219" s="13"/>
      <c r="AE219" s="13"/>
      <c r="AF219" s="11"/>
      <c r="AG219" s="11"/>
      <c r="AH219" s="13"/>
      <c r="AI219" s="13"/>
      <c r="AJ219" s="11"/>
      <c r="AK219" s="11"/>
      <c r="AL219" s="13"/>
      <c r="AM219" s="13"/>
      <c r="AN219" s="13"/>
      <c r="AO219" s="14"/>
      <c r="AP219" s="11"/>
      <c r="AQ219" s="31"/>
      <c r="AR219" s="30"/>
    </row>
    <row r="220" spans="1:44" ht="40.799999999999997" x14ac:dyDescent="0.3">
      <c r="A220" s="10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2"/>
      <c r="R220" s="11"/>
      <c r="S220" s="13"/>
      <c r="T220" s="11"/>
      <c r="U220" s="11"/>
      <c r="V220" s="13"/>
      <c r="W220" s="13"/>
      <c r="X220" s="11"/>
      <c r="Y220" s="11"/>
      <c r="Z220" s="13"/>
      <c r="AA220" s="13"/>
      <c r="AB220" s="11"/>
      <c r="AC220" s="11"/>
      <c r="AD220" s="13"/>
      <c r="AE220" s="13"/>
      <c r="AF220" s="11"/>
      <c r="AG220" s="11"/>
      <c r="AH220" s="13"/>
      <c r="AI220" s="13"/>
      <c r="AJ220" s="11"/>
      <c r="AK220" s="11"/>
      <c r="AL220" s="13"/>
      <c r="AM220" s="13"/>
      <c r="AN220" s="13"/>
      <c r="AO220" s="14"/>
      <c r="AP220" s="11"/>
      <c r="AQ220" s="31"/>
      <c r="AR220" s="30"/>
    </row>
    <row r="221" spans="1:44" ht="40.799999999999997" x14ac:dyDescent="0.3">
      <c r="A221" s="10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2"/>
      <c r="R221" s="11"/>
      <c r="S221" s="13"/>
      <c r="T221" s="11"/>
      <c r="U221" s="11"/>
      <c r="V221" s="13"/>
      <c r="W221" s="13"/>
      <c r="X221" s="11"/>
      <c r="Y221" s="11"/>
      <c r="Z221" s="13"/>
      <c r="AA221" s="13"/>
      <c r="AB221" s="11"/>
      <c r="AC221" s="11"/>
      <c r="AD221" s="13"/>
      <c r="AE221" s="13"/>
      <c r="AF221" s="11"/>
      <c r="AG221" s="11"/>
      <c r="AH221" s="13"/>
      <c r="AI221" s="13"/>
      <c r="AJ221" s="11"/>
      <c r="AK221" s="11"/>
      <c r="AL221" s="13"/>
      <c r="AM221" s="13"/>
      <c r="AN221" s="13"/>
      <c r="AO221" s="14"/>
      <c r="AP221" s="11"/>
      <c r="AQ221" s="31"/>
      <c r="AR221" s="30"/>
    </row>
    <row r="222" spans="1:44" ht="40.799999999999997" x14ac:dyDescent="0.3">
      <c r="A222" s="10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2"/>
      <c r="R222" s="11"/>
      <c r="S222" s="13"/>
      <c r="T222" s="11"/>
      <c r="U222" s="11"/>
      <c r="V222" s="13"/>
      <c r="W222" s="13"/>
      <c r="X222" s="11"/>
      <c r="Y222" s="11"/>
      <c r="Z222" s="13"/>
      <c r="AA222" s="13"/>
      <c r="AB222" s="11"/>
      <c r="AC222" s="11"/>
      <c r="AD222" s="13"/>
      <c r="AE222" s="13"/>
      <c r="AF222" s="11"/>
      <c r="AG222" s="11"/>
      <c r="AH222" s="13"/>
      <c r="AI222" s="13"/>
      <c r="AJ222" s="11"/>
      <c r="AK222" s="11"/>
      <c r="AL222" s="13"/>
      <c r="AM222" s="13"/>
      <c r="AN222" s="13"/>
      <c r="AO222" s="14"/>
      <c r="AP222" s="11"/>
      <c r="AQ222" s="31"/>
      <c r="AR222" s="30"/>
    </row>
    <row r="223" spans="1:44" ht="40.799999999999997" x14ac:dyDescent="0.3">
      <c r="A223" s="10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2"/>
      <c r="R223" s="11"/>
      <c r="S223" s="13"/>
      <c r="T223" s="11"/>
      <c r="U223" s="11"/>
      <c r="V223" s="13"/>
      <c r="W223" s="13"/>
      <c r="X223" s="11"/>
      <c r="Y223" s="11"/>
      <c r="Z223" s="13"/>
      <c r="AA223" s="13"/>
      <c r="AB223" s="11"/>
      <c r="AC223" s="11"/>
      <c r="AD223" s="13"/>
      <c r="AE223" s="13"/>
      <c r="AF223" s="11"/>
      <c r="AG223" s="11"/>
      <c r="AH223" s="13"/>
      <c r="AI223" s="13"/>
      <c r="AJ223" s="11"/>
      <c r="AK223" s="11"/>
      <c r="AL223" s="13"/>
      <c r="AM223" s="13"/>
      <c r="AN223" s="13"/>
      <c r="AO223" s="14"/>
      <c r="AP223" s="11"/>
      <c r="AQ223" s="31"/>
      <c r="AR223" s="30"/>
    </row>
    <row r="224" spans="1:44" ht="40.799999999999997" x14ac:dyDescent="0.3">
      <c r="A224" s="10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2"/>
      <c r="R224" s="11"/>
      <c r="S224" s="13"/>
      <c r="T224" s="11"/>
      <c r="U224" s="11"/>
      <c r="V224" s="13"/>
      <c r="W224" s="13"/>
      <c r="X224" s="11"/>
      <c r="Y224" s="11"/>
      <c r="Z224" s="13"/>
      <c r="AA224" s="13"/>
      <c r="AB224" s="11"/>
      <c r="AC224" s="11"/>
      <c r="AD224" s="13"/>
      <c r="AE224" s="13"/>
      <c r="AF224" s="11"/>
      <c r="AG224" s="11"/>
      <c r="AH224" s="13"/>
      <c r="AI224" s="13"/>
      <c r="AJ224" s="11"/>
      <c r="AK224" s="11"/>
      <c r="AL224" s="13"/>
      <c r="AM224" s="13"/>
      <c r="AN224" s="13"/>
      <c r="AO224" s="14"/>
      <c r="AP224" s="11"/>
      <c r="AQ224" s="31"/>
      <c r="AR224" s="30"/>
    </row>
    <row r="225" spans="1:44" ht="40.799999999999997" x14ac:dyDescent="0.3">
      <c r="A225" s="10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2"/>
      <c r="R225" s="11"/>
      <c r="S225" s="13"/>
      <c r="T225" s="11"/>
      <c r="U225" s="11"/>
      <c r="V225" s="13"/>
      <c r="W225" s="13"/>
      <c r="X225" s="11"/>
      <c r="Y225" s="11"/>
      <c r="Z225" s="13"/>
      <c r="AA225" s="13"/>
      <c r="AB225" s="11"/>
      <c r="AC225" s="11"/>
      <c r="AD225" s="13"/>
      <c r="AE225" s="13"/>
      <c r="AF225" s="11"/>
      <c r="AG225" s="11"/>
      <c r="AH225" s="13"/>
      <c r="AI225" s="13"/>
      <c r="AJ225" s="11"/>
      <c r="AK225" s="11"/>
      <c r="AL225" s="13"/>
      <c r="AM225" s="13"/>
      <c r="AN225" s="13"/>
      <c r="AO225" s="14"/>
      <c r="AP225" s="11"/>
      <c r="AQ225" s="31"/>
      <c r="AR225" s="30"/>
    </row>
    <row r="226" spans="1:44" ht="40.799999999999997" x14ac:dyDescent="0.3">
      <c r="A226" s="10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2"/>
      <c r="R226" s="11"/>
      <c r="S226" s="13"/>
      <c r="T226" s="11"/>
      <c r="U226" s="11"/>
      <c r="V226" s="13"/>
      <c r="W226" s="13"/>
      <c r="X226" s="11"/>
      <c r="Y226" s="11"/>
      <c r="Z226" s="13"/>
      <c r="AA226" s="13"/>
      <c r="AB226" s="11"/>
      <c r="AC226" s="11"/>
      <c r="AD226" s="13"/>
      <c r="AE226" s="13"/>
      <c r="AF226" s="11"/>
      <c r="AG226" s="11"/>
      <c r="AH226" s="13"/>
      <c r="AI226" s="13"/>
      <c r="AJ226" s="11"/>
      <c r="AK226" s="11"/>
      <c r="AL226" s="13"/>
      <c r="AM226" s="13"/>
      <c r="AN226" s="13"/>
      <c r="AO226" s="14"/>
      <c r="AP226" s="11"/>
      <c r="AQ226" s="31"/>
      <c r="AR226" s="30"/>
    </row>
    <row r="227" spans="1:44" ht="40.799999999999997" x14ac:dyDescent="0.3">
      <c r="A227" s="10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2"/>
      <c r="R227" s="11"/>
      <c r="S227" s="13"/>
      <c r="T227" s="11"/>
      <c r="U227" s="11"/>
      <c r="V227" s="13"/>
      <c r="W227" s="13"/>
      <c r="X227" s="11"/>
      <c r="Y227" s="11"/>
      <c r="Z227" s="13"/>
      <c r="AA227" s="13"/>
      <c r="AB227" s="11"/>
      <c r="AC227" s="11"/>
      <c r="AD227" s="13"/>
      <c r="AE227" s="13"/>
      <c r="AF227" s="11"/>
      <c r="AG227" s="11"/>
      <c r="AH227" s="13"/>
      <c r="AI227" s="13"/>
      <c r="AJ227" s="11"/>
      <c r="AK227" s="11"/>
      <c r="AL227" s="13"/>
      <c r="AM227" s="13"/>
      <c r="AN227" s="13"/>
      <c r="AO227" s="14"/>
      <c r="AP227" s="11"/>
      <c r="AQ227" s="31"/>
      <c r="AR227" s="30"/>
    </row>
    <row r="228" spans="1:44" ht="40.799999999999997" x14ac:dyDescent="0.3">
      <c r="A228" s="10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2"/>
      <c r="R228" s="11"/>
      <c r="S228" s="13"/>
      <c r="T228" s="11"/>
      <c r="U228" s="11"/>
      <c r="V228" s="13"/>
      <c r="W228" s="13"/>
      <c r="X228" s="11"/>
      <c r="Y228" s="11"/>
      <c r="Z228" s="13"/>
      <c r="AA228" s="13"/>
      <c r="AB228" s="11"/>
      <c r="AC228" s="11"/>
      <c r="AD228" s="13"/>
      <c r="AE228" s="13"/>
      <c r="AF228" s="11"/>
      <c r="AG228" s="11"/>
      <c r="AH228" s="13"/>
      <c r="AI228" s="13"/>
      <c r="AJ228" s="11"/>
      <c r="AK228" s="11"/>
      <c r="AL228" s="13"/>
      <c r="AM228" s="13"/>
      <c r="AN228" s="13"/>
      <c r="AO228" s="14"/>
      <c r="AP228" s="11"/>
      <c r="AQ228" s="31"/>
      <c r="AR228" s="30"/>
    </row>
    <row r="229" spans="1:44" ht="40.799999999999997" x14ac:dyDescent="0.3">
      <c r="A229" s="10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2"/>
      <c r="R229" s="11"/>
      <c r="S229" s="13"/>
      <c r="T229" s="11"/>
      <c r="U229" s="11"/>
      <c r="V229" s="13"/>
      <c r="W229" s="13"/>
      <c r="X229" s="11"/>
      <c r="Y229" s="11"/>
      <c r="Z229" s="13"/>
      <c r="AA229" s="13"/>
      <c r="AB229" s="11"/>
      <c r="AC229" s="11"/>
      <c r="AD229" s="13"/>
      <c r="AE229" s="13"/>
      <c r="AF229" s="11"/>
      <c r="AG229" s="11"/>
      <c r="AH229" s="13"/>
      <c r="AI229" s="13"/>
      <c r="AJ229" s="11"/>
      <c r="AK229" s="11"/>
      <c r="AL229" s="13"/>
      <c r="AM229" s="13"/>
      <c r="AN229" s="13"/>
      <c r="AO229" s="14"/>
      <c r="AP229" s="11"/>
      <c r="AQ229" s="31"/>
      <c r="AR229" s="30"/>
    </row>
    <row r="230" spans="1:44" ht="40.799999999999997" x14ac:dyDescent="0.3">
      <c r="A230" s="10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2"/>
      <c r="R230" s="11"/>
      <c r="S230" s="13"/>
      <c r="T230" s="11"/>
      <c r="U230" s="11"/>
      <c r="V230" s="13"/>
      <c r="W230" s="13"/>
      <c r="X230" s="11"/>
      <c r="Y230" s="11"/>
      <c r="Z230" s="13"/>
      <c r="AA230" s="13"/>
      <c r="AB230" s="11"/>
      <c r="AC230" s="11"/>
      <c r="AD230" s="13"/>
      <c r="AE230" s="13"/>
      <c r="AF230" s="11"/>
      <c r="AG230" s="11"/>
      <c r="AH230" s="13"/>
      <c r="AI230" s="13"/>
      <c r="AJ230" s="11"/>
      <c r="AK230" s="11"/>
      <c r="AL230" s="13"/>
      <c r="AM230" s="13"/>
      <c r="AN230" s="13"/>
      <c r="AO230" s="14"/>
      <c r="AP230" s="11"/>
      <c r="AQ230" s="31"/>
      <c r="AR230" s="30"/>
    </row>
    <row r="231" spans="1:44" ht="40.799999999999997" x14ac:dyDescent="0.3">
      <c r="A231" s="10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2"/>
      <c r="R231" s="11"/>
      <c r="S231" s="13"/>
      <c r="T231" s="11"/>
      <c r="U231" s="11"/>
      <c r="V231" s="13"/>
      <c r="W231" s="13"/>
      <c r="X231" s="11"/>
      <c r="Y231" s="11"/>
      <c r="Z231" s="13"/>
      <c r="AA231" s="13"/>
      <c r="AB231" s="11"/>
      <c r="AC231" s="11"/>
      <c r="AD231" s="13"/>
      <c r="AE231" s="13"/>
      <c r="AF231" s="11"/>
      <c r="AG231" s="11"/>
      <c r="AH231" s="13"/>
      <c r="AI231" s="13"/>
      <c r="AJ231" s="11"/>
      <c r="AK231" s="11"/>
      <c r="AL231" s="13"/>
      <c r="AM231" s="13"/>
      <c r="AN231" s="13"/>
      <c r="AO231" s="14"/>
      <c r="AP231" s="11"/>
      <c r="AQ231" s="31"/>
      <c r="AR231" s="30"/>
    </row>
    <row r="232" spans="1:44" ht="40.799999999999997" x14ac:dyDescent="0.3">
      <c r="A232" s="10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2"/>
      <c r="R232" s="11"/>
      <c r="S232" s="13"/>
      <c r="T232" s="11"/>
      <c r="U232" s="11"/>
      <c r="V232" s="13"/>
      <c r="W232" s="13"/>
      <c r="X232" s="11"/>
      <c r="Y232" s="11"/>
      <c r="Z232" s="13"/>
      <c r="AA232" s="13"/>
      <c r="AB232" s="11"/>
      <c r="AC232" s="11"/>
      <c r="AD232" s="13"/>
      <c r="AE232" s="13"/>
      <c r="AF232" s="11"/>
      <c r="AG232" s="11"/>
      <c r="AH232" s="13"/>
      <c r="AI232" s="13"/>
      <c r="AJ232" s="11"/>
      <c r="AK232" s="11"/>
      <c r="AL232" s="13"/>
      <c r="AM232" s="13"/>
      <c r="AN232" s="13"/>
      <c r="AO232" s="14"/>
      <c r="AP232" s="11"/>
      <c r="AQ232" s="31"/>
      <c r="AR232" s="30"/>
    </row>
    <row r="233" spans="1:44" ht="40.799999999999997" x14ac:dyDescent="0.3">
      <c r="A233" s="10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2"/>
      <c r="R233" s="11"/>
      <c r="S233" s="13"/>
      <c r="T233" s="11"/>
      <c r="U233" s="11"/>
      <c r="V233" s="13"/>
      <c r="W233" s="13"/>
      <c r="X233" s="11"/>
      <c r="Y233" s="11"/>
      <c r="Z233" s="13"/>
      <c r="AA233" s="13"/>
      <c r="AB233" s="11"/>
      <c r="AC233" s="11"/>
      <c r="AD233" s="13"/>
      <c r="AE233" s="13"/>
      <c r="AF233" s="11"/>
      <c r="AG233" s="11"/>
      <c r="AH233" s="13"/>
      <c r="AI233" s="13"/>
      <c r="AJ233" s="11"/>
      <c r="AK233" s="11"/>
      <c r="AL233" s="13"/>
      <c r="AM233" s="13"/>
      <c r="AN233" s="13"/>
      <c r="AO233" s="14"/>
      <c r="AP233" s="11"/>
      <c r="AQ233" s="31"/>
      <c r="AR233" s="30"/>
    </row>
    <row r="234" spans="1:44" ht="40.799999999999997" x14ac:dyDescent="0.3">
      <c r="A234" s="10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2"/>
      <c r="R234" s="11"/>
      <c r="S234" s="13"/>
      <c r="T234" s="11"/>
      <c r="U234" s="11"/>
      <c r="V234" s="13"/>
      <c r="W234" s="13"/>
      <c r="X234" s="11"/>
      <c r="Y234" s="11"/>
      <c r="Z234" s="13"/>
      <c r="AA234" s="13"/>
      <c r="AB234" s="11"/>
      <c r="AC234" s="11"/>
      <c r="AD234" s="13"/>
      <c r="AE234" s="13"/>
      <c r="AF234" s="11"/>
      <c r="AG234" s="11"/>
      <c r="AH234" s="13"/>
      <c r="AI234" s="13"/>
      <c r="AJ234" s="11"/>
      <c r="AK234" s="11"/>
      <c r="AL234" s="13"/>
      <c r="AM234" s="13"/>
      <c r="AN234" s="13"/>
      <c r="AO234" s="14"/>
      <c r="AP234" s="11"/>
      <c r="AQ234" s="31"/>
      <c r="AR234" s="30"/>
    </row>
    <row r="235" spans="1:44" ht="40.799999999999997" x14ac:dyDescent="0.3">
      <c r="A235" s="10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2"/>
      <c r="R235" s="11"/>
      <c r="S235" s="13"/>
      <c r="T235" s="11"/>
      <c r="U235" s="11"/>
      <c r="V235" s="13"/>
      <c r="W235" s="13"/>
      <c r="X235" s="11"/>
      <c r="Y235" s="11"/>
      <c r="Z235" s="13"/>
      <c r="AA235" s="13"/>
      <c r="AB235" s="11"/>
      <c r="AC235" s="11"/>
      <c r="AD235" s="13"/>
      <c r="AE235" s="13"/>
      <c r="AF235" s="11"/>
      <c r="AG235" s="11"/>
      <c r="AH235" s="13"/>
      <c r="AI235" s="13"/>
      <c r="AJ235" s="11"/>
      <c r="AK235" s="11"/>
      <c r="AL235" s="13"/>
      <c r="AM235" s="13"/>
      <c r="AN235" s="13"/>
      <c r="AO235" s="14"/>
      <c r="AP235" s="11"/>
      <c r="AQ235" s="31"/>
      <c r="AR235" s="30"/>
    </row>
    <row r="236" spans="1:44" ht="40.799999999999997" x14ac:dyDescent="0.3">
      <c r="A236" s="10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2"/>
      <c r="R236" s="11"/>
      <c r="S236" s="13"/>
      <c r="T236" s="11"/>
      <c r="U236" s="11"/>
      <c r="V236" s="13"/>
      <c r="W236" s="13"/>
      <c r="X236" s="11"/>
      <c r="Y236" s="11"/>
      <c r="Z236" s="13"/>
      <c r="AA236" s="13"/>
      <c r="AB236" s="11"/>
      <c r="AC236" s="11"/>
      <c r="AD236" s="13"/>
      <c r="AE236" s="13"/>
      <c r="AF236" s="11"/>
      <c r="AG236" s="11"/>
      <c r="AH236" s="13"/>
      <c r="AI236" s="13"/>
      <c r="AJ236" s="11"/>
      <c r="AK236" s="11"/>
      <c r="AL236" s="13"/>
      <c r="AM236" s="13"/>
      <c r="AN236" s="13"/>
      <c r="AO236" s="14"/>
      <c r="AP236" s="11"/>
      <c r="AQ236" s="31"/>
      <c r="AR236" s="30"/>
    </row>
    <row r="237" spans="1:44" ht="40.799999999999997" x14ac:dyDescent="0.3">
      <c r="A237" s="10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2"/>
      <c r="R237" s="11"/>
      <c r="S237" s="13"/>
      <c r="T237" s="11"/>
      <c r="U237" s="11"/>
      <c r="V237" s="13"/>
      <c r="W237" s="13"/>
      <c r="X237" s="11"/>
      <c r="Y237" s="11"/>
      <c r="Z237" s="13"/>
      <c r="AA237" s="13"/>
      <c r="AB237" s="11"/>
      <c r="AC237" s="11"/>
      <c r="AD237" s="13"/>
      <c r="AE237" s="13"/>
      <c r="AF237" s="11"/>
      <c r="AG237" s="11"/>
      <c r="AH237" s="13"/>
      <c r="AI237" s="13"/>
      <c r="AJ237" s="11"/>
      <c r="AK237" s="11"/>
      <c r="AL237" s="13"/>
      <c r="AM237" s="13"/>
      <c r="AN237" s="13"/>
      <c r="AO237" s="14"/>
      <c r="AP237" s="11"/>
      <c r="AQ237" s="31"/>
      <c r="AR237" s="30"/>
    </row>
    <row r="238" spans="1:44" ht="40.799999999999997" x14ac:dyDescent="0.3">
      <c r="A238" s="10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2"/>
      <c r="R238" s="11"/>
      <c r="S238" s="13"/>
      <c r="T238" s="11"/>
      <c r="U238" s="11"/>
      <c r="V238" s="13"/>
      <c r="W238" s="13"/>
      <c r="X238" s="11"/>
      <c r="Y238" s="11"/>
      <c r="Z238" s="13"/>
      <c r="AA238" s="13"/>
      <c r="AB238" s="11"/>
      <c r="AC238" s="11"/>
      <c r="AD238" s="13"/>
      <c r="AE238" s="13"/>
      <c r="AF238" s="11"/>
      <c r="AG238" s="11"/>
      <c r="AH238" s="13"/>
      <c r="AI238" s="13"/>
      <c r="AJ238" s="11"/>
      <c r="AK238" s="11"/>
      <c r="AL238" s="13"/>
      <c r="AM238" s="13"/>
      <c r="AN238" s="13"/>
      <c r="AO238" s="14"/>
      <c r="AP238" s="11"/>
      <c r="AQ238" s="31"/>
      <c r="AR238" s="30"/>
    </row>
    <row r="239" spans="1:44" ht="40.799999999999997" x14ac:dyDescent="0.3">
      <c r="A239" s="10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2"/>
      <c r="R239" s="11"/>
      <c r="S239" s="13"/>
      <c r="T239" s="11"/>
      <c r="U239" s="11"/>
      <c r="V239" s="13"/>
      <c r="W239" s="13"/>
      <c r="X239" s="11"/>
      <c r="Y239" s="11"/>
      <c r="Z239" s="13"/>
      <c r="AA239" s="13"/>
      <c r="AB239" s="11"/>
      <c r="AC239" s="11"/>
      <c r="AD239" s="13"/>
      <c r="AE239" s="13"/>
      <c r="AF239" s="11"/>
      <c r="AG239" s="11"/>
      <c r="AH239" s="13"/>
      <c r="AI239" s="13"/>
      <c r="AJ239" s="11"/>
      <c r="AK239" s="11"/>
      <c r="AL239" s="13"/>
      <c r="AM239" s="13"/>
      <c r="AN239" s="13"/>
      <c r="AO239" s="14"/>
      <c r="AP239" s="11"/>
      <c r="AQ239" s="31"/>
      <c r="AR239" s="30"/>
    </row>
    <row r="240" spans="1:44" ht="40.799999999999997" x14ac:dyDescent="0.3">
      <c r="A240" s="10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2"/>
      <c r="R240" s="11"/>
      <c r="S240" s="13"/>
      <c r="T240" s="11"/>
      <c r="U240" s="11"/>
      <c r="V240" s="13"/>
      <c r="W240" s="13"/>
      <c r="X240" s="11"/>
      <c r="Y240" s="11"/>
      <c r="Z240" s="13"/>
      <c r="AA240" s="13"/>
      <c r="AB240" s="11"/>
      <c r="AC240" s="11"/>
      <c r="AD240" s="13"/>
      <c r="AE240" s="13"/>
      <c r="AF240" s="11"/>
      <c r="AG240" s="11"/>
      <c r="AH240" s="13"/>
      <c r="AI240" s="13"/>
      <c r="AJ240" s="11"/>
      <c r="AK240" s="11"/>
      <c r="AL240" s="13"/>
      <c r="AM240" s="13"/>
      <c r="AN240" s="13"/>
      <c r="AO240" s="14"/>
      <c r="AP240" s="11"/>
      <c r="AQ240" s="31"/>
      <c r="AR240" s="30"/>
    </row>
    <row r="241" spans="1:44" ht="40.799999999999997" x14ac:dyDescent="0.3">
      <c r="A241" s="10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2"/>
      <c r="R241" s="11"/>
      <c r="S241" s="13"/>
      <c r="T241" s="11"/>
      <c r="U241" s="11"/>
      <c r="V241" s="13"/>
      <c r="W241" s="13"/>
      <c r="X241" s="11"/>
      <c r="Y241" s="11"/>
      <c r="Z241" s="13"/>
      <c r="AA241" s="13"/>
      <c r="AB241" s="11"/>
      <c r="AC241" s="11"/>
      <c r="AD241" s="13"/>
      <c r="AE241" s="13"/>
      <c r="AF241" s="11"/>
      <c r="AG241" s="11"/>
      <c r="AH241" s="13"/>
      <c r="AI241" s="13"/>
      <c r="AJ241" s="11"/>
      <c r="AK241" s="11"/>
      <c r="AL241" s="13"/>
      <c r="AM241" s="13"/>
      <c r="AN241" s="13"/>
      <c r="AO241" s="14"/>
      <c r="AP241" s="11"/>
      <c r="AQ241" s="31"/>
      <c r="AR241" s="30"/>
    </row>
    <row r="242" spans="1:44" ht="40.799999999999997" x14ac:dyDescent="0.3">
      <c r="A242" s="10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2"/>
      <c r="R242" s="11"/>
      <c r="S242" s="13"/>
      <c r="T242" s="11"/>
      <c r="U242" s="11"/>
      <c r="V242" s="13"/>
      <c r="W242" s="13"/>
      <c r="X242" s="11"/>
      <c r="Y242" s="11"/>
      <c r="Z242" s="13"/>
      <c r="AA242" s="13"/>
      <c r="AB242" s="11"/>
      <c r="AC242" s="11"/>
      <c r="AD242" s="13"/>
      <c r="AE242" s="13"/>
      <c r="AF242" s="11"/>
      <c r="AG242" s="11"/>
      <c r="AH242" s="13"/>
      <c r="AI242" s="13"/>
      <c r="AJ242" s="11"/>
      <c r="AK242" s="11"/>
      <c r="AL242" s="13"/>
      <c r="AM242" s="13"/>
      <c r="AN242" s="13"/>
      <c r="AO242" s="14"/>
      <c r="AP242" s="11"/>
      <c r="AQ242" s="31"/>
      <c r="AR242" s="30"/>
    </row>
    <row r="243" spans="1:44" ht="40.799999999999997" x14ac:dyDescent="0.3">
      <c r="A243" s="10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2"/>
      <c r="R243" s="11"/>
      <c r="S243" s="13"/>
      <c r="T243" s="11"/>
      <c r="U243" s="11"/>
      <c r="V243" s="13"/>
      <c r="W243" s="13"/>
      <c r="X243" s="11"/>
      <c r="Y243" s="11"/>
      <c r="Z243" s="13"/>
      <c r="AA243" s="13"/>
      <c r="AB243" s="11"/>
      <c r="AC243" s="11"/>
      <c r="AD243" s="13"/>
      <c r="AE243" s="13"/>
      <c r="AF243" s="11"/>
      <c r="AG243" s="11"/>
      <c r="AH243" s="13"/>
      <c r="AI243" s="13"/>
      <c r="AJ243" s="11"/>
      <c r="AK243" s="11"/>
      <c r="AL243" s="13"/>
      <c r="AM243" s="13"/>
      <c r="AN243" s="13"/>
      <c r="AO243" s="14"/>
      <c r="AP243" s="11"/>
      <c r="AQ243" s="31"/>
      <c r="AR243" s="30"/>
    </row>
    <row r="244" spans="1:44" ht="40.799999999999997" x14ac:dyDescent="0.3">
      <c r="A244" s="10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2"/>
      <c r="R244" s="11"/>
      <c r="S244" s="13"/>
      <c r="T244" s="11"/>
      <c r="U244" s="11"/>
      <c r="V244" s="13"/>
      <c r="W244" s="13"/>
      <c r="X244" s="11"/>
      <c r="Y244" s="11"/>
      <c r="Z244" s="13"/>
      <c r="AA244" s="13"/>
      <c r="AB244" s="11"/>
      <c r="AC244" s="11"/>
      <c r="AD244" s="13"/>
      <c r="AE244" s="13"/>
      <c r="AF244" s="11"/>
      <c r="AG244" s="11"/>
      <c r="AH244" s="13"/>
      <c r="AI244" s="13"/>
      <c r="AJ244" s="11"/>
      <c r="AK244" s="11"/>
      <c r="AL244" s="13"/>
      <c r="AM244" s="13"/>
      <c r="AN244" s="13"/>
      <c r="AO244" s="14"/>
      <c r="AP244" s="11"/>
      <c r="AQ244" s="31"/>
      <c r="AR244" s="30"/>
    </row>
    <row r="245" spans="1:44" ht="40.799999999999997" x14ac:dyDescent="0.3">
      <c r="A245" s="10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2"/>
      <c r="R245" s="11"/>
      <c r="S245" s="13"/>
      <c r="T245" s="11"/>
      <c r="U245" s="11"/>
      <c r="V245" s="13"/>
      <c r="W245" s="13"/>
      <c r="X245" s="11"/>
      <c r="Y245" s="11"/>
      <c r="Z245" s="13"/>
      <c r="AA245" s="13"/>
      <c r="AB245" s="11"/>
      <c r="AC245" s="11"/>
      <c r="AD245" s="13"/>
      <c r="AE245" s="13"/>
      <c r="AF245" s="11"/>
      <c r="AG245" s="11"/>
      <c r="AH245" s="13"/>
      <c r="AI245" s="13"/>
      <c r="AJ245" s="11"/>
      <c r="AK245" s="11"/>
      <c r="AL245" s="13"/>
      <c r="AM245" s="13"/>
      <c r="AN245" s="13"/>
      <c r="AO245" s="14"/>
      <c r="AP245" s="11"/>
      <c r="AQ245" s="31"/>
      <c r="AR245" s="30"/>
    </row>
    <row r="246" spans="1:44" ht="40.799999999999997" x14ac:dyDescent="0.3">
      <c r="A246" s="10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2"/>
      <c r="R246" s="11"/>
      <c r="S246" s="13"/>
      <c r="T246" s="11"/>
      <c r="U246" s="11"/>
      <c r="V246" s="13"/>
      <c r="W246" s="13"/>
      <c r="X246" s="11"/>
      <c r="Y246" s="11"/>
      <c r="Z246" s="13"/>
      <c r="AA246" s="13"/>
      <c r="AB246" s="11"/>
      <c r="AC246" s="11"/>
      <c r="AD246" s="13"/>
      <c r="AE246" s="13"/>
      <c r="AF246" s="11"/>
      <c r="AG246" s="11"/>
      <c r="AH246" s="13"/>
      <c r="AI246" s="13"/>
      <c r="AJ246" s="11"/>
      <c r="AK246" s="11"/>
      <c r="AL246" s="13"/>
      <c r="AM246" s="13"/>
      <c r="AN246" s="13"/>
      <c r="AO246" s="14"/>
      <c r="AP246" s="11"/>
      <c r="AQ246" s="31"/>
      <c r="AR246" s="30"/>
    </row>
    <row r="247" spans="1:44" ht="40.799999999999997" x14ac:dyDescent="0.3">
      <c r="A247" s="10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2"/>
      <c r="R247" s="11"/>
      <c r="S247" s="13"/>
      <c r="T247" s="11"/>
      <c r="U247" s="11"/>
      <c r="V247" s="13"/>
      <c r="W247" s="13"/>
      <c r="X247" s="11"/>
      <c r="Y247" s="11"/>
      <c r="Z247" s="13"/>
      <c r="AA247" s="13"/>
      <c r="AB247" s="11"/>
      <c r="AC247" s="11"/>
      <c r="AD247" s="13"/>
      <c r="AE247" s="13"/>
      <c r="AF247" s="11"/>
      <c r="AG247" s="11"/>
      <c r="AH247" s="13"/>
      <c r="AI247" s="13"/>
      <c r="AJ247" s="11"/>
      <c r="AK247" s="11"/>
      <c r="AL247" s="13"/>
      <c r="AM247" s="13"/>
      <c r="AN247" s="13"/>
      <c r="AO247" s="14"/>
      <c r="AP247" s="11"/>
      <c r="AQ247" s="31"/>
      <c r="AR247" s="30"/>
    </row>
    <row r="248" spans="1:44" ht="40.799999999999997" x14ac:dyDescent="0.3">
      <c r="A248" s="10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2"/>
      <c r="R248" s="11"/>
      <c r="S248" s="13"/>
      <c r="T248" s="11"/>
      <c r="U248" s="11"/>
      <c r="V248" s="13"/>
      <c r="W248" s="13"/>
      <c r="X248" s="11"/>
      <c r="Y248" s="11"/>
      <c r="Z248" s="13"/>
      <c r="AA248" s="13"/>
      <c r="AB248" s="11"/>
      <c r="AC248" s="11"/>
      <c r="AD248" s="13"/>
      <c r="AE248" s="13"/>
      <c r="AF248" s="11"/>
      <c r="AG248" s="11"/>
      <c r="AH248" s="13"/>
      <c r="AI248" s="13"/>
      <c r="AJ248" s="11"/>
      <c r="AK248" s="11"/>
      <c r="AL248" s="13"/>
      <c r="AM248" s="13"/>
      <c r="AN248" s="13"/>
      <c r="AO248" s="14"/>
      <c r="AP248" s="11"/>
      <c r="AQ248" s="31"/>
      <c r="AR248" s="30"/>
    </row>
    <row r="249" spans="1:44" ht="40.799999999999997" x14ac:dyDescent="0.3">
      <c r="A249" s="10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2"/>
      <c r="R249" s="11"/>
      <c r="S249" s="13"/>
      <c r="T249" s="11"/>
      <c r="U249" s="11"/>
      <c r="V249" s="13"/>
      <c r="W249" s="13"/>
      <c r="X249" s="11"/>
      <c r="Y249" s="11"/>
      <c r="Z249" s="13"/>
      <c r="AA249" s="13"/>
      <c r="AB249" s="11"/>
      <c r="AC249" s="11"/>
      <c r="AD249" s="13"/>
      <c r="AE249" s="13"/>
      <c r="AF249" s="11"/>
      <c r="AG249" s="11"/>
      <c r="AH249" s="13"/>
      <c r="AI249" s="13"/>
      <c r="AJ249" s="11"/>
      <c r="AK249" s="11"/>
      <c r="AL249" s="13"/>
      <c r="AM249" s="13"/>
      <c r="AN249" s="13"/>
      <c r="AO249" s="14"/>
      <c r="AP249" s="11"/>
      <c r="AQ249" s="31"/>
      <c r="AR249" s="30"/>
    </row>
    <row r="250" spans="1:44" ht="40.799999999999997" x14ac:dyDescent="0.3">
      <c r="A250" s="10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2"/>
      <c r="R250" s="11"/>
      <c r="S250" s="13"/>
      <c r="T250" s="11"/>
      <c r="U250" s="11"/>
      <c r="V250" s="13"/>
      <c r="W250" s="13"/>
      <c r="X250" s="11"/>
      <c r="Y250" s="11"/>
      <c r="Z250" s="13"/>
      <c r="AA250" s="13"/>
      <c r="AB250" s="11"/>
      <c r="AC250" s="11"/>
      <c r="AD250" s="13"/>
      <c r="AE250" s="13"/>
      <c r="AF250" s="11"/>
      <c r="AG250" s="11"/>
      <c r="AH250" s="13"/>
      <c r="AI250" s="13"/>
      <c r="AJ250" s="11"/>
      <c r="AK250" s="11"/>
      <c r="AL250" s="13"/>
      <c r="AM250" s="13"/>
      <c r="AN250" s="13"/>
      <c r="AO250" s="14"/>
      <c r="AP250" s="11"/>
      <c r="AQ250" s="31"/>
      <c r="AR250" s="30"/>
    </row>
    <row r="251" spans="1:44" ht="40.799999999999997" x14ac:dyDescent="0.3">
      <c r="A251" s="10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2"/>
      <c r="R251" s="11"/>
      <c r="S251" s="13"/>
      <c r="T251" s="11"/>
      <c r="U251" s="11"/>
      <c r="V251" s="13"/>
      <c r="W251" s="13"/>
      <c r="X251" s="11"/>
      <c r="Y251" s="11"/>
      <c r="Z251" s="13"/>
      <c r="AA251" s="13"/>
      <c r="AB251" s="11"/>
      <c r="AC251" s="11"/>
      <c r="AD251" s="13"/>
      <c r="AE251" s="13"/>
      <c r="AF251" s="11"/>
      <c r="AG251" s="11"/>
      <c r="AH251" s="13"/>
      <c r="AI251" s="13"/>
      <c r="AJ251" s="11"/>
      <c r="AK251" s="11"/>
      <c r="AL251" s="13"/>
      <c r="AM251" s="13"/>
      <c r="AN251" s="13"/>
      <c r="AO251" s="14"/>
      <c r="AP251" s="11"/>
      <c r="AQ251" s="31"/>
      <c r="AR251" s="30"/>
    </row>
    <row r="252" spans="1:44" ht="40.799999999999997" x14ac:dyDescent="0.3">
      <c r="A252" s="10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2"/>
      <c r="R252" s="11"/>
      <c r="S252" s="13"/>
      <c r="T252" s="11"/>
      <c r="U252" s="11"/>
      <c r="V252" s="13"/>
      <c r="W252" s="13"/>
      <c r="X252" s="11"/>
      <c r="Y252" s="11"/>
      <c r="Z252" s="13"/>
      <c r="AA252" s="13"/>
      <c r="AB252" s="11"/>
      <c r="AC252" s="11"/>
      <c r="AD252" s="13"/>
      <c r="AE252" s="13"/>
      <c r="AF252" s="11"/>
      <c r="AG252" s="11"/>
      <c r="AH252" s="13"/>
      <c r="AI252" s="13"/>
      <c r="AJ252" s="11"/>
      <c r="AK252" s="11"/>
      <c r="AL252" s="13"/>
      <c r="AM252" s="13"/>
      <c r="AN252" s="13"/>
      <c r="AO252" s="14"/>
      <c r="AP252" s="11"/>
      <c r="AQ252" s="31"/>
      <c r="AR252" s="30"/>
    </row>
    <row r="253" spans="1:44" ht="40.799999999999997" x14ac:dyDescent="0.3">
      <c r="A253" s="10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2"/>
      <c r="R253" s="11"/>
      <c r="S253" s="13"/>
      <c r="T253" s="11"/>
      <c r="U253" s="11"/>
      <c r="V253" s="13"/>
      <c r="W253" s="13"/>
      <c r="X253" s="11"/>
      <c r="Y253" s="11"/>
      <c r="Z253" s="13"/>
      <c r="AA253" s="13"/>
      <c r="AB253" s="11"/>
      <c r="AC253" s="11"/>
      <c r="AD253" s="13"/>
      <c r="AE253" s="13"/>
      <c r="AF253" s="11"/>
      <c r="AG253" s="11"/>
      <c r="AH253" s="13"/>
      <c r="AI253" s="13"/>
      <c r="AJ253" s="11"/>
      <c r="AK253" s="11"/>
      <c r="AL253" s="13"/>
      <c r="AM253" s="13"/>
      <c r="AN253" s="13"/>
      <c r="AO253" s="14"/>
      <c r="AP253" s="11"/>
      <c r="AQ253" s="31"/>
      <c r="AR253" s="30"/>
    </row>
    <row r="254" spans="1:44" ht="40.799999999999997" x14ac:dyDescent="0.3">
      <c r="A254" s="10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2"/>
      <c r="R254" s="11"/>
      <c r="S254" s="13"/>
      <c r="T254" s="11"/>
      <c r="U254" s="11"/>
      <c r="V254" s="13"/>
      <c r="W254" s="13"/>
      <c r="X254" s="11"/>
      <c r="Y254" s="11"/>
      <c r="Z254" s="13"/>
      <c r="AA254" s="13"/>
      <c r="AB254" s="11"/>
      <c r="AC254" s="11"/>
      <c r="AD254" s="13"/>
      <c r="AE254" s="13"/>
      <c r="AF254" s="11"/>
      <c r="AG254" s="11"/>
      <c r="AH254" s="13"/>
      <c r="AI254" s="13"/>
      <c r="AJ254" s="11"/>
      <c r="AK254" s="11"/>
      <c r="AL254" s="13"/>
      <c r="AM254" s="13"/>
      <c r="AN254" s="13"/>
      <c r="AO254" s="14"/>
      <c r="AP254" s="11"/>
      <c r="AQ254" s="31"/>
      <c r="AR254" s="30"/>
    </row>
    <row r="255" spans="1:44" ht="40.799999999999997" x14ac:dyDescent="0.3">
      <c r="A255" s="10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2"/>
      <c r="R255" s="11"/>
      <c r="S255" s="13"/>
      <c r="T255" s="11"/>
      <c r="U255" s="11"/>
      <c r="V255" s="13"/>
      <c r="W255" s="13"/>
      <c r="X255" s="11"/>
      <c r="Y255" s="11"/>
      <c r="Z255" s="13"/>
      <c r="AA255" s="13"/>
      <c r="AB255" s="11"/>
      <c r="AC255" s="11"/>
      <c r="AD255" s="13"/>
      <c r="AE255" s="13"/>
      <c r="AF255" s="11"/>
      <c r="AG255" s="11"/>
      <c r="AH255" s="13"/>
      <c r="AI255" s="13"/>
      <c r="AJ255" s="11"/>
      <c r="AK255" s="11"/>
      <c r="AL255" s="13"/>
      <c r="AM255" s="13"/>
      <c r="AN255" s="13"/>
      <c r="AO255" s="14"/>
      <c r="AP255" s="11"/>
      <c r="AQ255" s="31"/>
      <c r="AR255" s="30"/>
    </row>
    <row r="256" spans="1:44" ht="40.799999999999997" x14ac:dyDescent="0.3">
      <c r="A256" s="10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2"/>
      <c r="R256" s="11"/>
      <c r="S256" s="13"/>
      <c r="T256" s="11"/>
      <c r="U256" s="11"/>
      <c r="V256" s="13"/>
      <c r="W256" s="13"/>
      <c r="X256" s="11"/>
      <c r="Y256" s="11"/>
      <c r="Z256" s="13"/>
      <c r="AA256" s="13"/>
      <c r="AB256" s="11"/>
      <c r="AC256" s="11"/>
      <c r="AD256" s="13"/>
      <c r="AE256" s="13"/>
      <c r="AF256" s="11"/>
      <c r="AG256" s="11"/>
      <c r="AH256" s="13"/>
      <c r="AI256" s="13"/>
      <c r="AJ256" s="11"/>
      <c r="AK256" s="11"/>
      <c r="AL256" s="13"/>
      <c r="AM256" s="13"/>
      <c r="AN256" s="13"/>
      <c r="AO256" s="14"/>
      <c r="AP256" s="11"/>
      <c r="AQ256" s="31"/>
      <c r="AR256" s="30"/>
    </row>
    <row r="257" spans="1:44" ht="40.799999999999997" x14ac:dyDescent="0.3">
      <c r="A257" s="10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2"/>
      <c r="R257" s="11"/>
      <c r="S257" s="13"/>
      <c r="T257" s="11"/>
      <c r="U257" s="11"/>
      <c r="V257" s="13"/>
      <c r="W257" s="13"/>
      <c r="X257" s="11"/>
      <c r="Y257" s="11"/>
      <c r="Z257" s="13"/>
      <c r="AA257" s="13"/>
      <c r="AB257" s="11"/>
      <c r="AC257" s="11"/>
      <c r="AD257" s="13"/>
      <c r="AE257" s="13"/>
      <c r="AF257" s="11"/>
      <c r="AG257" s="11"/>
      <c r="AH257" s="13"/>
      <c r="AI257" s="13"/>
      <c r="AJ257" s="11"/>
      <c r="AK257" s="11"/>
      <c r="AL257" s="13"/>
      <c r="AM257" s="13"/>
      <c r="AN257" s="13"/>
      <c r="AO257" s="14"/>
      <c r="AP257" s="11"/>
      <c r="AQ257" s="31"/>
      <c r="AR257" s="30"/>
    </row>
    <row r="258" spans="1:44" ht="40.799999999999997" x14ac:dyDescent="0.3">
      <c r="A258" s="10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2"/>
      <c r="R258" s="11"/>
      <c r="S258" s="13"/>
      <c r="T258" s="11"/>
      <c r="U258" s="11"/>
      <c r="V258" s="13"/>
      <c r="W258" s="13"/>
      <c r="X258" s="11"/>
      <c r="Y258" s="11"/>
      <c r="Z258" s="13"/>
      <c r="AA258" s="13"/>
      <c r="AB258" s="11"/>
      <c r="AC258" s="11"/>
      <c r="AD258" s="13"/>
      <c r="AE258" s="13"/>
      <c r="AF258" s="11"/>
      <c r="AG258" s="11"/>
      <c r="AH258" s="13"/>
      <c r="AI258" s="13"/>
      <c r="AJ258" s="11"/>
      <c r="AK258" s="11"/>
      <c r="AL258" s="13"/>
      <c r="AM258" s="13"/>
      <c r="AN258" s="13"/>
      <c r="AO258" s="14"/>
      <c r="AP258" s="11"/>
      <c r="AQ258" s="31"/>
      <c r="AR258" s="30"/>
    </row>
    <row r="259" spans="1:44" ht="40.799999999999997" x14ac:dyDescent="0.3">
      <c r="A259" s="10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2"/>
      <c r="R259" s="11"/>
      <c r="S259" s="13"/>
      <c r="T259" s="11"/>
      <c r="U259" s="11"/>
      <c r="V259" s="13"/>
      <c r="W259" s="13"/>
      <c r="X259" s="11"/>
      <c r="Y259" s="11"/>
      <c r="Z259" s="13"/>
      <c r="AA259" s="13"/>
      <c r="AB259" s="11"/>
      <c r="AC259" s="11"/>
      <c r="AD259" s="13"/>
      <c r="AE259" s="13"/>
      <c r="AF259" s="11"/>
      <c r="AG259" s="11"/>
      <c r="AH259" s="13"/>
      <c r="AI259" s="13"/>
      <c r="AJ259" s="11"/>
      <c r="AK259" s="11"/>
      <c r="AL259" s="13"/>
      <c r="AM259" s="13"/>
      <c r="AN259" s="13"/>
      <c r="AO259" s="14"/>
      <c r="AP259" s="11"/>
      <c r="AQ259" s="31"/>
      <c r="AR259" s="30"/>
    </row>
    <row r="260" spans="1:44" ht="40.799999999999997" x14ac:dyDescent="0.3">
      <c r="A260" s="10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2"/>
      <c r="R260" s="11"/>
      <c r="S260" s="13"/>
      <c r="T260" s="11"/>
      <c r="U260" s="11"/>
      <c r="V260" s="13"/>
      <c r="W260" s="13"/>
      <c r="X260" s="11"/>
      <c r="Y260" s="11"/>
      <c r="Z260" s="13"/>
      <c r="AA260" s="13"/>
      <c r="AB260" s="11"/>
      <c r="AC260" s="11"/>
      <c r="AD260" s="13"/>
      <c r="AE260" s="13"/>
      <c r="AF260" s="11"/>
      <c r="AG260" s="11"/>
      <c r="AH260" s="13"/>
      <c r="AI260" s="13"/>
      <c r="AJ260" s="11"/>
      <c r="AK260" s="11"/>
      <c r="AL260" s="13"/>
      <c r="AM260" s="13"/>
      <c r="AN260" s="13"/>
      <c r="AO260" s="14"/>
      <c r="AP260" s="11"/>
      <c r="AQ260" s="31"/>
      <c r="AR260" s="30"/>
    </row>
    <row r="261" spans="1:44" ht="40.799999999999997" x14ac:dyDescent="0.3">
      <c r="A261" s="10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2"/>
      <c r="R261" s="11"/>
      <c r="S261" s="13"/>
      <c r="T261" s="11"/>
      <c r="U261" s="11"/>
      <c r="V261" s="13"/>
      <c r="W261" s="13"/>
      <c r="X261" s="11"/>
      <c r="Y261" s="11"/>
      <c r="Z261" s="13"/>
      <c r="AA261" s="13"/>
      <c r="AB261" s="11"/>
      <c r="AC261" s="11"/>
      <c r="AD261" s="13"/>
      <c r="AE261" s="13"/>
      <c r="AF261" s="11"/>
      <c r="AG261" s="11"/>
      <c r="AH261" s="13"/>
      <c r="AI261" s="13"/>
      <c r="AJ261" s="11"/>
      <c r="AK261" s="11"/>
      <c r="AL261" s="13"/>
      <c r="AM261" s="13"/>
      <c r="AN261" s="13"/>
      <c r="AO261" s="14"/>
      <c r="AP261" s="11"/>
      <c r="AQ261" s="31"/>
      <c r="AR261" s="30"/>
    </row>
    <row r="262" spans="1:44" ht="40.799999999999997" x14ac:dyDescent="0.3">
      <c r="A262" s="10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2"/>
      <c r="R262" s="11"/>
      <c r="S262" s="13"/>
      <c r="T262" s="11"/>
      <c r="U262" s="11"/>
      <c r="V262" s="13"/>
      <c r="W262" s="13"/>
      <c r="X262" s="11"/>
      <c r="Y262" s="11"/>
      <c r="Z262" s="13"/>
      <c r="AA262" s="13"/>
      <c r="AB262" s="11"/>
      <c r="AC262" s="11"/>
      <c r="AD262" s="13"/>
      <c r="AE262" s="13"/>
      <c r="AF262" s="11"/>
      <c r="AG262" s="11"/>
      <c r="AH262" s="13"/>
      <c r="AI262" s="13"/>
      <c r="AJ262" s="11"/>
      <c r="AK262" s="11"/>
      <c r="AL262" s="13"/>
      <c r="AM262" s="13"/>
      <c r="AN262" s="13"/>
      <c r="AO262" s="14"/>
      <c r="AP262" s="11"/>
      <c r="AQ262" s="31"/>
      <c r="AR262" s="30"/>
    </row>
    <row r="263" spans="1:44" ht="40.799999999999997" x14ac:dyDescent="0.3">
      <c r="A263" s="10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2"/>
      <c r="R263" s="11"/>
      <c r="S263" s="13"/>
      <c r="T263" s="11"/>
      <c r="U263" s="11"/>
      <c r="V263" s="13"/>
      <c r="W263" s="13"/>
      <c r="X263" s="11"/>
      <c r="Y263" s="11"/>
      <c r="Z263" s="13"/>
      <c r="AA263" s="13"/>
      <c r="AB263" s="11"/>
      <c r="AC263" s="11"/>
      <c r="AD263" s="13"/>
      <c r="AE263" s="13"/>
      <c r="AF263" s="11"/>
      <c r="AG263" s="11"/>
      <c r="AH263" s="13"/>
      <c r="AI263" s="13"/>
      <c r="AJ263" s="11"/>
      <c r="AK263" s="11"/>
      <c r="AL263" s="13"/>
      <c r="AM263" s="13"/>
      <c r="AN263" s="13"/>
      <c r="AO263" s="14"/>
      <c r="AP263" s="11"/>
      <c r="AQ263" s="31"/>
      <c r="AR263" s="30"/>
    </row>
    <row r="264" spans="1:44" ht="40.799999999999997" x14ac:dyDescent="0.3">
      <c r="A264" s="10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2"/>
      <c r="R264" s="11"/>
      <c r="S264" s="13"/>
      <c r="T264" s="11"/>
      <c r="U264" s="11"/>
      <c r="V264" s="13"/>
      <c r="W264" s="13"/>
      <c r="X264" s="11"/>
      <c r="Y264" s="11"/>
      <c r="Z264" s="13"/>
      <c r="AA264" s="13"/>
      <c r="AB264" s="11"/>
      <c r="AC264" s="11"/>
      <c r="AD264" s="13"/>
      <c r="AE264" s="13"/>
      <c r="AF264" s="11"/>
      <c r="AG264" s="11"/>
      <c r="AH264" s="13"/>
      <c r="AI264" s="13"/>
      <c r="AJ264" s="11"/>
      <c r="AK264" s="11"/>
      <c r="AL264" s="13"/>
      <c r="AM264" s="13"/>
      <c r="AN264" s="13"/>
      <c r="AO264" s="14"/>
      <c r="AP264" s="11"/>
      <c r="AQ264" s="31"/>
      <c r="AR264" s="30"/>
    </row>
    <row r="265" spans="1:44" ht="40.799999999999997" x14ac:dyDescent="0.3">
      <c r="A265" s="10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2"/>
      <c r="R265" s="11"/>
      <c r="S265" s="13"/>
      <c r="T265" s="11"/>
      <c r="U265" s="11"/>
      <c r="V265" s="13"/>
      <c r="W265" s="13"/>
      <c r="X265" s="11"/>
      <c r="Y265" s="11"/>
      <c r="Z265" s="13"/>
      <c r="AA265" s="13"/>
      <c r="AB265" s="11"/>
      <c r="AC265" s="11"/>
      <c r="AD265" s="13"/>
      <c r="AE265" s="13"/>
      <c r="AF265" s="11"/>
      <c r="AG265" s="11"/>
      <c r="AH265" s="13"/>
      <c r="AI265" s="13"/>
      <c r="AJ265" s="11"/>
      <c r="AK265" s="11"/>
      <c r="AL265" s="13"/>
      <c r="AM265" s="13"/>
      <c r="AN265" s="13"/>
      <c r="AO265" s="14"/>
      <c r="AP265" s="11"/>
      <c r="AQ265" s="31"/>
      <c r="AR265" s="30"/>
    </row>
    <row r="266" spans="1:44" ht="40.799999999999997" x14ac:dyDescent="0.3">
      <c r="A266" s="10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2"/>
      <c r="R266" s="11"/>
      <c r="S266" s="13"/>
      <c r="T266" s="11"/>
      <c r="U266" s="11"/>
      <c r="V266" s="13"/>
      <c r="W266" s="13"/>
      <c r="X266" s="11"/>
      <c r="Y266" s="11"/>
      <c r="Z266" s="13"/>
      <c r="AA266" s="13"/>
      <c r="AB266" s="11"/>
      <c r="AC266" s="11"/>
      <c r="AD266" s="13"/>
      <c r="AE266" s="13"/>
      <c r="AF266" s="11"/>
      <c r="AG266" s="11"/>
      <c r="AH266" s="13"/>
      <c r="AI266" s="13"/>
      <c r="AJ266" s="11"/>
      <c r="AK266" s="11"/>
      <c r="AL266" s="13"/>
      <c r="AM266" s="13"/>
      <c r="AN266" s="13"/>
      <c r="AO266" s="14"/>
      <c r="AP266" s="11"/>
      <c r="AQ266" s="31"/>
      <c r="AR266" s="30"/>
    </row>
    <row r="267" spans="1:44" ht="40.799999999999997" x14ac:dyDescent="0.3">
      <c r="A267" s="10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2"/>
      <c r="R267" s="11"/>
      <c r="S267" s="13"/>
      <c r="T267" s="11"/>
      <c r="U267" s="11"/>
      <c r="V267" s="13"/>
      <c r="W267" s="13"/>
      <c r="X267" s="11"/>
      <c r="Y267" s="11"/>
      <c r="Z267" s="13"/>
      <c r="AA267" s="13"/>
      <c r="AB267" s="11"/>
      <c r="AC267" s="11"/>
      <c r="AD267" s="13"/>
      <c r="AE267" s="13"/>
      <c r="AF267" s="11"/>
      <c r="AG267" s="11"/>
      <c r="AH267" s="13"/>
      <c r="AI267" s="13"/>
      <c r="AJ267" s="11"/>
      <c r="AK267" s="11"/>
      <c r="AL267" s="13"/>
      <c r="AM267" s="13"/>
      <c r="AN267" s="13"/>
      <c r="AO267" s="14"/>
      <c r="AP267" s="11"/>
      <c r="AQ267" s="31"/>
      <c r="AR267" s="30"/>
    </row>
    <row r="268" spans="1:44" ht="40.799999999999997" x14ac:dyDescent="0.3">
      <c r="A268" s="10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2"/>
      <c r="R268" s="11"/>
      <c r="S268" s="13"/>
      <c r="T268" s="11"/>
      <c r="U268" s="11"/>
      <c r="V268" s="13"/>
      <c r="W268" s="13"/>
      <c r="X268" s="11"/>
      <c r="Y268" s="11"/>
      <c r="Z268" s="13"/>
      <c r="AA268" s="13"/>
      <c r="AB268" s="11"/>
      <c r="AC268" s="11"/>
      <c r="AD268" s="13"/>
      <c r="AE268" s="13"/>
      <c r="AF268" s="11"/>
      <c r="AG268" s="11"/>
      <c r="AH268" s="13"/>
      <c r="AI268" s="13"/>
      <c r="AJ268" s="11"/>
      <c r="AK268" s="11"/>
      <c r="AL268" s="13"/>
      <c r="AM268" s="13"/>
      <c r="AN268" s="13"/>
      <c r="AO268" s="14"/>
      <c r="AP268" s="11"/>
      <c r="AQ268" s="31"/>
      <c r="AR268" s="30"/>
    </row>
    <row r="269" spans="1:44" ht="40.799999999999997" x14ac:dyDescent="0.3">
      <c r="A269" s="10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2"/>
      <c r="R269" s="11"/>
      <c r="S269" s="13"/>
      <c r="T269" s="11"/>
      <c r="U269" s="11"/>
      <c r="V269" s="13"/>
      <c r="W269" s="13"/>
      <c r="X269" s="11"/>
      <c r="Y269" s="11"/>
      <c r="Z269" s="13"/>
      <c r="AA269" s="13"/>
      <c r="AB269" s="11"/>
      <c r="AC269" s="11"/>
      <c r="AD269" s="13"/>
      <c r="AE269" s="13"/>
      <c r="AF269" s="11"/>
      <c r="AG269" s="11"/>
      <c r="AH269" s="13"/>
      <c r="AI269" s="13"/>
      <c r="AJ269" s="11"/>
      <c r="AK269" s="11"/>
      <c r="AL269" s="13"/>
      <c r="AM269" s="13"/>
      <c r="AN269" s="13"/>
      <c r="AO269" s="14"/>
      <c r="AP269" s="11"/>
      <c r="AQ269" s="31"/>
      <c r="AR269" s="30"/>
    </row>
    <row r="270" spans="1:44" ht="40.799999999999997" x14ac:dyDescent="0.3">
      <c r="A270" s="10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2"/>
      <c r="R270" s="11"/>
      <c r="S270" s="13"/>
      <c r="T270" s="11"/>
      <c r="U270" s="11"/>
      <c r="V270" s="13"/>
      <c r="W270" s="13"/>
      <c r="X270" s="11"/>
      <c r="Y270" s="11"/>
      <c r="Z270" s="13"/>
      <c r="AA270" s="13"/>
      <c r="AB270" s="11"/>
      <c r="AC270" s="11"/>
      <c r="AD270" s="13"/>
      <c r="AE270" s="13"/>
      <c r="AF270" s="11"/>
      <c r="AG270" s="11"/>
      <c r="AH270" s="13"/>
      <c r="AI270" s="13"/>
      <c r="AJ270" s="11"/>
      <c r="AK270" s="11"/>
      <c r="AL270" s="13"/>
      <c r="AM270" s="13"/>
      <c r="AN270" s="13"/>
      <c r="AO270" s="14"/>
      <c r="AP270" s="11"/>
      <c r="AQ270" s="31"/>
      <c r="AR270" s="30"/>
    </row>
    <row r="271" spans="1:44" ht="40.799999999999997" x14ac:dyDescent="0.3">
      <c r="A271" s="10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2"/>
      <c r="R271" s="11"/>
      <c r="S271" s="13"/>
      <c r="T271" s="11"/>
      <c r="U271" s="11"/>
      <c r="V271" s="13"/>
      <c r="W271" s="13"/>
      <c r="X271" s="11"/>
      <c r="Y271" s="11"/>
      <c r="Z271" s="13"/>
      <c r="AA271" s="13"/>
      <c r="AB271" s="11"/>
      <c r="AC271" s="11"/>
      <c r="AD271" s="13"/>
      <c r="AE271" s="13"/>
      <c r="AF271" s="11"/>
      <c r="AG271" s="11"/>
      <c r="AH271" s="13"/>
      <c r="AI271" s="13"/>
      <c r="AJ271" s="11"/>
      <c r="AK271" s="11"/>
      <c r="AL271" s="13"/>
      <c r="AM271" s="13"/>
      <c r="AN271" s="13"/>
      <c r="AO271" s="14"/>
      <c r="AP271" s="11"/>
      <c r="AQ271" s="31"/>
      <c r="AR271" s="30"/>
    </row>
    <row r="272" spans="1:44" ht="40.799999999999997" x14ac:dyDescent="0.3">
      <c r="A272" s="10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2"/>
      <c r="R272" s="11"/>
      <c r="S272" s="13"/>
      <c r="T272" s="11"/>
      <c r="U272" s="11"/>
      <c r="V272" s="13"/>
      <c r="W272" s="13"/>
      <c r="X272" s="11"/>
      <c r="Y272" s="11"/>
      <c r="Z272" s="13"/>
      <c r="AA272" s="13"/>
      <c r="AB272" s="11"/>
      <c r="AC272" s="11"/>
      <c r="AD272" s="13"/>
      <c r="AE272" s="13"/>
      <c r="AF272" s="11"/>
      <c r="AG272" s="11"/>
      <c r="AH272" s="13"/>
      <c r="AI272" s="13"/>
      <c r="AJ272" s="11"/>
      <c r="AK272" s="11"/>
      <c r="AL272" s="13"/>
      <c r="AM272" s="13"/>
      <c r="AN272" s="13"/>
      <c r="AO272" s="14"/>
      <c r="AP272" s="11"/>
      <c r="AQ272" s="31"/>
      <c r="AR272" s="30"/>
    </row>
    <row r="273" spans="1:44" ht="40.799999999999997" x14ac:dyDescent="0.3">
      <c r="A273" s="10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2"/>
      <c r="R273" s="11"/>
      <c r="S273" s="13"/>
      <c r="T273" s="11"/>
      <c r="U273" s="11"/>
      <c r="V273" s="13"/>
      <c r="W273" s="13"/>
      <c r="X273" s="11"/>
      <c r="Y273" s="11"/>
      <c r="Z273" s="13"/>
      <c r="AA273" s="13"/>
      <c r="AB273" s="11"/>
      <c r="AC273" s="11"/>
      <c r="AD273" s="13"/>
      <c r="AE273" s="13"/>
      <c r="AF273" s="11"/>
      <c r="AG273" s="11"/>
      <c r="AH273" s="13"/>
      <c r="AI273" s="13"/>
      <c r="AJ273" s="11"/>
      <c r="AK273" s="11"/>
      <c r="AL273" s="13"/>
      <c r="AM273" s="13"/>
      <c r="AN273" s="13"/>
      <c r="AO273" s="14"/>
      <c r="AP273" s="11"/>
      <c r="AQ273" s="31"/>
      <c r="AR273" s="30"/>
    </row>
    <row r="274" spans="1:44" ht="40.799999999999997" x14ac:dyDescent="0.3">
      <c r="A274" s="10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2"/>
      <c r="R274" s="11"/>
      <c r="S274" s="13"/>
      <c r="T274" s="11"/>
      <c r="U274" s="11"/>
      <c r="V274" s="13"/>
      <c r="W274" s="13"/>
      <c r="X274" s="11"/>
      <c r="Y274" s="11"/>
      <c r="Z274" s="13"/>
      <c r="AA274" s="13"/>
      <c r="AB274" s="11"/>
      <c r="AC274" s="11"/>
      <c r="AD274" s="13"/>
      <c r="AE274" s="13"/>
      <c r="AF274" s="11"/>
      <c r="AG274" s="11"/>
      <c r="AH274" s="13"/>
      <c r="AI274" s="13"/>
      <c r="AJ274" s="11"/>
      <c r="AK274" s="11"/>
      <c r="AL274" s="13"/>
      <c r="AM274" s="13"/>
      <c r="AN274" s="13"/>
      <c r="AO274" s="14"/>
      <c r="AP274" s="11"/>
      <c r="AQ274" s="31"/>
      <c r="AR274" s="30"/>
    </row>
    <row r="275" spans="1:44" ht="40.799999999999997" x14ac:dyDescent="0.3">
      <c r="A275" s="10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2"/>
      <c r="R275" s="11"/>
      <c r="S275" s="13"/>
      <c r="T275" s="11"/>
      <c r="U275" s="11"/>
      <c r="V275" s="13"/>
      <c r="W275" s="13"/>
      <c r="X275" s="11"/>
      <c r="Y275" s="11"/>
      <c r="Z275" s="13"/>
      <c r="AA275" s="13"/>
      <c r="AB275" s="11"/>
      <c r="AC275" s="11"/>
      <c r="AD275" s="13"/>
      <c r="AE275" s="13"/>
      <c r="AF275" s="11"/>
      <c r="AG275" s="11"/>
      <c r="AH275" s="13"/>
      <c r="AI275" s="13"/>
      <c r="AJ275" s="11"/>
      <c r="AK275" s="11"/>
      <c r="AL275" s="13"/>
      <c r="AM275" s="13"/>
      <c r="AN275" s="13"/>
      <c r="AO275" s="14"/>
      <c r="AP275" s="11"/>
      <c r="AQ275" s="31"/>
      <c r="AR275" s="30"/>
    </row>
    <row r="276" spans="1:44" ht="40.799999999999997" x14ac:dyDescent="0.3">
      <c r="A276" s="10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2"/>
      <c r="R276" s="11"/>
      <c r="S276" s="13"/>
      <c r="T276" s="11"/>
      <c r="U276" s="11"/>
      <c r="V276" s="13"/>
      <c r="W276" s="13"/>
      <c r="X276" s="11"/>
      <c r="Y276" s="11"/>
      <c r="Z276" s="13"/>
      <c r="AA276" s="13"/>
      <c r="AB276" s="11"/>
      <c r="AC276" s="11"/>
      <c r="AD276" s="13"/>
      <c r="AE276" s="13"/>
      <c r="AF276" s="11"/>
      <c r="AG276" s="11"/>
      <c r="AH276" s="13"/>
      <c r="AI276" s="13"/>
      <c r="AJ276" s="11"/>
      <c r="AK276" s="11"/>
      <c r="AL276" s="13"/>
      <c r="AM276" s="13"/>
      <c r="AN276" s="13"/>
      <c r="AO276" s="14"/>
      <c r="AP276" s="11"/>
      <c r="AQ276" s="31"/>
      <c r="AR276" s="30"/>
    </row>
    <row r="277" spans="1:44" ht="40.799999999999997" x14ac:dyDescent="0.3">
      <c r="A277" s="10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2"/>
      <c r="R277" s="11"/>
      <c r="S277" s="13"/>
      <c r="T277" s="11"/>
      <c r="U277" s="11"/>
      <c r="V277" s="13"/>
      <c r="W277" s="13"/>
      <c r="X277" s="11"/>
      <c r="Y277" s="11"/>
      <c r="Z277" s="13"/>
      <c r="AA277" s="13"/>
      <c r="AB277" s="11"/>
      <c r="AC277" s="11"/>
      <c r="AD277" s="13"/>
      <c r="AE277" s="13"/>
      <c r="AF277" s="11"/>
      <c r="AG277" s="11"/>
      <c r="AH277" s="13"/>
      <c r="AI277" s="13"/>
      <c r="AJ277" s="11"/>
      <c r="AK277" s="11"/>
      <c r="AL277" s="13"/>
      <c r="AM277" s="13"/>
      <c r="AN277" s="13"/>
      <c r="AO277" s="14"/>
      <c r="AP277" s="11"/>
      <c r="AQ277" s="31"/>
      <c r="AR277" s="30"/>
    </row>
    <row r="278" spans="1:44" ht="40.799999999999997" x14ac:dyDescent="0.3">
      <c r="A278" s="10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2"/>
      <c r="R278" s="11"/>
      <c r="S278" s="13"/>
      <c r="T278" s="11"/>
      <c r="U278" s="11"/>
      <c r="V278" s="13"/>
      <c r="W278" s="13"/>
      <c r="X278" s="11"/>
      <c r="Y278" s="11"/>
      <c r="Z278" s="13"/>
      <c r="AA278" s="13"/>
      <c r="AB278" s="11"/>
      <c r="AC278" s="11"/>
      <c r="AD278" s="13"/>
      <c r="AE278" s="13"/>
      <c r="AF278" s="11"/>
      <c r="AG278" s="11"/>
      <c r="AH278" s="13"/>
      <c r="AI278" s="13"/>
      <c r="AJ278" s="11"/>
      <c r="AK278" s="11"/>
      <c r="AL278" s="13"/>
      <c r="AM278" s="13"/>
      <c r="AN278" s="13"/>
      <c r="AO278" s="14"/>
      <c r="AP278" s="11"/>
      <c r="AQ278" s="31"/>
      <c r="AR278" s="30"/>
    </row>
    <row r="279" spans="1:44" ht="40.799999999999997" x14ac:dyDescent="0.3">
      <c r="A279" s="10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2"/>
      <c r="R279" s="11"/>
      <c r="S279" s="13"/>
      <c r="T279" s="11"/>
      <c r="U279" s="11"/>
      <c r="V279" s="13"/>
      <c r="W279" s="13"/>
      <c r="X279" s="11"/>
      <c r="Y279" s="11"/>
      <c r="Z279" s="13"/>
      <c r="AA279" s="13"/>
      <c r="AB279" s="11"/>
      <c r="AC279" s="11"/>
      <c r="AD279" s="13"/>
      <c r="AE279" s="13"/>
      <c r="AF279" s="11"/>
      <c r="AG279" s="11"/>
      <c r="AH279" s="13"/>
      <c r="AI279" s="13"/>
      <c r="AJ279" s="11"/>
      <c r="AK279" s="11"/>
      <c r="AL279" s="13"/>
      <c r="AM279" s="13"/>
      <c r="AN279" s="13"/>
      <c r="AO279" s="14"/>
      <c r="AP279" s="11"/>
      <c r="AQ279" s="31"/>
      <c r="AR279" s="30"/>
    </row>
    <row r="280" spans="1:44" ht="40.799999999999997" x14ac:dyDescent="0.3">
      <c r="A280" s="10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2"/>
      <c r="R280" s="11"/>
      <c r="S280" s="13"/>
      <c r="T280" s="11"/>
      <c r="U280" s="11"/>
      <c r="V280" s="13"/>
      <c r="W280" s="13"/>
      <c r="X280" s="11"/>
      <c r="Y280" s="11"/>
      <c r="Z280" s="13"/>
      <c r="AA280" s="13"/>
      <c r="AB280" s="11"/>
      <c r="AC280" s="11"/>
      <c r="AD280" s="13"/>
      <c r="AE280" s="13"/>
      <c r="AF280" s="11"/>
      <c r="AG280" s="11"/>
      <c r="AH280" s="13"/>
      <c r="AI280" s="13"/>
      <c r="AJ280" s="11"/>
      <c r="AK280" s="11"/>
      <c r="AL280" s="13"/>
      <c r="AM280" s="13"/>
      <c r="AN280" s="13"/>
      <c r="AO280" s="14"/>
      <c r="AP280" s="11"/>
      <c r="AQ280" s="31"/>
      <c r="AR280" s="30"/>
    </row>
    <row r="281" spans="1:44" ht="40.799999999999997" x14ac:dyDescent="0.3">
      <c r="A281" s="10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2"/>
      <c r="R281" s="11"/>
      <c r="S281" s="13"/>
      <c r="T281" s="11"/>
      <c r="U281" s="11"/>
      <c r="V281" s="13"/>
      <c r="W281" s="13"/>
      <c r="X281" s="11"/>
      <c r="Y281" s="11"/>
      <c r="Z281" s="13"/>
      <c r="AA281" s="13"/>
      <c r="AB281" s="11"/>
      <c r="AC281" s="11"/>
      <c r="AD281" s="13"/>
      <c r="AE281" s="13"/>
      <c r="AF281" s="11"/>
      <c r="AG281" s="11"/>
      <c r="AH281" s="13"/>
      <c r="AI281" s="13"/>
      <c r="AJ281" s="11"/>
      <c r="AK281" s="11"/>
      <c r="AL281" s="13"/>
      <c r="AM281" s="13"/>
      <c r="AN281" s="13"/>
      <c r="AO281" s="14"/>
      <c r="AP281" s="11"/>
      <c r="AQ281" s="31"/>
      <c r="AR281" s="30"/>
    </row>
    <row r="282" spans="1:44" ht="40.799999999999997" x14ac:dyDescent="0.3">
      <c r="A282" s="10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2"/>
      <c r="R282" s="11"/>
      <c r="S282" s="13"/>
      <c r="T282" s="11"/>
      <c r="U282" s="11"/>
      <c r="V282" s="13"/>
      <c r="W282" s="13"/>
      <c r="X282" s="11"/>
      <c r="Y282" s="11"/>
      <c r="Z282" s="13"/>
      <c r="AA282" s="13"/>
      <c r="AB282" s="11"/>
      <c r="AC282" s="11"/>
      <c r="AD282" s="13"/>
      <c r="AE282" s="13"/>
      <c r="AF282" s="11"/>
      <c r="AG282" s="11"/>
      <c r="AH282" s="13"/>
      <c r="AI282" s="13"/>
      <c r="AJ282" s="11"/>
      <c r="AK282" s="11"/>
      <c r="AL282" s="13"/>
      <c r="AM282" s="13"/>
      <c r="AN282" s="13"/>
      <c r="AO282" s="14"/>
      <c r="AP282" s="11"/>
      <c r="AQ282" s="31"/>
      <c r="AR282" s="30"/>
    </row>
    <row r="283" spans="1:44" ht="40.799999999999997" x14ac:dyDescent="0.3">
      <c r="A283" s="10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2"/>
      <c r="R283" s="11"/>
      <c r="S283" s="13"/>
      <c r="T283" s="11"/>
      <c r="U283" s="11"/>
      <c r="V283" s="13"/>
      <c r="W283" s="13"/>
      <c r="X283" s="11"/>
      <c r="Y283" s="11"/>
      <c r="Z283" s="13"/>
      <c r="AA283" s="13"/>
      <c r="AB283" s="11"/>
      <c r="AC283" s="11"/>
      <c r="AD283" s="13"/>
      <c r="AE283" s="13"/>
      <c r="AF283" s="11"/>
      <c r="AG283" s="11"/>
      <c r="AH283" s="13"/>
      <c r="AI283" s="13"/>
      <c r="AJ283" s="11"/>
      <c r="AK283" s="11"/>
      <c r="AL283" s="13"/>
      <c r="AM283" s="13"/>
      <c r="AN283" s="13"/>
      <c r="AO283" s="14"/>
      <c r="AP283" s="11"/>
      <c r="AQ283" s="31"/>
      <c r="AR283" s="30"/>
    </row>
    <row r="284" spans="1:44" ht="40.799999999999997" x14ac:dyDescent="0.3">
      <c r="A284" s="10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2"/>
      <c r="R284" s="11"/>
      <c r="S284" s="13"/>
      <c r="T284" s="11"/>
      <c r="U284" s="11"/>
      <c r="V284" s="13"/>
      <c r="W284" s="13"/>
      <c r="X284" s="11"/>
      <c r="Y284" s="11"/>
      <c r="Z284" s="13"/>
      <c r="AA284" s="13"/>
      <c r="AB284" s="11"/>
      <c r="AC284" s="11"/>
      <c r="AD284" s="13"/>
      <c r="AE284" s="13"/>
      <c r="AF284" s="11"/>
      <c r="AG284" s="11"/>
      <c r="AH284" s="13"/>
      <c r="AI284" s="13"/>
      <c r="AJ284" s="11"/>
      <c r="AK284" s="11"/>
      <c r="AL284" s="13"/>
      <c r="AM284" s="13"/>
      <c r="AN284" s="13"/>
      <c r="AO284" s="14"/>
      <c r="AP284" s="11"/>
      <c r="AQ284" s="31"/>
      <c r="AR284" s="30"/>
    </row>
    <row r="285" spans="1:44" ht="40.799999999999997" x14ac:dyDescent="0.3">
      <c r="A285" s="10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2"/>
      <c r="R285" s="11"/>
      <c r="S285" s="13"/>
      <c r="T285" s="11"/>
      <c r="U285" s="11"/>
      <c r="V285" s="13"/>
      <c r="W285" s="13"/>
      <c r="X285" s="11"/>
      <c r="Y285" s="11"/>
      <c r="Z285" s="13"/>
      <c r="AA285" s="13"/>
      <c r="AB285" s="11"/>
      <c r="AC285" s="11"/>
      <c r="AD285" s="13"/>
      <c r="AE285" s="13"/>
      <c r="AF285" s="11"/>
      <c r="AG285" s="11"/>
      <c r="AH285" s="13"/>
      <c r="AI285" s="13"/>
      <c r="AJ285" s="11"/>
      <c r="AK285" s="11"/>
      <c r="AL285" s="13"/>
      <c r="AM285" s="13"/>
      <c r="AN285" s="13"/>
      <c r="AO285" s="14"/>
      <c r="AP285" s="11"/>
      <c r="AQ285" s="31"/>
      <c r="AR285" s="30"/>
    </row>
    <row r="286" spans="1:44" x14ac:dyDescent="0.3">
      <c r="A286">
        <v>1</v>
      </c>
      <c r="B286">
        <v>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1</v>
      </c>
      <c r="AO286">
        <v>1</v>
      </c>
      <c r="AP286">
        <v>1</v>
      </c>
      <c r="AQ286">
        <v>1</v>
      </c>
      <c r="AR286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106680</xdr:rowOff>
                  </from>
                  <to>
                    <xdr:col>1</xdr:col>
                    <xdr:colOff>60960</xdr:colOff>
                    <xdr:row>0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1</xdr:col>
                    <xdr:colOff>99060</xdr:colOff>
                    <xdr:row>0</xdr:row>
                    <xdr:rowOff>114300</xdr:rowOff>
                  </from>
                  <to>
                    <xdr:col>2</xdr:col>
                    <xdr:colOff>571500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tartTimer">
                <anchor moveWithCells="1" sizeWithCells="1">
                  <from>
                    <xdr:col>0</xdr:col>
                    <xdr:colOff>7620</xdr:colOff>
                    <xdr:row>0</xdr:row>
                    <xdr:rowOff>434340</xdr:rowOff>
                  </from>
                  <to>
                    <xdr:col>0</xdr:col>
                    <xdr:colOff>784860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top_Timer">
                <anchor moveWithCells="1" sizeWithCells="1">
                  <from>
                    <xdr:col>1</xdr:col>
                    <xdr:colOff>7620</xdr:colOff>
                    <xdr:row>0</xdr:row>
                    <xdr:rowOff>449580</xdr:rowOff>
                  </from>
                  <to>
                    <xdr:col>2</xdr:col>
                    <xdr:colOff>236220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pinner 13">
              <controlPr defaultSize="0" autoPict="0">
                <anchor moveWithCells="1" sizeWithCells="1">
                  <from>
                    <xdr:col>2</xdr:col>
                    <xdr:colOff>373380</xdr:colOff>
                    <xdr:row>0</xdr:row>
                    <xdr:rowOff>457200</xdr:rowOff>
                  </from>
                  <to>
                    <xdr:col>3</xdr:col>
                    <xdr:colOff>7620</xdr:colOff>
                    <xdr:row>0</xdr:row>
                    <xdr:rowOff>1097280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B9"/>
  <sheetViews>
    <sheetView zoomScale="70" zoomScaleNormal="70" workbookViewId="0">
      <selection activeCell="B8" sqref="B8"/>
    </sheetView>
  </sheetViews>
  <sheetFormatPr defaultRowHeight="14.4" x14ac:dyDescent="0.3"/>
  <cols>
    <col min="1" max="1" width="17.88671875" bestFit="1" customWidth="1"/>
    <col min="2" max="2" width="14.6640625" bestFit="1" customWidth="1"/>
    <col min="32" max="32" width="14.44140625" customWidth="1"/>
  </cols>
  <sheetData>
    <row r="1" spans="1:2" x14ac:dyDescent="0.3">
      <c r="A1" s="37" t="s">
        <v>4787</v>
      </c>
      <c r="B1" s="38"/>
    </row>
    <row r="2" spans="1:2" x14ac:dyDescent="0.3">
      <c r="A2" s="35" t="s">
        <v>4788</v>
      </c>
      <c r="B2" s="36">
        <v>43302.375</v>
      </c>
    </row>
    <row r="3" spans="1:2" x14ac:dyDescent="0.3">
      <c r="A3" s="35" t="s">
        <v>4789</v>
      </c>
      <c r="B3" s="4">
        <v>43302.645833333299</v>
      </c>
    </row>
    <row r="4" spans="1:2" x14ac:dyDescent="0.3">
      <c r="A4" s="37" t="s">
        <v>4790</v>
      </c>
      <c r="B4" s="38"/>
    </row>
    <row r="5" spans="1:2" x14ac:dyDescent="0.3">
      <c r="A5" s="35" t="s">
        <v>4791</v>
      </c>
      <c r="B5" s="4">
        <v>1.0416666666666701E-2</v>
      </c>
    </row>
    <row r="6" spans="1:2" x14ac:dyDescent="0.3">
      <c r="A6" s="35" t="s">
        <v>4792</v>
      </c>
      <c r="B6" s="4">
        <f>B5/5</f>
        <v>2.0833333333333402E-3</v>
      </c>
    </row>
    <row r="7" spans="1:2" x14ac:dyDescent="0.3">
      <c r="A7" s="37" t="s">
        <v>4803</v>
      </c>
      <c r="B7" s="38"/>
    </row>
    <row r="8" spans="1:2" x14ac:dyDescent="0.3">
      <c r="A8" s="35" t="s">
        <v>4802</v>
      </c>
      <c r="B8" s="4">
        <v>55</v>
      </c>
    </row>
    <row r="9" spans="1:2" x14ac:dyDescent="0.3">
      <c r="A9" s="35"/>
      <c r="B9" s="4"/>
    </row>
  </sheetData>
  <mergeCells count="3">
    <mergeCell ref="A1:B1"/>
    <mergeCell ref="A4:B4"/>
    <mergeCell ref="A7:B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B6" sqref="B6"/>
    </sheetView>
  </sheetViews>
  <sheetFormatPr defaultRowHeight="14.4" x14ac:dyDescent="0.3"/>
  <cols>
    <col min="1" max="1" width="18.109375" bestFit="1" customWidth="1"/>
    <col min="2" max="2" width="20.33203125" bestFit="1" customWidth="1"/>
    <col min="3" max="3" width="9.6640625" bestFit="1" customWidth="1"/>
    <col min="4" max="4" width="7.21875" customWidth="1"/>
    <col min="5" max="5" width="6.6640625" customWidth="1"/>
    <col min="6" max="6" width="4.109375" customWidth="1"/>
    <col min="7" max="7" width="5.77734375" customWidth="1"/>
    <col min="8" max="8" width="6.77734375" customWidth="1"/>
    <col min="9" max="9" width="7.5546875" customWidth="1"/>
    <col min="10" max="10" width="12.5546875" bestFit="1" customWidth="1"/>
  </cols>
  <sheetData>
    <row r="1" spans="1:11" x14ac:dyDescent="0.3">
      <c r="A1" s="28">
        <v>43302</v>
      </c>
      <c r="B1" s="19">
        <f>A1</f>
        <v>43302</v>
      </c>
      <c r="C1" t="s">
        <v>4783</v>
      </c>
      <c r="D1" t="s">
        <v>4782</v>
      </c>
    </row>
    <row r="2" spans="1:11" x14ac:dyDescent="0.3">
      <c r="A2" s="28">
        <f>B2</f>
        <v>1</v>
      </c>
      <c r="B2" s="19">
        <v>1</v>
      </c>
    </row>
    <row r="3" spans="1:11" x14ac:dyDescent="0.3">
      <c r="A3" s="28">
        <v>1.0034722222222223</v>
      </c>
      <c r="B3" s="29">
        <f>A3</f>
        <v>1.0034722222222223</v>
      </c>
      <c r="F3" t="s">
        <v>4781</v>
      </c>
      <c r="G3" t="s">
        <v>4780</v>
      </c>
      <c r="H3" t="s">
        <v>4779</v>
      </c>
      <c r="I3" t="s">
        <v>4778</v>
      </c>
    </row>
    <row r="4" spans="1:11" x14ac:dyDescent="0.3">
      <c r="A4" s="28">
        <v>1.000011574074074</v>
      </c>
      <c r="B4" s="27">
        <f>A4</f>
        <v>1.000011574074074</v>
      </c>
      <c r="F4">
        <v>1</v>
      </c>
      <c r="G4">
        <v>24</v>
      </c>
      <c r="H4">
        <f>G4*60</f>
        <v>1440</v>
      </c>
      <c r="I4">
        <f>H4*60</f>
        <v>86400</v>
      </c>
    </row>
    <row r="5" spans="1:11" x14ac:dyDescent="0.3">
      <c r="A5" s="23">
        <v>43301.375</v>
      </c>
      <c r="B5" s="22">
        <f>A5</f>
        <v>43301.375</v>
      </c>
      <c r="C5" s="26"/>
      <c r="H5">
        <v>5</v>
      </c>
      <c r="I5" s="25"/>
      <c r="J5" s="24">
        <f>F5/F4+G5/G4+H5/H4+I5/I4</f>
        <v>3.472222222222222E-3</v>
      </c>
      <c r="K5" t="s">
        <v>4784</v>
      </c>
    </row>
    <row r="6" spans="1:11" x14ac:dyDescent="0.3">
      <c r="A6" s="23">
        <v>43301.666666666664</v>
      </c>
      <c r="B6" s="22">
        <f>A6</f>
        <v>43301.666666666664</v>
      </c>
      <c r="C6" s="21">
        <f>B6-B5</f>
        <v>0.29166666666424135</v>
      </c>
      <c r="D6" s="20" t="s">
        <v>4777</v>
      </c>
      <c r="E6" s="19">
        <f>C6/J5</f>
        <v>83.999999999301508</v>
      </c>
      <c r="K6" t="s">
        <v>4785</v>
      </c>
    </row>
    <row r="13" spans="1:11" x14ac:dyDescent="0.3">
      <c r="E13" t="s">
        <v>4775</v>
      </c>
      <c r="F13" t="s">
        <v>4776</v>
      </c>
    </row>
    <row r="14" spans="1:11" x14ac:dyDescent="0.3">
      <c r="E14" s="8">
        <v>0.14722222222222223</v>
      </c>
      <c r="F14">
        <v>3</v>
      </c>
    </row>
    <row r="15" spans="1:11" x14ac:dyDescent="0.3">
      <c r="E15" s="8">
        <f t="shared" ref="E15:E24" si="0">E14+H15</f>
        <v>0.15069444444444444</v>
      </c>
      <c r="F15">
        <v>4</v>
      </c>
      <c r="H15" s="9">
        <v>3.472222222222222E-3</v>
      </c>
    </row>
    <row r="16" spans="1:11" x14ac:dyDescent="0.3">
      <c r="E16" s="8">
        <f t="shared" si="0"/>
        <v>0.15416666666666665</v>
      </c>
      <c r="F16">
        <v>5</v>
      </c>
      <c r="H16" s="9">
        <v>3.472222222222222E-3</v>
      </c>
    </row>
    <row r="17" spans="5:8" x14ac:dyDescent="0.3">
      <c r="E17" s="8">
        <f t="shared" si="0"/>
        <v>0.15763888888888886</v>
      </c>
      <c r="F17">
        <v>23</v>
      </c>
      <c r="H17" s="9">
        <v>3.472222222222222E-3</v>
      </c>
    </row>
    <row r="18" spans="5:8" x14ac:dyDescent="0.3">
      <c r="E18" s="8">
        <f t="shared" si="0"/>
        <v>0.16111111111111107</v>
      </c>
      <c r="F18">
        <v>34</v>
      </c>
      <c r="H18" s="9">
        <v>3.472222222222222E-3</v>
      </c>
    </row>
    <row r="19" spans="5:8" x14ac:dyDescent="0.3">
      <c r="E19" s="8">
        <f t="shared" si="0"/>
        <v>0.16458333333333328</v>
      </c>
      <c r="F19">
        <v>66</v>
      </c>
      <c r="H19" s="9">
        <v>3.472222222222222E-3</v>
      </c>
    </row>
    <row r="20" spans="5:8" x14ac:dyDescent="0.3">
      <c r="E20" s="8">
        <f t="shared" si="0"/>
        <v>0.16805555555555549</v>
      </c>
      <c r="F20">
        <v>34</v>
      </c>
      <c r="H20" s="9">
        <v>3.472222222222222E-3</v>
      </c>
    </row>
    <row r="21" spans="5:8" x14ac:dyDescent="0.3">
      <c r="E21" s="8">
        <f t="shared" si="0"/>
        <v>0.1715277777777777</v>
      </c>
      <c r="F21">
        <v>4</v>
      </c>
      <c r="H21" s="9">
        <v>3.472222222222222E-3</v>
      </c>
    </row>
    <row r="22" spans="5:8" x14ac:dyDescent="0.3">
      <c r="E22" s="8">
        <f t="shared" si="0"/>
        <v>0.17499999999999991</v>
      </c>
      <c r="F22">
        <v>23</v>
      </c>
      <c r="H22" s="9">
        <v>3.472222222222222E-3</v>
      </c>
    </row>
    <row r="23" spans="5:8" x14ac:dyDescent="0.3">
      <c r="E23" s="8">
        <f t="shared" si="0"/>
        <v>0.17847222222222212</v>
      </c>
      <c r="F23">
        <v>12</v>
      </c>
      <c r="H23" s="9">
        <v>3.472222222222222E-3</v>
      </c>
    </row>
    <row r="24" spans="5:8" x14ac:dyDescent="0.3">
      <c r="E24" s="8">
        <f t="shared" si="0"/>
        <v>0.18194444444444433</v>
      </c>
      <c r="F24">
        <v>66</v>
      </c>
      <c r="H24" s="9">
        <v>3.472222222222222E-3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nse</vt:lpstr>
      <vt:lpstr>Stocks</vt:lpstr>
      <vt:lpstr>Export Data</vt:lpstr>
      <vt:lpstr>Basic data</vt:lpstr>
      <vt:lpstr>Rough Calculation</vt:lpstr>
      <vt:lpstr>TotalBuySellGraph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2018-07-24T10:35:41Z</dcterms:modified>
</cp:coreProperties>
</file>