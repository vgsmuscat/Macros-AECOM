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VGS\Miscelleneous\LANOSREP\Macros\"/>
    </mc:Choice>
  </mc:AlternateContent>
  <bookViews>
    <workbookView xWindow="0" yWindow="0" windowWidth="23040" windowHeight="9408"/>
  </bookViews>
  <sheets>
    <sheet name="Sheetsd1" sheetId="1" r:id="rId1"/>
    <sheet name="Curve Sheet" sheetId="2" r:id="rId2"/>
    <sheet name="tbd" sheetId="6" r:id="rId3"/>
    <sheet name="Sheet1" sheetId="7" r:id="rId4"/>
    <sheet name="Sheet4" sheetId="4" r:id="rId5"/>
    <sheet name="P6 Resource Curve" sheetId="5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7" l="1"/>
  <c r="U3" i="7"/>
  <c r="V3" i="7" s="1"/>
  <c r="T3" i="7"/>
  <c r="F3" i="7"/>
  <c r="G3" i="7" s="1"/>
  <c r="H3" i="7" s="1"/>
  <c r="I3" i="7" s="1"/>
  <c r="J3" i="7" s="1"/>
  <c r="K3" i="7" s="1"/>
  <c r="L3" i="7" s="1"/>
  <c r="M3" i="7" s="1"/>
  <c r="N3" i="7" s="1"/>
  <c r="O3" i="7" s="1"/>
  <c r="P3" i="7" s="1"/>
  <c r="Q3" i="7" s="1"/>
  <c r="R3" i="7" s="1"/>
  <c r="S3" i="7" s="1"/>
  <c r="E3" i="7"/>
  <c r="D3" i="7"/>
  <c r="C1" i="6" l="1"/>
  <c r="D1" i="6"/>
  <c r="E1" i="6"/>
  <c r="A6" i="6" s="1"/>
  <c r="A5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C24" i="6"/>
  <c r="D24" i="6"/>
  <c r="E24" i="6"/>
  <c r="A3" i="2"/>
  <c r="A4" i="2" s="1"/>
  <c r="A5" i="2" s="1"/>
  <c r="H6" i="4"/>
  <c r="G6" i="4"/>
  <c r="I6" i="4"/>
  <c r="F6" i="4"/>
  <c r="E6" i="4"/>
  <c r="I5" i="4" l="1"/>
  <c r="H5" i="4"/>
  <c r="G5" i="4"/>
  <c r="F5" i="4"/>
  <c r="E5" i="4"/>
  <c r="F19" i="4" l="1"/>
  <c r="I19" i="4" s="1"/>
  <c r="X5" i="2"/>
  <c r="X4" i="2"/>
  <c r="X3" i="2"/>
  <c r="C1" i="4"/>
  <c r="D1" i="4" s="1"/>
  <c r="E1" i="4" s="1"/>
  <c r="F1" i="4" s="1"/>
  <c r="G1" i="4" s="1"/>
  <c r="H1" i="4" s="1"/>
  <c r="I1" i="4" s="1"/>
  <c r="J1" i="4" s="1"/>
  <c r="K1" i="4" s="1"/>
  <c r="L1" i="4" s="1"/>
  <c r="M1" i="4" s="1"/>
  <c r="N1" i="4" s="1"/>
  <c r="O1" i="4" s="1"/>
  <c r="P1" i="4" s="1"/>
  <c r="Q1" i="4" s="1"/>
  <c r="R1" i="4" s="1"/>
  <c r="S1" i="4" s="1"/>
  <c r="T1" i="4" s="1"/>
  <c r="U1" i="4" s="1"/>
  <c r="V1" i="4" s="1"/>
  <c r="W1" i="4" s="1"/>
  <c r="F2" i="1"/>
  <c r="E2" i="1"/>
  <c r="E1" i="2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J1" i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I1" i="1"/>
  <c r="H1" i="1"/>
</calcChain>
</file>

<file path=xl/sharedStrings.xml><?xml version="1.0" encoding="utf-8"?>
<sst xmlns="http://schemas.openxmlformats.org/spreadsheetml/2006/main" count="23" uniqueCount="16">
  <si>
    <t>SD</t>
  </si>
  <si>
    <t>FD</t>
  </si>
  <si>
    <t>M1</t>
  </si>
  <si>
    <t>M2</t>
  </si>
  <si>
    <t>M3</t>
  </si>
  <si>
    <t>Cum</t>
  </si>
  <si>
    <t>Linear</t>
  </si>
  <si>
    <t>Triangular Increase</t>
  </si>
  <si>
    <t>Total</t>
  </si>
  <si>
    <t>Triangular Decrease</t>
  </si>
  <si>
    <t>Back Loaded</t>
  </si>
  <si>
    <t>Duration</t>
  </si>
  <si>
    <t>Days</t>
  </si>
  <si>
    <t>% of Days</t>
  </si>
  <si>
    <t>% of Days based on Curved</t>
  </si>
  <si>
    <t>Curve Row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</si>
</sst>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0" fontId="0" fillId="2" borderId="1" xfId="0" applyFill="1" applyBorder="1"/>
    <xf numFmtId="9" fontId="0" fillId="2" borderId="1" xfId="1" applyFont="1" applyFill="1" applyBorder="1"/>
    <xf numFmtId="43" fontId="0" fillId="2" borderId="1" xfId="2" applyFont="1" applyFill="1" applyBorder="1"/>
    <xf numFmtId="0" fontId="0" fillId="0" borderId="1" xfId="0" applyBorder="1"/>
    <xf numFmtId="0" fontId="2" fillId="0" borderId="1" xfId="0" applyFont="1" applyBorder="1"/>
    <xf numFmtId="0" fontId="2" fillId="3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4" borderId="1" xfId="0" applyFill="1" applyBorder="1"/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1438095" cy="4285714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1438095" cy="4285714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25</xdr:row>
      <xdr:rowOff>0</xdr:rowOff>
    </xdr:from>
    <xdr:ext cx="11419047" cy="4247619"/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572000"/>
          <a:ext cx="11419047" cy="4247619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49</xdr:row>
      <xdr:rowOff>0</xdr:rowOff>
    </xdr:from>
    <xdr:ext cx="11380952" cy="4171429"/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961120"/>
          <a:ext cx="11380952" cy="4171429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1:U2"/>
  <sheetViews>
    <sheetView tabSelected="1" workbookViewId="0">
      <selection activeCell="L7" sqref="L7"/>
    </sheetView>
  </sheetViews>
  <sheetFormatPr defaultRowHeight="14.4" x14ac:dyDescent="0.3"/>
  <sheetData>
    <row r="1" spans="4:21" x14ac:dyDescent="0.3">
      <c r="D1" t="s">
        <v>0</v>
      </c>
      <c r="E1" t="s">
        <v>1</v>
      </c>
      <c r="G1" s="1">
        <v>43040</v>
      </c>
      <c r="H1" s="1">
        <f>EOMONTH(G1,0)+1</f>
        <v>43070</v>
      </c>
      <c r="I1" s="1">
        <f t="shared" ref="I1:U1" si="0">EOMONTH(H1,0)+1</f>
        <v>43101</v>
      </c>
      <c r="J1" s="1">
        <f t="shared" si="0"/>
        <v>43132</v>
      </c>
      <c r="K1" s="1">
        <f t="shared" si="0"/>
        <v>43160</v>
      </c>
      <c r="L1" s="1">
        <f t="shared" si="0"/>
        <v>43191</v>
      </c>
      <c r="M1" s="1">
        <f t="shared" si="0"/>
        <v>43221</v>
      </c>
      <c r="N1" s="1">
        <f t="shared" si="0"/>
        <v>43252</v>
      </c>
      <c r="O1" s="1">
        <f t="shared" si="0"/>
        <v>43282</v>
      </c>
      <c r="P1" s="1">
        <f t="shared" si="0"/>
        <v>43313</v>
      </c>
      <c r="Q1" s="1">
        <f t="shared" si="0"/>
        <v>43344</v>
      </c>
      <c r="R1" s="1">
        <f t="shared" si="0"/>
        <v>43374</v>
      </c>
      <c r="S1" s="1">
        <f t="shared" si="0"/>
        <v>43405</v>
      </c>
      <c r="T1" s="1">
        <f t="shared" si="0"/>
        <v>43435</v>
      </c>
      <c r="U1" s="1">
        <f t="shared" si="0"/>
        <v>43466</v>
      </c>
    </row>
    <row r="2" spans="4:21" x14ac:dyDescent="0.3">
      <c r="D2" s="1">
        <v>43044</v>
      </c>
      <c r="E2" s="1">
        <f>D2+75</f>
        <v>43119</v>
      </c>
      <c r="F2">
        <f>E2-D2+1</f>
        <v>76</v>
      </c>
    </row>
  </sheetData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4"/>
  <sheetViews>
    <sheetView workbookViewId="0">
      <selection activeCell="D13" sqref="D13"/>
    </sheetView>
  </sheetViews>
  <sheetFormatPr defaultRowHeight="14.4" x14ac:dyDescent="0.3"/>
  <cols>
    <col min="2" max="2" width="17.6640625" bestFit="1" customWidth="1"/>
  </cols>
  <sheetData>
    <row r="1" spans="1:24" ht="28.8" x14ac:dyDescent="0.3">
      <c r="A1" s="7" t="s">
        <v>15</v>
      </c>
      <c r="B1" s="9" t="s">
        <v>11</v>
      </c>
      <c r="C1" s="9">
        <v>0</v>
      </c>
      <c r="D1" s="9">
        <v>5</v>
      </c>
      <c r="E1" s="9">
        <f t="shared" ref="E1:W1" si="0">D1+5</f>
        <v>10</v>
      </c>
      <c r="F1" s="9">
        <f t="shared" si="0"/>
        <v>15</v>
      </c>
      <c r="G1" s="9">
        <f t="shared" si="0"/>
        <v>20</v>
      </c>
      <c r="H1" s="9">
        <f t="shared" si="0"/>
        <v>25</v>
      </c>
      <c r="I1" s="9">
        <f t="shared" si="0"/>
        <v>30</v>
      </c>
      <c r="J1" s="9">
        <f t="shared" si="0"/>
        <v>35</v>
      </c>
      <c r="K1" s="9">
        <f t="shared" si="0"/>
        <v>40</v>
      </c>
      <c r="L1" s="9">
        <f t="shared" si="0"/>
        <v>45</v>
      </c>
      <c r="M1" s="9">
        <f t="shared" si="0"/>
        <v>50</v>
      </c>
      <c r="N1" s="9">
        <f t="shared" si="0"/>
        <v>55</v>
      </c>
      <c r="O1" s="9">
        <f t="shared" si="0"/>
        <v>60</v>
      </c>
      <c r="P1" s="9">
        <f t="shared" si="0"/>
        <v>65</v>
      </c>
      <c r="Q1" s="9">
        <f t="shared" si="0"/>
        <v>70</v>
      </c>
      <c r="R1" s="9">
        <f t="shared" si="0"/>
        <v>75</v>
      </c>
      <c r="S1" s="9">
        <f t="shared" si="0"/>
        <v>80</v>
      </c>
      <c r="T1" s="9">
        <f t="shared" si="0"/>
        <v>85</v>
      </c>
      <c r="U1" s="9">
        <f t="shared" si="0"/>
        <v>90</v>
      </c>
      <c r="V1" s="9">
        <f t="shared" si="0"/>
        <v>95</v>
      </c>
      <c r="W1" s="9">
        <f t="shared" si="0"/>
        <v>100</v>
      </c>
      <c r="X1" s="10" t="s">
        <v>8</v>
      </c>
    </row>
    <row r="2" spans="1:24" x14ac:dyDescent="0.3">
      <c r="A2" s="8">
        <v>1</v>
      </c>
      <c r="B2" s="6" t="s">
        <v>6</v>
      </c>
      <c r="C2" s="5">
        <v>0</v>
      </c>
      <c r="D2" s="5">
        <v>5</v>
      </c>
      <c r="E2" s="5">
        <v>5</v>
      </c>
      <c r="F2" s="5">
        <v>5</v>
      </c>
      <c r="G2" s="5">
        <v>5</v>
      </c>
      <c r="H2" s="5">
        <v>5</v>
      </c>
      <c r="I2" s="5">
        <v>5</v>
      </c>
      <c r="J2" s="5">
        <v>5</v>
      </c>
      <c r="K2" s="5">
        <v>5</v>
      </c>
      <c r="L2" s="5">
        <v>5</v>
      </c>
      <c r="M2" s="5">
        <v>5</v>
      </c>
      <c r="N2" s="5">
        <v>5</v>
      </c>
      <c r="O2" s="5">
        <v>5</v>
      </c>
      <c r="P2" s="5">
        <v>5</v>
      </c>
      <c r="Q2" s="5">
        <v>5</v>
      </c>
      <c r="R2" s="5">
        <v>5</v>
      </c>
      <c r="S2" s="5">
        <v>5</v>
      </c>
      <c r="T2" s="5">
        <v>5</v>
      </c>
      <c r="U2" s="5">
        <v>5</v>
      </c>
      <c r="V2" s="5">
        <v>5</v>
      </c>
      <c r="W2" s="5">
        <v>5</v>
      </c>
      <c r="X2" s="11"/>
    </row>
    <row r="3" spans="1:24" x14ac:dyDescent="0.3">
      <c r="A3" s="8">
        <f>A2+ 1</f>
        <v>2</v>
      </c>
      <c r="B3" s="6" t="s">
        <v>7</v>
      </c>
      <c r="C3" s="5">
        <v>0</v>
      </c>
      <c r="D3" s="5">
        <v>1</v>
      </c>
      <c r="E3" s="5">
        <v>1</v>
      </c>
      <c r="F3" s="5">
        <v>1.5</v>
      </c>
      <c r="G3" s="5">
        <v>1.5</v>
      </c>
      <c r="H3" s="5">
        <v>3</v>
      </c>
      <c r="I3" s="5">
        <v>3</v>
      </c>
      <c r="J3" s="5">
        <v>3.5</v>
      </c>
      <c r="K3" s="5">
        <v>3.5</v>
      </c>
      <c r="L3" s="5">
        <v>4.5</v>
      </c>
      <c r="M3" s="5">
        <v>4.5</v>
      </c>
      <c r="N3" s="5">
        <v>5.5</v>
      </c>
      <c r="O3" s="5">
        <v>5.5</v>
      </c>
      <c r="P3" s="5">
        <v>6.5</v>
      </c>
      <c r="Q3" s="5">
        <v>6.5</v>
      </c>
      <c r="R3" s="5">
        <v>7</v>
      </c>
      <c r="S3" s="5">
        <v>7</v>
      </c>
      <c r="T3" s="5">
        <v>8.5</v>
      </c>
      <c r="U3" s="5">
        <v>8.5</v>
      </c>
      <c r="V3" s="5">
        <v>9</v>
      </c>
      <c r="W3" s="5">
        <v>9</v>
      </c>
      <c r="X3" s="11">
        <f>SUM(C3:W3)</f>
        <v>100</v>
      </c>
    </row>
    <row r="4" spans="1:24" x14ac:dyDescent="0.3">
      <c r="A4" s="8">
        <f t="shared" ref="A4:A5" si="1">A3+ 1</f>
        <v>3</v>
      </c>
      <c r="B4" s="6" t="s">
        <v>9</v>
      </c>
      <c r="C4" s="5">
        <v>0</v>
      </c>
      <c r="D4" s="5">
        <v>9</v>
      </c>
      <c r="E4" s="5">
        <v>9</v>
      </c>
      <c r="F4" s="5">
        <v>8.5</v>
      </c>
      <c r="G4" s="5">
        <v>8.5</v>
      </c>
      <c r="H4" s="5">
        <v>7</v>
      </c>
      <c r="I4" s="5">
        <v>7</v>
      </c>
      <c r="J4" s="5">
        <v>6.5</v>
      </c>
      <c r="K4" s="5">
        <v>6.5</v>
      </c>
      <c r="L4" s="5">
        <v>5.5</v>
      </c>
      <c r="M4" s="5">
        <v>5.5</v>
      </c>
      <c r="N4" s="5">
        <v>4.5</v>
      </c>
      <c r="O4" s="5">
        <v>4.5</v>
      </c>
      <c r="P4" s="5">
        <v>3.5</v>
      </c>
      <c r="Q4" s="5">
        <v>3.5</v>
      </c>
      <c r="R4" s="5">
        <v>3</v>
      </c>
      <c r="S4" s="5">
        <v>3</v>
      </c>
      <c r="T4" s="5">
        <v>1.5</v>
      </c>
      <c r="U4" s="5">
        <v>1.5</v>
      </c>
      <c r="V4" s="5">
        <v>1</v>
      </c>
      <c r="W4" s="5">
        <v>1</v>
      </c>
      <c r="X4" s="11">
        <f>SUM(C4:W4)</f>
        <v>100</v>
      </c>
    </row>
    <row r="5" spans="1:24" x14ac:dyDescent="0.3">
      <c r="A5" s="8">
        <f t="shared" si="1"/>
        <v>4</v>
      </c>
      <c r="B5" s="6" t="s">
        <v>10</v>
      </c>
      <c r="C5" s="5">
        <v>0</v>
      </c>
      <c r="D5" s="5">
        <v>3.5</v>
      </c>
      <c r="E5" s="5">
        <v>3.5</v>
      </c>
      <c r="F5" s="5">
        <v>3.5</v>
      </c>
      <c r="G5" s="5">
        <v>3.5</v>
      </c>
      <c r="H5" s="5">
        <v>3.5</v>
      </c>
      <c r="I5" s="5">
        <v>3.5</v>
      </c>
      <c r="J5" s="5">
        <v>3.5</v>
      </c>
      <c r="K5" s="5">
        <v>3.5</v>
      </c>
      <c r="L5" s="5">
        <v>3.5</v>
      </c>
      <c r="M5" s="5">
        <v>3.5</v>
      </c>
      <c r="N5" s="5">
        <v>6.5</v>
      </c>
      <c r="O5" s="5">
        <v>6.5</v>
      </c>
      <c r="P5" s="5">
        <v>6.5</v>
      </c>
      <c r="Q5" s="5">
        <v>6.5</v>
      </c>
      <c r="R5" s="5">
        <v>6.5</v>
      </c>
      <c r="S5" s="5">
        <v>6.5</v>
      </c>
      <c r="T5" s="5">
        <v>6.5</v>
      </c>
      <c r="U5" s="5">
        <v>6.5</v>
      </c>
      <c r="V5" s="5">
        <v>6.5</v>
      </c>
      <c r="W5" s="5">
        <v>6.5</v>
      </c>
      <c r="X5" s="11">
        <f>SUM(C5:W5)</f>
        <v>100</v>
      </c>
    </row>
    <row r="6" spans="1:24" x14ac:dyDescent="0.3">
      <c r="A6" s="8"/>
      <c r="B6" s="6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11"/>
    </row>
    <row r="7" spans="1:24" x14ac:dyDescent="0.3">
      <c r="A7" s="8"/>
      <c r="B7" s="6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11"/>
    </row>
    <row r="8" spans="1:24" x14ac:dyDescent="0.3">
      <c r="A8" s="8"/>
      <c r="B8" s="6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11"/>
    </row>
    <row r="9" spans="1:24" x14ac:dyDescent="0.3">
      <c r="A9" s="8"/>
      <c r="B9" s="6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11"/>
    </row>
    <row r="10" spans="1:24" x14ac:dyDescent="0.3">
      <c r="A10" s="8"/>
      <c r="B10" s="6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11"/>
    </row>
    <row r="11" spans="1:24" x14ac:dyDescent="0.3">
      <c r="A11" s="8"/>
      <c r="B11" s="6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11"/>
    </row>
    <row r="12" spans="1:24" x14ac:dyDescent="0.3">
      <c r="A12" s="8"/>
      <c r="B12" s="6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11"/>
    </row>
    <row r="13" spans="1:24" x14ac:dyDescent="0.3">
      <c r="A13" s="8"/>
      <c r="B13" s="6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11"/>
    </row>
    <row r="14" spans="1:24" x14ac:dyDescent="0.3">
      <c r="A14" s="8"/>
      <c r="B14" s="6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1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24"/>
  <sheetViews>
    <sheetView workbookViewId="0"/>
  </sheetViews>
  <sheetFormatPr defaultRowHeight="14.4" x14ac:dyDescent="0.3"/>
  <sheetData>
    <row r="1" spans="1:5" x14ac:dyDescent="0.3">
      <c r="A1" t="s">
        <v>15</v>
      </c>
      <c r="B1">
        <v>1</v>
      </c>
      <c r="C1" t="e">
        <f>A2+ 1</f>
        <v>#VALUE!</v>
      </c>
      <c r="D1">
        <f>A3+ 1</f>
        <v>1</v>
      </c>
      <c r="E1">
        <f>A4+ 1</f>
        <v>6</v>
      </c>
    </row>
    <row r="2" spans="1:5" x14ac:dyDescent="0.3">
      <c r="A2" t="s">
        <v>11</v>
      </c>
      <c r="B2" t="s">
        <v>6</v>
      </c>
      <c r="C2" t="s">
        <v>7</v>
      </c>
      <c r="D2" t="s">
        <v>9</v>
      </c>
      <c r="E2" t="s">
        <v>10</v>
      </c>
    </row>
    <row r="3" spans="1:5" x14ac:dyDescent="0.3">
      <c r="A3">
        <v>0</v>
      </c>
      <c r="B3">
        <v>0</v>
      </c>
      <c r="C3">
        <v>0</v>
      </c>
      <c r="D3">
        <v>0</v>
      </c>
      <c r="E3">
        <v>0</v>
      </c>
    </row>
    <row r="4" spans="1:5" x14ac:dyDescent="0.3">
      <c r="A4">
        <v>5</v>
      </c>
      <c r="B4">
        <v>5</v>
      </c>
      <c r="C4">
        <v>1</v>
      </c>
      <c r="D4">
        <v>9</v>
      </c>
      <c r="E4">
        <v>3.5</v>
      </c>
    </row>
    <row r="5" spans="1:5" x14ac:dyDescent="0.3">
      <c r="A5">
        <f>D1+5</f>
        <v>6</v>
      </c>
      <c r="B5">
        <v>5</v>
      </c>
      <c r="C5">
        <v>1</v>
      </c>
      <c r="D5">
        <v>9</v>
      </c>
      <c r="E5">
        <v>3.5</v>
      </c>
    </row>
    <row r="6" spans="1:5" x14ac:dyDescent="0.3">
      <c r="A6">
        <f>E1+5</f>
        <v>11</v>
      </c>
      <c r="B6">
        <v>5</v>
      </c>
      <c r="C6">
        <v>1.5</v>
      </c>
      <c r="D6">
        <v>8.5</v>
      </c>
      <c r="E6">
        <v>3.5</v>
      </c>
    </row>
    <row r="7" spans="1:5" x14ac:dyDescent="0.3">
      <c r="A7">
        <f>F1+5</f>
        <v>5</v>
      </c>
      <c r="B7">
        <v>5</v>
      </c>
      <c r="C7">
        <v>1.5</v>
      </c>
      <c r="D7">
        <v>8.5</v>
      </c>
      <c r="E7">
        <v>3.5</v>
      </c>
    </row>
    <row r="8" spans="1:5" x14ac:dyDescent="0.3">
      <c r="A8">
        <f>G1+5</f>
        <v>5</v>
      </c>
      <c r="B8">
        <v>5</v>
      </c>
      <c r="C8">
        <v>3</v>
      </c>
      <c r="D8">
        <v>7</v>
      </c>
      <c r="E8">
        <v>3.5</v>
      </c>
    </row>
    <row r="9" spans="1:5" x14ac:dyDescent="0.3">
      <c r="A9">
        <f>H1+5</f>
        <v>5</v>
      </c>
      <c r="B9">
        <v>5</v>
      </c>
      <c r="C9">
        <v>3</v>
      </c>
      <c r="D9">
        <v>7</v>
      </c>
      <c r="E9">
        <v>3.5</v>
      </c>
    </row>
    <row r="10" spans="1:5" x14ac:dyDescent="0.3">
      <c r="A10">
        <f>I1+5</f>
        <v>5</v>
      </c>
      <c r="B10">
        <v>5</v>
      </c>
      <c r="C10">
        <v>3.5</v>
      </c>
      <c r="D10">
        <v>6.5</v>
      </c>
      <c r="E10">
        <v>3.5</v>
      </c>
    </row>
    <row r="11" spans="1:5" x14ac:dyDescent="0.3">
      <c r="A11">
        <f>J1+5</f>
        <v>5</v>
      </c>
      <c r="B11">
        <v>5</v>
      </c>
      <c r="C11">
        <v>3.5</v>
      </c>
      <c r="D11">
        <v>6.5</v>
      </c>
      <c r="E11">
        <v>3.5</v>
      </c>
    </row>
    <row r="12" spans="1:5" x14ac:dyDescent="0.3">
      <c r="A12">
        <f>K1+5</f>
        <v>5</v>
      </c>
      <c r="B12">
        <v>5</v>
      </c>
      <c r="C12">
        <v>4.5</v>
      </c>
      <c r="D12">
        <v>5.5</v>
      </c>
      <c r="E12">
        <v>3.5</v>
      </c>
    </row>
    <row r="13" spans="1:5" x14ac:dyDescent="0.3">
      <c r="A13">
        <f>L1+5</f>
        <v>5</v>
      </c>
      <c r="B13">
        <v>5</v>
      </c>
      <c r="C13">
        <v>4.5</v>
      </c>
      <c r="D13">
        <v>5.5</v>
      </c>
      <c r="E13">
        <v>3.5</v>
      </c>
    </row>
    <row r="14" spans="1:5" x14ac:dyDescent="0.3">
      <c r="A14">
        <f>M1+5</f>
        <v>5</v>
      </c>
      <c r="B14">
        <v>5</v>
      </c>
      <c r="C14">
        <v>5.5</v>
      </c>
      <c r="D14">
        <v>4.5</v>
      </c>
      <c r="E14">
        <v>6.5</v>
      </c>
    </row>
    <row r="15" spans="1:5" x14ac:dyDescent="0.3">
      <c r="A15">
        <f>N1+5</f>
        <v>5</v>
      </c>
      <c r="B15">
        <v>5</v>
      </c>
      <c r="C15">
        <v>5.5</v>
      </c>
      <c r="D15">
        <v>4.5</v>
      </c>
      <c r="E15">
        <v>6.5</v>
      </c>
    </row>
    <row r="16" spans="1:5" x14ac:dyDescent="0.3">
      <c r="A16">
        <f>O1+5</f>
        <v>5</v>
      </c>
      <c r="B16">
        <v>5</v>
      </c>
      <c r="C16">
        <v>6.5</v>
      </c>
      <c r="D16">
        <v>3.5</v>
      </c>
      <c r="E16">
        <v>6.5</v>
      </c>
    </row>
    <row r="17" spans="1:5" x14ac:dyDescent="0.3">
      <c r="A17">
        <f>P1+5</f>
        <v>5</v>
      </c>
      <c r="B17">
        <v>5</v>
      </c>
      <c r="C17">
        <v>6.5</v>
      </c>
      <c r="D17">
        <v>3.5</v>
      </c>
      <c r="E17">
        <v>6.5</v>
      </c>
    </row>
    <row r="18" spans="1:5" x14ac:dyDescent="0.3">
      <c r="A18">
        <f>Q1+5</f>
        <v>5</v>
      </c>
      <c r="B18">
        <v>5</v>
      </c>
      <c r="C18">
        <v>7</v>
      </c>
      <c r="D18">
        <v>3</v>
      </c>
      <c r="E18">
        <v>6.5</v>
      </c>
    </row>
    <row r="19" spans="1:5" x14ac:dyDescent="0.3">
      <c r="A19">
        <f>R1+5</f>
        <v>5</v>
      </c>
      <c r="B19">
        <v>5</v>
      </c>
      <c r="C19">
        <v>7</v>
      </c>
      <c r="D19">
        <v>3</v>
      </c>
      <c r="E19">
        <v>6.5</v>
      </c>
    </row>
    <row r="20" spans="1:5" x14ac:dyDescent="0.3">
      <c r="A20">
        <f>S1+5</f>
        <v>5</v>
      </c>
      <c r="B20">
        <v>5</v>
      </c>
      <c r="C20">
        <v>8.5</v>
      </c>
      <c r="D20">
        <v>1.5</v>
      </c>
      <c r="E20">
        <v>6.5</v>
      </c>
    </row>
    <row r="21" spans="1:5" x14ac:dyDescent="0.3">
      <c r="A21">
        <f>T1+5</f>
        <v>5</v>
      </c>
      <c r="B21">
        <v>5</v>
      </c>
      <c r="C21">
        <v>8.5</v>
      </c>
      <c r="D21">
        <v>1.5</v>
      </c>
      <c r="E21">
        <v>6.5</v>
      </c>
    </row>
    <row r="22" spans="1:5" x14ac:dyDescent="0.3">
      <c r="A22">
        <f>U1+5</f>
        <v>5</v>
      </c>
      <c r="B22">
        <v>5</v>
      </c>
      <c r="C22">
        <v>9</v>
      </c>
      <c r="D22">
        <v>1</v>
      </c>
      <c r="E22">
        <v>6.5</v>
      </c>
    </row>
    <row r="23" spans="1:5" x14ac:dyDescent="0.3">
      <c r="A23">
        <f>V1+5</f>
        <v>5</v>
      </c>
      <c r="B23">
        <v>5</v>
      </c>
      <c r="C23">
        <v>9</v>
      </c>
      <c r="D23">
        <v>1</v>
      </c>
      <c r="E23">
        <v>6.5</v>
      </c>
    </row>
    <row r="24" spans="1:5" x14ac:dyDescent="0.3">
      <c r="A24" t="s">
        <v>8</v>
      </c>
      <c r="C24">
        <f>SUM(C3:W3)</f>
        <v>0</v>
      </c>
      <c r="D24">
        <f>SUM(C4:W4)</f>
        <v>13.5</v>
      </c>
      <c r="E24">
        <f>SUM(C5:W5)</f>
        <v>13.5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3:V11"/>
  <sheetViews>
    <sheetView zoomScale="85" zoomScaleNormal="85" workbookViewId="0">
      <selection activeCell="H32" sqref="H32"/>
    </sheetView>
  </sheetViews>
  <sheetFormatPr defaultRowHeight="14.4" x14ac:dyDescent="0.3"/>
  <sheetData>
    <row r="3" spans="2:22" x14ac:dyDescent="0.3">
      <c r="B3">
        <v>0</v>
      </c>
      <c r="C3">
        <v>5</v>
      </c>
      <c r="D3">
        <f>C3+5</f>
        <v>10</v>
      </c>
      <c r="E3">
        <f t="shared" ref="E3:V3" si="0">D3+5</f>
        <v>15</v>
      </c>
      <c r="F3">
        <f t="shared" si="0"/>
        <v>20</v>
      </c>
      <c r="G3">
        <f t="shared" si="0"/>
        <v>25</v>
      </c>
      <c r="H3">
        <f t="shared" si="0"/>
        <v>30</v>
      </c>
      <c r="I3">
        <f t="shared" si="0"/>
        <v>35</v>
      </c>
      <c r="J3">
        <f t="shared" si="0"/>
        <v>40</v>
      </c>
      <c r="K3">
        <f t="shared" si="0"/>
        <v>45</v>
      </c>
      <c r="L3">
        <f t="shared" si="0"/>
        <v>50</v>
      </c>
      <c r="M3">
        <f t="shared" si="0"/>
        <v>55</v>
      </c>
      <c r="N3">
        <f t="shared" si="0"/>
        <v>60</v>
      </c>
      <c r="O3">
        <f t="shared" si="0"/>
        <v>65</v>
      </c>
      <c r="P3">
        <f t="shared" si="0"/>
        <v>70</v>
      </c>
      <c r="Q3">
        <f t="shared" si="0"/>
        <v>75</v>
      </c>
      <c r="R3">
        <f t="shared" si="0"/>
        <v>80</v>
      </c>
      <c r="S3">
        <f t="shared" si="0"/>
        <v>85</v>
      </c>
      <c r="T3">
        <f t="shared" si="0"/>
        <v>90</v>
      </c>
      <c r="U3">
        <f t="shared" si="0"/>
        <v>95</v>
      </c>
      <c r="V3">
        <f t="shared" si="0"/>
        <v>100</v>
      </c>
    </row>
    <row r="10" spans="2:22" x14ac:dyDescent="0.3">
      <c r="B10">
        <v>400</v>
      </c>
    </row>
    <row r="11" spans="2:22" x14ac:dyDescent="0.3">
      <c r="B11">
        <f>25*5.5</f>
        <v>137.5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19"/>
  <sheetViews>
    <sheetView workbookViewId="0">
      <selection activeCell="E6" sqref="E6"/>
    </sheetView>
  </sheetViews>
  <sheetFormatPr defaultRowHeight="14.4" x14ac:dyDescent="0.3"/>
  <cols>
    <col min="5" max="5" width="19.77734375" bestFit="1" customWidth="1"/>
  </cols>
  <sheetData>
    <row r="1" spans="2:23" x14ac:dyDescent="0.3">
      <c r="B1" t="s">
        <v>5</v>
      </c>
      <c r="C1">
        <f>'Curve Sheet'!C2</f>
        <v>0</v>
      </c>
      <c r="D1">
        <f>C1+'Curve Sheet'!D2</f>
        <v>5</v>
      </c>
      <c r="E1">
        <f>D1+'Curve Sheet'!E2</f>
        <v>10</v>
      </c>
      <c r="F1">
        <f>E1+'Curve Sheet'!F2</f>
        <v>15</v>
      </c>
      <c r="G1">
        <f>F1+'Curve Sheet'!G2</f>
        <v>20</v>
      </c>
      <c r="H1">
        <f>G1+'Curve Sheet'!H2</f>
        <v>25</v>
      </c>
      <c r="I1">
        <f>H1+'Curve Sheet'!I2</f>
        <v>30</v>
      </c>
      <c r="J1">
        <f>I1+'Curve Sheet'!J2</f>
        <v>35</v>
      </c>
      <c r="K1">
        <f>J1+'Curve Sheet'!K2</f>
        <v>40</v>
      </c>
      <c r="L1">
        <f>K1+'Curve Sheet'!L2</f>
        <v>45</v>
      </c>
      <c r="M1">
        <f>L1+'Curve Sheet'!M2</f>
        <v>50</v>
      </c>
      <c r="N1">
        <f>M1+'Curve Sheet'!N2</f>
        <v>55</v>
      </c>
      <c r="O1">
        <f>N1+'Curve Sheet'!O2</f>
        <v>60</v>
      </c>
      <c r="P1">
        <f>O1+'Curve Sheet'!P2</f>
        <v>65</v>
      </c>
      <c r="Q1">
        <f>P1+'Curve Sheet'!Q2</f>
        <v>70</v>
      </c>
      <c r="R1">
        <f>Q1+'Curve Sheet'!R2</f>
        <v>75</v>
      </c>
      <c r="S1">
        <f>R1+'Curve Sheet'!S2</f>
        <v>80</v>
      </c>
      <c r="T1">
        <f>S1+'Curve Sheet'!T2</f>
        <v>85</v>
      </c>
      <c r="U1">
        <f>T1+'Curve Sheet'!U2</f>
        <v>90</v>
      </c>
      <c r="V1">
        <f>U1+'Curve Sheet'!V2</f>
        <v>95</v>
      </c>
      <c r="W1">
        <f>V1+'Curve Sheet'!W2</f>
        <v>100</v>
      </c>
    </row>
    <row r="3" spans="2:23" x14ac:dyDescent="0.3">
      <c r="E3" s="2" t="s">
        <v>2</v>
      </c>
      <c r="F3" s="2" t="s">
        <v>3</v>
      </c>
      <c r="G3" s="2" t="s">
        <v>4</v>
      </c>
      <c r="H3" s="2"/>
      <c r="I3" s="2"/>
    </row>
    <row r="4" spans="2:23" x14ac:dyDescent="0.3">
      <c r="D4" t="s">
        <v>12</v>
      </c>
      <c r="E4" s="2">
        <v>5</v>
      </c>
      <c r="F4" s="2">
        <v>30</v>
      </c>
      <c r="G4" s="2">
        <v>30</v>
      </c>
      <c r="H4" s="2">
        <v>30</v>
      </c>
      <c r="I4" s="2">
        <v>15</v>
      </c>
    </row>
    <row r="5" spans="2:23" x14ac:dyDescent="0.3">
      <c r="D5" t="s">
        <v>13</v>
      </c>
      <c r="E5" s="3">
        <f>E4/SUM($E$4:$I$4)</f>
        <v>4.5454545454545456E-2</v>
      </c>
      <c r="F5" s="3">
        <f t="shared" ref="F5:I5" si="0">F4/SUM($E$4:$I$4)</f>
        <v>0.27272727272727271</v>
      </c>
      <c r="G5" s="3">
        <f t="shared" si="0"/>
        <v>0.27272727272727271</v>
      </c>
      <c r="H5" s="3">
        <f t="shared" si="0"/>
        <v>0.27272727272727271</v>
      </c>
      <c r="I5" s="3">
        <f t="shared" si="0"/>
        <v>0.13636363636363635</v>
      </c>
    </row>
    <row r="6" spans="2:23" x14ac:dyDescent="0.3">
      <c r="D6" t="s">
        <v>14</v>
      </c>
      <c r="E6" s="4">
        <f>CurvedPercentage(E5,J6)</f>
        <v>3.1818181818181821</v>
      </c>
      <c r="F6" s="4">
        <f>CurvedPercentage(SUM($E$5:F5),$J6)</f>
        <v>3.5</v>
      </c>
      <c r="G6" s="4">
        <f>CurvedPercentage(SUM($E$5:G5),$J6)</f>
        <v>6.5</v>
      </c>
      <c r="H6" s="4">
        <f>CurvedPercentage(SUM($E$5:H5),$J6)</f>
        <v>6.5</v>
      </c>
      <c r="I6" s="4">
        <f>CurvedPercentage(SUM($E$5:I5),$J6)</f>
        <v>6.5</v>
      </c>
      <c r="J6">
        <v>4</v>
      </c>
    </row>
    <row r="7" spans="2:23" x14ac:dyDescent="0.3">
      <c r="E7" s="2"/>
      <c r="F7" s="2"/>
      <c r="G7" s="2"/>
      <c r="H7" s="2"/>
      <c r="I7" s="2"/>
    </row>
    <row r="9" spans="2:23" x14ac:dyDescent="0.3">
      <c r="E9">
        <v>0</v>
      </c>
      <c r="F9">
        <v>3</v>
      </c>
      <c r="G9">
        <v>5.3181818181818157</v>
      </c>
      <c r="H9">
        <v>7.4090909090909083</v>
      </c>
      <c r="I9">
        <v>8.9999999999999982</v>
      </c>
    </row>
    <row r="19" spans="6:9" x14ac:dyDescent="0.3">
      <c r="F19">
        <f>MROUND(G19,5)</f>
        <v>20</v>
      </c>
      <c r="G19">
        <v>18</v>
      </c>
      <c r="I19">
        <f>F19-G19</f>
        <v>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L1" sqref="L1"/>
    </sheetView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Sheetsd1</vt:lpstr>
      <vt:lpstr>Curve Sheet</vt:lpstr>
      <vt:lpstr>tbd</vt:lpstr>
      <vt:lpstr>Sheet1</vt:lpstr>
      <vt:lpstr>Sheet4</vt:lpstr>
      <vt:lpstr>P6 Resource Curve</vt:lpstr>
    </vt:vector>
  </TitlesOfParts>
  <Company>AECOM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Gupta, Vikram</dc:creator>
  <cp:lastModifiedBy>Gupta, Vikram</cp:lastModifiedBy>
  <dcterms:created xsi:type="dcterms:W3CDTF">2017-11-30T05:13:17Z</dcterms:created>
  <dcterms:modified xsi:type="dcterms:W3CDTF">2017-12-27T11:23:29Z</dcterms:modified>
</cp:coreProperties>
</file>